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nux\Documents\schools\school_nagatinsky\"/>
    </mc:Choice>
  </mc:AlternateContent>
  <bookViews>
    <workbookView xWindow="0" yWindow="0" windowWidth="23040" windowHeight="10416" activeTab="1"/>
  </bookViews>
  <sheets>
    <sheet name="ТКП" sheetId="1" r:id="rId1"/>
    <sheet name="Лист1" sheetId="2" r:id="rId2"/>
  </sheets>
  <definedNames>
    <definedName name="_xlnm._FilterDatabase" localSheetId="0" hidden="1">ТКП!$A$7:$U$7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586" i="2" l="1"/>
  <c r="AA586" i="2" s="1"/>
  <c r="W586" i="2"/>
  <c r="U586" i="2"/>
  <c r="T586" i="2"/>
  <c r="R586" i="2"/>
  <c r="X586" i="2" s="1"/>
  <c r="N586" i="2"/>
  <c r="O586" i="2" s="1"/>
  <c r="L586" i="2"/>
  <c r="Z585" i="2"/>
  <c r="X585" i="2"/>
  <c r="W585" i="2"/>
  <c r="T585" i="2"/>
  <c r="T584" i="2" s="1"/>
  <c r="R585" i="2"/>
  <c r="O585" i="2"/>
  <c r="O584" i="2" s="1"/>
  <c r="N585" i="2"/>
  <c r="L585" i="2"/>
  <c r="Y584" i="2"/>
  <c r="S584" i="2"/>
  <c r="N584" i="2"/>
  <c r="M584" i="2"/>
  <c r="Y583" i="2"/>
  <c r="V583" i="2"/>
  <c r="S583" i="2"/>
  <c r="M583" i="2"/>
  <c r="Z582" i="2"/>
  <c r="W582" i="2"/>
  <c r="T582" i="2"/>
  <c r="P582" i="2"/>
  <c r="N582" i="2"/>
  <c r="J582" i="2"/>
  <c r="V581" i="2"/>
  <c r="S581" i="2"/>
  <c r="Y581" i="2" s="1"/>
  <c r="M581" i="2"/>
  <c r="W580" i="2"/>
  <c r="V580" i="2"/>
  <c r="T580" i="2"/>
  <c r="Z580" i="2" s="1"/>
  <c r="P580" i="2"/>
  <c r="N580" i="2"/>
  <c r="O580" i="2" s="1"/>
  <c r="L580" i="2"/>
  <c r="J580" i="2"/>
  <c r="M580" i="2" s="1"/>
  <c r="Y579" i="2"/>
  <c r="V579" i="2"/>
  <c r="S579" i="2"/>
  <c r="M579" i="2"/>
  <c r="V578" i="2"/>
  <c r="S578" i="2"/>
  <c r="Y578" i="2" s="1"/>
  <c r="M578" i="2"/>
  <c r="Y577" i="2"/>
  <c r="V577" i="2"/>
  <c r="S577" i="2"/>
  <c r="M577" i="2"/>
  <c r="V576" i="2"/>
  <c r="S576" i="2"/>
  <c r="Y576" i="2" s="1"/>
  <c r="M576" i="2"/>
  <c r="Y575" i="2"/>
  <c r="V575" i="2"/>
  <c r="S575" i="2"/>
  <c r="M575" i="2"/>
  <c r="V574" i="2"/>
  <c r="S574" i="2"/>
  <c r="Y574" i="2" s="1"/>
  <c r="M574" i="2"/>
  <c r="Y573" i="2"/>
  <c r="V573" i="2"/>
  <c r="S573" i="2"/>
  <c r="M573" i="2"/>
  <c r="V572" i="2"/>
  <c r="S572" i="2"/>
  <c r="Y572" i="2" s="1"/>
  <c r="M572" i="2"/>
  <c r="Y571" i="2"/>
  <c r="V571" i="2"/>
  <c r="S571" i="2"/>
  <c r="M571" i="2"/>
  <c r="V570" i="2"/>
  <c r="S570" i="2"/>
  <c r="M570" i="2"/>
  <c r="J569" i="2" s="1"/>
  <c r="L569" i="2" s="1"/>
  <c r="W569" i="2"/>
  <c r="T569" i="2"/>
  <c r="Z569" i="2" s="1"/>
  <c r="N569" i="2"/>
  <c r="M569" i="2"/>
  <c r="O569" i="2" s="1"/>
  <c r="V568" i="2"/>
  <c r="S568" i="2"/>
  <c r="Y568" i="2" s="1"/>
  <c r="M568" i="2"/>
  <c r="V567" i="2"/>
  <c r="S567" i="2"/>
  <c r="Y567" i="2" s="1"/>
  <c r="M567" i="2"/>
  <c r="Y566" i="2"/>
  <c r="V566" i="2"/>
  <c r="S566" i="2"/>
  <c r="M566" i="2"/>
  <c r="Y565" i="2"/>
  <c r="V565" i="2"/>
  <c r="S565" i="2"/>
  <c r="M565" i="2"/>
  <c r="V564" i="2"/>
  <c r="S564" i="2"/>
  <c r="Y564" i="2" s="1"/>
  <c r="M564" i="2"/>
  <c r="V563" i="2"/>
  <c r="S563" i="2"/>
  <c r="Y563" i="2" s="1"/>
  <c r="M563" i="2"/>
  <c r="Y562" i="2"/>
  <c r="V562" i="2"/>
  <c r="S562" i="2"/>
  <c r="M562" i="2"/>
  <c r="V561" i="2"/>
  <c r="S561" i="2"/>
  <c r="Y561" i="2" s="1"/>
  <c r="M561" i="2"/>
  <c r="V560" i="2"/>
  <c r="S560" i="2"/>
  <c r="Y560" i="2" s="1"/>
  <c r="M560" i="2"/>
  <c r="J558" i="2" s="1"/>
  <c r="Y559" i="2"/>
  <c r="V559" i="2"/>
  <c r="S559" i="2"/>
  <c r="M559" i="2"/>
  <c r="Z558" i="2"/>
  <c r="W558" i="2"/>
  <c r="T558" i="2"/>
  <c r="N558" i="2"/>
  <c r="Y557" i="2"/>
  <c r="V557" i="2"/>
  <c r="S557" i="2"/>
  <c r="M557" i="2"/>
  <c r="W556" i="2"/>
  <c r="T556" i="2"/>
  <c r="Z556" i="2" s="1"/>
  <c r="P556" i="2"/>
  <c r="N556" i="2"/>
  <c r="M556" i="2"/>
  <c r="O556" i="2" s="1"/>
  <c r="J556" i="2"/>
  <c r="L556" i="2" s="1"/>
  <c r="V555" i="2"/>
  <c r="S555" i="2"/>
  <c r="M555" i="2"/>
  <c r="J554" i="2" s="1"/>
  <c r="L554" i="2" s="1"/>
  <c r="Z554" i="2"/>
  <c r="W554" i="2"/>
  <c r="T554" i="2"/>
  <c r="N554" i="2"/>
  <c r="M554" i="2"/>
  <c r="O554" i="2" s="1"/>
  <c r="V553" i="2"/>
  <c r="S553" i="2"/>
  <c r="M553" i="2"/>
  <c r="W552" i="2"/>
  <c r="T552" i="2"/>
  <c r="Z552" i="2" s="1"/>
  <c r="N552" i="2"/>
  <c r="J552" i="2"/>
  <c r="Y551" i="2"/>
  <c r="V551" i="2"/>
  <c r="S551" i="2"/>
  <c r="P550" i="2" s="1"/>
  <c r="M551" i="2"/>
  <c r="Z550" i="2"/>
  <c r="W550" i="2"/>
  <c r="T550" i="2"/>
  <c r="N550" i="2"/>
  <c r="J550" i="2"/>
  <c r="M550" i="2" s="1"/>
  <c r="Y549" i="2"/>
  <c r="V549" i="2"/>
  <c r="S549" i="2"/>
  <c r="M549" i="2"/>
  <c r="Z548" i="2"/>
  <c r="AA548" i="2" s="1"/>
  <c r="W548" i="2"/>
  <c r="U548" i="2"/>
  <c r="T548" i="2"/>
  <c r="S548" i="2"/>
  <c r="Y548" i="2" s="1"/>
  <c r="P548" i="2"/>
  <c r="N548" i="2"/>
  <c r="J548" i="2"/>
  <c r="L548" i="2" s="1"/>
  <c r="Y547" i="2"/>
  <c r="V547" i="2"/>
  <c r="S547" i="2"/>
  <c r="P546" i="2" s="1"/>
  <c r="M547" i="2"/>
  <c r="J546" i="2" s="1"/>
  <c r="W546" i="2"/>
  <c r="T546" i="2"/>
  <c r="Z546" i="2" s="1"/>
  <c r="R546" i="2"/>
  <c r="X546" i="2" s="1"/>
  <c r="N546" i="2"/>
  <c r="V545" i="2"/>
  <c r="S545" i="2"/>
  <c r="Y545" i="2" s="1"/>
  <c r="M545" i="2"/>
  <c r="W544" i="2"/>
  <c r="T544" i="2"/>
  <c r="Z544" i="2" s="1"/>
  <c r="P544" i="2"/>
  <c r="S544" i="2" s="1"/>
  <c r="N544" i="2"/>
  <c r="O544" i="2" s="1"/>
  <c r="J544" i="2"/>
  <c r="M544" i="2" s="1"/>
  <c r="V543" i="2"/>
  <c r="S543" i="2"/>
  <c r="Y543" i="2" s="1"/>
  <c r="M543" i="2"/>
  <c r="J542" i="2" s="1"/>
  <c r="Z542" i="2"/>
  <c r="W542" i="2"/>
  <c r="T542" i="2"/>
  <c r="P542" i="2"/>
  <c r="N542" i="2"/>
  <c r="Y541" i="2"/>
  <c r="V541" i="2"/>
  <c r="S541" i="2"/>
  <c r="M541" i="2"/>
  <c r="J540" i="2" s="1"/>
  <c r="W540" i="2"/>
  <c r="V540" i="2"/>
  <c r="T540" i="2"/>
  <c r="Z540" i="2" s="1"/>
  <c r="S540" i="2"/>
  <c r="P540" i="2"/>
  <c r="R540" i="2" s="1"/>
  <c r="X540" i="2" s="1"/>
  <c r="N540" i="2"/>
  <c r="Y539" i="2"/>
  <c r="V539" i="2"/>
  <c r="S539" i="2"/>
  <c r="P538" i="2" s="1"/>
  <c r="M539" i="2"/>
  <c r="W538" i="2"/>
  <c r="T538" i="2"/>
  <c r="R538" i="2"/>
  <c r="X538" i="2" s="1"/>
  <c r="N538" i="2"/>
  <c r="J538" i="2"/>
  <c r="Y537" i="2"/>
  <c r="V537" i="2"/>
  <c r="S537" i="2"/>
  <c r="M537" i="2"/>
  <c r="W536" i="2"/>
  <c r="T536" i="2"/>
  <c r="Z536" i="2" s="1"/>
  <c r="P536" i="2"/>
  <c r="N536" i="2"/>
  <c r="J536" i="2"/>
  <c r="M536" i="2" s="1"/>
  <c r="X535" i="2"/>
  <c r="W535" i="2"/>
  <c r="T535" i="2"/>
  <c r="R535" i="2"/>
  <c r="O535" i="2"/>
  <c r="N535" i="2"/>
  <c r="L535" i="2"/>
  <c r="V533" i="2"/>
  <c r="S533" i="2"/>
  <c r="Y533" i="2" s="1"/>
  <c r="M533" i="2"/>
  <c r="Y532" i="2"/>
  <c r="V532" i="2"/>
  <c r="S532" i="2"/>
  <c r="M532" i="2"/>
  <c r="Z531" i="2"/>
  <c r="W531" i="2"/>
  <c r="T531" i="2"/>
  <c r="N531" i="2"/>
  <c r="M531" i="2"/>
  <c r="O531" i="2" s="1"/>
  <c r="L531" i="2"/>
  <c r="J531" i="2"/>
  <c r="V530" i="2"/>
  <c r="S530" i="2"/>
  <c r="M530" i="2"/>
  <c r="Y529" i="2"/>
  <c r="V529" i="2"/>
  <c r="S529" i="2"/>
  <c r="M529" i="2"/>
  <c r="J528" i="2" s="1"/>
  <c r="L528" i="2" s="1"/>
  <c r="W528" i="2"/>
  <c r="T528" i="2"/>
  <c r="Z528" i="2" s="1"/>
  <c r="N528" i="2"/>
  <c r="O528" i="2" s="1"/>
  <c r="M528" i="2"/>
  <c r="V527" i="2"/>
  <c r="S527" i="2"/>
  <c r="M527" i="2"/>
  <c r="Y526" i="2"/>
  <c r="V526" i="2"/>
  <c r="S526" i="2"/>
  <c r="M526" i="2"/>
  <c r="Z525" i="2"/>
  <c r="W525" i="2"/>
  <c r="T525" i="2"/>
  <c r="N525" i="2"/>
  <c r="J525" i="2"/>
  <c r="L525" i="2" s="1"/>
  <c r="Y524" i="2"/>
  <c r="V524" i="2"/>
  <c r="S524" i="2"/>
  <c r="M524" i="2"/>
  <c r="Y523" i="2"/>
  <c r="V523" i="2"/>
  <c r="S523" i="2"/>
  <c r="M523" i="2"/>
  <c r="W522" i="2"/>
  <c r="T522" i="2"/>
  <c r="Z522" i="2" s="1"/>
  <c r="S522" i="2"/>
  <c r="R522" i="2"/>
  <c r="X522" i="2" s="1"/>
  <c r="P522" i="2"/>
  <c r="V522" i="2" s="1"/>
  <c r="N522" i="2"/>
  <c r="J522" i="2"/>
  <c r="L522" i="2" s="1"/>
  <c r="Y521" i="2"/>
  <c r="V521" i="2"/>
  <c r="S521" i="2"/>
  <c r="M521" i="2"/>
  <c r="Y520" i="2"/>
  <c r="V520" i="2"/>
  <c r="S520" i="2"/>
  <c r="M520" i="2"/>
  <c r="W519" i="2"/>
  <c r="T519" i="2"/>
  <c r="Z519" i="2" s="1"/>
  <c r="P519" i="2"/>
  <c r="N519" i="2"/>
  <c r="M519" i="2"/>
  <c r="J519" i="2"/>
  <c r="L519" i="2" s="1"/>
  <c r="Y518" i="2"/>
  <c r="V518" i="2"/>
  <c r="S518" i="2"/>
  <c r="M518" i="2"/>
  <c r="J516" i="2" s="1"/>
  <c r="Y517" i="2"/>
  <c r="V517" i="2"/>
  <c r="S517" i="2"/>
  <c r="M517" i="2"/>
  <c r="W516" i="2"/>
  <c r="V516" i="2"/>
  <c r="T516" i="2"/>
  <c r="Z516" i="2" s="1"/>
  <c r="P516" i="2"/>
  <c r="S516" i="2" s="1"/>
  <c r="N516" i="2"/>
  <c r="Y515" i="2"/>
  <c r="V515" i="2"/>
  <c r="S515" i="2"/>
  <c r="M515" i="2"/>
  <c r="V514" i="2"/>
  <c r="S514" i="2"/>
  <c r="M514" i="2"/>
  <c r="Z513" i="2"/>
  <c r="W513" i="2"/>
  <c r="T513" i="2"/>
  <c r="N513" i="2"/>
  <c r="J513" i="2"/>
  <c r="M513" i="2" s="1"/>
  <c r="O513" i="2" s="1"/>
  <c r="V512" i="2"/>
  <c r="S512" i="2"/>
  <c r="M512" i="2"/>
  <c r="Y511" i="2"/>
  <c r="V511" i="2"/>
  <c r="S511" i="2"/>
  <c r="M511" i="2"/>
  <c r="W510" i="2"/>
  <c r="T510" i="2"/>
  <c r="Z510" i="2" s="1"/>
  <c r="N510" i="2"/>
  <c r="Y509" i="2"/>
  <c r="V509" i="2"/>
  <c r="S509" i="2"/>
  <c r="M509" i="2"/>
  <c r="Y508" i="2"/>
  <c r="V508" i="2"/>
  <c r="S508" i="2"/>
  <c r="M508" i="2"/>
  <c r="W507" i="2"/>
  <c r="T507" i="2"/>
  <c r="Z507" i="2" s="1"/>
  <c r="P507" i="2"/>
  <c r="N507" i="2"/>
  <c r="M507" i="2"/>
  <c r="O507" i="2" s="1"/>
  <c r="L507" i="2"/>
  <c r="J507" i="2"/>
  <c r="V506" i="2"/>
  <c r="S506" i="2"/>
  <c r="Y506" i="2" s="1"/>
  <c r="M506" i="2"/>
  <c r="V505" i="2"/>
  <c r="S505" i="2"/>
  <c r="M505" i="2"/>
  <c r="J504" i="2" s="1"/>
  <c r="M504" i="2" s="1"/>
  <c r="O504" i="2" s="1"/>
  <c r="W504" i="2"/>
  <c r="T504" i="2"/>
  <c r="Z504" i="2" s="1"/>
  <c r="N504" i="2"/>
  <c r="L504" i="2"/>
  <c r="V503" i="2"/>
  <c r="S503" i="2"/>
  <c r="Y503" i="2" s="1"/>
  <c r="M503" i="2"/>
  <c r="Y502" i="2"/>
  <c r="V502" i="2"/>
  <c r="S502" i="2"/>
  <c r="M502" i="2"/>
  <c r="J501" i="2" s="1"/>
  <c r="W501" i="2"/>
  <c r="T501" i="2"/>
  <c r="S501" i="2"/>
  <c r="P501" i="2"/>
  <c r="N501" i="2"/>
  <c r="Y499" i="2"/>
  <c r="V499" i="2"/>
  <c r="S499" i="2"/>
  <c r="M499" i="2"/>
  <c r="J497" i="2" s="1"/>
  <c r="Y498" i="2"/>
  <c r="V498" i="2"/>
  <c r="S498" i="2"/>
  <c r="P497" i="2" s="1"/>
  <c r="M498" i="2"/>
  <c r="Z497" i="2"/>
  <c r="W497" i="2"/>
  <c r="V497" i="2"/>
  <c r="T497" i="2"/>
  <c r="N497" i="2"/>
  <c r="Y496" i="2"/>
  <c r="V496" i="2"/>
  <c r="S496" i="2"/>
  <c r="M496" i="2"/>
  <c r="Y495" i="2"/>
  <c r="V495" i="2"/>
  <c r="S495" i="2"/>
  <c r="M495" i="2"/>
  <c r="J494" i="2" s="1"/>
  <c r="W494" i="2"/>
  <c r="T494" i="2"/>
  <c r="Z494" i="2" s="1"/>
  <c r="S494" i="2"/>
  <c r="R494" i="2"/>
  <c r="X494" i="2" s="1"/>
  <c r="P494" i="2"/>
  <c r="V494" i="2" s="1"/>
  <c r="N494" i="2"/>
  <c r="Y493" i="2"/>
  <c r="V493" i="2"/>
  <c r="S493" i="2"/>
  <c r="M493" i="2"/>
  <c r="Y492" i="2"/>
  <c r="V492" i="2"/>
  <c r="S492" i="2"/>
  <c r="P491" i="2" s="1"/>
  <c r="M492" i="2"/>
  <c r="Z491" i="2"/>
  <c r="W491" i="2"/>
  <c r="V491" i="2"/>
  <c r="T491" i="2"/>
  <c r="N491" i="2"/>
  <c r="J491" i="2"/>
  <c r="Y490" i="2"/>
  <c r="V490" i="2"/>
  <c r="S490" i="2"/>
  <c r="M490" i="2"/>
  <c r="Y489" i="2"/>
  <c r="V489" i="2"/>
  <c r="S489" i="2"/>
  <c r="P488" i="2" s="1"/>
  <c r="M489" i="2"/>
  <c r="Z488" i="2"/>
  <c r="X488" i="2"/>
  <c r="W488" i="2"/>
  <c r="T488" i="2"/>
  <c r="R488" i="2"/>
  <c r="N488" i="2"/>
  <c r="Y487" i="2"/>
  <c r="V487" i="2"/>
  <c r="S487" i="2"/>
  <c r="M487" i="2"/>
  <c r="J485" i="2" s="1"/>
  <c r="V486" i="2"/>
  <c r="S486" i="2"/>
  <c r="M486" i="2"/>
  <c r="Z485" i="2"/>
  <c r="W485" i="2"/>
  <c r="T485" i="2"/>
  <c r="N485" i="2"/>
  <c r="Y484" i="2"/>
  <c r="V484" i="2"/>
  <c r="S484" i="2"/>
  <c r="M484" i="2"/>
  <c r="Y483" i="2"/>
  <c r="V483" i="2"/>
  <c r="S483" i="2"/>
  <c r="M483" i="2"/>
  <c r="W482" i="2"/>
  <c r="T482" i="2"/>
  <c r="Z482" i="2" s="1"/>
  <c r="P482" i="2"/>
  <c r="N482" i="2"/>
  <c r="J482" i="2"/>
  <c r="M482" i="2" s="1"/>
  <c r="O482" i="2" s="1"/>
  <c r="Y481" i="2"/>
  <c r="V481" i="2"/>
  <c r="S481" i="2"/>
  <c r="M481" i="2"/>
  <c r="V480" i="2"/>
  <c r="S480" i="2"/>
  <c r="M480" i="2"/>
  <c r="J479" i="2" s="1"/>
  <c r="M479" i="2" s="1"/>
  <c r="W479" i="2"/>
  <c r="T479" i="2"/>
  <c r="O479" i="2"/>
  <c r="N479" i="2"/>
  <c r="L479" i="2"/>
  <c r="Y478" i="2"/>
  <c r="V478" i="2"/>
  <c r="S478" i="2"/>
  <c r="M478" i="2"/>
  <c r="V477" i="2"/>
  <c r="S477" i="2"/>
  <c r="M477" i="2"/>
  <c r="J476" i="2" s="1"/>
  <c r="L476" i="2" s="1"/>
  <c r="Z476" i="2"/>
  <c r="W476" i="2"/>
  <c r="T476" i="2"/>
  <c r="N476" i="2"/>
  <c r="V473" i="2"/>
  <c r="S473" i="2"/>
  <c r="Y473" i="2" s="1"/>
  <c r="M473" i="2"/>
  <c r="Y472" i="2"/>
  <c r="V472" i="2"/>
  <c r="S472" i="2"/>
  <c r="M472" i="2"/>
  <c r="V471" i="2"/>
  <c r="S471" i="2"/>
  <c r="M471" i="2"/>
  <c r="Y470" i="2"/>
  <c r="V470" i="2"/>
  <c r="S470" i="2"/>
  <c r="M470" i="2"/>
  <c r="Z469" i="2"/>
  <c r="W469" i="2"/>
  <c r="T469" i="2"/>
  <c r="N469" i="2"/>
  <c r="J469" i="2"/>
  <c r="L469" i="2" s="1"/>
  <c r="V468" i="2"/>
  <c r="S468" i="2"/>
  <c r="Y468" i="2" s="1"/>
  <c r="M468" i="2"/>
  <c r="V467" i="2"/>
  <c r="S467" i="2"/>
  <c r="Y467" i="2" s="1"/>
  <c r="M467" i="2"/>
  <c r="Y466" i="2"/>
  <c r="V466" i="2"/>
  <c r="S466" i="2"/>
  <c r="M466" i="2"/>
  <c r="Y465" i="2"/>
  <c r="V465" i="2"/>
  <c r="S465" i="2"/>
  <c r="M465" i="2"/>
  <c r="J464" i="2" s="1"/>
  <c r="Z464" i="2"/>
  <c r="W464" i="2"/>
  <c r="T464" i="2"/>
  <c r="N464" i="2"/>
  <c r="V463" i="2"/>
  <c r="S463" i="2"/>
  <c r="Y463" i="2" s="1"/>
  <c r="M463" i="2"/>
  <c r="V462" i="2"/>
  <c r="S462" i="2"/>
  <c r="Y462" i="2" s="1"/>
  <c r="M462" i="2"/>
  <c r="V461" i="2"/>
  <c r="S461" i="2"/>
  <c r="P460" i="2" s="1"/>
  <c r="M461" i="2"/>
  <c r="Z460" i="2"/>
  <c r="W460" i="2"/>
  <c r="T460" i="2"/>
  <c r="N460" i="2"/>
  <c r="Y459" i="2"/>
  <c r="V459" i="2"/>
  <c r="S459" i="2"/>
  <c r="M459" i="2"/>
  <c r="V458" i="2"/>
  <c r="S458" i="2"/>
  <c r="Y458" i="2" s="1"/>
  <c r="M458" i="2"/>
  <c r="Y457" i="2"/>
  <c r="V457" i="2"/>
  <c r="S457" i="2"/>
  <c r="M457" i="2"/>
  <c r="V456" i="2"/>
  <c r="S456" i="2"/>
  <c r="M456" i="2"/>
  <c r="J455" i="2" s="1"/>
  <c r="Z455" i="2"/>
  <c r="W455" i="2"/>
  <c r="T455" i="2"/>
  <c r="N455" i="2"/>
  <c r="Y454" i="2"/>
  <c r="V454" i="2"/>
  <c r="S454" i="2"/>
  <c r="M454" i="2"/>
  <c r="V453" i="2"/>
  <c r="S453" i="2"/>
  <c r="Y453" i="2" s="1"/>
  <c r="M453" i="2"/>
  <c r="Y452" i="2"/>
  <c r="V452" i="2"/>
  <c r="S452" i="2"/>
  <c r="M452" i="2"/>
  <c r="J450" i="2" s="1"/>
  <c r="V451" i="2"/>
  <c r="S451" i="2"/>
  <c r="Y451" i="2" s="1"/>
  <c r="M451" i="2"/>
  <c r="W450" i="2"/>
  <c r="T450" i="2"/>
  <c r="Z450" i="2" s="1"/>
  <c r="P450" i="2"/>
  <c r="N450" i="2"/>
  <c r="Y449" i="2"/>
  <c r="V449" i="2"/>
  <c r="S449" i="2"/>
  <c r="M449" i="2"/>
  <c r="V448" i="2"/>
  <c r="S448" i="2"/>
  <c r="Y448" i="2" s="1"/>
  <c r="M448" i="2"/>
  <c r="V447" i="2"/>
  <c r="S447" i="2"/>
  <c r="Y447" i="2" s="1"/>
  <c r="M447" i="2"/>
  <c r="Y446" i="2"/>
  <c r="V446" i="2"/>
  <c r="S446" i="2"/>
  <c r="M446" i="2"/>
  <c r="Z445" i="2"/>
  <c r="W445" i="2"/>
  <c r="T445" i="2"/>
  <c r="N445" i="2"/>
  <c r="Y444" i="2"/>
  <c r="V444" i="2"/>
  <c r="S444" i="2"/>
  <c r="M444" i="2"/>
  <c r="V443" i="2"/>
  <c r="S443" i="2"/>
  <c r="Y443" i="2" s="1"/>
  <c r="M443" i="2"/>
  <c r="Y442" i="2"/>
  <c r="V442" i="2"/>
  <c r="S442" i="2"/>
  <c r="M442" i="2"/>
  <c r="V441" i="2"/>
  <c r="S441" i="2"/>
  <c r="Y441" i="2" s="1"/>
  <c r="M441" i="2"/>
  <c r="W440" i="2"/>
  <c r="T440" i="2"/>
  <c r="Z440" i="2" s="1"/>
  <c r="N440" i="2"/>
  <c r="Y439" i="2"/>
  <c r="V439" i="2"/>
  <c r="S439" i="2"/>
  <c r="M439" i="2"/>
  <c r="V438" i="2"/>
  <c r="S438" i="2"/>
  <c r="Y438" i="2" s="1"/>
  <c r="M438" i="2"/>
  <c r="V437" i="2"/>
  <c r="S437" i="2"/>
  <c r="Y437" i="2" s="1"/>
  <c r="M437" i="2"/>
  <c r="J435" i="2" s="1"/>
  <c r="Y436" i="2"/>
  <c r="V436" i="2"/>
  <c r="S436" i="2"/>
  <c r="M436" i="2"/>
  <c r="W435" i="2"/>
  <c r="T435" i="2"/>
  <c r="Z435" i="2" s="1"/>
  <c r="N435" i="2"/>
  <c r="Y434" i="2"/>
  <c r="V434" i="2"/>
  <c r="S434" i="2"/>
  <c r="M434" i="2"/>
  <c r="V433" i="2"/>
  <c r="S433" i="2"/>
  <c r="M433" i="2"/>
  <c r="Y432" i="2"/>
  <c r="V432" i="2"/>
  <c r="S432" i="2"/>
  <c r="M432" i="2"/>
  <c r="Y431" i="2"/>
  <c r="V431" i="2"/>
  <c r="S431" i="2"/>
  <c r="M431" i="2"/>
  <c r="Z430" i="2"/>
  <c r="W430" i="2"/>
  <c r="T430" i="2"/>
  <c r="N430" i="2"/>
  <c r="M430" i="2"/>
  <c r="O430" i="2" s="1"/>
  <c r="L430" i="2"/>
  <c r="J430" i="2"/>
  <c r="Y429" i="2"/>
  <c r="V429" i="2"/>
  <c r="S429" i="2"/>
  <c r="M429" i="2"/>
  <c r="V428" i="2"/>
  <c r="S428" i="2"/>
  <c r="Y428" i="2" s="1"/>
  <c r="M428" i="2"/>
  <c r="V427" i="2"/>
  <c r="S427" i="2"/>
  <c r="Y427" i="2" s="1"/>
  <c r="M427" i="2"/>
  <c r="V426" i="2"/>
  <c r="S426" i="2"/>
  <c r="M426" i="2"/>
  <c r="J425" i="2" s="1"/>
  <c r="W425" i="2"/>
  <c r="T425" i="2"/>
  <c r="Z425" i="2" s="1"/>
  <c r="N425" i="2"/>
  <c r="Y424" i="2"/>
  <c r="V424" i="2"/>
  <c r="S424" i="2"/>
  <c r="M424" i="2"/>
  <c r="V423" i="2"/>
  <c r="S423" i="2"/>
  <c r="M423" i="2"/>
  <c r="J422" i="2" s="1"/>
  <c r="L422" i="2" s="1"/>
  <c r="Z422" i="2"/>
  <c r="W422" i="2"/>
  <c r="T422" i="2"/>
  <c r="N422" i="2"/>
  <c r="M422" i="2"/>
  <c r="O422" i="2" s="1"/>
  <c r="V421" i="2"/>
  <c r="S421" i="2"/>
  <c r="Y421" i="2" s="1"/>
  <c r="M421" i="2"/>
  <c r="V420" i="2"/>
  <c r="S420" i="2"/>
  <c r="M420" i="2"/>
  <c r="W419" i="2"/>
  <c r="T419" i="2"/>
  <c r="Z419" i="2" s="1"/>
  <c r="N419" i="2"/>
  <c r="Y418" i="2"/>
  <c r="V418" i="2"/>
  <c r="S418" i="2"/>
  <c r="M418" i="2"/>
  <c r="V417" i="2"/>
  <c r="S417" i="2"/>
  <c r="M417" i="2"/>
  <c r="J416" i="2" s="1"/>
  <c r="L416" i="2" s="1"/>
  <c r="W416" i="2"/>
  <c r="T416" i="2"/>
  <c r="Z416" i="2" s="1"/>
  <c r="N416" i="2"/>
  <c r="M416" i="2"/>
  <c r="O416" i="2" s="1"/>
  <c r="V415" i="2"/>
  <c r="S415" i="2"/>
  <c r="Y415" i="2" s="1"/>
  <c r="M415" i="2"/>
  <c r="V414" i="2"/>
  <c r="S414" i="2"/>
  <c r="M414" i="2"/>
  <c r="J413" i="2" s="1"/>
  <c r="W413" i="2"/>
  <c r="T413" i="2"/>
  <c r="Z413" i="2" s="1"/>
  <c r="N413" i="2"/>
  <c r="Y412" i="2"/>
  <c r="V412" i="2"/>
  <c r="S412" i="2"/>
  <c r="M412" i="2"/>
  <c r="J410" i="2" s="1"/>
  <c r="V411" i="2"/>
  <c r="S411" i="2"/>
  <c r="M411" i="2"/>
  <c r="W410" i="2"/>
  <c r="T410" i="2"/>
  <c r="Z410" i="2" s="1"/>
  <c r="N410" i="2"/>
  <c r="Y409" i="2"/>
  <c r="V409" i="2"/>
  <c r="S409" i="2"/>
  <c r="M409" i="2"/>
  <c r="V408" i="2"/>
  <c r="S408" i="2"/>
  <c r="Y408" i="2" s="1"/>
  <c r="M408" i="2"/>
  <c r="W407" i="2"/>
  <c r="T407" i="2"/>
  <c r="Z407" i="2" s="1"/>
  <c r="P407" i="2"/>
  <c r="N407" i="2"/>
  <c r="J407" i="2"/>
  <c r="M407" i="2" s="1"/>
  <c r="O407" i="2" s="1"/>
  <c r="Y406" i="2"/>
  <c r="V406" i="2"/>
  <c r="S406" i="2"/>
  <c r="M406" i="2"/>
  <c r="V405" i="2"/>
  <c r="S405" i="2"/>
  <c r="M405" i="2"/>
  <c r="W404" i="2"/>
  <c r="T404" i="2"/>
  <c r="Z404" i="2" s="1"/>
  <c r="N404" i="2"/>
  <c r="J404" i="2"/>
  <c r="L404" i="2" s="1"/>
  <c r="Y403" i="2"/>
  <c r="V403" i="2"/>
  <c r="S403" i="2"/>
  <c r="M403" i="2"/>
  <c r="Y402" i="2"/>
  <c r="V402" i="2"/>
  <c r="S402" i="2"/>
  <c r="M402" i="2"/>
  <c r="J401" i="2" s="1"/>
  <c r="W401" i="2"/>
  <c r="T401" i="2"/>
  <c r="Z401" i="2" s="1"/>
  <c r="P401" i="2"/>
  <c r="V401" i="2" s="1"/>
  <c r="N401" i="2"/>
  <c r="Y400" i="2"/>
  <c r="V400" i="2"/>
  <c r="S400" i="2"/>
  <c r="M400" i="2"/>
  <c r="V399" i="2"/>
  <c r="S399" i="2"/>
  <c r="M399" i="2"/>
  <c r="Z398" i="2"/>
  <c r="W398" i="2"/>
  <c r="T398" i="2"/>
  <c r="N398" i="2"/>
  <c r="J398" i="2"/>
  <c r="V397" i="2"/>
  <c r="S397" i="2"/>
  <c r="Y397" i="2" s="1"/>
  <c r="M397" i="2"/>
  <c r="Y396" i="2"/>
  <c r="V396" i="2"/>
  <c r="S396" i="2"/>
  <c r="M396" i="2"/>
  <c r="W395" i="2"/>
  <c r="T395" i="2"/>
  <c r="Z395" i="2" s="1"/>
  <c r="P395" i="2"/>
  <c r="N395" i="2"/>
  <c r="Y394" i="2"/>
  <c r="V394" i="2"/>
  <c r="S394" i="2"/>
  <c r="M394" i="2"/>
  <c r="J392" i="2" s="1"/>
  <c r="M392" i="2" s="1"/>
  <c r="O392" i="2" s="1"/>
  <c r="V393" i="2"/>
  <c r="S393" i="2"/>
  <c r="M393" i="2"/>
  <c r="W392" i="2"/>
  <c r="T392" i="2"/>
  <c r="Z392" i="2" s="1"/>
  <c r="N392" i="2"/>
  <c r="L392" i="2"/>
  <c r="V391" i="2"/>
  <c r="S391" i="2"/>
  <c r="Y391" i="2" s="1"/>
  <c r="M391" i="2"/>
  <c r="V390" i="2"/>
  <c r="S390" i="2"/>
  <c r="Y390" i="2" s="1"/>
  <c r="M390" i="2"/>
  <c r="J389" i="2" s="1"/>
  <c r="Z389" i="2"/>
  <c r="W389" i="2"/>
  <c r="T389" i="2"/>
  <c r="P389" i="2"/>
  <c r="N389" i="2"/>
  <c r="Y388" i="2"/>
  <c r="V388" i="2"/>
  <c r="S388" i="2"/>
  <c r="M388" i="2"/>
  <c r="J386" i="2" s="1"/>
  <c r="V387" i="2"/>
  <c r="S387" i="2"/>
  <c r="M387" i="2"/>
  <c r="Z386" i="2"/>
  <c r="W386" i="2"/>
  <c r="T386" i="2"/>
  <c r="N386" i="2"/>
  <c r="Y385" i="2"/>
  <c r="V385" i="2"/>
  <c r="S385" i="2"/>
  <c r="M385" i="2"/>
  <c r="Y384" i="2"/>
  <c r="V384" i="2"/>
  <c r="S384" i="2"/>
  <c r="P383" i="2" s="1"/>
  <c r="M384" i="2"/>
  <c r="W383" i="2"/>
  <c r="T383" i="2"/>
  <c r="Z383" i="2" s="1"/>
  <c r="N383" i="2"/>
  <c r="Y382" i="2"/>
  <c r="V382" i="2"/>
  <c r="S382" i="2"/>
  <c r="M382" i="2"/>
  <c r="V381" i="2"/>
  <c r="S381" i="2"/>
  <c r="Y381" i="2" s="1"/>
  <c r="M381" i="2"/>
  <c r="J380" i="2" s="1"/>
  <c r="L380" i="2" s="1"/>
  <c r="W380" i="2"/>
  <c r="T380" i="2"/>
  <c r="Z380" i="2" s="1"/>
  <c r="P380" i="2"/>
  <c r="R380" i="2" s="1"/>
  <c r="X380" i="2" s="1"/>
  <c r="N380" i="2"/>
  <c r="V379" i="2"/>
  <c r="S379" i="2"/>
  <c r="Y379" i="2" s="1"/>
  <c r="M379" i="2"/>
  <c r="AA378" i="2"/>
  <c r="Z378" i="2"/>
  <c r="Y378" i="2"/>
  <c r="W378" i="2"/>
  <c r="V378" i="2"/>
  <c r="U378" i="2"/>
  <c r="T378" i="2"/>
  <c r="R378" i="2"/>
  <c r="X378" i="2" s="1"/>
  <c r="P378" i="2"/>
  <c r="S378" i="2" s="1"/>
  <c r="N378" i="2"/>
  <c r="L378" i="2"/>
  <c r="J378" i="2"/>
  <c r="M378" i="2" s="1"/>
  <c r="V377" i="2"/>
  <c r="S377" i="2"/>
  <c r="M377" i="2"/>
  <c r="J376" i="2" s="1"/>
  <c r="Z376" i="2"/>
  <c r="Z373" i="2" s="1"/>
  <c r="W376" i="2"/>
  <c r="T376" i="2"/>
  <c r="N376" i="2"/>
  <c r="V375" i="2"/>
  <c r="S375" i="2"/>
  <c r="P374" i="2" s="1"/>
  <c r="M375" i="2"/>
  <c r="Z374" i="2"/>
  <c r="W374" i="2"/>
  <c r="T374" i="2"/>
  <c r="N374" i="2"/>
  <c r="J374" i="2"/>
  <c r="T373" i="2"/>
  <c r="Y372" i="2"/>
  <c r="V372" i="2"/>
  <c r="S372" i="2"/>
  <c r="M372" i="2"/>
  <c r="V371" i="2"/>
  <c r="S371" i="2"/>
  <c r="Y371" i="2" s="1"/>
  <c r="M371" i="2"/>
  <c r="V370" i="2"/>
  <c r="S370" i="2"/>
  <c r="M370" i="2"/>
  <c r="J369" i="2" s="1"/>
  <c r="Z369" i="2"/>
  <c r="W369" i="2"/>
  <c r="T369" i="2"/>
  <c r="N369" i="2"/>
  <c r="Y368" i="2"/>
  <c r="V368" i="2"/>
  <c r="S368" i="2"/>
  <c r="M368" i="2"/>
  <c r="Y367" i="2"/>
  <c r="V367" i="2"/>
  <c r="S367" i="2"/>
  <c r="M367" i="2"/>
  <c r="J365" i="2" s="1"/>
  <c r="V366" i="2"/>
  <c r="S366" i="2"/>
  <c r="M366" i="2"/>
  <c r="W365" i="2"/>
  <c r="T365" i="2"/>
  <c r="Z365" i="2" s="1"/>
  <c r="N365" i="2"/>
  <c r="V364" i="2"/>
  <c r="S364" i="2"/>
  <c r="Y364" i="2" s="1"/>
  <c r="M364" i="2"/>
  <c r="Y363" i="2"/>
  <c r="V363" i="2"/>
  <c r="S363" i="2"/>
  <c r="M363" i="2"/>
  <c r="J361" i="2" s="1"/>
  <c r="V362" i="2"/>
  <c r="S362" i="2"/>
  <c r="M362" i="2"/>
  <c r="Z361" i="2"/>
  <c r="W361" i="2"/>
  <c r="T361" i="2"/>
  <c r="N361" i="2"/>
  <c r="V360" i="2"/>
  <c r="S360" i="2"/>
  <c r="Y360" i="2" s="1"/>
  <c r="M360" i="2"/>
  <c r="Y359" i="2"/>
  <c r="V359" i="2"/>
  <c r="S359" i="2"/>
  <c r="M359" i="2"/>
  <c r="J357" i="2" s="1"/>
  <c r="L357" i="2" s="1"/>
  <c r="Y358" i="2"/>
  <c r="V358" i="2"/>
  <c r="S358" i="2"/>
  <c r="M358" i="2"/>
  <c r="Z357" i="2"/>
  <c r="W357" i="2"/>
  <c r="T357" i="2"/>
  <c r="N357" i="2"/>
  <c r="O357" i="2" s="1"/>
  <c r="M357" i="2"/>
  <c r="Y356" i="2"/>
  <c r="V356" i="2"/>
  <c r="S356" i="2"/>
  <c r="M356" i="2"/>
  <c r="V355" i="2"/>
  <c r="S355" i="2"/>
  <c r="Y355" i="2" s="1"/>
  <c r="M355" i="2"/>
  <c r="Y354" i="2"/>
  <c r="V354" i="2"/>
  <c r="S354" i="2"/>
  <c r="M354" i="2"/>
  <c r="Z353" i="2"/>
  <c r="W353" i="2"/>
  <c r="T353" i="2"/>
  <c r="N353" i="2"/>
  <c r="J353" i="2"/>
  <c r="M353" i="2" s="1"/>
  <c r="O353" i="2" s="1"/>
  <c r="Y352" i="2"/>
  <c r="V352" i="2"/>
  <c r="S352" i="2"/>
  <c r="P349" i="2" s="1"/>
  <c r="M352" i="2"/>
  <c r="V351" i="2"/>
  <c r="S351" i="2"/>
  <c r="Y351" i="2" s="1"/>
  <c r="M351" i="2"/>
  <c r="J349" i="2" s="1"/>
  <c r="Y350" i="2"/>
  <c r="V350" i="2"/>
  <c r="S350" i="2"/>
  <c r="M350" i="2"/>
  <c r="W349" i="2"/>
  <c r="V349" i="2"/>
  <c r="T349" i="2"/>
  <c r="Z349" i="2" s="1"/>
  <c r="N349" i="2"/>
  <c r="Y348" i="2"/>
  <c r="V348" i="2"/>
  <c r="S348" i="2"/>
  <c r="M348" i="2"/>
  <c r="V347" i="2"/>
  <c r="S347" i="2"/>
  <c r="Y347" i="2" s="1"/>
  <c r="M347" i="2"/>
  <c r="J345" i="2" s="1"/>
  <c r="V346" i="2"/>
  <c r="S346" i="2"/>
  <c r="P345" i="2" s="1"/>
  <c r="M346" i="2"/>
  <c r="Z345" i="2"/>
  <c r="W345" i="2"/>
  <c r="V345" i="2"/>
  <c r="T345" i="2"/>
  <c r="N345" i="2"/>
  <c r="Y344" i="2"/>
  <c r="V344" i="2"/>
  <c r="S344" i="2"/>
  <c r="M344" i="2"/>
  <c r="V343" i="2"/>
  <c r="S343" i="2"/>
  <c r="Y343" i="2" s="1"/>
  <c r="M343" i="2"/>
  <c r="J341" i="2" s="1"/>
  <c r="L341" i="2" s="1"/>
  <c r="Y342" i="2"/>
  <c r="V342" i="2"/>
  <c r="S342" i="2"/>
  <c r="M342" i="2"/>
  <c r="Z341" i="2"/>
  <c r="W341" i="2"/>
  <c r="T341" i="2"/>
  <c r="N341" i="2"/>
  <c r="Y340" i="2"/>
  <c r="V340" i="2"/>
  <c r="S340" i="2"/>
  <c r="M340" i="2"/>
  <c r="V339" i="2"/>
  <c r="S339" i="2"/>
  <c r="M339" i="2"/>
  <c r="Y338" i="2"/>
  <c r="V338" i="2"/>
  <c r="S338" i="2"/>
  <c r="M338" i="2"/>
  <c r="J337" i="2" s="1"/>
  <c r="W337" i="2"/>
  <c r="T337" i="2"/>
  <c r="Z337" i="2" s="1"/>
  <c r="N337" i="2"/>
  <c r="V336" i="2"/>
  <c r="S336" i="2"/>
  <c r="Y336" i="2" s="1"/>
  <c r="M336" i="2"/>
  <c r="Y335" i="2"/>
  <c r="V335" i="2"/>
  <c r="S335" i="2"/>
  <c r="M335" i="2"/>
  <c r="V334" i="2"/>
  <c r="S334" i="2"/>
  <c r="M334" i="2"/>
  <c r="Z333" i="2"/>
  <c r="W333" i="2"/>
  <c r="T333" i="2"/>
  <c r="N333" i="2"/>
  <c r="V332" i="2"/>
  <c r="S332" i="2"/>
  <c r="Y332" i="2" s="1"/>
  <c r="M332" i="2"/>
  <c r="J330" i="2" s="1"/>
  <c r="V331" i="2"/>
  <c r="S331" i="2"/>
  <c r="M331" i="2"/>
  <c r="Z330" i="2"/>
  <c r="W330" i="2"/>
  <c r="T330" i="2"/>
  <c r="N330" i="2"/>
  <c r="V329" i="2"/>
  <c r="S329" i="2"/>
  <c r="Y329" i="2" s="1"/>
  <c r="M329" i="2"/>
  <c r="J326" i="2" s="1"/>
  <c r="V328" i="2"/>
  <c r="S328" i="2"/>
  <c r="M328" i="2"/>
  <c r="Y327" i="2"/>
  <c r="V327" i="2"/>
  <c r="S327" i="2"/>
  <c r="M327" i="2"/>
  <c r="W326" i="2"/>
  <c r="T326" i="2"/>
  <c r="Z326" i="2" s="1"/>
  <c r="N326" i="2"/>
  <c r="Y325" i="2"/>
  <c r="V325" i="2"/>
  <c r="S325" i="2"/>
  <c r="M325" i="2"/>
  <c r="V324" i="2"/>
  <c r="S324" i="2"/>
  <c r="Y324" i="2" s="1"/>
  <c r="M324" i="2"/>
  <c r="J323" i="2" s="1"/>
  <c r="W323" i="2"/>
  <c r="T323" i="2"/>
  <c r="Z323" i="2" s="1"/>
  <c r="P323" i="2"/>
  <c r="N323" i="2"/>
  <c r="Y322" i="2"/>
  <c r="V322" i="2"/>
  <c r="S322" i="2"/>
  <c r="M322" i="2"/>
  <c r="Y321" i="2"/>
  <c r="V321" i="2"/>
  <c r="S321" i="2"/>
  <c r="M321" i="2"/>
  <c r="V320" i="2"/>
  <c r="S320" i="2"/>
  <c r="P319" i="2" s="1"/>
  <c r="M320" i="2"/>
  <c r="J319" i="2" s="1"/>
  <c r="M319" i="2" s="1"/>
  <c r="O319" i="2" s="1"/>
  <c r="Z319" i="2"/>
  <c r="W319" i="2"/>
  <c r="V319" i="2"/>
  <c r="T319" i="2"/>
  <c r="N319" i="2"/>
  <c r="L319" i="2"/>
  <c r="Y318" i="2"/>
  <c r="V318" i="2"/>
  <c r="S318" i="2"/>
  <c r="M318" i="2"/>
  <c r="J316" i="2" s="1"/>
  <c r="Y317" i="2"/>
  <c r="V317" i="2"/>
  <c r="S317" i="2"/>
  <c r="M317" i="2"/>
  <c r="Z316" i="2"/>
  <c r="W316" i="2"/>
  <c r="T316" i="2"/>
  <c r="P316" i="2"/>
  <c r="V316" i="2" s="1"/>
  <c r="N316" i="2"/>
  <c r="V315" i="2"/>
  <c r="S315" i="2"/>
  <c r="M315" i="2"/>
  <c r="Y314" i="2"/>
  <c r="V314" i="2"/>
  <c r="S314" i="2"/>
  <c r="M314" i="2"/>
  <c r="Y313" i="2"/>
  <c r="V313" i="2"/>
  <c r="S313" i="2"/>
  <c r="M313" i="2"/>
  <c r="W312" i="2"/>
  <c r="T312" i="2"/>
  <c r="Z312" i="2" s="1"/>
  <c r="N312" i="2"/>
  <c r="Y311" i="2"/>
  <c r="V311" i="2"/>
  <c r="S311" i="2"/>
  <c r="M311" i="2"/>
  <c r="V310" i="2"/>
  <c r="S310" i="2"/>
  <c r="Y310" i="2" s="1"/>
  <c r="M310" i="2"/>
  <c r="V309" i="2"/>
  <c r="S309" i="2"/>
  <c r="M309" i="2"/>
  <c r="J308" i="2" s="1"/>
  <c r="Z308" i="2"/>
  <c r="W308" i="2"/>
  <c r="T308" i="2"/>
  <c r="N308" i="2"/>
  <c r="V307" i="2"/>
  <c r="S307" i="2"/>
  <c r="Y307" i="2" s="1"/>
  <c r="M307" i="2"/>
  <c r="J304" i="2" s="1"/>
  <c r="Y306" i="2"/>
  <c r="V306" i="2"/>
  <c r="S306" i="2"/>
  <c r="M306" i="2"/>
  <c r="V305" i="2"/>
  <c r="S305" i="2"/>
  <c r="M305" i="2"/>
  <c r="W304" i="2"/>
  <c r="T304" i="2"/>
  <c r="Z304" i="2" s="1"/>
  <c r="N304" i="2"/>
  <c r="Y303" i="2"/>
  <c r="V303" i="2"/>
  <c r="S303" i="2"/>
  <c r="M303" i="2"/>
  <c r="V302" i="2"/>
  <c r="S302" i="2"/>
  <c r="Y302" i="2" s="1"/>
  <c r="M302" i="2"/>
  <c r="J300" i="2" s="1"/>
  <c r="V301" i="2"/>
  <c r="S301" i="2"/>
  <c r="M301" i="2"/>
  <c r="W300" i="2"/>
  <c r="T300" i="2"/>
  <c r="Z300" i="2" s="1"/>
  <c r="N300" i="2"/>
  <c r="Y299" i="2"/>
  <c r="V299" i="2"/>
  <c r="S299" i="2"/>
  <c r="M299" i="2"/>
  <c r="J297" i="2" s="1"/>
  <c r="V298" i="2"/>
  <c r="S298" i="2"/>
  <c r="M298" i="2"/>
  <c r="Z297" i="2"/>
  <c r="W297" i="2"/>
  <c r="T297" i="2"/>
  <c r="N297" i="2"/>
  <c r="V296" i="2"/>
  <c r="S296" i="2"/>
  <c r="Y296" i="2" s="1"/>
  <c r="M296" i="2"/>
  <c r="V295" i="2"/>
  <c r="S295" i="2"/>
  <c r="Y295" i="2" s="1"/>
  <c r="M295" i="2"/>
  <c r="Y294" i="2"/>
  <c r="V294" i="2"/>
  <c r="S294" i="2"/>
  <c r="M294" i="2"/>
  <c r="J293" i="2" s="1"/>
  <c r="Z293" i="2"/>
  <c r="W293" i="2"/>
  <c r="T293" i="2"/>
  <c r="N293" i="2"/>
  <c r="V292" i="2"/>
  <c r="S292" i="2"/>
  <c r="Y292" i="2" s="1"/>
  <c r="M292" i="2"/>
  <c r="Y291" i="2"/>
  <c r="V291" i="2"/>
  <c r="S291" i="2"/>
  <c r="M291" i="2"/>
  <c r="W290" i="2"/>
  <c r="T290" i="2"/>
  <c r="P290" i="2"/>
  <c r="S290" i="2" s="1"/>
  <c r="U290" i="2" s="1"/>
  <c r="N290" i="2"/>
  <c r="J290" i="2"/>
  <c r="V287" i="2"/>
  <c r="S287" i="2"/>
  <c r="Y287" i="2" s="1"/>
  <c r="M287" i="2"/>
  <c r="W286" i="2"/>
  <c r="T286" i="2"/>
  <c r="P286" i="2"/>
  <c r="V286" i="2" s="1"/>
  <c r="N286" i="2"/>
  <c r="J286" i="2"/>
  <c r="N285" i="2"/>
  <c r="V284" i="2"/>
  <c r="S284" i="2"/>
  <c r="Y284" i="2" s="1"/>
  <c r="M284" i="2"/>
  <c r="V283" i="2"/>
  <c r="S283" i="2"/>
  <c r="Y283" i="2" s="1"/>
  <c r="M283" i="2"/>
  <c r="V282" i="2"/>
  <c r="S282" i="2"/>
  <c r="M282" i="2"/>
  <c r="V281" i="2"/>
  <c r="S281" i="2"/>
  <c r="Y281" i="2" s="1"/>
  <c r="M281" i="2"/>
  <c r="Z280" i="2"/>
  <c r="W280" i="2"/>
  <c r="T280" i="2"/>
  <c r="N280" i="2"/>
  <c r="V279" i="2"/>
  <c r="S279" i="2"/>
  <c r="Y279" i="2" s="1"/>
  <c r="M279" i="2"/>
  <c r="V278" i="2"/>
  <c r="S278" i="2"/>
  <c r="Y278" i="2" s="1"/>
  <c r="M278" i="2"/>
  <c r="V277" i="2"/>
  <c r="S277" i="2"/>
  <c r="Y277" i="2" s="1"/>
  <c r="M277" i="2"/>
  <c r="J275" i="2" s="1"/>
  <c r="V276" i="2"/>
  <c r="S276" i="2"/>
  <c r="M276" i="2"/>
  <c r="W275" i="2"/>
  <c r="T275" i="2"/>
  <c r="Z275" i="2" s="1"/>
  <c r="N275" i="2"/>
  <c r="Y274" i="2"/>
  <c r="V274" i="2"/>
  <c r="S274" i="2"/>
  <c r="M274" i="2"/>
  <c r="V273" i="2"/>
  <c r="S273" i="2"/>
  <c r="Y273" i="2" s="1"/>
  <c r="M273" i="2"/>
  <c r="V272" i="2"/>
  <c r="S272" i="2"/>
  <c r="M272" i="2"/>
  <c r="Y271" i="2"/>
  <c r="V271" i="2"/>
  <c r="S271" i="2"/>
  <c r="M271" i="2"/>
  <c r="J270" i="2" s="1"/>
  <c r="L270" i="2" s="1"/>
  <c r="W270" i="2"/>
  <c r="T270" i="2"/>
  <c r="Z270" i="2" s="1"/>
  <c r="N270" i="2"/>
  <c r="M270" i="2"/>
  <c r="O270" i="2" s="1"/>
  <c r="V269" i="2"/>
  <c r="S269" i="2"/>
  <c r="Y269" i="2" s="1"/>
  <c r="M269" i="2"/>
  <c r="V268" i="2"/>
  <c r="S268" i="2"/>
  <c r="Y268" i="2" s="1"/>
  <c r="M268" i="2"/>
  <c r="V267" i="2"/>
  <c r="S267" i="2"/>
  <c r="Y267" i="2" s="1"/>
  <c r="M267" i="2"/>
  <c r="J265" i="2" s="1"/>
  <c r="M265" i="2" s="1"/>
  <c r="O265" i="2" s="1"/>
  <c r="Y266" i="2"/>
  <c r="V266" i="2"/>
  <c r="S266" i="2"/>
  <c r="M266" i="2"/>
  <c r="Z265" i="2"/>
  <c r="W265" i="2"/>
  <c r="T265" i="2"/>
  <c r="P265" i="2"/>
  <c r="N265" i="2"/>
  <c r="V264" i="2"/>
  <c r="S264" i="2"/>
  <c r="Y264" i="2" s="1"/>
  <c r="M264" i="2"/>
  <c r="V263" i="2"/>
  <c r="S263" i="2"/>
  <c r="Y263" i="2" s="1"/>
  <c r="M263" i="2"/>
  <c r="Y262" i="2"/>
  <c r="V262" i="2"/>
  <c r="S262" i="2"/>
  <c r="M262" i="2"/>
  <c r="V261" i="2"/>
  <c r="S261" i="2"/>
  <c r="M261" i="2"/>
  <c r="Z260" i="2"/>
  <c r="W260" i="2"/>
  <c r="T260" i="2"/>
  <c r="N260" i="2"/>
  <c r="V259" i="2"/>
  <c r="S259" i="2"/>
  <c r="Y259" i="2" s="1"/>
  <c r="M259" i="2"/>
  <c r="V258" i="2"/>
  <c r="S258" i="2"/>
  <c r="Y258" i="2" s="1"/>
  <c r="M258" i="2"/>
  <c r="Y257" i="2"/>
  <c r="V257" i="2"/>
  <c r="S257" i="2"/>
  <c r="M257" i="2"/>
  <c r="V256" i="2"/>
  <c r="S256" i="2"/>
  <c r="Y256" i="2" s="1"/>
  <c r="M256" i="2"/>
  <c r="W255" i="2"/>
  <c r="T255" i="2"/>
  <c r="Z255" i="2" s="1"/>
  <c r="N255" i="2"/>
  <c r="Y254" i="2"/>
  <c r="V254" i="2"/>
  <c r="S254" i="2"/>
  <c r="M254" i="2"/>
  <c r="V253" i="2"/>
  <c r="S253" i="2"/>
  <c r="Y253" i="2" s="1"/>
  <c r="M253" i="2"/>
  <c r="Y252" i="2"/>
  <c r="V252" i="2"/>
  <c r="S252" i="2"/>
  <c r="M252" i="2"/>
  <c r="J250" i="2" s="1"/>
  <c r="Y251" i="2"/>
  <c r="V251" i="2"/>
  <c r="S251" i="2"/>
  <c r="M251" i="2"/>
  <c r="W250" i="2"/>
  <c r="T250" i="2"/>
  <c r="Z250" i="2" s="1"/>
  <c r="N250" i="2"/>
  <c r="V249" i="2"/>
  <c r="S249" i="2"/>
  <c r="Y249" i="2" s="1"/>
  <c r="M249" i="2"/>
  <c r="V248" i="2"/>
  <c r="S248" i="2"/>
  <c r="Y248" i="2" s="1"/>
  <c r="M248" i="2"/>
  <c r="V247" i="2"/>
  <c r="S247" i="2"/>
  <c r="P245" i="2" s="1"/>
  <c r="M247" i="2"/>
  <c r="V246" i="2"/>
  <c r="S246" i="2"/>
  <c r="Y246" i="2" s="1"/>
  <c r="M246" i="2"/>
  <c r="W245" i="2"/>
  <c r="T245" i="2"/>
  <c r="Z245" i="2" s="1"/>
  <c r="N245" i="2"/>
  <c r="V244" i="2"/>
  <c r="S244" i="2"/>
  <c r="Y244" i="2" s="1"/>
  <c r="M244" i="2"/>
  <c r="V243" i="2"/>
  <c r="S243" i="2"/>
  <c r="Y243" i="2" s="1"/>
  <c r="M243" i="2"/>
  <c r="Y242" i="2"/>
  <c r="V242" i="2"/>
  <c r="S242" i="2"/>
  <c r="M242" i="2"/>
  <c r="V241" i="2"/>
  <c r="S241" i="2"/>
  <c r="M241" i="2"/>
  <c r="J240" i="2" s="1"/>
  <c r="L240" i="2" s="1"/>
  <c r="W240" i="2"/>
  <c r="T240" i="2"/>
  <c r="Z240" i="2" s="1"/>
  <c r="N240" i="2"/>
  <c r="Y239" i="2"/>
  <c r="V239" i="2"/>
  <c r="S239" i="2"/>
  <c r="M239" i="2"/>
  <c r="J238" i="2" s="1"/>
  <c r="W238" i="2"/>
  <c r="V238" i="2"/>
  <c r="T238" i="2"/>
  <c r="Z238" i="2" s="1"/>
  <c r="P238" i="2"/>
  <c r="S238" i="2" s="1"/>
  <c r="Y238" i="2" s="1"/>
  <c r="AA238" i="2" s="1"/>
  <c r="N238" i="2"/>
  <c r="V237" i="2"/>
  <c r="S237" i="2"/>
  <c r="Y237" i="2" s="1"/>
  <c r="M237" i="2"/>
  <c r="V236" i="2"/>
  <c r="S236" i="2"/>
  <c r="M236" i="2"/>
  <c r="Z235" i="2"/>
  <c r="W235" i="2"/>
  <c r="T235" i="2"/>
  <c r="N235" i="2"/>
  <c r="M235" i="2"/>
  <c r="O235" i="2" s="1"/>
  <c r="L235" i="2"/>
  <c r="J235" i="2"/>
  <c r="V234" i="2"/>
  <c r="S234" i="2"/>
  <c r="Y234" i="2" s="1"/>
  <c r="M234" i="2"/>
  <c r="J231" i="2" s="1"/>
  <c r="Y233" i="2"/>
  <c r="V233" i="2"/>
  <c r="S233" i="2"/>
  <c r="M233" i="2"/>
  <c r="V232" i="2"/>
  <c r="S232" i="2"/>
  <c r="Y232" i="2" s="1"/>
  <c r="M232" i="2"/>
  <c r="W231" i="2"/>
  <c r="T231" i="2"/>
  <c r="Z231" i="2" s="1"/>
  <c r="P231" i="2"/>
  <c r="N231" i="2"/>
  <c r="Y230" i="2"/>
  <c r="V230" i="2"/>
  <c r="S230" i="2"/>
  <c r="M230" i="2"/>
  <c r="V229" i="2"/>
  <c r="S229" i="2"/>
  <c r="Y229" i="2" s="1"/>
  <c r="M229" i="2"/>
  <c r="Y228" i="2"/>
  <c r="V228" i="2"/>
  <c r="S228" i="2"/>
  <c r="M228" i="2"/>
  <c r="W227" i="2"/>
  <c r="T227" i="2"/>
  <c r="Z227" i="2" s="1"/>
  <c r="N227" i="2"/>
  <c r="V226" i="2"/>
  <c r="S226" i="2"/>
  <c r="Y226" i="2" s="1"/>
  <c r="M226" i="2"/>
  <c r="V225" i="2"/>
  <c r="S225" i="2"/>
  <c r="Y225" i="2" s="1"/>
  <c r="M225" i="2"/>
  <c r="V224" i="2"/>
  <c r="S224" i="2"/>
  <c r="Y224" i="2" s="1"/>
  <c r="M224" i="2"/>
  <c r="V223" i="2"/>
  <c r="S223" i="2"/>
  <c r="M223" i="2"/>
  <c r="J222" i="2" s="1"/>
  <c r="Z222" i="2"/>
  <c r="W222" i="2"/>
  <c r="T222" i="2"/>
  <c r="N222" i="2"/>
  <c r="V221" i="2"/>
  <c r="S221" i="2"/>
  <c r="Y221" i="2" s="1"/>
  <c r="M221" i="2"/>
  <c r="V220" i="2"/>
  <c r="S220" i="2"/>
  <c r="Y220" i="2" s="1"/>
  <c r="M220" i="2"/>
  <c r="J217" i="2" s="1"/>
  <c r="Y219" i="2"/>
  <c r="V219" i="2"/>
  <c r="S219" i="2"/>
  <c r="M219" i="2"/>
  <c r="Y218" i="2"/>
  <c r="V218" i="2"/>
  <c r="S218" i="2"/>
  <c r="M218" i="2"/>
  <c r="Z217" i="2"/>
  <c r="W217" i="2"/>
  <c r="T217" i="2"/>
  <c r="N217" i="2"/>
  <c r="Y215" i="2"/>
  <c r="V215" i="2"/>
  <c r="S215" i="2"/>
  <c r="P214" i="2" s="1"/>
  <c r="M215" i="2"/>
  <c r="J214" i="2" s="1"/>
  <c r="L214" i="2" s="1"/>
  <c r="Z214" i="2"/>
  <c r="W214" i="2"/>
  <c r="T214" i="2"/>
  <c r="N214" i="2"/>
  <c r="M214" i="2"/>
  <c r="O214" i="2" s="1"/>
  <c r="V213" i="2"/>
  <c r="S213" i="2"/>
  <c r="M213" i="2"/>
  <c r="J212" i="2" s="1"/>
  <c r="Z212" i="2"/>
  <c r="W212" i="2"/>
  <c r="T212" i="2"/>
  <c r="N212" i="2"/>
  <c r="Y211" i="2"/>
  <c r="V211" i="2"/>
  <c r="S211" i="2"/>
  <c r="M211" i="2"/>
  <c r="Z210" i="2"/>
  <c r="Y210" i="2"/>
  <c r="AA210" i="2" s="1"/>
  <c r="X210" i="2"/>
  <c r="W210" i="2"/>
  <c r="U210" i="2"/>
  <c r="T210" i="2"/>
  <c r="S210" i="2"/>
  <c r="R210" i="2"/>
  <c r="P210" i="2"/>
  <c r="V210" i="2" s="1"/>
  <c r="N210" i="2"/>
  <c r="O210" i="2" s="1"/>
  <c r="M210" i="2"/>
  <c r="J210" i="2"/>
  <c r="L210" i="2" s="1"/>
  <c r="V209" i="2"/>
  <c r="S209" i="2"/>
  <c r="M209" i="2"/>
  <c r="J208" i="2" s="1"/>
  <c r="Z208" i="2"/>
  <c r="W208" i="2"/>
  <c r="T208" i="2"/>
  <c r="N208" i="2"/>
  <c r="V207" i="2"/>
  <c r="S207" i="2"/>
  <c r="M207" i="2"/>
  <c r="J206" i="2" s="1"/>
  <c r="Z206" i="2"/>
  <c r="W206" i="2"/>
  <c r="T206" i="2"/>
  <c r="N206" i="2"/>
  <c r="Y205" i="2"/>
  <c r="V205" i="2"/>
  <c r="S205" i="2"/>
  <c r="M205" i="2"/>
  <c r="W204" i="2"/>
  <c r="V204" i="2"/>
  <c r="T204" i="2"/>
  <c r="Z204" i="2" s="1"/>
  <c r="P204" i="2"/>
  <c r="S204" i="2" s="1"/>
  <c r="N204" i="2"/>
  <c r="M204" i="2"/>
  <c r="O204" i="2" s="1"/>
  <c r="J204" i="2"/>
  <c r="L204" i="2" s="1"/>
  <c r="Y203" i="2"/>
  <c r="V203" i="2"/>
  <c r="S203" i="2"/>
  <c r="M203" i="2"/>
  <c r="Z202" i="2"/>
  <c r="W202" i="2"/>
  <c r="T202" i="2"/>
  <c r="P202" i="2"/>
  <c r="R202" i="2" s="1"/>
  <c r="X202" i="2" s="1"/>
  <c r="O202" i="2"/>
  <c r="N202" i="2"/>
  <c r="M202" i="2"/>
  <c r="J202" i="2"/>
  <c r="L202" i="2" s="1"/>
  <c r="V201" i="2"/>
  <c r="S201" i="2"/>
  <c r="M201" i="2"/>
  <c r="J200" i="2" s="1"/>
  <c r="W200" i="2"/>
  <c r="T200" i="2"/>
  <c r="Z200" i="2" s="1"/>
  <c r="N200" i="2"/>
  <c r="Y199" i="2"/>
  <c r="V199" i="2"/>
  <c r="S199" i="2"/>
  <c r="P198" i="2" s="1"/>
  <c r="M199" i="2"/>
  <c r="Z198" i="2"/>
  <c r="W198" i="2"/>
  <c r="T198" i="2"/>
  <c r="N198" i="2"/>
  <c r="J198" i="2"/>
  <c r="M198" i="2" s="1"/>
  <c r="O198" i="2" s="1"/>
  <c r="V197" i="2"/>
  <c r="S197" i="2"/>
  <c r="P196" i="2" s="1"/>
  <c r="M197" i="2"/>
  <c r="J196" i="2" s="1"/>
  <c r="Z196" i="2"/>
  <c r="W196" i="2"/>
  <c r="T196" i="2"/>
  <c r="N196" i="2"/>
  <c r="Y195" i="2"/>
  <c r="V195" i="2"/>
  <c r="S195" i="2"/>
  <c r="M195" i="2"/>
  <c r="Z194" i="2"/>
  <c r="Z193" i="2" s="1"/>
  <c r="Y194" i="2"/>
  <c r="W194" i="2"/>
  <c r="U194" i="2"/>
  <c r="T194" i="2"/>
  <c r="S194" i="2"/>
  <c r="P194" i="2"/>
  <c r="V194" i="2" s="1"/>
  <c r="N194" i="2"/>
  <c r="M194" i="2"/>
  <c r="O194" i="2" s="1"/>
  <c r="J194" i="2"/>
  <c r="L194" i="2" s="1"/>
  <c r="V192" i="2"/>
  <c r="S192" i="2"/>
  <c r="Y192" i="2" s="1"/>
  <c r="M192" i="2"/>
  <c r="Y191" i="2"/>
  <c r="V191" i="2"/>
  <c r="S191" i="2"/>
  <c r="M191" i="2"/>
  <c r="V190" i="2"/>
  <c r="S190" i="2"/>
  <c r="Y190" i="2" s="1"/>
  <c r="M190" i="2"/>
  <c r="J189" i="2" s="1"/>
  <c r="M189" i="2" s="1"/>
  <c r="O189" i="2" s="1"/>
  <c r="Z189" i="2"/>
  <c r="W189" i="2"/>
  <c r="T189" i="2"/>
  <c r="N189" i="2"/>
  <c r="V188" i="2"/>
  <c r="S188" i="2"/>
  <c r="Y188" i="2" s="1"/>
  <c r="M188" i="2"/>
  <c r="V187" i="2"/>
  <c r="S187" i="2"/>
  <c r="Y187" i="2" s="1"/>
  <c r="M187" i="2"/>
  <c r="Y186" i="2"/>
  <c r="V186" i="2"/>
  <c r="S186" i="2"/>
  <c r="M186" i="2"/>
  <c r="Z185" i="2"/>
  <c r="W185" i="2"/>
  <c r="T185" i="2"/>
  <c r="N185" i="2"/>
  <c r="V184" i="2"/>
  <c r="S184" i="2"/>
  <c r="Y184" i="2" s="1"/>
  <c r="M184" i="2"/>
  <c r="V183" i="2"/>
  <c r="S183" i="2"/>
  <c r="Y183" i="2" s="1"/>
  <c r="M183" i="2"/>
  <c r="V182" i="2"/>
  <c r="S182" i="2"/>
  <c r="P181" i="2" s="1"/>
  <c r="M182" i="2"/>
  <c r="W181" i="2"/>
  <c r="T181" i="2"/>
  <c r="Z181" i="2" s="1"/>
  <c r="N181" i="2"/>
  <c r="Y180" i="2"/>
  <c r="V180" i="2"/>
  <c r="S180" i="2"/>
  <c r="M180" i="2"/>
  <c r="Y179" i="2"/>
  <c r="AA179" i="2" s="1"/>
  <c r="W179" i="2"/>
  <c r="V179" i="2"/>
  <c r="T179" i="2"/>
  <c r="Z179" i="2" s="1"/>
  <c r="S179" i="2"/>
  <c r="R179" i="2"/>
  <c r="X179" i="2" s="1"/>
  <c r="P179" i="2"/>
  <c r="N179" i="2"/>
  <c r="O179" i="2" s="1"/>
  <c r="M179" i="2"/>
  <c r="L179" i="2"/>
  <c r="J179" i="2"/>
  <c r="V178" i="2"/>
  <c r="S178" i="2"/>
  <c r="P176" i="2" s="1"/>
  <c r="M178" i="2"/>
  <c r="Y177" i="2"/>
  <c r="V177" i="2"/>
  <c r="S177" i="2"/>
  <c r="M177" i="2"/>
  <c r="Z176" i="2"/>
  <c r="W176" i="2"/>
  <c r="T176" i="2"/>
  <c r="N176" i="2"/>
  <c r="V175" i="2"/>
  <c r="S175" i="2"/>
  <c r="Y175" i="2" s="1"/>
  <c r="M175" i="2"/>
  <c r="J173" i="2" s="1"/>
  <c r="Y174" i="2"/>
  <c r="V174" i="2"/>
  <c r="S174" i="2"/>
  <c r="M174" i="2"/>
  <c r="W173" i="2"/>
  <c r="T173" i="2"/>
  <c r="Z173" i="2" s="1"/>
  <c r="N173" i="2"/>
  <c r="V172" i="2"/>
  <c r="S172" i="2"/>
  <c r="P170" i="2" s="1"/>
  <c r="M172" i="2"/>
  <c r="Y171" i="2"/>
  <c r="V171" i="2"/>
  <c r="S171" i="2"/>
  <c r="M171" i="2"/>
  <c r="J170" i="2" s="1"/>
  <c r="L170" i="2" s="1"/>
  <c r="Z170" i="2"/>
  <c r="W170" i="2"/>
  <c r="T170" i="2"/>
  <c r="N170" i="2"/>
  <c r="M170" i="2"/>
  <c r="O170" i="2" s="1"/>
  <c r="V169" i="2"/>
  <c r="S169" i="2"/>
  <c r="Y169" i="2" s="1"/>
  <c r="M169" i="2"/>
  <c r="J166" i="2" s="1"/>
  <c r="L166" i="2" s="1"/>
  <c r="Y168" i="2"/>
  <c r="V168" i="2"/>
  <c r="S168" i="2"/>
  <c r="M168" i="2"/>
  <c r="Y167" i="2"/>
  <c r="V167" i="2"/>
  <c r="S167" i="2"/>
  <c r="M167" i="2"/>
  <c r="W166" i="2"/>
  <c r="T166" i="2"/>
  <c r="Z166" i="2" s="1"/>
  <c r="N166" i="2"/>
  <c r="V165" i="2"/>
  <c r="S165" i="2"/>
  <c r="Y165" i="2" s="1"/>
  <c r="M165" i="2"/>
  <c r="Y164" i="2"/>
  <c r="V164" i="2"/>
  <c r="S164" i="2"/>
  <c r="M164" i="2"/>
  <c r="Y163" i="2"/>
  <c r="V163" i="2"/>
  <c r="S163" i="2"/>
  <c r="M163" i="2"/>
  <c r="Z162" i="2"/>
  <c r="W162" i="2"/>
  <c r="T162" i="2"/>
  <c r="P162" i="2"/>
  <c r="V162" i="2" s="1"/>
  <c r="N162" i="2"/>
  <c r="V161" i="2"/>
  <c r="S161" i="2"/>
  <c r="Y161" i="2" s="1"/>
  <c r="M161" i="2"/>
  <c r="V160" i="2"/>
  <c r="S160" i="2"/>
  <c r="Y160" i="2" s="1"/>
  <c r="M160" i="2"/>
  <c r="Y159" i="2"/>
  <c r="V159" i="2"/>
  <c r="S159" i="2"/>
  <c r="M159" i="2"/>
  <c r="W158" i="2"/>
  <c r="T158" i="2"/>
  <c r="Z158" i="2" s="1"/>
  <c r="N158" i="2"/>
  <c r="J158" i="2"/>
  <c r="M158" i="2" s="1"/>
  <c r="O158" i="2" s="1"/>
  <c r="Y157" i="2"/>
  <c r="V157" i="2"/>
  <c r="S157" i="2"/>
  <c r="M157" i="2"/>
  <c r="V156" i="2"/>
  <c r="S156" i="2"/>
  <c r="M156" i="2"/>
  <c r="Y155" i="2"/>
  <c r="V155" i="2"/>
  <c r="S155" i="2"/>
  <c r="M155" i="2"/>
  <c r="J154" i="2" s="1"/>
  <c r="Z154" i="2"/>
  <c r="W154" i="2"/>
  <c r="T154" i="2"/>
  <c r="N154" i="2"/>
  <c r="M154" i="2"/>
  <c r="O154" i="2" s="1"/>
  <c r="L154" i="2"/>
  <c r="V153" i="2"/>
  <c r="S153" i="2"/>
  <c r="Y153" i="2" s="1"/>
  <c r="M153" i="2"/>
  <c r="Y152" i="2"/>
  <c r="V152" i="2"/>
  <c r="S152" i="2"/>
  <c r="M152" i="2"/>
  <c r="Y151" i="2"/>
  <c r="V151" i="2"/>
  <c r="S151" i="2"/>
  <c r="M151" i="2"/>
  <c r="Z150" i="2"/>
  <c r="W150" i="2"/>
  <c r="T150" i="2"/>
  <c r="N150" i="2"/>
  <c r="J150" i="2"/>
  <c r="M150" i="2" s="1"/>
  <c r="O150" i="2" s="1"/>
  <c r="Y149" i="2"/>
  <c r="V149" i="2"/>
  <c r="S149" i="2"/>
  <c r="M149" i="2"/>
  <c r="V148" i="2"/>
  <c r="S148" i="2"/>
  <c r="P146" i="2" s="1"/>
  <c r="M148" i="2"/>
  <c r="Y147" i="2"/>
  <c r="V147" i="2"/>
  <c r="S147" i="2"/>
  <c r="M147" i="2"/>
  <c r="Z146" i="2"/>
  <c r="W146" i="2"/>
  <c r="T146" i="2"/>
  <c r="N146" i="2"/>
  <c r="V145" i="2"/>
  <c r="S145" i="2"/>
  <c r="Y145" i="2" s="1"/>
  <c r="M145" i="2"/>
  <c r="J142" i="2" s="1"/>
  <c r="V144" i="2"/>
  <c r="S144" i="2"/>
  <c r="P142" i="2" s="1"/>
  <c r="M144" i="2"/>
  <c r="Y143" i="2"/>
  <c r="V143" i="2"/>
  <c r="S143" i="2"/>
  <c r="M143" i="2"/>
  <c r="W142" i="2"/>
  <c r="T142" i="2"/>
  <c r="Z142" i="2" s="1"/>
  <c r="N142" i="2"/>
  <c r="Y141" i="2"/>
  <c r="V141" i="2"/>
  <c r="S141" i="2"/>
  <c r="M141" i="2"/>
  <c r="V140" i="2"/>
  <c r="S140" i="2"/>
  <c r="Y140" i="2" s="1"/>
  <c r="M140" i="2"/>
  <c r="V139" i="2"/>
  <c r="S139" i="2"/>
  <c r="M139" i="2"/>
  <c r="J138" i="2" s="1"/>
  <c r="L138" i="2" s="1"/>
  <c r="Z138" i="2"/>
  <c r="W138" i="2"/>
  <c r="T138" i="2"/>
  <c r="N138" i="2"/>
  <c r="M138" i="2"/>
  <c r="O138" i="2" s="1"/>
  <c r="V137" i="2"/>
  <c r="S137" i="2"/>
  <c r="Y137" i="2" s="1"/>
  <c r="M137" i="2"/>
  <c r="Y136" i="2"/>
  <c r="V136" i="2"/>
  <c r="S136" i="2"/>
  <c r="M136" i="2"/>
  <c r="Y135" i="2"/>
  <c r="V135" i="2"/>
  <c r="S135" i="2"/>
  <c r="M135" i="2"/>
  <c r="Z134" i="2"/>
  <c r="W134" i="2"/>
  <c r="T134" i="2"/>
  <c r="N134" i="2"/>
  <c r="J134" i="2"/>
  <c r="M134" i="2" s="1"/>
  <c r="O134" i="2" s="1"/>
  <c r="Y133" i="2"/>
  <c r="V133" i="2"/>
  <c r="S133" i="2"/>
  <c r="M133" i="2"/>
  <c r="V132" i="2"/>
  <c r="S132" i="2"/>
  <c r="P130" i="2" s="1"/>
  <c r="M132" i="2"/>
  <c r="Y131" i="2"/>
  <c r="V131" i="2"/>
  <c r="S131" i="2"/>
  <c r="M131" i="2"/>
  <c r="W130" i="2"/>
  <c r="T130" i="2"/>
  <c r="Z130" i="2" s="1"/>
  <c r="N130" i="2"/>
  <c r="V129" i="2"/>
  <c r="S129" i="2"/>
  <c r="Y129" i="2" s="1"/>
  <c r="M129" i="2"/>
  <c r="V128" i="2"/>
  <c r="S128" i="2"/>
  <c r="Y128" i="2" s="1"/>
  <c r="M128" i="2"/>
  <c r="V127" i="2"/>
  <c r="S127" i="2"/>
  <c r="M127" i="2"/>
  <c r="Y126" i="2"/>
  <c r="V126" i="2"/>
  <c r="S126" i="2"/>
  <c r="M126" i="2"/>
  <c r="W125" i="2"/>
  <c r="T125" i="2"/>
  <c r="Z125" i="2" s="1"/>
  <c r="N125" i="2"/>
  <c r="V124" i="2"/>
  <c r="S124" i="2"/>
  <c r="M124" i="2"/>
  <c r="W123" i="2"/>
  <c r="T123" i="2"/>
  <c r="Z123" i="2" s="1"/>
  <c r="N123" i="2"/>
  <c r="J123" i="2"/>
  <c r="M123" i="2" s="1"/>
  <c r="O123" i="2" s="1"/>
  <c r="V122" i="2"/>
  <c r="S122" i="2"/>
  <c r="Y122" i="2" s="1"/>
  <c r="M122" i="2"/>
  <c r="Z121" i="2"/>
  <c r="W121" i="2"/>
  <c r="T121" i="2"/>
  <c r="P121" i="2"/>
  <c r="S121" i="2" s="1"/>
  <c r="N121" i="2"/>
  <c r="J121" i="2"/>
  <c r="M121" i="2" s="1"/>
  <c r="O121" i="2" s="1"/>
  <c r="V120" i="2"/>
  <c r="S120" i="2"/>
  <c r="Y120" i="2" s="1"/>
  <c r="M120" i="2"/>
  <c r="W119" i="2"/>
  <c r="T119" i="2"/>
  <c r="Z119" i="2" s="1"/>
  <c r="P119" i="2"/>
  <c r="S119" i="2" s="1"/>
  <c r="N119" i="2"/>
  <c r="J119" i="2"/>
  <c r="M119" i="2" s="1"/>
  <c r="O119" i="2" s="1"/>
  <c r="Y118" i="2"/>
  <c r="V118" i="2"/>
  <c r="S118" i="2"/>
  <c r="M118" i="2"/>
  <c r="W117" i="2"/>
  <c r="T117" i="2"/>
  <c r="Z117" i="2" s="1"/>
  <c r="P117" i="2"/>
  <c r="S117" i="2" s="1"/>
  <c r="N117" i="2"/>
  <c r="O117" i="2" s="1"/>
  <c r="M117" i="2"/>
  <c r="L117" i="2"/>
  <c r="J117" i="2"/>
  <c r="Y116" i="2"/>
  <c r="V116" i="2"/>
  <c r="S116" i="2"/>
  <c r="P115" i="2" s="1"/>
  <c r="R115" i="2" s="1"/>
  <c r="M116" i="2"/>
  <c r="J115" i="2" s="1"/>
  <c r="X115" i="2"/>
  <c r="W115" i="2"/>
  <c r="V115" i="2"/>
  <c r="T115" i="2"/>
  <c r="S115" i="2"/>
  <c r="U115" i="2" s="1"/>
  <c r="N115" i="2"/>
  <c r="V114" i="2"/>
  <c r="S114" i="2"/>
  <c r="M114" i="2"/>
  <c r="Z113" i="2"/>
  <c r="W113" i="2"/>
  <c r="T113" i="2"/>
  <c r="N113" i="2"/>
  <c r="J113" i="2"/>
  <c r="AA112" i="2"/>
  <c r="Z112" i="2"/>
  <c r="X112" i="2"/>
  <c r="W112" i="2"/>
  <c r="U112" i="2"/>
  <c r="T112" i="2"/>
  <c r="R112" i="2"/>
  <c r="N112" i="2"/>
  <c r="L112" i="2"/>
  <c r="V106" i="2"/>
  <c r="S106" i="2"/>
  <c r="Y106" i="2" s="1"/>
  <c r="M106" i="2"/>
  <c r="V105" i="2"/>
  <c r="S105" i="2"/>
  <c r="Y105" i="2" s="1"/>
  <c r="M105" i="2"/>
  <c r="Y104" i="2"/>
  <c r="V104" i="2"/>
  <c r="S104" i="2"/>
  <c r="M104" i="2"/>
  <c r="W103" i="2"/>
  <c r="T103" i="2"/>
  <c r="T102" i="2" s="1"/>
  <c r="T101" i="2" s="1"/>
  <c r="N103" i="2"/>
  <c r="J103" i="2"/>
  <c r="L103" i="2" s="1"/>
  <c r="N102" i="2"/>
  <c r="N101" i="2" s="1"/>
  <c r="W100" i="2"/>
  <c r="U100" i="2"/>
  <c r="U99" i="2" s="1"/>
  <c r="T100" i="2"/>
  <c r="Z100" i="2" s="1"/>
  <c r="AA100" i="2" s="1"/>
  <c r="R100" i="2"/>
  <c r="X100" i="2" s="1"/>
  <c r="N100" i="2"/>
  <c r="N99" i="2" s="1"/>
  <c r="L100" i="2"/>
  <c r="AA99" i="2"/>
  <c r="Z99" i="2"/>
  <c r="Y99" i="2"/>
  <c r="T99" i="2"/>
  <c r="S99" i="2"/>
  <c r="M99" i="2"/>
  <c r="V98" i="2"/>
  <c r="S98" i="2"/>
  <c r="M98" i="2"/>
  <c r="J97" i="2" s="1"/>
  <c r="W97" i="2"/>
  <c r="T97" i="2"/>
  <c r="Z97" i="2" s="1"/>
  <c r="N97" i="2"/>
  <c r="Y96" i="2"/>
  <c r="V96" i="2"/>
  <c r="S96" i="2"/>
  <c r="M96" i="2"/>
  <c r="Z95" i="2"/>
  <c r="W95" i="2"/>
  <c r="T95" i="2"/>
  <c r="P95" i="2"/>
  <c r="N95" i="2"/>
  <c r="J95" i="2"/>
  <c r="Y94" i="2"/>
  <c r="V94" i="2"/>
  <c r="S94" i="2"/>
  <c r="M94" i="2"/>
  <c r="W93" i="2"/>
  <c r="T93" i="2"/>
  <c r="Z93" i="2" s="1"/>
  <c r="P93" i="2"/>
  <c r="S93" i="2" s="1"/>
  <c r="N93" i="2"/>
  <c r="J93" i="2"/>
  <c r="M93" i="2" s="1"/>
  <c r="O93" i="2" s="1"/>
  <c r="Y92" i="2"/>
  <c r="V92" i="2"/>
  <c r="S92" i="2"/>
  <c r="M92" i="2"/>
  <c r="V91" i="2"/>
  <c r="S91" i="2"/>
  <c r="M91" i="2"/>
  <c r="J90" i="2" s="1"/>
  <c r="W90" i="2"/>
  <c r="T90" i="2"/>
  <c r="Z90" i="2" s="1"/>
  <c r="N90" i="2"/>
  <c r="V89" i="2"/>
  <c r="S89" i="2"/>
  <c r="Y89" i="2" s="1"/>
  <c r="M89" i="2"/>
  <c r="Y88" i="2"/>
  <c r="V88" i="2"/>
  <c r="S88" i="2"/>
  <c r="M88" i="2"/>
  <c r="Y87" i="2"/>
  <c r="V87" i="2"/>
  <c r="S87" i="2"/>
  <c r="M87" i="2"/>
  <c r="W86" i="2"/>
  <c r="T86" i="2"/>
  <c r="Z86" i="2" s="1"/>
  <c r="N86" i="2"/>
  <c r="V85" i="2"/>
  <c r="S85" i="2"/>
  <c r="Y85" i="2" s="1"/>
  <c r="M85" i="2"/>
  <c r="Y84" i="2"/>
  <c r="V84" i="2"/>
  <c r="S84" i="2"/>
  <c r="M84" i="2"/>
  <c r="V83" i="2"/>
  <c r="S83" i="2"/>
  <c r="P82" i="2" s="1"/>
  <c r="M83" i="2"/>
  <c r="J82" i="2" s="1"/>
  <c r="W82" i="2"/>
  <c r="V82" i="2"/>
  <c r="T82" i="2"/>
  <c r="Z82" i="2" s="1"/>
  <c r="N82" i="2"/>
  <c r="Y81" i="2"/>
  <c r="V81" i="2"/>
  <c r="S81" i="2"/>
  <c r="M81" i="2"/>
  <c r="Y80" i="2"/>
  <c r="V80" i="2"/>
  <c r="S80" i="2"/>
  <c r="P78" i="2" s="1"/>
  <c r="M80" i="2"/>
  <c r="V79" i="2"/>
  <c r="S79" i="2"/>
  <c r="Y79" i="2" s="1"/>
  <c r="M79" i="2"/>
  <c r="J78" i="2" s="1"/>
  <c r="L78" i="2" s="1"/>
  <c r="Z78" i="2"/>
  <c r="W78" i="2"/>
  <c r="T78" i="2"/>
  <c r="N78" i="2"/>
  <c r="M78" i="2"/>
  <c r="O78" i="2" s="1"/>
  <c r="V77" i="2"/>
  <c r="S77" i="2"/>
  <c r="Y77" i="2" s="1"/>
  <c r="M77" i="2"/>
  <c r="J75" i="2" s="1"/>
  <c r="Y76" i="2"/>
  <c r="V76" i="2"/>
  <c r="S76" i="2"/>
  <c r="M76" i="2"/>
  <c r="Z75" i="2"/>
  <c r="W75" i="2"/>
  <c r="T75" i="2"/>
  <c r="N75" i="2"/>
  <c r="N74" i="2" s="1"/>
  <c r="T74" i="2"/>
  <c r="Y73" i="2"/>
  <c r="V73" i="2"/>
  <c r="S73" i="2"/>
  <c r="M73" i="2"/>
  <c r="Y72" i="2"/>
  <c r="V72" i="2"/>
  <c r="S72" i="2"/>
  <c r="M72" i="2"/>
  <c r="V71" i="2"/>
  <c r="S71" i="2"/>
  <c r="Y71" i="2" s="1"/>
  <c r="M71" i="2"/>
  <c r="J69" i="2" s="1"/>
  <c r="V70" i="2"/>
  <c r="S70" i="2"/>
  <c r="P69" i="2" s="1"/>
  <c r="M70" i="2"/>
  <c r="Z69" i="2"/>
  <c r="W69" i="2"/>
  <c r="T69" i="2"/>
  <c r="N69" i="2"/>
  <c r="N57" i="2" s="1"/>
  <c r="V68" i="2"/>
  <c r="S68" i="2"/>
  <c r="Y68" i="2" s="1"/>
  <c r="M68" i="2"/>
  <c r="Y67" i="2"/>
  <c r="V67" i="2"/>
  <c r="S67" i="2"/>
  <c r="M67" i="2"/>
  <c r="Y66" i="2"/>
  <c r="V66" i="2"/>
  <c r="S66" i="2"/>
  <c r="M66" i="2"/>
  <c r="V65" i="2"/>
  <c r="S65" i="2"/>
  <c r="M65" i="2"/>
  <c r="J64" i="2" s="1"/>
  <c r="Z64" i="2"/>
  <c r="W64" i="2"/>
  <c r="T64" i="2"/>
  <c r="N64" i="2"/>
  <c r="V63" i="2"/>
  <c r="S63" i="2"/>
  <c r="Y63" i="2" s="1"/>
  <c r="M63" i="2"/>
  <c r="Y62" i="2"/>
  <c r="V62" i="2"/>
  <c r="S62" i="2"/>
  <c r="M62" i="2"/>
  <c r="V61" i="2"/>
  <c r="S61" i="2"/>
  <c r="Y61" i="2" s="1"/>
  <c r="M61" i="2"/>
  <c r="V60" i="2"/>
  <c r="S60" i="2"/>
  <c r="Y60" i="2" s="1"/>
  <c r="M60" i="2"/>
  <c r="V59" i="2"/>
  <c r="S59" i="2"/>
  <c r="Y59" i="2" s="1"/>
  <c r="M59" i="2"/>
  <c r="W58" i="2"/>
  <c r="T58" i="2"/>
  <c r="Z58" i="2" s="1"/>
  <c r="N58" i="2"/>
  <c r="T57" i="2"/>
  <c r="Y56" i="2"/>
  <c r="V56" i="2"/>
  <c r="S56" i="2"/>
  <c r="M56" i="2"/>
  <c r="Y55" i="2"/>
  <c r="V55" i="2"/>
  <c r="S55" i="2"/>
  <c r="M55" i="2"/>
  <c r="V54" i="2"/>
  <c r="S54" i="2"/>
  <c r="Y54" i="2" s="1"/>
  <c r="M54" i="2"/>
  <c r="V53" i="2"/>
  <c r="S53" i="2"/>
  <c r="P52" i="2" s="1"/>
  <c r="M53" i="2"/>
  <c r="Z52" i="2"/>
  <c r="W52" i="2"/>
  <c r="V52" i="2"/>
  <c r="T52" i="2"/>
  <c r="N52" i="2"/>
  <c r="N51" i="2" s="1"/>
  <c r="N43" i="2" s="1"/>
  <c r="J52" i="2"/>
  <c r="L52" i="2" s="1"/>
  <c r="Z51" i="2"/>
  <c r="T51" i="2"/>
  <c r="V50" i="2"/>
  <c r="S50" i="2"/>
  <c r="Y50" i="2" s="1"/>
  <c r="M50" i="2"/>
  <c r="Y49" i="2"/>
  <c r="V49" i="2"/>
  <c r="S49" i="2"/>
  <c r="M49" i="2"/>
  <c r="Y48" i="2"/>
  <c r="V48" i="2"/>
  <c r="S48" i="2"/>
  <c r="M48" i="2"/>
  <c r="Y47" i="2"/>
  <c r="V47" i="2"/>
  <c r="S47" i="2"/>
  <c r="M47" i="2"/>
  <c r="V46" i="2"/>
  <c r="S46" i="2"/>
  <c r="M46" i="2"/>
  <c r="W45" i="2"/>
  <c r="T45" i="2"/>
  <c r="N45" i="2"/>
  <c r="N44" i="2"/>
  <c r="Y42" i="2"/>
  <c r="V42" i="2"/>
  <c r="S42" i="2"/>
  <c r="M42" i="2"/>
  <c r="Y41" i="2"/>
  <c r="V41" i="2"/>
  <c r="S41" i="2"/>
  <c r="P40" i="2" s="1"/>
  <c r="M41" i="2"/>
  <c r="W40" i="2"/>
  <c r="V40" i="2"/>
  <c r="T40" i="2"/>
  <c r="Z40" i="2" s="1"/>
  <c r="S40" i="2"/>
  <c r="Y40" i="2" s="1"/>
  <c r="AA40" i="2" s="1"/>
  <c r="R40" i="2"/>
  <c r="X40" i="2" s="1"/>
  <c r="N40" i="2"/>
  <c r="N34" i="2" s="1"/>
  <c r="J40" i="2"/>
  <c r="M40" i="2" s="1"/>
  <c r="Y39" i="2"/>
  <c r="V39" i="2"/>
  <c r="S39" i="2"/>
  <c r="M39" i="2"/>
  <c r="V38" i="2"/>
  <c r="S38" i="2"/>
  <c r="Y38" i="2" s="1"/>
  <c r="M38" i="2"/>
  <c r="Y37" i="2"/>
  <c r="V37" i="2"/>
  <c r="S37" i="2"/>
  <c r="M37" i="2"/>
  <c r="J35" i="2" s="1"/>
  <c r="Y36" i="2"/>
  <c r="V36" i="2"/>
  <c r="S36" i="2"/>
  <c r="M36" i="2"/>
  <c r="W35" i="2"/>
  <c r="V35" i="2"/>
  <c r="T35" i="2"/>
  <c r="Z35" i="2" s="1"/>
  <c r="S35" i="2"/>
  <c r="P35" i="2"/>
  <c r="R35" i="2" s="1"/>
  <c r="X35" i="2" s="1"/>
  <c r="N35" i="2"/>
  <c r="V31" i="2"/>
  <c r="S31" i="2"/>
  <c r="Y31" i="2" s="1"/>
  <c r="M31" i="2"/>
  <c r="Y30" i="2"/>
  <c r="V30" i="2"/>
  <c r="S30" i="2"/>
  <c r="M30" i="2"/>
  <c r="V29" i="2"/>
  <c r="S29" i="2"/>
  <c r="Y29" i="2" s="1"/>
  <c r="M29" i="2"/>
  <c r="Y28" i="2"/>
  <c r="V28" i="2"/>
  <c r="S28" i="2"/>
  <c r="M28" i="2"/>
  <c r="V27" i="2"/>
  <c r="S27" i="2"/>
  <c r="Y27" i="2" s="1"/>
  <c r="M27" i="2"/>
  <c r="W26" i="2"/>
  <c r="T26" i="2"/>
  <c r="Z26" i="2" s="1"/>
  <c r="Z25" i="2" s="1"/>
  <c r="N26" i="2"/>
  <c r="N25" i="2" s="1"/>
  <c r="T25" i="2"/>
  <c r="V24" i="2"/>
  <c r="S24" i="2"/>
  <c r="Y24" i="2" s="1"/>
  <c r="M24" i="2"/>
  <c r="V23" i="2"/>
  <c r="S23" i="2"/>
  <c r="Y23" i="2" s="1"/>
  <c r="M23" i="2"/>
  <c r="Y22" i="2"/>
  <c r="V22" i="2"/>
  <c r="S22" i="2"/>
  <c r="M22" i="2"/>
  <c r="Y21" i="2"/>
  <c r="V21" i="2"/>
  <c r="S21" i="2"/>
  <c r="M21" i="2"/>
  <c r="W20" i="2"/>
  <c r="T20" i="2"/>
  <c r="N20" i="2"/>
  <c r="J20" i="2"/>
  <c r="M20" i="2" s="1"/>
  <c r="N19" i="2"/>
  <c r="W14" i="2"/>
  <c r="T14" i="2"/>
  <c r="R14" i="2"/>
  <c r="X14" i="2" s="1"/>
  <c r="N14" i="2"/>
  <c r="N13" i="2" s="1"/>
  <c r="N12" i="2" s="1"/>
  <c r="N11" i="2" s="1"/>
  <c r="N10" i="2" s="1"/>
  <c r="L14" i="2"/>
  <c r="Y13" i="2"/>
  <c r="S13" i="2"/>
  <c r="M13" i="2"/>
  <c r="M12" i="2" s="1"/>
  <c r="Y12" i="2"/>
  <c r="S12" i="2"/>
  <c r="S11" i="2" s="1"/>
  <c r="S10" i="2" s="1"/>
  <c r="Y11" i="2"/>
  <c r="Y10" i="2" s="1"/>
  <c r="M11" i="2"/>
  <c r="M10" i="2" s="1"/>
  <c r="M142" i="2" l="1"/>
  <c r="O142" i="2" s="1"/>
  <c r="L142" i="2"/>
  <c r="L326" i="2"/>
  <c r="M326" i="2"/>
  <c r="O326" i="2" s="1"/>
  <c r="R130" i="2"/>
  <c r="X130" i="2" s="1"/>
  <c r="S130" i="2"/>
  <c r="V130" i="2"/>
  <c r="U544" i="2"/>
  <c r="Y544" i="2"/>
  <c r="AA544" i="2" s="1"/>
  <c r="M69" i="2"/>
  <c r="O69" i="2" s="1"/>
  <c r="L69" i="2"/>
  <c r="M231" i="2"/>
  <c r="O231" i="2" s="1"/>
  <c r="L231" i="2"/>
  <c r="M217" i="2"/>
  <c r="L217" i="2"/>
  <c r="M386" i="2"/>
  <c r="O386" i="2" s="1"/>
  <c r="L386" i="2"/>
  <c r="V181" i="2"/>
  <c r="S181" i="2"/>
  <c r="R181" i="2"/>
  <c r="X181" i="2" s="1"/>
  <c r="V231" i="2"/>
  <c r="S231" i="2"/>
  <c r="R231" i="2"/>
  <c r="X231" i="2" s="1"/>
  <c r="P469" i="2"/>
  <c r="Y471" i="2"/>
  <c r="V95" i="2"/>
  <c r="S95" i="2"/>
  <c r="R95" i="2"/>
  <c r="X95" i="2" s="1"/>
  <c r="U121" i="2"/>
  <c r="Y121" i="2"/>
  <c r="AA121" i="2" s="1"/>
  <c r="M35" i="2"/>
  <c r="L35" i="2"/>
  <c r="Y172" i="2"/>
  <c r="M19" i="2"/>
  <c r="O20" i="2"/>
  <c r="O19" i="2" s="1"/>
  <c r="L20" i="2"/>
  <c r="M103" i="2"/>
  <c r="L119" i="2"/>
  <c r="M166" i="2"/>
  <c r="O166" i="2" s="1"/>
  <c r="V582" i="2"/>
  <c r="S582" i="2"/>
  <c r="Y305" i="2"/>
  <c r="P304" i="2"/>
  <c r="V146" i="2"/>
  <c r="S146" i="2"/>
  <c r="R146" i="2"/>
  <c r="X146" i="2" s="1"/>
  <c r="AA194" i="2"/>
  <c r="L198" i="2"/>
  <c r="V142" i="2"/>
  <c r="S142" i="2"/>
  <c r="R142" i="2"/>
  <c r="X142" i="2" s="1"/>
  <c r="P369" i="2"/>
  <c r="Y370" i="2"/>
  <c r="Y70" i="2"/>
  <c r="Y148" i="2"/>
  <c r="M300" i="2"/>
  <c r="O300" i="2" s="1"/>
  <c r="L300" i="2"/>
  <c r="P361" i="2"/>
  <c r="Y362" i="2"/>
  <c r="Y35" i="2"/>
  <c r="S34" i="2"/>
  <c r="U35" i="2"/>
  <c r="L123" i="2"/>
  <c r="V176" i="2"/>
  <c r="S176" i="2"/>
  <c r="R176" i="2"/>
  <c r="X176" i="2" s="1"/>
  <c r="L189" i="2"/>
  <c r="P510" i="2"/>
  <c r="Y512" i="2"/>
  <c r="J58" i="2"/>
  <c r="M82" i="2"/>
  <c r="O82" i="2" s="1"/>
  <c r="L82" i="2"/>
  <c r="O100" i="2"/>
  <c r="O99" i="2" s="1"/>
  <c r="M404" i="2"/>
  <c r="O404" i="2" s="1"/>
  <c r="V407" i="2"/>
  <c r="R407" i="2"/>
  <c r="X407" i="2" s="1"/>
  <c r="M548" i="2"/>
  <c r="O548" i="2" s="1"/>
  <c r="T193" i="2"/>
  <c r="P275" i="2"/>
  <c r="Y276" i="2"/>
  <c r="M398" i="2"/>
  <c r="O398" i="2" s="1"/>
  <c r="L398" i="2"/>
  <c r="R401" i="2"/>
  <c r="X401" i="2" s="1"/>
  <c r="S407" i="2"/>
  <c r="U501" i="2"/>
  <c r="Y501" i="2"/>
  <c r="P504" i="2"/>
  <c r="Y505" i="2"/>
  <c r="M52" i="2"/>
  <c r="Y83" i="2"/>
  <c r="L121" i="2"/>
  <c r="S198" i="2"/>
  <c r="V198" i="2"/>
  <c r="R198" i="2"/>
  <c r="X198" i="2" s="1"/>
  <c r="U238" i="2"/>
  <c r="M297" i="2"/>
  <c r="O297" i="2" s="1"/>
  <c r="L297" i="2"/>
  <c r="S401" i="2"/>
  <c r="M410" i="2"/>
  <c r="O410" i="2" s="1"/>
  <c r="L410" i="2"/>
  <c r="L435" i="2"/>
  <c r="M435" i="2"/>
  <c r="O435" i="2" s="1"/>
  <c r="L485" i="2"/>
  <c r="M485" i="2"/>
  <c r="O485" i="2" s="1"/>
  <c r="Z501" i="2"/>
  <c r="Z500" i="2" s="1"/>
  <c r="T500" i="2"/>
  <c r="M64" i="2"/>
  <c r="O64" i="2" s="1"/>
  <c r="L64" i="2"/>
  <c r="P208" i="2"/>
  <c r="Y209" i="2"/>
  <c r="Y223" i="2"/>
  <c r="P222" i="2"/>
  <c r="Y433" i="2"/>
  <c r="P430" i="2"/>
  <c r="P64" i="2"/>
  <c r="Y65" i="2"/>
  <c r="L196" i="2"/>
  <c r="M196" i="2"/>
  <c r="V323" i="2"/>
  <c r="R323" i="2"/>
  <c r="X323" i="2" s="1"/>
  <c r="S323" i="2"/>
  <c r="L353" i="2"/>
  <c r="Y494" i="2"/>
  <c r="AA494" i="2" s="1"/>
  <c r="U494" i="2"/>
  <c r="V542" i="2"/>
  <c r="S542" i="2"/>
  <c r="R542" i="2"/>
  <c r="X542" i="2" s="1"/>
  <c r="L250" i="2"/>
  <c r="M250" i="2"/>
  <c r="O250" i="2" s="1"/>
  <c r="R316" i="2"/>
  <c r="X316" i="2" s="1"/>
  <c r="L425" i="2"/>
  <c r="M425" i="2"/>
  <c r="O425" i="2" s="1"/>
  <c r="L536" i="2"/>
  <c r="O14" i="2"/>
  <c r="O13" i="2" s="1"/>
  <c r="O12" i="2" s="1"/>
  <c r="O11" i="2" s="1"/>
  <c r="O10" i="2" s="1"/>
  <c r="T44" i="2"/>
  <c r="T43" i="2" s="1"/>
  <c r="Z45" i="2"/>
  <c r="Z44" i="2" s="1"/>
  <c r="Z43" i="2" s="1"/>
  <c r="Y132" i="2"/>
  <c r="L158" i="2"/>
  <c r="Y247" i="2"/>
  <c r="S316" i="2"/>
  <c r="P425" i="2"/>
  <c r="Y426" i="2"/>
  <c r="M522" i="2"/>
  <c r="O522" i="2" s="1"/>
  <c r="M525" i="2"/>
  <c r="O525" i="2" s="1"/>
  <c r="M374" i="2"/>
  <c r="L374" i="2"/>
  <c r="M455" i="2"/>
  <c r="O455" i="2" s="1"/>
  <c r="L455" i="2"/>
  <c r="M494" i="2"/>
  <c r="O494" i="2" s="1"/>
  <c r="L494" i="2"/>
  <c r="T13" i="2"/>
  <c r="T12" i="2" s="1"/>
  <c r="T11" i="2" s="1"/>
  <c r="T10" i="2" s="1"/>
  <c r="Z14" i="2"/>
  <c r="Y328" i="2"/>
  <c r="P326" i="2"/>
  <c r="Y456" i="2"/>
  <c r="P455" i="2"/>
  <c r="R582" i="2"/>
  <c r="X582" i="2" s="1"/>
  <c r="U14" i="2"/>
  <c r="U13" i="2" s="1"/>
  <c r="U12" i="2" s="1"/>
  <c r="U11" i="2" s="1"/>
  <c r="U10" i="2" s="1"/>
  <c r="P58" i="2"/>
  <c r="P86" i="2"/>
  <c r="M212" i="2"/>
  <c r="O212" i="2" s="1"/>
  <c r="L212" i="2"/>
  <c r="P365" i="2"/>
  <c r="Y366" i="2"/>
  <c r="L497" i="2"/>
  <c r="M497" i="2"/>
  <c r="O497" i="2" s="1"/>
  <c r="Y93" i="2"/>
  <c r="AA93" i="2" s="1"/>
  <c r="U93" i="2"/>
  <c r="P212" i="2"/>
  <c r="Y213" i="2"/>
  <c r="N373" i="2"/>
  <c r="Y516" i="2"/>
  <c r="AA516" i="2" s="1"/>
  <c r="U516" i="2"/>
  <c r="Y144" i="2"/>
  <c r="L407" i="2"/>
  <c r="S482" i="2"/>
  <c r="V482" i="2"/>
  <c r="R482" i="2"/>
  <c r="X482" i="2" s="1"/>
  <c r="P75" i="2"/>
  <c r="Y114" i="2"/>
  <c r="P113" i="2"/>
  <c r="M361" i="2"/>
  <c r="O361" i="2" s="1"/>
  <c r="L361" i="2"/>
  <c r="V544" i="2"/>
  <c r="R544" i="2"/>
  <c r="X544" i="2" s="1"/>
  <c r="Y178" i="2"/>
  <c r="L293" i="2"/>
  <c r="M293" i="2"/>
  <c r="O293" i="2" s="1"/>
  <c r="M304" i="2"/>
  <c r="O304" i="2" s="1"/>
  <c r="L304" i="2"/>
  <c r="V78" i="2"/>
  <c r="R78" i="2"/>
  <c r="X78" i="2" s="1"/>
  <c r="S78" i="2"/>
  <c r="M95" i="2"/>
  <c r="O95" i="2" s="1"/>
  <c r="L95" i="2"/>
  <c r="M275" i="2"/>
  <c r="O275" i="2" s="1"/>
  <c r="L275" i="2"/>
  <c r="Z538" i="2"/>
  <c r="T534" i="2"/>
  <c r="V170" i="2"/>
  <c r="S170" i="2"/>
  <c r="R170" i="2"/>
  <c r="X170" i="2" s="1"/>
  <c r="S245" i="2"/>
  <c r="R245" i="2"/>
  <c r="X245" i="2" s="1"/>
  <c r="V245" i="2"/>
  <c r="M330" i="2"/>
  <c r="O330" i="2" s="1"/>
  <c r="L330" i="2"/>
  <c r="N500" i="2"/>
  <c r="O536" i="2"/>
  <c r="Y182" i="2"/>
  <c r="V196" i="2"/>
  <c r="R196" i="2"/>
  <c r="X196" i="2" s="1"/>
  <c r="S196" i="2"/>
  <c r="R395" i="2"/>
  <c r="X395" i="2" s="1"/>
  <c r="V395" i="2"/>
  <c r="S395" i="2"/>
  <c r="M558" i="2"/>
  <c r="O558" i="2" s="1"/>
  <c r="L558" i="2"/>
  <c r="L582" i="2"/>
  <c r="M582" i="2"/>
  <c r="O582" i="2" s="1"/>
  <c r="V265" i="2"/>
  <c r="S265" i="2"/>
  <c r="R265" i="2"/>
  <c r="X265" i="2" s="1"/>
  <c r="Y197" i="2"/>
  <c r="L93" i="2"/>
  <c r="M308" i="2"/>
  <c r="O308" i="2" s="1"/>
  <c r="L308" i="2"/>
  <c r="M413" i="2"/>
  <c r="O413" i="2" s="1"/>
  <c r="L413" i="2"/>
  <c r="M450" i="2"/>
  <c r="O450" i="2" s="1"/>
  <c r="L450" i="2"/>
  <c r="P552" i="2"/>
  <c r="Y553" i="2"/>
  <c r="Z20" i="2"/>
  <c r="Z19" i="2" s="1"/>
  <c r="Z18" i="2" s="1"/>
  <c r="Z17" i="2" s="1"/>
  <c r="Z16" i="2" s="1"/>
  <c r="T19" i="2"/>
  <c r="T18" i="2" s="1"/>
  <c r="T17" i="2" s="1"/>
  <c r="T16" i="2" s="1"/>
  <c r="V69" i="2"/>
  <c r="R69" i="2"/>
  <c r="X69" i="2" s="1"/>
  <c r="S69" i="2"/>
  <c r="N216" i="2"/>
  <c r="P260" i="2"/>
  <c r="Y261" i="2"/>
  <c r="P300" i="2"/>
  <c r="Y301" i="2"/>
  <c r="M369" i="2"/>
  <c r="O369" i="2" s="1"/>
  <c r="L369" i="2"/>
  <c r="Y414" i="2"/>
  <c r="P413" i="2"/>
  <c r="M469" i="2"/>
  <c r="O469" i="2" s="1"/>
  <c r="M206" i="2"/>
  <c r="O206" i="2" s="1"/>
  <c r="L206" i="2"/>
  <c r="R389" i="2"/>
  <c r="X389" i="2" s="1"/>
  <c r="S389" i="2"/>
  <c r="V389" i="2"/>
  <c r="Y204" i="2"/>
  <c r="AA204" i="2" s="1"/>
  <c r="U204" i="2"/>
  <c r="P217" i="2"/>
  <c r="L365" i="2"/>
  <c r="M365" i="2"/>
  <c r="O365" i="2" s="1"/>
  <c r="L345" i="2"/>
  <c r="M345" i="2"/>
  <c r="O345" i="2" s="1"/>
  <c r="P26" i="2"/>
  <c r="O112" i="2"/>
  <c r="N111" i="2"/>
  <c r="N110" i="2" s="1"/>
  <c r="N109" i="2" s="1"/>
  <c r="N108" i="2" s="1"/>
  <c r="N107" i="2" s="1"/>
  <c r="Y339" i="2"/>
  <c r="P337" i="2"/>
  <c r="T475" i="2"/>
  <c r="Z479" i="2"/>
  <c r="R82" i="2"/>
  <c r="X82" i="2" s="1"/>
  <c r="S82" i="2"/>
  <c r="Y117" i="2"/>
  <c r="AA117" i="2" s="1"/>
  <c r="U117" i="2"/>
  <c r="M173" i="2"/>
  <c r="O173" i="2" s="1"/>
  <c r="L173" i="2"/>
  <c r="S202" i="2"/>
  <c r="V202" i="2"/>
  <c r="P297" i="2"/>
  <c r="Y298" i="2"/>
  <c r="N33" i="2"/>
  <c r="N32" i="2" s="1"/>
  <c r="O40" i="2"/>
  <c r="P125" i="2"/>
  <c r="J181" i="2"/>
  <c r="M208" i="2"/>
  <c r="O208" i="2" s="1"/>
  <c r="L208" i="2"/>
  <c r="L222" i="2"/>
  <c r="M222" i="2"/>
  <c r="O222" i="2" s="1"/>
  <c r="P255" i="2"/>
  <c r="P270" i="2"/>
  <c r="Y272" i="2"/>
  <c r="Y331" i="2"/>
  <c r="P330" i="2"/>
  <c r="R519" i="2"/>
  <c r="X519" i="2" s="1"/>
  <c r="V519" i="2"/>
  <c r="S519" i="2"/>
  <c r="P308" i="2"/>
  <c r="Y309" i="2"/>
  <c r="L513" i="2"/>
  <c r="R93" i="2"/>
  <c r="X93" i="2" s="1"/>
  <c r="L113" i="2"/>
  <c r="M113" i="2"/>
  <c r="N289" i="2"/>
  <c r="N288" i="2" s="1"/>
  <c r="R460" i="2"/>
  <c r="X460" i="2" s="1"/>
  <c r="S460" i="2"/>
  <c r="V460" i="2"/>
  <c r="J45" i="2"/>
  <c r="M97" i="2"/>
  <c r="O97" i="2" s="1"/>
  <c r="L97" i="2"/>
  <c r="N193" i="2"/>
  <c r="P293" i="2"/>
  <c r="J26" i="2"/>
  <c r="R119" i="2"/>
  <c r="X119" i="2" s="1"/>
  <c r="M238" i="2"/>
  <c r="O238" i="2" s="1"/>
  <c r="L238" i="2"/>
  <c r="R290" i="2"/>
  <c r="X290" i="2" s="1"/>
  <c r="P435" i="2"/>
  <c r="Y540" i="2"/>
  <c r="AA540" i="2" s="1"/>
  <c r="U540" i="2"/>
  <c r="V93" i="2"/>
  <c r="Z103" i="2"/>
  <c r="Z102" i="2" s="1"/>
  <c r="Z101" i="2" s="1"/>
  <c r="V117" i="2"/>
  <c r="L150" i="2"/>
  <c r="R162" i="2"/>
  <c r="X162" i="2" s="1"/>
  <c r="P250" i="2"/>
  <c r="P280" i="2"/>
  <c r="Y282" i="2"/>
  <c r="T289" i="2"/>
  <c r="T288" i="2" s="1"/>
  <c r="Z290" i="2"/>
  <c r="Z289" i="2" s="1"/>
  <c r="Z288" i="2" s="1"/>
  <c r="R507" i="2"/>
  <c r="X507" i="2" s="1"/>
  <c r="V507" i="2"/>
  <c r="Y530" i="2"/>
  <c r="P528" i="2"/>
  <c r="N18" i="2"/>
  <c r="N17" i="2" s="1"/>
  <c r="N16" i="2" s="1"/>
  <c r="Y53" i="2"/>
  <c r="Z74" i="2"/>
  <c r="J86" i="2"/>
  <c r="M90" i="2"/>
  <c r="O90" i="2" s="1"/>
  <c r="L90" i="2"/>
  <c r="Y115" i="2"/>
  <c r="AA115" i="2" s="1"/>
  <c r="V119" i="2"/>
  <c r="Y127" i="2"/>
  <c r="S162" i="2"/>
  <c r="U179" i="2"/>
  <c r="L200" i="2"/>
  <c r="M200" i="2"/>
  <c r="O200" i="2" s="1"/>
  <c r="S214" i="2"/>
  <c r="R214" i="2"/>
  <c r="X214" i="2" s="1"/>
  <c r="V214" i="2"/>
  <c r="L265" i="2"/>
  <c r="S349" i="2"/>
  <c r="R349" i="2"/>
  <c r="X349" i="2" s="1"/>
  <c r="Y375" i="2"/>
  <c r="V380" i="2"/>
  <c r="N475" i="2"/>
  <c r="N474" i="2" s="1"/>
  <c r="L482" i="2"/>
  <c r="S507" i="2"/>
  <c r="M546" i="2"/>
  <c r="O546" i="2" s="1"/>
  <c r="L546" i="2"/>
  <c r="P206" i="2"/>
  <c r="Y207" i="2"/>
  <c r="M290" i="2"/>
  <c r="L290" i="2"/>
  <c r="Y423" i="2"/>
  <c r="P422" i="2"/>
  <c r="T111" i="2"/>
  <c r="Z115" i="2"/>
  <c r="Z111" i="2" s="1"/>
  <c r="Z110" i="2" s="1"/>
  <c r="Y241" i="2"/>
  <c r="P240" i="2"/>
  <c r="U522" i="2"/>
  <c r="Y522" i="2"/>
  <c r="AA522" i="2" s="1"/>
  <c r="M552" i="2"/>
  <c r="O552" i="2" s="1"/>
  <c r="L552" i="2"/>
  <c r="M349" i="2"/>
  <c r="O349" i="2" s="1"/>
  <c r="L349" i="2"/>
  <c r="S450" i="2"/>
  <c r="V450" i="2"/>
  <c r="U40" i="2"/>
  <c r="P97" i="2"/>
  <c r="Y98" i="2"/>
  <c r="P123" i="2"/>
  <c r="Y124" i="2"/>
  <c r="P189" i="2"/>
  <c r="S286" i="2"/>
  <c r="R286" i="2"/>
  <c r="X286" i="2" s="1"/>
  <c r="S380" i="2"/>
  <c r="Y399" i="2"/>
  <c r="P398" i="2"/>
  <c r="R450" i="2"/>
  <c r="X450" i="2" s="1"/>
  <c r="Y461" i="2"/>
  <c r="M542" i="2"/>
  <c r="O542" i="2" s="1"/>
  <c r="L542" i="2"/>
  <c r="J280" i="2"/>
  <c r="Y320" i="2"/>
  <c r="R374" i="2"/>
  <c r="X374" i="2" s="1"/>
  <c r="V374" i="2"/>
  <c r="S374" i="2"/>
  <c r="P20" i="2"/>
  <c r="P90" i="2"/>
  <c r="Y91" i="2"/>
  <c r="L115" i="2"/>
  <c r="M115" i="2"/>
  <c r="O115" i="2" s="1"/>
  <c r="P200" i="2"/>
  <c r="Y201" i="2"/>
  <c r="P235" i="2"/>
  <c r="Y236" i="2"/>
  <c r="V290" i="2"/>
  <c r="M337" i="2"/>
  <c r="O337" i="2" s="1"/>
  <c r="L337" i="2"/>
  <c r="Y387" i="2"/>
  <c r="P386" i="2"/>
  <c r="P513" i="2"/>
  <c r="Y514" i="2"/>
  <c r="O550" i="2"/>
  <c r="L464" i="2"/>
  <c r="M464" i="2"/>
  <c r="O464" i="2" s="1"/>
  <c r="V121" i="2"/>
  <c r="R121" i="2"/>
  <c r="X121" i="2" s="1"/>
  <c r="R117" i="2"/>
  <c r="X117" i="2" s="1"/>
  <c r="V536" i="2"/>
  <c r="S536" i="2"/>
  <c r="R536" i="2"/>
  <c r="X536" i="2" s="1"/>
  <c r="Z584" i="2"/>
  <c r="AA585" i="2"/>
  <c r="AA584" i="2" s="1"/>
  <c r="P138" i="2"/>
  <c r="Y139" i="2"/>
  <c r="S319" i="2"/>
  <c r="R319" i="2"/>
  <c r="X319" i="2" s="1"/>
  <c r="M341" i="2"/>
  <c r="O341" i="2" s="1"/>
  <c r="Y119" i="2"/>
  <c r="AA119" i="2" s="1"/>
  <c r="U119" i="2"/>
  <c r="L134" i="2"/>
  <c r="Y290" i="2"/>
  <c r="P554" i="2"/>
  <c r="Y555" i="2"/>
  <c r="S52" i="2"/>
  <c r="R52" i="2"/>
  <c r="X52" i="2" s="1"/>
  <c r="M491" i="2"/>
  <c r="O491" i="2" s="1"/>
  <c r="L491" i="2"/>
  <c r="P103" i="2"/>
  <c r="Y156" i="2"/>
  <c r="P154" i="2"/>
  <c r="J176" i="2"/>
  <c r="M240" i="2"/>
  <c r="O240" i="2" s="1"/>
  <c r="Y315" i="2"/>
  <c r="P312" i="2"/>
  <c r="P440" i="2"/>
  <c r="J510" i="2"/>
  <c r="L516" i="2"/>
  <c r="M516" i="2"/>
  <c r="O516" i="2" s="1"/>
  <c r="M538" i="2"/>
  <c r="O538" i="2" s="1"/>
  <c r="L538" i="2"/>
  <c r="L540" i="2"/>
  <c r="M540" i="2"/>
  <c r="O540" i="2" s="1"/>
  <c r="L550" i="2"/>
  <c r="Z34" i="2"/>
  <c r="Z216" i="2"/>
  <c r="J227" i="2"/>
  <c r="J383" i="2"/>
  <c r="L401" i="2"/>
  <c r="M401" i="2"/>
  <c r="O401" i="2" s="1"/>
  <c r="J488" i="2"/>
  <c r="Y527" i="2"/>
  <c r="P525" i="2"/>
  <c r="J130" i="2"/>
  <c r="R194" i="2"/>
  <c r="X194" i="2" s="1"/>
  <c r="P227" i="2"/>
  <c r="M286" i="2"/>
  <c r="L286" i="2"/>
  <c r="M323" i="2"/>
  <c r="O323" i="2" s="1"/>
  <c r="L323" i="2"/>
  <c r="V383" i="2"/>
  <c r="S383" i="2"/>
  <c r="R383" i="2"/>
  <c r="X383" i="2" s="1"/>
  <c r="L389" i="2"/>
  <c r="M389" i="2"/>
  <c r="O389" i="2" s="1"/>
  <c r="J395" i="2"/>
  <c r="Y411" i="2"/>
  <c r="P410" i="2"/>
  <c r="J440" i="2"/>
  <c r="P476" i="2"/>
  <c r="Y477" i="2"/>
  <c r="R501" i="2"/>
  <c r="X501" i="2" s="1"/>
  <c r="V501" i="2"/>
  <c r="V550" i="2"/>
  <c r="S550" i="2"/>
  <c r="R550" i="2"/>
  <c r="X550" i="2" s="1"/>
  <c r="R556" i="2"/>
  <c r="X556" i="2" s="1"/>
  <c r="S556" i="2"/>
  <c r="V556" i="2"/>
  <c r="S580" i="2"/>
  <c r="R580" i="2"/>
  <c r="X580" i="2" s="1"/>
  <c r="P45" i="2"/>
  <c r="Y46" i="2"/>
  <c r="J260" i="2"/>
  <c r="S345" i="2"/>
  <c r="R345" i="2"/>
  <c r="X345" i="2" s="1"/>
  <c r="L40" i="2"/>
  <c r="P134" i="2"/>
  <c r="P158" i="2"/>
  <c r="P166" i="2"/>
  <c r="P185" i="2"/>
  <c r="R204" i="2"/>
  <c r="X204" i="2" s="1"/>
  <c r="R238" i="2"/>
  <c r="X238" i="2" s="1"/>
  <c r="J255" i="2"/>
  <c r="T285" i="2"/>
  <c r="Z286" i="2"/>
  <c r="Z285" i="2" s="1"/>
  <c r="J312" i="2"/>
  <c r="Y334" i="2"/>
  <c r="P333" i="2"/>
  <c r="M376" i="2"/>
  <c r="O376" i="2" s="1"/>
  <c r="L376" i="2"/>
  <c r="P464" i="2"/>
  <c r="Z535" i="2"/>
  <c r="U535" i="2"/>
  <c r="Z57" i="2"/>
  <c r="T34" i="2"/>
  <c r="T33" i="2" s="1"/>
  <c r="T32" i="2" s="1"/>
  <c r="J125" i="2"/>
  <c r="P150" i="2"/>
  <c r="P173" i="2"/>
  <c r="J245" i="2"/>
  <c r="P341" i="2"/>
  <c r="Y346" i="2"/>
  <c r="J445" i="2"/>
  <c r="M476" i="2"/>
  <c r="J146" i="2"/>
  <c r="T216" i="2"/>
  <c r="P445" i="2"/>
  <c r="Z475" i="2"/>
  <c r="M501" i="2"/>
  <c r="L501" i="2"/>
  <c r="V546" i="2"/>
  <c r="S546" i="2"/>
  <c r="M75" i="2"/>
  <c r="L75" i="2"/>
  <c r="J162" i="2"/>
  <c r="J185" i="2"/>
  <c r="V488" i="2"/>
  <c r="S488" i="2"/>
  <c r="P558" i="2"/>
  <c r="P353" i="2"/>
  <c r="J460" i="2"/>
  <c r="P485" i="2"/>
  <c r="Y486" i="2"/>
  <c r="P569" i="2"/>
  <c r="Y570" i="2"/>
  <c r="P479" i="2"/>
  <c r="Y480" i="2"/>
  <c r="R516" i="2"/>
  <c r="X516" i="2" s="1"/>
  <c r="Y377" i="2"/>
  <c r="P376" i="2"/>
  <c r="O378" i="2"/>
  <c r="Y393" i="2"/>
  <c r="P392" i="2"/>
  <c r="Y405" i="2"/>
  <c r="P404" i="2"/>
  <c r="J419" i="2"/>
  <c r="V538" i="2"/>
  <c r="S538" i="2"/>
  <c r="L544" i="2"/>
  <c r="R548" i="2"/>
  <c r="X548" i="2" s="1"/>
  <c r="V548" i="2"/>
  <c r="L316" i="2"/>
  <c r="M316" i="2"/>
  <c r="O316" i="2" s="1"/>
  <c r="P357" i="2"/>
  <c r="M380" i="2"/>
  <c r="O380" i="2" s="1"/>
  <c r="P419" i="2"/>
  <c r="Y420" i="2"/>
  <c r="S497" i="2"/>
  <c r="R497" i="2"/>
  <c r="X497" i="2" s="1"/>
  <c r="O519" i="2"/>
  <c r="S491" i="2"/>
  <c r="R491" i="2"/>
  <c r="X491" i="2" s="1"/>
  <c r="N534" i="2"/>
  <c r="P531" i="2"/>
  <c r="U585" i="2"/>
  <c r="U584" i="2" s="1"/>
  <c r="J333" i="2"/>
  <c r="Y417" i="2"/>
  <c r="P416" i="2"/>
  <c r="X586" i="1"/>
  <c r="W586" i="1"/>
  <c r="T586" i="1"/>
  <c r="R586" i="1"/>
  <c r="O586" i="1"/>
  <c r="N586" i="1"/>
  <c r="L586" i="1"/>
  <c r="Z585" i="1"/>
  <c r="AA585" i="1" s="1"/>
  <c r="W585" i="1"/>
  <c r="U585" i="1"/>
  <c r="T585" i="1"/>
  <c r="T584" i="1" s="1"/>
  <c r="R585" i="1"/>
  <c r="X585" i="1" s="1"/>
  <c r="N585" i="1"/>
  <c r="O585" i="1" s="1"/>
  <c r="O584" i="1" s="1"/>
  <c r="L585" i="1"/>
  <c r="Y584" i="1"/>
  <c r="S584" i="1"/>
  <c r="N584" i="1"/>
  <c r="M584" i="1"/>
  <c r="Y583" i="1"/>
  <c r="V583" i="1"/>
  <c r="S583" i="1"/>
  <c r="M583" i="1"/>
  <c r="W582" i="1"/>
  <c r="T582" i="1"/>
  <c r="Z582" i="1" s="1"/>
  <c r="P582" i="1"/>
  <c r="S582" i="1" s="1"/>
  <c r="N582" i="1"/>
  <c r="M582" i="1"/>
  <c r="J582" i="1"/>
  <c r="L582" i="1" s="1"/>
  <c r="V581" i="1"/>
  <c r="S581" i="1"/>
  <c r="P580" i="1" s="1"/>
  <c r="M581" i="1"/>
  <c r="Z580" i="1"/>
  <c r="W580" i="1"/>
  <c r="T580" i="1"/>
  <c r="N580" i="1"/>
  <c r="L580" i="1"/>
  <c r="J580" i="1"/>
  <c r="M580" i="1" s="1"/>
  <c r="O580" i="1" s="1"/>
  <c r="Y579" i="1"/>
  <c r="V579" i="1"/>
  <c r="S579" i="1"/>
  <c r="M579" i="1"/>
  <c r="V578" i="1"/>
  <c r="S578" i="1"/>
  <c r="Y578" i="1" s="1"/>
  <c r="M578" i="1"/>
  <c r="Y577" i="1"/>
  <c r="V577" i="1"/>
  <c r="S577" i="1"/>
  <c r="M577" i="1"/>
  <c r="V576" i="1"/>
  <c r="S576" i="1"/>
  <c r="Y576" i="1" s="1"/>
  <c r="M576" i="1"/>
  <c r="Y575" i="1"/>
  <c r="V575" i="1"/>
  <c r="S575" i="1"/>
  <c r="M575" i="1"/>
  <c r="V574" i="1"/>
  <c r="S574" i="1"/>
  <c r="Y574" i="1" s="1"/>
  <c r="M574" i="1"/>
  <c r="Y573" i="1"/>
  <c r="V573" i="1"/>
  <c r="S573" i="1"/>
  <c r="M573" i="1"/>
  <c r="V572" i="1"/>
  <c r="S572" i="1"/>
  <c r="Y572" i="1" s="1"/>
  <c r="M572" i="1"/>
  <c r="Y571" i="1"/>
  <c r="V571" i="1"/>
  <c r="S571" i="1"/>
  <c r="M571" i="1"/>
  <c r="V570" i="1"/>
  <c r="S570" i="1"/>
  <c r="P569" i="1" s="1"/>
  <c r="M570" i="1"/>
  <c r="Z569" i="1"/>
  <c r="W569" i="1"/>
  <c r="T569" i="1"/>
  <c r="S569" i="1"/>
  <c r="N569" i="1"/>
  <c r="L569" i="1"/>
  <c r="J569" i="1"/>
  <c r="M569" i="1" s="1"/>
  <c r="O569" i="1" s="1"/>
  <c r="Y568" i="1"/>
  <c r="V568" i="1"/>
  <c r="S568" i="1"/>
  <c r="M568" i="1"/>
  <c r="V567" i="1"/>
  <c r="S567" i="1"/>
  <c r="Y567" i="1" s="1"/>
  <c r="M567" i="1"/>
  <c r="Y566" i="1"/>
  <c r="V566" i="1"/>
  <c r="S566" i="1"/>
  <c r="M566" i="1"/>
  <c r="V565" i="1"/>
  <c r="S565" i="1"/>
  <c r="Y565" i="1" s="1"/>
  <c r="M565" i="1"/>
  <c r="Y564" i="1"/>
  <c r="V564" i="1"/>
  <c r="S564" i="1"/>
  <c r="M564" i="1"/>
  <c r="V563" i="1"/>
  <c r="S563" i="1"/>
  <c r="Y563" i="1" s="1"/>
  <c r="M563" i="1"/>
  <c r="Y562" i="1"/>
  <c r="V562" i="1"/>
  <c r="S562" i="1"/>
  <c r="M562" i="1"/>
  <c r="V561" i="1"/>
  <c r="S561" i="1"/>
  <c r="Y561" i="1" s="1"/>
  <c r="M561" i="1"/>
  <c r="Y560" i="1"/>
  <c r="V560" i="1"/>
  <c r="S560" i="1"/>
  <c r="M560" i="1"/>
  <c r="V559" i="1"/>
  <c r="S559" i="1"/>
  <c r="P558" i="1" s="1"/>
  <c r="M559" i="1"/>
  <c r="Z558" i="1"/>
  <c r="W558" i="1"/>
  <c r="T558" i="1"/>
  <c r="S558" i="1"/>
  <c r="N558" i="1"/>
  <c r="L558" i="1"/>
  <c r="J558" i="1"/>
  <c r="M558" i="1" s="1"/>
  <c r="O558" i="1" s="1"/>
  <c r="Y557" i="1"/>
  <c r="V557" i="1"/>
  <c r="S557" i="1"/>
  <c r="M557" i="1"/>
  <c r="Z556" i="1"/>
  <c r="W556" i="1"/>
  <c r="T556" i="1"/>
  <c r="P556" i="1"/>
  <c r="S556" i="1" s="1"/>
  <c r="N556" i="1"/>
  <c r="M556" i="1"/>
  <c r="L556" i="1"/>
  <c r="J556" i="1"/>
  <c r="V555" i="1"/>
  <c r="S555" i="1"/>
  <c r="P554" i="1" s="1"/>
  <c r="M555" i="1"/>
  <c r="Z554" i="1"/>
  <c r="W554" i="1"/>
  <c r="T554" i="1"/>
  <c r="N554" i="1"/>
  <c r="L554" i="1"/>
  <c r="J554" i="1"/>
  <c r="M554" i="1" s="1"/>
  <c r="O554" i="1" s="1"/>
  <c r="Y553" i="1"/>
  <c r="V553" i="1"/>
  <c r="S553" i="1"/>
  <c r="M553" i="1"/>
  <c r="Z552" i="1"/>
  <c r="W552" i="1"/>
  <c r="T552" i="1"/>
  <c r="P552" i="1"/>
  <c r="S552" i="1" s="1"/>
  <c r="N552" i="1"/>
  <c r="M552" i="1"/>
  <c r="O552" i="1" s="1"/>
  <c r="L552" i="1"/>
  <c r="J552" i="1"/>
  <c r="V551" i="1"/>
  <c r="S551" i="1"/>
  <c r="P550" i="1" s="1"/>
  <c r="M551" i="1"/>
  <c r="Z550" i="1"/>
  <c r="W550" i="1"/>
  <c r="T550" i="1"/>
  <c r="N550" i="1"/>
  <c r="L550" i="1"/>
  <c r="J550" i="1"/>
  <c r="M550" i="1" s="1"/>
  <c r="O550" i="1" s="1"/>
  <c r="Y549" i="1"/>
  <c r="V549" i="1"/>
  <c r="S549" i="1"/>
  <c r="M549" i="1"/>
  <c r="Z548" i="1"/>
  <c r="W548" i="1"/>
  <c r="T548" i="1"/>
  <c r="P548" i="1"/>
  <c r="S548" i="1" s="1"/>
  <c r="N548" i="1"/>
  <c r="M548" i="1"/>
  <c r="L548" i="1"/>
  <c r="J548" i="1"/>
  <c r="V547" i="1"/>
  <c r="S547" i="1"/>
  <c r="P546" i="1" s="1"/>
  <c r="M547" i="1"/>
  <c r="Z546" i="1"/>
  <c r="W546" i="1"/>
  <c r="T546" i="1"/>
  <c r="S546" i="1"/>
  <c r="N546" i="1"/>
  <c r="L546" i="1"/>
  <c r="J546" i="1"/>
  <c r="M546" i="1" s="1"/>
  <c r="O546" i="1" s="1"/>
  <c r="Y545" i="1"/>
  <c r="V545" i="1"/>
  <c r="S545" i="1"/>
  <c r="M545" i="1"/>
  <c r="Z544" i="1"/>
  <c r="W544" i="1"/>
  <c r="T544" i="1"/>
  <c r="P544" i="1"/>
  <c r="S544" i="1" s="1"/>
  <c r="N544" i="1"/>
  <c r="M544" i="1"/>
  <c r="O544" i="1" s="1"/>
  <c r="J544" i="1"/>
  <c r="L544" i="1" s="1"/>
  <c r="V543" i="1"/>
  <c r="S543" i="1"/>
  <c r="P542" i="1" s="1"/>
  <c r="M543" i="1"/>
  <c r="Z542" i="1"/>
  <c r="W542" i="1"/>
  <c r="T542" i="1"/>
  <c r="N542" i="1"/>
  <c r="L542" i="1"/>
  <c r="J542" i="1"/>
  <c r="M542" i="1" s="1"/>
  <c r="O542" i="1" s="1"/>
  <c r="Y541" i="1"/>
  <c r="V541" i="1"/>
  <c r="S541" i="1"/>
  <c r="M541" i="1"/>
  <c r="Z540" i="1"/>
  <c r="W540" i="1"/>
  <c r="T540" i="1"/>
  <c r="P540" i="1"/>
  <c r="S540" i="1" s="1"/>
  <c r="N540" i="1"/>
  <c r="M540" i="1"/>
  <c r="O540" i="1" s="1"/>
  <c r="J540" i="1"/>
  <c r="L540" i="1" s="1"/>
  <c r="V539" i="1"/>
  <c r="S539" i="1"/>
  <c r="P538" i="1" s="1"/>
  <c r="M539" i="1"/>
  <c r="Z538" i="1"/>
  <c r="W538" i="1"/>
  <c r="T538" i="1"/>
  <c r="S538" i="1"/>
  <c r="N538" i="1"/>
  <c r="L538" i="1"/>
  <c r="J538" i="1"/>
  <c r="M538" i="1" s="1"/>
  <c r="Y537" i="1"/>
  <c r="V537" i="1"/>
  <c r="S537" i="1"/>
  <c r="M537" i="1"/>
  <c r="Z536" i="1"/>
  <c r="W536" i="1"/>
  <c r="T536" i="1"/>
  <c r="P536" i="1"/>
  <c r="S536" i="1" s="1"/>
  <c r="N536" i="1"/>
  <c r="M536" i="1"/>
  <c r="O536" i="1" s="1"/>
  <c r="J536" i="1"/>
  <c r="L536" i="1" s="1"/>
  <c r="X535" i="1"/>
  <c r="W535" i="1"/>
  <c r="U535" i="1"/>
  <c r="T535" i="1"/>
  <c r="T534" i="1" s="1"/>
  <c r="R535" i="1"/>
  <c r="O535" i="1"/>
  <c r="N535" i="1"/>
  <c r="L535" i="1"/>
  <c r="V533" i="1"/>
  <c r="S533" i="1"/>
  <c r="Y533" i="1" s="1"/>
  <c r="M533" i="1"/>
  <c r="V532" i="1"/>
  <c r="S532" i="1"/>
  <c r="Y532" i="1" s="1"/>
  <c r="M532" i="1"/>
  <c r="Z531" i="1"/>
  <c r="W531" i="1"/>
  <c r="T531" i="1"/>
  <c r="R531" i="1"/>
  <c r="X531" i="1" s="1"/>
  <c r="P531" i="1"/>
  <c r="V531" i="1" s="1"/>
  <c r="N531" i="1"/>
  <c r="J531" i="1"/>
  <c r="M531" i="1" s="1"/>
  <c r="O531" i="1" s="1"/>
  <c r="V530" i="1"/>
  <c r="S530" i="1"/>
  <c r="Y530" i="1" s="1"/>
  <c r="M530" i="1"/>
  <c r="V529" i="1"/>
  <c r="S529" i="1"/>
  <c r="Y529" i="1" s="1"/>
  <c r="M529" i="1"/>
  <c r="Z528" i="1"/>
  <c r="W528" i="1"/>
  <c r="T528" i="1"/>
  <c r="R528" i="1"/>
  <c r="X528" i="1" s="1"/>
  <c r="P528" i="1"/>
  <c r="V528" i="1" s="1"/>
  <c r="N528" i="1"/>
  <c r="J528" i="1"/>
  <c r="M528" i="1" s="1"/>
  <c r="O528" i="1" s="1"/>
  <c r="V527" i="1"/>
  <c r="S527" i="1"/>
  <c r="Y527" i="1" s="1"/>
  <c r="M527" i="1"/>
  <c r="V526" i="1"/>
  <c r="S526" i="1"/>
  <c r="Y526" i="1" s="1"/>
  <c r="M526" i="1"/>
  <c r="Z525" i="1"/>
  <c r="W525" i="1"/>
  <c r="T525" i="1"/>
  <c r="R525" i="1"/>
  <c r="X525" i="1" s="1"/>
  <c r="P525" i="1"/>
  <c r="V525" i="1" s="1"/>
  <c r="N525" i="1"/>
  <c r="J525" i="1"/>
  <c r="M525" i="1" s="1"/>
  <c r="O525" i="1" s="1"/>
  <c r="V524" i="1"/>
  <c r="S524" i="1"/>
  <c r="Y524" i="1" s="1"/>
  <c r="M524" i="1"/>
  <c r="V523" i="1"/>
  <c r="S523" i="1"/>
  <c r="Y523" i="1" s="1"/>
  <c r="M523" i="1"/>
  <c r="Z522" i="1"/>
  <c r="W522" i="1"/>
  <c r="T522" i="1"/>
  <c r="R522" i="1"/>
  <c r="X522" i="1" s="1"/>
  <c r="P522" i="1"/>
  <c r="V522" i="1" s="1"/>
  <c r="N522" i="1"/>
  <c r="J522" i="1"/>
  <c r="M522" i="1" s="1"/>
  <c r="O522" i="1" s="1"/>
  <c r="V521" i="1"/>
  <c r="S521" i="1"/>
  <c r="Y521" i="1" s="1"/>
  <c r="M521" i="1"/>
  <c r="V520" i="1"/>
  <c r="S520" i="1"/>
  <c r="Y520" i="1" s="1"/>
  <c r="M520" i="1"/>
  <c r="Z519" i="1"/>
  <c r="W519" i="1"/>
  <c r="T519" i="1"/>
  <c r="R519" i="1"/>
  <c r="X519" i="1" s="1"/>
  <c r="P519" i="1"/>
  <c r="V519" i="1" s="1"/>
  <c r="N519" i="1"/>
  <c r="J519" i="1"/>
  <c r="M519" i="1" s="1"/>
  <c r="O519" i="1" s="1"/>
  <c r="V518" i="1"/>
  <c r="S518" i="1"/>
  <c r="Y518" i="1" s="1"/>
  <c r="M518" i="1"/>
  <c r="V517" i="1"/>
  <c r="S517" i="1"/>
  <c r="Y517" i="1" s="1"/>
  <c r="M517" i="1"/>
  <c r="Z516" i="1"/>
  <c r="W516" i="1"/>
  <c r="T516" i="1"/>
  <c r="R516" i="1"/>
  <c r="X516" i="1" s="1"/>
  <c r="P516" i="1"/>
  <c r="V516" i="1" s="1"/>
  <c r="N516" i="1"/>
  <c r="J516" i="1"/>
  <c r="M516" i="1" s="1"/>
  <c r="O516" i="1" s="1"/>
  <c r="V515" i="1"/>
  <c r="S515" i="1"/>
  <c r="Y515" i="1" s="1"/>
  <c r="M515" i="1"/>
  <c r="V514" i="1"/>
  <c r="S514" i="1"/>
  <c r="Y514" i="1" s="1"/>
  <c r="M514" i="1"/>
  <c r="Z513" i="1"/>
  <c r="W513" i="1"/>
  <c r="T513" i="1"/>
  <c r="R513" i="1"/>
  <c r="X513" i="1" s="1"/>
  <c r="P513" i="1"/>
  <c r="V513" i="1" s="1"/>
  <c r="N513" i="1"/>
  <c r="J513" i="1"/>
  <c r="V512" i="1"/>
  <c r="S512" i="1"/>
  <c r="Y512" i="1" s="1"/>
  <c r="M512" i="1"/>
  <c r="V511" i="1"/>
  <c r="S511" i="1"/>
  <c r="Y511" i="1" s="1"/>
  <c r="M511" i="1"/>
  <c r="W510" i="1"/>
  <c r="T510" i="1"/>
  <c r="Z510" i="1" s="1"/>
  <c r="R510" i="1"/>
  <c r="X510" i="1" s="1"/>
  <c r="P510" i="1"/>
  <c r="V510" i="1" s="1"/>
  <c r="N510" i="1"/>
  <c r="J510" i="1"/>
  <c r="V509" i="1"/>
  <c r="S509" i="1"/>
  <c r="Y509" i="1" s="1"/>
  <c r="M509" i="1"/>
  <c r="V508" i="1"/>
  <c r="S508" i="1"/>
  <c r="Y508" i="1" s="1"/>
  <c r="M508" i="1"/>
  <c r="J507" i="1" s="1"/>
  <c r="W507" i="1"/>
  <c r="T507" i="1"/>
  <c r="Z507" i="1" s="1"/>
  <c r="R507" i="1"/>
  <c r="X507" i="1" s="1"/>
  <c r="P507" i="1"/>
  <c r="V507" i="1" s="1"/>
  <c r="N507" i="1"/>
  <c r="V506" i="1"/>
  <c r="S506" i="1"/>
  <c r="Y506" i="1" s="1"/>
  <c r="M506" i="1"/>
  <c r="V505" i="1"/>
  <c r="S505" i="1"/>
  <c r="Y505" i="1" s="1"/>
  <c r="M505" i="1"/>
  <c r="Z504" i="1"/>
  <c r="W504" i="1"/>
  <c r="T504" i="1"/>
  <c r="R504" i="1"/>
  <c r="X504" i="1" s="1"/>
  <c r="P504" i="1"/>
  <c r="V504" i="1" s="1"/>
  <c r="N504" i="1"/>
  <c r="J504" i="1"/>
  <c r="V503" i="1"/>
  <c r="S503" i="1"/>
  <c r="Y503" i="1" s="1"/>
  <c r="M503" i="1"/>
  <c r="V502" i="1"/>
  <c r="S502" i="1"/>
  <c r="Y502" i="1" s="1"/>
  <c r="M502" i="1"/>
  <c r="W501" i="1"/>
  <c r="T501" i="1"/>
  <c r="P501" i="1"/>
  <c r="R501" i="1" s="1"/>
  <c r="X501" i="1" s="1"/>
  <c r="N501" i="1"/>
  <c r="J501" i="1"/>
  <c r="N500" i="1"/>
  <c r="Y499" i="1"/>
  <c r="V499" i="1"/>
  <c r="S499" i="1"/>
  <c r="M499" i="1"/>
  <c r="J497" i="1" s="1"/>
  <c r="M497" i="1" s="1"/>
  <c r="O497" i="1" s="1"/>
  <c r="V498" i="1"/>
  <c r="S498" i="1"/>
  <c r="M498" i="1"/>
  <c r="Z497" i="1"/>
  <c r="W497" i="1"/>
  <c r="T497" i="1"/>
  <c r="N497" i="1"/>
  <c r="L497" i="1"/>
  <c r="Y496" i="1"/>
  <c r="V496" i="1"/>
  <c r="S496" i="1"/>
  <c r="M496" i="1"/>
  <c r="J494" i="1" s="1"/>
  <c r="M494" i="1" s="1"/>
  <c r="O494" i="1" s="1"/>
  <c r="V495" i="1"/>
  <c r="S495" i="1"/>
  <c r="M495" i="1"/>
  <c r="Z494" i="1"/>
  <c r="W494" i="1"/>
  <c r="T494" i="1"/>
  <c r="N494" i="1"/>
  <c r="L494" i="1"/>
  <c r="Y493" i="1"/>
  <c r="V493" i="1"/>
  <c r="S493" i="1"/>
  <c r="M493" i="1"/>
  <c r="J491" i="1" s="1"/>
  <c r="M491" i="1" s="1"/>
  <c r="O491" i="1" s="1"/>
  <c r="V492" i="1"/>
  <c r="S492" i="1"/>
  <c r="M492" i="1"/>
  <c r="Z491" i="1"/>
  <c r="W491" i="1"/>
  <c r="T491" i="1"/>
  <c r="N491" i="1"/>
  <c r="L491" i="1"/>
  <c r="Y490" i="1"/>
  <c r="V490" i="1"/>
  <c r="S490" i="1"/>
  <c r="M490" i="1"/>
  <c r="J488" i="1" s="1"/>
  <c r="M488" i="1" s="1"/>
  <c r="O488" i="1" s="1"/>
  <c r="V489" i="1"/>
  <c r="S489" i="1"/>
  <c r="M489" i="1"/>
  <c r="Z488" i="1"/>
  <c r="W488" i="1"/>
  <c r="T488" i="1"/>
  <c r="N488" i="1"/>
  <c r="Y487" i="1"/>
  <c r="V487" i="1"/>
  <c r="S487" i="1"/>
  <c r="M487" i="1"/>
  <c r="J485" i="1" s="1"/>
  <c r="M485" i="1" s="1"/>
  <c r="O485" i="1" s="1"/>
  <c r="V486" i="1"/>
  <c r="S486" i="1"/>
  <c r="M486" i="1"/>
  <c r="Z485" i="1"/>
  <c r="W485" i="1"/>
  <c r="T485" i="1"/>
  <c r="N485" i="1"/>
  <c r="Y484" i="1"/>
  <c r="V484" i="1"/>
  <c r="S484" i="1"/>
  <c r="M484" i="1"/>
  <c r="J482" i="1" s="1"/>
  <c r="M482" i="1" s="1"/>
  <c r="O482" i="1" s="1"/>
  <c r="V483" i="1"/>
  <c r="S483" i="1"/>
  <c r="M483" i="1"/>
  <c r="Z482" i="1"/>
  <c r="W482" i="1"/>
  <c r="T482" i="1"/>
  <c r="N482" i="1"/>
  <c r="Y481" i="1"/>
  <c r="V481" i="1"/>
  <c r="S481" i="1"/>
  <c r="M481" i="1"/>
  <c r="V480" i="1"/>
  <c r="S480" i="1"/>
  <c r="M480" i="1"/>
  <c r="Z479" i="1"/>
  <c r="W479" i="1"/>
  <c r="T479" i="1"/>
  <c r="N479" i="1"/>
  <c r="M479" i="1"/>
  <c r="O479" i="1" s="1"/>
  <c r="L479" i="1"/>
  <c r="J479" i="1"/>
  <c r="Y478" i="1"/>
  <c r="V478" i="1"/>
  <c r="S478" i="1"/>
  <c r="M478" i="1"/>
  <c r="V477" i="1"/>
  <c r="S477" i="1"/>
  <c r="M477" i="1"/>
  <c r="Z476" i="1"/>
  <c r="W476" i="1"/>
  <c r="T476" i="1"/>
  <c r="T475" i="1" s="1"/>
  <c r="N476" i="1"/>
  <c r="M476" i="1"/>
  <c r="O476" i="1" s="1"/>
  <c r="O475" i="1" s="1"/>
  <c r="L476" i="1"/>
  <c r="J476" i="1"/>
  <c r="N475" i="1"/>
  <c r="M475" i="1"/>
  <c r="N474" i="1"/>
  <c r="Y473" i="1"/>
  <c r="V473" i="1"/>
  <c r="S473" i="1"/>
  <c r="M473" i="1"/>
  <c r="V472" i="1"/>
  <c r="S472" i="1"/>
  <c r="Y472" i="1" s="1"/>
  <c r="M472" i="1"/>
  <c r="V471" i="1"/>
  <c r="S471" i="1"/>
  <c r="Y471" i="1" s="1"/>
  <c r="M471" i="1"/>
  <c r="Y470" i="1"/>
  <c r="V470" i="1"/>
  <c r="S470" i="1"/>
  <c r="P469" i="1" s="1"/>
  <c r="M470" i="1"/>
  <c r="J469" i="1" s="1"/>
  <c r="M469" i="1" s="1"/>
  <c r="O469" i="1" s="1"/>
  <c r="W469" i="1"/>
  <c r="T469" i="1"/>
  <c r="Z469" i="1" s="1"/>
  <c r="N469" i="1"/>
  <c r="L469" i="1"/>
  <c r="V468" i="1"/>
  <c r="S468" i="1"/>
  <c r="Y468" i="1" s="1"/>
  <c r="M468" i="1"/>
  <c r="Y467" i="1"/>
  <c r="V467" i="1"/>
  <c r="S467" i="1"/>
  <c r="M467" i="1"/>
  <c r="J464" i="1" s="1"/>
  <c r="V466" i="1"/>
  <c r="S466" i="1"/>
  <c r="Y466" i="1" s="1"/>
  <c r="M466" i="1"/>
  <c r="Y465" i="1"/>
  <c r="V465" i="1"/>
  <c r="S465" i="1"/>
  <c r="P464" i="1" s="1"/>
  <c r="M465" i="1"/>
  <c r="W464" i="1"/>
  <c r="T464" i="1"/>
  <c r="Z464" i="1" s="1"/>
  <c r="N464" i="1"/>
  <c r="V463" i="1"/>
  <c r="S463" i="1"/>
  <c r="Y463" i="1" s="1"/>
  <c r="M463" i="1"/>
  <c r="V462" i="1"/>
  <c r="S462" i="1"/>
  <c r="P460" i="1" s="1"/>
  <c r="M462" i="1"/>
  <c r="J460" i="1" s="1"/>
  <c r="V461" i="1"/>
  <c r="S461" i="1"/>
  <c r="Y461" i="1" s="1"/>
  <c r="M461" i="1"/>
  <c r="W460" i="1"/>
  <c r="T460" i="1"/>
  <c r="Z460" i="1" s="1"/>
  <c r="N460" i="1"/>
  <c r="V459" i="1"/>
  <c r="S459" i="1"/>
  <c r="Y459" i="1" s="1"/>
  <c r="M459" i="1"/>
  <c r="V458" i="1"/>
  <c r="S458" i="1"/>
  <c r="Y458" i="1" s="1"/>
  <c r="M458" i="1"/>
  <c r="Y457" i="1"/>
  <c r="V457" i="1"/>
  <c r="S457" i="1"/>
  <c r="P455" i="1" s="1"/>
  <c r="M457" i="1"/>
  <c r="V456" i="1"/>
  <c r="S456" i="1"/>
  <c r="Y456" i="1" s="1"/>
  <c r="M456" i="1"/>
  <c r="W455" i="1"/>
  <c r="T455" i="1"/>
  <c r="Z455" i="1" s="1"/>
  <c r="N455" i="1"/>
  <c r="J455" i="1"/>
  <c r="V454" i="1"/>
  <c r="S454" i="1"/>
  <c r="Y454" i="1" s="1"/>
  <c r="M454" i="1"/>
  <c r="J450" i="1" s="1"/>
  <c r="V453" i="1"/>
  <c r="S453" i="1"/>
  <c r="Y453" i="1" s="1"/>
  <c r="M453" i="1"/>
  <c r="Y452" i="1"/>
  <c r="V452" i="1"/>
  <c r="S452" i="1"/>
  <c r="P450" i="1" s="1"/>
  <c r="M452" i="1"/>
  <c r="V451" i="1"/>
  <c r="S451" i="1"/>
  <c r="Y451" i="1" s="1"/>
  <c r="M451" i="1"/>
  <c r="W450" i="1"/>
  <c r="T450" i="1"/>
  <c r="Z450" i="1" s="1"/>
  <c r="N450" i="1"/>
  <c r="Y449" i="1"/>
  <c r="V449" i="1"/>
  <c r="S449" i="1"/>
  <c r="M449" i="1"/>
  <c r="Y448" i="1"/>
  <c r="V448" i="1"/>
  <c r="S448" i="1"/>
  <c r="M448" i="1"/>
  <c r="Y447" i="1"/>
  <c r="V447" i="1"/>
  <c r="S447" i="1"/>
  <c r="M447" i="1"/>
  <c r="Y446" i="1"/>
  <c r="V446" i="1"/>
  <c r="S446" i="1"/>
  <c r="P445" i="1" s="1"/>
  <c r="M446" i="1"/>
  <c r="W445" i="1"/>
  <c r="T445" i="1"/>
  <c r="Z445" i="1" s="1"/>
  <c r="N445" i="1"/>
  <c r="L445" i="1"/>
  <c r="J445" i="1"/>
  <c r="M445" i="1" s="1"/>
  <c r="O445" i="1" s="1"/>
  <c r="Y444" i="1"/>
  <c r="V444" i="1"/>
  <c r="S444" i="1"/>
  <c r="M444" i="1"/>
  <c r="Y443" i="1"/>
  <c r="V443" i="1"/>
  <c r="S443" i="1"/>
  <c r="M443" i="1"/>
  <c r="Y442" i="1"/>
  <c r="V442" i="1"/>
  <c r="S442" i="1"/>
  <c r="M442" i="1"/>
  <c r="Y441" i="1"/>
  <c r="V441" i="1"/>
  <c r="S441" i="1"/>
  <c r="P440" i="1" s="1"/>
  <c r="M441" i="1"/>
  <c r="W440" i="1"/>
  <c r="T440" i="1"/>
  <c r="Z440" i="1" s="1"/>
  <c r="N440" i="1"/>
  <c r="L440" i="1"/>
  <c r="J440" i="1"/>
  <c r="M440" i="1" s="1"/>
  <c r="O440" i="1" s="1"/>
  <c r="Y439" i="1"/>
  <c r="V439" i="1"/>
  <c r="S439" i="1"/>
  <c r="M439" i="1"/>
  <c r="Y438" i="1"/>
  <c r="V438" i="1"/>
  <c r="S438" i="1"/>
  <c r="M438" i="1"/>
  <c r="Y437" i="1"/>
  <c r="V437" i="1"/>
  <c r="S437" i="1"/>
  <c r="M437" i="1"/>
  <c r="Y436" i="1"/>
  <c r="V436" i="1"/>
  <c r="S436" i="1"/>
  <c r="P435" i="1" s="1"/>
  <c r="M436" i="1"/>
  <c r="W435" i="1"/>
  <c r="T435" i="1"/>
  <c r="Z435" i="1" s="1"/>
  <c r="N435" i="1"/>
  <c r="L435" i="1"/>
  <c r="J435" i="1"/>
  <c r="M435" i="1" s="1"/>
  <c r="Y434" i="1"/>
  <c r="V434" i="1"/>
  <c r="S434" i="1"/>
  <c r="M434" i="1"/>
  <c r="Y433" i="1"/>
  <c r="V433" i="1"/>
  <c r="S433" i="1"/>
  <c r="M433" i="1"/>
  <c r="Y432" i="1"/>
  <c r="V432" i="1"/>
  <c r="S432" i="1"/>
  <c r="M432" i="1"/>
  <c r="Y431" i="1"/>
  <c r="V431" i="1"/>
  <c r="S431" i="1"/>
  <c r="P430" i="1" s="1"/>
  <c r="M431" i="1"/>
  <c r="W430" i="1"/>
  <c r="T430" i="1"/>
  <c r="Z430" i="1" s="1"/>
  <c r="N430" i="1"/>
  <c r="L430" i="1"/>
  <c r="J430" i="1"/>
  <c r="M430" i="1" s="1"/>
  <c r="Y429" i="1"/>
  <c r="V429" i="1"/>
  <c r="S429" i="1"/>
  <c r="M429" i="1"/>
  <c r="Y428" i="1"/>
  <c r="V428" i="1"/>
  <c r="S428" i="1"/>
  <c r="M428" i="1"/>
  <c r="Y427" i="1"/>
  <c r="V427" i="1"/>
  <c r="S427" i="1"/>
  <c r="M427" i="1"/>
  <c r="Y426" i="1"/>
  <c r="V426" i="1"/>
  <c r="S426" i="1"/>
  <c r="P425" i="1" s="1"/>
  <c r="M426" i="1"/>
  <c r="W425" i="1"/>
  <c r="T425" i="1"/>
  <c r="Z425" i="1" s="1"/>
  <c r="N425" i="1"/>
  <c r="L425" i="1"/>
  <c r="J425" i="1"/>
  <c r="M425" i="1" s="1"/>
  <c r="O425" i="1" s="1"/>
  <c r="Y424" i="1"/>
  <c r="V424" i="1"/>
  <c r="S424" i="1"/>
  <c r="M424" i="1"/>
  <c r="Y423" i="1"/>
  <c r="V423" i="1"/>
  <c r="S423" i="1"/>
  <c r="P422" i="1" s="1"/>
  <c r="M423" i="1"/>
  <c r="W422" i="1"/>
  <c r="T422" i="1"/>
  <c r="Z422" i="1" s="1"/>
  <c r="N422" i="1"/>
  <c r="L422" i="1"/>
  <c r="J422" i="1"/>
  <c r="M422" i="1" s="1"/>
  <c r="O422" i="1" s="1"/>
  <c r="Y421" i="1"/>
  <c r="V421" i="1"/>
  <c r="S421" i="1"/>
  <c r="M421" i="1"/>
  <c r="Y420" i="1"/>
  <c r="V420" i="1"/>
  <c r="S420" i="1"/>
  <c r="P419" i="1" s="1"/>
  <c r="M420" i="1"/>
  <c r="W419" i="1"/>
  <c r="T419" i="1"/>
  <c r="Z419" i="1" s="1"/>
  <c r="N419" i="1"/>
  <c r="L419" i="1"/>
  <c r="J419" i="1"/>
  <c r="M419" i="1" s="1"/>
  <c r="Y418" i="1"/>
  <c r="V418" i="1"/>
  <c r="S418" i="1"/>
  <c r="M418" i="1"/>
  <c r="Y417" i="1"/>
  <c r="V417" i="1"/>
  <c r="S417" i="1"/>
  <c r="P416" i="1" s="1"/>
  <c r="M417" i="1"/>
  <c r="W416" i="1"/>
  <c r="T416" i="1"/>
  <c r="Z416" i="1" s="1"/>
  <c r="N416" i="1"/>
  <c r="L416" i="1"/>
  <c r="J416" i="1"/>
  <c r="M416" i="1" s="1"/>
  <c r="Y415" i="1"/>
  <c r="V415" i="1"/>
  <c r="S415" i="1"/>
  <c r="M415" i="1"/>
  <c r="Y414" i="1"/>
  <c r="V414" i="1"/>
  <c r="S414" i="1"/>
  <c r="P413" i="1" s="1"/>
  <c r="M414" i="1"/>
  <c r="W413" i="1"/>
  <c r="T413" i="1"/>
  <c r="Z413" i="1" s="1"/>
  <c r="N413" i="1"/>
  <c r="L413" i="1"/>
  <c r="J413" i="1"/>
  <c r="M413" i="1" s="1"/>
  <c r="O413" i="1" s="1"/>
  <c r="Y412" i="1"/>
  <c r="V412" i="1"/>
  <c r="S412" i="1"/>
  <c r="M412" i="1"/>
  <c r="Y411" i="1"/>
  <c r="V411" i="1"/>
  <c r="S411" i="1"/>
  <c r="P410" i="1" s="1"/>
  <c r="M411" i="1"/>
  <c r="W410" i="1"/>
  <c r="T410" i="1"/>
  <c r="Z410" i="1" s="1"/>
  <c r="N410" i="1"/>
  <c r="J410" i="1"/>
  <c r="L410" i="1" s="1"/>
  <c r="Y409" i="1"/>
  <c r="V409" i="1"/>
  <c r="S409" i="1"/>
  <c r="M409" i="1"/>
  <c r="Y408" i="1"/>
  <c r="V408" i="1"/>
  <c r="S408" i="1"/>
  <c r="P407" i="1" s="1"/>
  <c r="M408" i="1"/>
  <c r="W407" i="1"/>
  <c r="T407" i="1"/>
  <c r="Z407" i="1" s="1"/>
  <c r="N407" i="1"/>
  <c r="J407" i="1"/>
  <c r="L407" i="1" s="1"/>
  <c r="Y406" i="1"/>
  <c r="V406" i="1"/>
  <c r="S406" i="1"/>
  <c r="M406" i="1"/>
  <c r="Y405" i="1"/>
  <c r="V405" i="1"/>
  <c r="S405" i="1"/>
  <c r="P404" i="1" s="1"/>
  <c r="M405" i="1"/>
  <c r="W404" i="1"/>
  <c r="T404" i="1"/>
  <c r="Z404" i="1" s="1"/>
  <c r="N404" i="1"/>
  <c r="J404" i="1"/>
  <c r="L404" i="1" s="1"/>
  <c r="Y403" i="1"/>
  <c r="V403" i="1"/>
  <c r="S403" i="1"/>
  <c r="M403" i="1"/>
  <c r="Y402" i="1"/>
  <c r="V402" i="1"/>
  <c r="S402" i="1"/>
  <c r="P401" i="1" s="1"/>
  <c r="M402" i="1"/>
  <c r="W401" i="1"/>
  <c r="T401" i="1"/>
  <c r="Z401" i="1" s="1"/>
  <c r="N401" i="1"/>
  <c r="J401" i="1"/>
  <c r="L401" i="1" s="1"/>
  <c r="Y400" i="1"/>
  <c r="V400" i="1"/>
  <c r="S400" i="1"/>
  <c r="M400" i="1"/>
  <c r="Y399" i="1"/>
  <c r="V399" i="1"/>
  <c r="S399" i="1"/>
  <c r="P398" i="1" s="1"/>
  <c r="M399" i="1"/>
  <c r="W398" i="1"/>
  <c r="T398" i="1"/>
  <c r="Z398" i="1" s="1"/>
  <c r="N398" i="1"/>
  <c r="J398" i="1"/>
  <c r="L398" i="1" s="1"/>
  <c r="Y397" i="1"/>
  <c r="V397" i="1"/>
  <c r="S397" i="1"/>
  <c r="M397" i="1"/>
  <c r="Y396" i="1"/>
  <c r="V396" i="1"/>
  <c r="S396" i="1"/>
  <c r="P395" i="1" s="1"/>
  <c r="M396" i="1"/>
  <c r="W395" i="1"/>
  <c r="T395" i="1"/>
  <c r="Z395" i="1" s="1"/>
  <c r="N395" i="1"/>
  <c r="J395" i="1"/>
  <c r="Y394" i="1"/>
  <c r="V394" i="1"/>
  <c r="S394" i="1"/>
  <c r="M394" i="1"/>
  <c r="Y393" i="1"/>
  <c r="V393" i="1"/>
  <c r="S393" i="1"/>
  <c r="P392" i="1" s="1"/>
  <c r="M393" i="1"/>
  <c r="J392" i="1" s="1"/>
  <c r="W392" i="1"/>
  <c r="T392" i="1"/>
  <c r="Z392" i="1" s="1"/>
  <c r="N392" i="1"/>
  <c r="Y391" i="1"/>
  <c r="V391" i="1"/>
  <c r="S391" i="1"/>
  <c r="M391" i="1"/>
  <c r="Y390" i="1"/>
  <c r="V390" i="1"/>
  <c r="S390" i="1"/>
  <c r="P389" i="1" s="1"/>
  <c r="M390" i="1"/>
  <c r="W389" i="1"/>
  <c r="T389" i="1"/>
  <c r="Z389" i="1" s="1"/>
  <c r="N389" i="1"/>
  <c r="J389" i="1"/>
  <c r="Y388" i="1"/>
  <c r="V388" i="1"/>
  <c r="S388" i="1"/>
  <c r="M388" i="1"/>
  <c r="Y387" i="1"/>
  <c r="V387" i="1"/>
  <c r="S387" i="1"/>
  <c r="P386" i="1" s="1"/>
  <c r="M387" i="1"/>
  <c r="J386" i="1" s="1"/>
  <c r="W386" i="1"/>
  <c r="T386" i="1"/>
  <c r="Z386" i="1" s="1"/>
  <c r="N386" i="1"/>
  <c r="Y385" i="1"/>
  <c r="V385" i="1"/>
  <c r="S385" i="1"/>
  <c r="M385" i="1"/>
  <c r="Y384" i="1"/>
  <c r="V384" i="1"/>
  <c r="S384" i="1"/>
  <c r="P383" i="1" s="1"/>
  <c r="M384" i="1"/>
  <c r="W383" i="1"/>
  <c r="T383" i="1"/>
  <c r="Z383" i="1" s="1"/>
  <c r="N383" i="1"/>
  <c r="J383" i="1"/>
  <c r="Y382" i="1"/>
  <c r="V382" i="1"/>
  <c r="S382" i="1"/>
  <c r="M382" i="1"/>
  <c r="Y381" i="1"/>
  <c r="V381" i="1"/>
  <c r="S381" i="1"/>
  <c r="P380" i="1" s="1"/>
  <c r="M381" i="1"/>
  <c r="J380" i="1" s="1"/>
  <c r="W380" i="1"/>
  <c r="T380" i="1"/>
  <c r="Z380" i="1" s="1"/>
  <c r="N380" i="1"/>
  <c r="Y379" i="1"/>
  <c r="V379" i="1"/>
  <c r="S379" i="1"/>
  <c r="M379" i="1"/>
  <c r="W378" i="1"/>
  <c r="T378" i="1"/>
  <c r="Z378" i="1" s="1"/>
  <c r="P378" i="1"/>
  <c r="N378" i="1"/>
  <c r="L378" i="1"/>
  <c r="J378" i="1"/>
  <c r="M378" i="1" s="1"/>
  <c r="O378" i="1" s="1"/>
  <c r="V377" i="1"/>
  <c r="S377" i="1"/>
  <c r="P376" i="1" s="1"/>
  <c r="M377" i="1"/>
  <c r="J376" i="1" s="1"/>
  <c r="W376" i="1"/>
  <c r="T376" i="1"/>
  <c r="N376" i="1"/>
  <c r="Y375" i="1"/>
  <c r="V375" i="1"/>
  <c r="S375" i="1"/>
  <c r="M375" i="1"/>
  <c r="W374" i="1"/>
  <c r="T374" i="1"/>
  <c r="Z374" i="1" s="1"/>
  <c r="S374" i="1"/>
  <c r="P374" i="1"/>
  <c r="N374" i="1"/>
  <c r="J374" i="1"/>
  <c r="M374" i="1" s="1"/>
  <c r="O374" i="1" s="1"/>
  <c r="V372" i="1"/>
  <c r="S372" i="1"/>
  <c r="Y372" i="1" s="1"/>
  <c r="M372" i="1"/>
  <c r="V371" i="1"/>
  <c r="S371" i="1"/>
  <c r="Y371" i="1" s="1"/>
  <c r="M371" i="1"/>
  <c r="V370" i="1"/>
  <c r="S370" i="1"/>
  <c r="M370" i="1"/>
  <c r="W369" i="1"/>
  <c r="T369" i="1"/>
  <c r="Z369" i="1" s="1"/>
  <c r="N369" i="1"/>
  <c r="J369" i="1"/>
  <c r="M369" i="1" s="1"/>
  <c r="O369" i="1" s="1"/>
  <c r="V368" i="1"/>
  <c r="S368" i="1"/>
  <c r="Y368" i="1" s="1"/>
  <c r="M368" i="1"/>
  <c r="V367" i="1"/>
  <c r="S367" i="1"/>
  <c r="M367" i="1"/>
  <c r="V366" i="1"/>
  <c r="S366" i="1"/>
  <c r="Y366" i="1" s="1"/>
  <c r="M366" i="1"/>
  <c r="W365" i="1"/>
  <c r="T365" i="1"/>
  <c r="Z365" i="1" s="1"/>
  <c r="N365" i="1"/>
  <c r="J365" i="1"/>
  <c r="V364" i="1"/>
  <c r="S364" i="1"/>
  <c r="Y364" i="1" s="1"/>
  <c r="M364" i="1"/>
  <c r="V363" i="1"/>
  <c r="S363" i="1"/>
  <c r="Y363" i="1" s="1"/>
  <c r="M363" i="1"/>
  <c r="V362" i="1"/>
  <c r="S362" i="1"/>
  <c r="M362" i="1"/>
  <c r="J361" i="1" s="1"/>
  <c r="W361" i="1"/>
  <c r="T361" i="1"/>
  <c r="Z361" i="1" s="1"/>
  <c r="N361" i="1"/>
  <c r="V360" i="1"/>
  <c r="S360" i="1"/>
  <c r="Y360" i="1" s="1"/>
  <c r="M360" i="1"/>
  <c r="V359" i="1"/>
  <c r="S359" i="1"/>
  <c r="Y359" i="1" s="1"/>
  <c r="M359" i="1"/>
  <c r="J357" i="1" s="1"/>
  <c r="V358" i="1"/>
  <c r="S358" i="1"/>
  <c r="Y358" i="1" s="1"/>
  <c r="M358" i="1"/>
  <c r="W357" i="1"/>
  <c r="T357" i="1"/>
  <c r="Z357" i="1" s="1"/>
  <c r="N357" i="1"/>
  <c r="V356" i="1"/>
  <c r="S356" i="1"/>
  <c r="M356" i="1"/>
  <c r="V355" i="1"/>
  <c r="S355" i="1"/>
  <c r="Y355" i="1" s="1"/>
  <c r="M355" i="1"/>
  <c r="V354" i="1"/>
  <c r="S354" i="1"/>
  <c r="Y354" i="1" s="1"/>
  <c r="M354" i="1"/>
  <c r="J353" i="1" s="1"/>
  <c r="W353" i="1"/>
  <c r="T353" i="1"/>
  <c r="Z353" i="1" s="1"/>
  <c r="N353" i="1"/>
  <c r="V352" i="1"/>
  <c r="S352" i="1"/>
  <c r="Y352" i="1" s="1"/>
  <c r="M352" i="1"/>
  <c r="V351" i="1"/>
  <c r="S351" i="1"/>
  <c r="Y351" i="1" s="1"/>
  <c r="M351" i="1"/>
  <c r="V350" i="1"/>
  <c r="S350" i="1"/>
  <c r="Y350" i="1" s="1"/>
  <c r="M350" i="1"/>
  <c r="J349" i="1" s="1"/>
  <c r="L349" i="1" s="1"/>
  <c r="W349" i="1"/>
  <c r="T349" i="1"/>
  <c r="Z349" i="1" s="1"/>
  <c r="N349" i="1"/>
  <c r="V348" i="1"/>
  <c r="S348" i="1"/>
  <c r="Y348" i="1" s="1"/>
  <c r="M348" i="1"/>
  <c r="V347" i="1"/>
  <c r="S347" i="1"/>
  <c r="Y347" i="1" s="1"/>
  <c r="M347" i="1"/>
  <c r="J345" i="1" s="1"/>
  <c r="V346" i="1"/>
  <c r="S346" i="1"/>
  <c r="Y346" i="1" s="1"/>
  <c r="M346" i="1"/>
  <c r="W345" i="1"/>
  <c r="T345" i="1"/>
  <c r="Z345" i="1" s="1"/>
  <c r="N345" i="1"/>
  <c r="V344" i="1"/>
  <c r="S344" i="1"/>
  <c r="Y344" i="1" s="1"/>
  <c r="M344" i="1"/>
  <c r="Y343" i="1"/>
  <c r="V343" i="1"/>
  <c r="S343" i="1"/>
  <c r="M343" i="1"/>
  <c r="V342" i="1"/>
  <c r="S342" i="1"/>
  <c r="P341" i="1" s="1"/>
  <c r="M342" i="1"/>
  <c r="W341" i="1"/>
  <c r="T341" i="1"/>
  <c r="Z341" i="1" s="1"/>
  <c r="N341" i="1"/>
  <c r="J341" i="1"/>
  <c r="M341" i="1" s="1"/>
  <c r="O341" i="1" s="1"/>
  <c r="Y340" i="1"/>
  <c r="V340" i="1"/>
  <c r="S340" i="1"/>
  <c r="M340" i="1"/>
  <c r="V339" i="1"/>
  <c r="S339" i="1"/>
  <c r="Y339" i="1" s="1"/>
  <c r="M339" i="1"/>
  <c r="J337" i="1" s="1"/>
  <c r="Y338" i="1"/>
  <c r="V338" i="1"/>
  <c r="S338" i="1"/>
  <c r="M338" i="1"/>
  <c r="W337" i="1"/>
  <c r="T337" i="1"/>
  <c r="Z337" i="1" s="1"/>
  <c r="P337" i="1"/>
  <c r="V337" i="1" s="1"/>
  <c r="N337" i="1"/>
  <c r="V336" i="1"/>
  <c r="S336" i="1"/>
  <c r="Y336" i="1" s="1"/>
  <c r="M336" i="1"/>
  <c r="Y335" i="1"/>
  <c r="V335" i="1"/>
  <c r="S335" i="1"/>
  <c r="M335" i="1"/>
  <c r="V334" i="1"/>
  <c r="S334" i="1"/>
  <c r="P333" i="1" s="1"/>
  <c r="M334" i="1"/>
  <c r="W333" i="1"/>
  <c r="T333" i="1"/>
  <c r="Z333" i="1" s="1"/>
  <c r="N333" i="1"/>
  <c r="J333" i="1"/>
  <c r="M333" i="1" s="1"/>
  <c r="O333" i="1" s="1"/>
  <c r="Y332" i="1"/>
  <c r="V332" i="1"/>
  <c r="S332" i="1"/>
  <c r="M332" i="1"/>
  <c r="V331" i="1"/>
  <c r="S331" i="1"/>
  <c r="P330" i="1" s="1"/>
  <c r="M331" i="1"/>
  <c r="W330" i="1"/>
  <c r="T330" i="1"/>
  <c r="Z330" i="1" s="1"/>
  <c r="S330" i="1"/>
  <c r="N330" i="1"/>
  <c r="J330" i="1"/>
  <c r="M330" i="1" s="1"/>
  <c r="O330" i="1" s="1"/>
  <c r="Y329" i="1"/>
  <c r="V329" i="1"/>
  <c r="S329" i="1"/>
  <c r="M329" i="1"/>
  <c r="V328" i="1"/>
  <c r="S328" i="1"/>
  <c r="Y328" i="1" s="1"/>
  <c r="M328" i="1"/>
  <c r="J326" i="1" s="1"/>
  <c r="Y327" i="1"/>
  <c r="V327" i="1"/>
  <c r="S327" i="1"/>
  <c r="M327" i="1"/>
  <c r="W326" i="1"/>
  <c r="T326" i="1"/>
  <c r="Z326" i="1" s="1"/>
  <c r="P326" i="1"/>
  <c r="V326" i="1" s="1"/>
  <c r="N326" i="1"/>
  <c r="V325" i="1"/>
  <c r="S325" i="1"/>
  <c r="Y325" i="1" s="1"/>
  <c r="M325" i="1"/>
  <c r="J323" i="1" s="1"/>
  <c r="Y324" i="1"/>
  <c r="V324" i="1"/>
  <c r="S324" i="1"/>
  <c r="M324" i="1"/>
  <c r="W323" i="1"/>
  <c r="T323" i="1"/>
  <c r="Z323" i="1" s="1"/>
  <c r="P323" i="1"/>
  <c r="V323" i="1" s="1"/>
  <c r="N323" i="1"/>
  <c r="V322" i="1"/>
  <c r="S322" i="1"/>
  <c r="Y322" i="1" s="1"/>
  <c r="M322" i="1"/>
  <c r="Y321" i="1"/>
  <c r="V321" i="1"/>
  <c r="S321" i="1"/>
  <c r="M321" i="1"/>
  <c r="V320" i="1"/>
  <c r="S320" i="1"/>
  <c r="P319" i="1" s="1"/>
  <c r="M320" i="1"/>
  <c r="W319" i="1"/>
  <c r="T319" i="1"/>
  <c r="Z319" i="1" s="1"/>
  <c r="N319" i="1"/>
  <c r="J319" i="1"/>
  <c r="M319" i="1" s="1"/>
  <c r="O319" i="1" s="1"/>
  <c r="Y318" i="1"/>
  <c r="V318" i="1"/>
  <c r="S318" i="1"/>
  <c r="M318" i="1"/>
  <c r="V317" i="1"/>
  <c r="S317" i="1"/>
  <c r="P316" i="1" s="1"/>
  <c r="M317" i="1"/>
  <c r="W316" i="1"/>
  <c r="T316" i="1"/>
  <c r="Z316" i="1" s="1"/>
  <c r="S316" i="1"/>
  <c r="N316" i="1"/>
  <c r="J316" i="1"/>
  <c r="M316" i="1" s="1"/>
  <c r="O316" i="1" s="1"/>
  <c r="Y315" i="1"/>
  <c r="V315" i="1"/>
  <c r="S315" i="1"/>
  <c r="M315" i="1"/>
  <c r="V314" i="1"/>
  <c r="S314" i="1"/>
  <c r="Y314" i="1" s="1"/>
  <c r="M314" i="1"/>
  <c r="J312" i="1" s="1"/>
  <c r="Y313" i="1"/>
  <c r="V313" i="1"/>
  <c r="S313" i="1"/>
  <c r="M313" i="1"/>
  <c r="W312" i="1"/>
  <c r="T312" i="1"/>
  <c r="Z312" i="1" s="1"/>
  <c r="P312" i="1"/>
  <c r="V312" i="1" s="1"/>
  <c r="N312" i="1"/>
  <c r="V311" i="1"/>
  <c r="S311" i="1"/>
  <c r="Y311" i="1" s="1"/>
  <c r="M311" i="1"/>
  <c r="Y310" i="1"/>
  <c r="V310" i="1"/>
  <c r="S310" i="1"/>
  <c r="M310" i="1"/>
  <c r="V309" i="1"/>
  <c r="S309" i="1"/>
  <c r="P308" i="1" s="1"/>
  <c r="S308" i="1" s="1"/>
  <c r="M309" i="1"/>
  <c r="W308" i="1"/>
  <c r="T308" i="1"/>
  <c r="Z308" i="1" s="1"/>
  <c r="N308" i="1"/>
  <c r="J308" i="1"/>
  <c r="M308" i="1" s="1"/>
  <c r="O308" i="1" s="1"/>
  <c r="Y307" i="1"/>
  <c r="V307" i="1"/>
  <c r="S307" i="1"/>
  <c r="M307" i="1"/>
  <c r="V306" i="1"/>
  <c r="S306" i="1"/>
  <c r="Y306" i="1" s="1"/>
  <c r="M306" i="1"/>
  <c r="J304" i="1" s="1"/>
  <c r="Y305" i="1"/>
  <c r="V305" i="1"/>
  <c r="S305" i="1"/>
  <c r="M305" i="1"/>
  <c r="W304" i="1"/>
  <c r="T304" i="1"/>
  <c r="Z304" i="1" s="1"/>
  <c r="P304" i="1"/>
  <c r="V304" i="1" s="1"/>
  <c r="N304" i="1"/>
  <c r="V303" i="1"/>
  <c r="S303" i="1"/>
  <c r="Y303" i="1" s="1"/>
  <c r="M303" i="1"/>
  <c r="Y302" i="1"/>
  <c r="V302" i="1"/>
  <c r="S302" i="1"/>
  <c r="M302" i="1"/>
  <c r="V301" i="1"/>
  <c r="S301" i="1"/>
  <c r="P300" i="1" s="1"/>
  <c r="S300" i="1" s="1"/>
  <c r="M301" i="1"/>
  <c r="W300" i="1"/>
  <c r="T300" i="1"/>
  <c r="Z300" i="1" s="1"/>
  <c r="N300" i="1"/>
  <c r="J300" i="1"/>
  <c r="M300" i="1" s="1"/>
  <c r="O300" i="1" s="1"/>
  <c r="Y299" i="1"/>
  <c r="V299" i="1"/>
  <c r="S299" i="1"/>
  <c r="M299" i="1"/>
  <c r="V298" i="1"/>
  <c r="S298" i="1"/>
  <c r="P297" i="1" s="1"/>
  <c r="M298" i="1"/>
  <c r="W297" i="1"/>
  <c r="T297" i="1"/>
  <c r="Z297" i="1" s="1"/>
  <c r="N297" i="1"/>
  <c r="J297" i="1"/>
  <c r="M297" i="1" s="1"/>
  <c r="O297" i="1" s="1"/>
  <c r="Y296" i="1"/>
  <c r="V296" i="1"/>
  <c r="S296" i="1"/>
  <c r="M296" i="1"/>
  <c r="V295" i="1"/>
  <c r="S295" i="1"/>
  <c r="Y295" i="1" s="1"/>
  <c r="M295" i="1"/>
  <c r="J293" i="1" s="1"/>
  <c r="Y294" i="1"/>
  <c r="V294" i="1"/>
  <c r="S294" i="1"/>
  <c r="M294" i="1"/>
  <c r="W293" i="1"/>
  <c r="T293" i="1"/>
  <c r="Z293" i="1" s="1"/>
  <c r="P293" i="1"/>
  <c r="V293" i="1" s="1"/>
  <c r="N293" i="1"/>
  <c r="V292" i="1"/>
  <c r="S292" i="1"/>
  <c r="Y292" i="1" s="1"/>
  <c r="M292" i="1"/>
  <c r="J290" i="1" s="1"/>
  <c r="Y291" i="1"/>
  <c r="V291" i="1"/>
  <c r="S291" i="1"/>
  <c r="M291" i="1"/>
  <c r="W290" i="1"/>
  <c r="T290" i="1"/>
  <c r="Z290" i="1" s="1"/>
  <c r="P290" i="1"/>
  <c r="V290" i="1" s="1"/>
  <c r="N290" i="1"/>
  <c r="T289" i="1"/>
  <c r="V287" i="1"/>
  <c r="S287" i="1"/>
  <c r="M287" i="1"/>
  <c r="Z286" i="1"/>
  <c r="W286" i="1"/>
  <c r="T286" i="1"/>
  <c r="N286" i="1"/>
  <c r="N285" i="1" s="1"/>
  <c r="M286" i="1"/>
  <c r="M285" i="1" s="1"/>
  <c r="L286" i="1"/>
  <c r="J286" i="1"/>
  <c r="Z285" i="1"/>
  <c r="T285" i="1"/>
  <c r="Y284" i="1"/>
  <c r="V284" i="1"/>
  <c r="S284" i="1"/>
  <c r="M284" i="1"/>
  <c r="Y283" i="1"/>
  <c r="V283" i="1"/>
  <c r="S283" i="1"/>
  <c r="M283" i="1"/>
  <c r="Y282" i="1"/>
  <c r="V282" i="1"/>
  <c r="S282" i="1"/>
  <c r="M282" i="1"/>
  <c r="J280" i="1" s="1"/>
  <c r="L280" i="1" s="1"/>
  <c r="Y281" i="1"/>
  <c r="V281" i="1"/>
  <c r="S281" i="1"/>
  <c r="P280" i="1" s="1"/>
  <c r="M281" i="1"/>
  <c r="W280" i="1"/>
  <c r="V280" i="1"/>
  <c r="T280" i="1"/>
  <c r="Z280" i="1" s="1"/>
  <c r="N280" i="1"/>
  <c r="Y279" i="1"/>
  <c r="V279" i="1"/>
  <c r="S279" i="1"/>
  <c r="M279" i="1"/>
  <c r="Y278" i="1"/>
  <c r="V278" i="1"/>
  <c r="S278" i="1"/>
  <c r="M278" i="1"/>
  <c r="Y277" i="1"/>
  <c r="V277" i="1"/>
  <c r="S277" i="1"/>
  <c r="M277" i="1"/>
  <c r="J275" i="1" s="1"/>
  <c r="Y276" i="1"/>
  <c r="V276" i="1"/>
  <c r="S276" i="1"/>
  <c r="P275" i="1" s="1"/>
  <c r="V275" i="1" s="1"/>
  <c r="M276" i="1"/>
  <c r="W275" i="1"/>
  <c r="T275" i="1"/>
  <c r="Z275" i="1" s="1"/>
  <c r="N275" i="1"/>
  <c r="Y274" i="1"/>
  <c r="V274" i="1"/>
  <c r="S274" i="1"/>
  <c r="M274" i="1"/>
  <c r="Y273" i="1"/>
  <c r="V273" i="1"/>
  <c r="S273" i="1"/>
  <c r="M273" i="1"/>
  <c r="Y272" i="1"/>
  <c r="V272" i="1"/>
  <c r="S272" i="1"/>
  <c r="M272" i="1"/>
  <c r="J270" i="1" s="1"/>
  <c r="L270" i="1" s="1"/>
  <c r="Y271" i="1"/>
  <c r="V271" i="1"/>
  <c r="S271" i="1"/>
  <c r="P270" i="1" s="1"/>
  <c r="M271" i="1"/>
  <c r="W270" i="1"/>
  <c r="T270" i="1"/>
  <c r="Z270" i="1" s="1"/>
  <c r="N270" i="1"/>
  <c r="M270" i="1"/>
  <c r="O270" i="1" s="1"/>
  <c r="Y269" i="1"/>
  <c r="V269" i="1"/>
  <c r="S269" i="1"/>
  <c r="M269" i="1"/>
  <c r="Y268" i="1"/>
  <c r="V268" i="1"/>
  <c r="S268" i="1"/>
  <c r="M268" i="1"/>
  <c r="Y267" i="1"/>
  <c r="V267" i="1"/>
  <c r="S267" i="1"/>
  <c r="M267" i="1"/>
  <c r="Y266" i="1"/>
  <c r="V266" i="1"/>
  <c r="S266" i="1"/>
  <c r="P265" i="1" s="1"/>
  <c r="M266" i="1"/>
  <c r="W265" i="1"/>
  <c r="V265" i="1"/>
  <c r="T265" i="1"/>
  <c r="Z265" i="1" s="1"/>
  <c r="N265" i="1"/>
  <c r="M265" i="1"/>
  <c r="O265" i="1" s="1"/>
  <c r="J265" i="1"/>
  <c r="L265" i="1" s="1"/>
  <c r="Y264" i="1"/>
  <c r="V264" i="1"/>
  <c r="S264" i="1"/>
  <c r="M264" i="1"/>
  <c r="Y263" i="1"/>
  <c r="V263" i="1"/>
  <c r="S263" i="1"/>
  <c r="M263" i="1"/>
  <c r="Y262" i="1"/>
  <c r="V262" i="1"/>
  <c r="S262" i="1"/>
  <c r="M262" i="1"/>
  <c r="Y261" i="1"/>
  <c r="V261" i="1"/>
  <c r="S261" i="1"/>
  <c r="P260" i="1" s="1"/>
  <c r="V260" i="1" s="1"/>
  <c r="M261" i="1"/>
  <c r="W260" i="1"/>
  <c r="T260" i="1"/>
  <c r="Z260" i="1" s="1"/>
  <c r="N260" i="1"/>
  <c r="M260" i="1"/>
  <c r="O260" i="1" s="1"/>
  <c r="J260" i="1"/>
  <c r="L260" i="1" s="1"/>
  <c r="Y259" i="1"/>
  <c r="V259" i="1"/>
  <c r="S259" i="1"/>
  <c r="M259" i="1"/>
  <c r="Y258" i="1"/>
  <c r="V258" i="1"/>
  <c r="S258" i="1"/>
  <c r="M258" i="1"/>
  <c r="Y257" i="1"/>
  <c r="V257" i="1"/>
  <c r="S257" i="1"/>
  <c r="M257" i="1"/>
  <c r="Y256" i="1"/>
  <c r="V256" i="1"/>
  <c r="S256" i="1"/>
  <c r="P255" i="1" s="1"/>
  <c r="V255" i="1" s="1"/>
  <c r="M256" i="1"/>
  <c r="W255" i="1"/>
  <c r="T255" i="1"/>
  <c r="Z255" i="1" s="1"/>
  <c r="N255" i="1"/>
  <c r="M255" i="1"/>
  <c r="O255" i="1" s="1"/>
  <c r="J255" i="1"/>
  <c r="L255" i="1" s="1"/>
  <c r="Y254" i="1"/>
  <c r="V254" i="1"/>
  <c r="S254" i="1"/>
  <c r="M254" i="1"/>
  <c r="Y253" i="1"/>
  <c r="V253" i="1"/>
  <c r="S253" i="1"/>
  <c r="M253" i="1"/>
  <c r="Y252" i="1"/>
  <c r="V252" i="1"/>
  <c r="S252" i="1"/>
  <c r="M252" i="1"/>
  <c r="Y251" i="1"/>
  <c r="V251" i="1"/>
  <c r="S251" i="1"/>
  <c r="P250" i="1" s="1"/>
  <c r="M251" i="1"/>
  <c r="W250" i="1"/>
  <c r="V250" i="1"/>
  <c r="T250" i="1"/>
  <c r="Z250" i="1" s="1"/>
  <c r="N250" i="1"/>
  <c r="M250" i="1"/>
  <c r="O250" i="1" s="1"/>
  <c r="J250" i="1"/>
  <c r="L250" i="1" s="1"/>
  <c r="Y249" i="1"/>
  <c r="V249" i="1"/>
  <c r="S249" i="1"/>
  <c r="M249" i="1"/>
  <c r="Y248" i="1"/>
  <c r="V248" i="1"/>
  <c r="S248" i="1"/>
  <c r="M248" i="1"/>
  <c r="Y247" i="1"/>
  <c r="V247" i="1"/>
  <c r="S247" i="1"/>
  <c r="M247" i="1"/>
  <c r="Y246" i="1"/>
  <c r="V246" i="1"/>
  <c r="S246" i="1"/>
  <c r="P245" i="1" s="1"/>
  <c r="M246" i="1"/>
  <c r="W245" i="1"/>
  <c r="V245" i="1"/>
  <c r="T245" i="1"/>
  <c r="Z245" i="1" s="1"/>
  <c r="N245" i="1"/>
  <c r="M245" i="1"/>
  <c r="O245" i="1" s="1"/>
  <c r="J245" i="1"/>
  <c r="L245" i="1" s="1"/>
  <c r="Y244" i="1"/>
  <c r="V244" i="1"/>
  <c r="S244" i="1"/>
  <c r="M244" i="1"/>
  <c r="Y243" i="1"/>
  <c r="V243" i="1"/>
  <c r="S243" i="1"/>
  <c r="M243" i="1"/>
  <c r="Y242" i="1"/>
  <c r="V242" i="1"/>
  <c r="S242" i="1"/>
  <c r="M242" i="1"/>
  <c r="Y241" i="1"/>
  <c r="V241" i="1"/>
  <c r="S241" i="1"/>
  <c r="P240" i="1" s="1"/>
  <c r="V240" i="1" s="1"/>
  <c r="M241" i="1"/>
  <c r="W240" i="1"/>
  <c r="T240" i="1"/>
  <c r="Z240" i="1" s="1"/>
  <c r="N240" i="1"/>
  <c r="M240" i="1"/>
  <c r="J240" i="1"/>
  <c r="L240" i="1" s="1"/>
  <c r="Y239" i="1"/>
  <c r="V239" i="1"/>
  <c r="S239" i="1"/>
  <c r="M239" i="1"/>
  <c r="Z238" i="1"/>
  <c r="W238" i="1"/>
  <c r="T238" i="1"/>
  <c r="S238" i="1"/>
  <c r="R238" i="1"/>
  <c r="X238" i="1" s="1"/>
  <c r="P238" i="1"/>
  <c r="V238" i="1" s="1"/>
  <c r="N238" i="1"/>
  <c r="J238" i="1"/>
  <c r="M238" i="1" s="1"/>
  <c r="O238" i="1" s="1"/>
  <c r="Y237" i="1"/>
  <c r="V237" i="1"/>
  <c r="S237" i="1"/>
  <c r="M237" i="1"/>
  <c r="J235" i="1" s="1"/>
  <c r="Y236" i="1"/>
  <c r="V236" i="1"/>
  <c r="S236" i="1"/>
  <c r="M236" i="1"/>
  <c r="Z235" i="1"/>
  <c r="W235" i="1"/>
  <c r="T235" i="1"/>
  <c r="S235" i="1"/>
  <c r="R235" i="1"/>
  <c r="X235" i="1" s="1"/>
  <c r="P235" i="1"/>
  <c r="V235" i="1" s="1"/>
  <c r="N235" i="1"/>
  <c r="Y234" i="1"/>
  <c r="V234" i="1"/>
  <c r="S234" i="1"/>
  <c r="M234" i="1"/>
  <c r="Y233" i="1"/>
  <c r="V233" i="1"/>
  <c r="S233" i="1"/>
  <c r="M233" i="1"/>
  <c r="Y232" i="1"/>
  <c r="V232" i="1"/>
  <c r="S232" i="1"/>
  <c r="P231" i="1" s="1"/>
  <c r="V231" i="1" s="1"/>
  <c r="M232" i="1"/>
  <c r="W231" i="1"/>
  <c r="T231" i="1"/>
  <c r="Z231" i="1" s="1"/>
  <c r="N231" i="1"/>
  <c r="M231" i="1"/>
  <c r="O231" i="1" s="1"/>
  <c r="J231" i="1"/>
  <c r="L231" i="1" s="1"/>
  <c r="Y230" i="1"/>
  <c r="V230" i="1"/>
  <c r="S230" i="1"/>
  <c r="M230" i="1"/>
  <c r="Y229" i="1"/>
  <c r="V229" i="1"/>
  <c r="S229" i="1"/>
  <c r="M229" i="1"/>
  <c r="J227" i="1" s="1"/>
  <c r="Y228" i="1"/>
  <c r="V228" i="1"/>
  <c r="S228" i="1"/>
  <c r="M228" i="1"/>
  <c r="Z227" i="1"/>
  <c r="X227" i="1"/>
  <c r="W227" i="1"/>
  <c r="T227" i="1"/>
  <c r="S227" i="1"/>
  <c r="R227" i="1"/>
  <c r="P227" i="1"/>
  <c r="V227" i="1" s="1"/>
  <c r="N227" i="1"/>
  <c r="Y226" i="1"/>
  <c r="V226" i="1"/>
  <c r="S226" i="1"/>
  <c r="M226" i="1"/>
  <c r="Y225" i="1"/>
  <c r="V225" i="1"/>
  <c r="S225" i="1"/>
  <c r="M225" i="1"/>
  <c r="Y224" i="1"/>
  <c r="V224" i="1"/>
  <c r="S224" i="1"/>
  <c r="M224" i="1"/>
  <c r="Y223" i="1"/>
  <c r="V223" i="1"/>
  <c r="S223" i="1"/>
  <c r="M223" i="1"/>
  <c r="Z222" i="1"/>
  <c r="W222" i="1"/>
  <c r="T222" i="1"/>
  <c r="P222" i="1"/>
  <c r="N222" i="1"/>
  <c r="N216" i="1" s="1"/>
  <c r="J222" i="1"/>
  <c r="V221" i="1"/>
  <c r="S221" i="1"/>
  <c r="Y221" i="1" s="1"/>
  <c r="M221" i="1"/>
  <c r="Y220" i="1"/>
  <c r="V220" i="1"/>
  <c r="S220" i="1"/>
  <c r="M220" i="1"/>
  <c r="V219" i="1"/>
  <c r="S219" i="1"/>
  <c r="Y219" i="1" s="1"/>
  <c r="M219" i="1"/>
  <c r="Y218" i="1"/>
  <c r="V218" i="1"/>
  <c r="S218" i="1"/>
  <c r="M218" i="1"/>
  <c r="J217" i="1" s="1"/>
  <c r="W217" i="1"/>
  <c r="T217" i="1"/>
  <c r="T216" i="1" s="1"/>
  <c r="N217" i="1"/>
  <c r="V215" i="1"/>
  <c r="S215" i="1"/>
  <c r="P214" i="1" s="1"/>
  <c r="M215" i="1"/>
  <c r="J214" i="1" s="1"/>
  <c r="W214" i="1"/>
  <c r="T214" i="1"/>
  <c r="Z214" i="1" s="1"/>
  <c r="N214" i="1"/>
  <c r="Y213" i="1"/>
  <c r="V213" i="1"/>
  <c r="S213" i="1"/>
  <c r="P212" i="1" s="1"/>
  <c r="M213" i="1"/>
  <c r="W212" i="1"/>
  <c r="T212" i="1"/>
  <c r="Z212" i="1" s="1"/>
  <c r="N212" i="1"/>
  <c r="M212" i="1"/>
  <c r="O212" i="1" s="1"/>
  <c r="J212" i="1"/>
  <c r="L212" i="1" s="1"/>
  <c r="V211" i="1"/>
  <c r="S211" i="1"/>
  <c r="Y211" i="1" s="1"/>
  <c r="M211" i="1"/>
  <c r="Z210" i="1"/>
  <c r="W210" i="1"/>
  <c r="T210" i="1"/>
  <c r="S210" i="1"/>
  <c r="R210" i="1"/>
  <c r="X210" i="1" s="1"/>
  <c r="P210" i="1"/>
  <c r="V210" i="1" s="1"/>
  <c r="N210" i="1"/>
  <c r="J210" i="1"/>
  <c r="M210" i="1" s="1"/>
  <c r="O210" i="1" s="1"/>
  <c r="Y209" i="1"/>
  <c r="V209" i="1"/>
  <c r="S209" i="1"/>
  <c r="P208" i="1" s="1"/>
  <c r="M209" i="1"/>
  <c r="W208" i="1"/>
  <c r="T208" i="1"/>
  <c r="Z208" i="1" s="1"/>
  <c r="N208" i="1"/>
  <c r="M208" i="1"/>
  <c r="O208" i="1" s="1"/>
  <c r="J208" i="1"/>
  <c r="L208" i="1" s="1"/>
  <c r="V207" i="1"/>
  <c r="S207" i="1"/>
  <c r="Y207" i="1" s="1"/>
  <c r="M207" i="1"/>
  <c r="Z206" i="1"/>
  <c r="W206" i="1"/>
  <c r="T206" i="1"/>
  <c r="S206" i="1"/>
  <c r="R206" i="1"/>
  <c r="X206" i="1" s="1"/>
  <c r="P206" i="1"/>
  <c r="V206" i="1" s="1"/>
  <c r="N206" i="1"/>
  <c r="J206" i="1"/>
  <c r="M206" i="1" s="1"/>
  <c r="O206" i="1" s="1"/>
  <c r="Y205" i="1"/>
  <c r="V205" i="1"/>
  <c r="S205" i="1"/>
  <c r="P204" i="1" s="1"/>
  <c r="M205" i="1"/>
  <c r="W204" i="1"/>
  <c r="T204" i="1"/>
  <c r="Z204" i="1" s="1"/>
  <c r="N204" i="1"/>
  <c r="M204" i="1"/>
  <c r="J204" i="1"/>
  <c r="L204" i="1" s="1"/>
  <c r="V203" i="1"/>
  <c r="S203" i="1"/>
  <c r="Y203" i="1" s="1"/>
  <c r="M203" i="1"/>
  <c r="Z202" i="1"/>
  <c r="W202" i="1"/>
  <c r="T202" i="1"/>
  <c r="S202" i="1"/>
  <c r="R202" i="1"/>
  <c r="X202" i="1" s="1"/>
  <c r="P202" i="1"/>
  <c r="V202" i="1" s="1"/>
  <c r="N202" i="1"/>
  <c r="J202" i="1"/>
  <c r="M202" i="1" s="1"/>
  <c r="O202" i="1" s="1"/>
  <c r="Y201" i="1"/>
  <c r="V201" i="1"/>
  <c r="S201" i="1"/>
  <c r="P200" i="1" s="1"/>
  <c r="M201" i="1"/>
  <c r="W200" i="1"/>
  <c r="T200" i="1"/>
  <c r="Z200" i="1" s="1"/>
  <c r="N200" i="1"/>
  <c r="M200" i="1"/>
  <c r="O200" i="1" s="1"/>
  <c r="J200" i="1"/>
  <c r="L200" i="1" s="1"/>
  <c r="V199" i="1"/>
  <c r="S199" i="1"/>
  <c r="Y199" i="1" s="1"/>
  <c r="M199" i="1"/>
  <c r="Z198" i="1"/>
  <c r="W198" i="1"/>
  <c r="T198" i="1"/>
  <c r="S198" i="1"/>
  <c r="R198" i="1"/>
  <c r="X198" i="1" s="1"/>
  <c r="P198" i="1"/>
  <c r="V198" i="1" s="1"/>
  <c r="N198" i="1"/>
  <c r="J198" i="1"/>
  <c r="M198" i="1" s="1"/>
  <c r="O198" i="1" s="1"/>
  <c r="Y197" i="1"/>
  <c r="V197" i="1"/>
  <c r="S197" i="1"/>
  <c r="P196" i="1" s="1"/>
  <c r="M197" i="1"/>
  <c r="W196" i="1"/>
  <c r="T196" i="1"/>
  <c r="Z196" i="1" s="1"/>
  <c r="Z193" i="1" s="1"/>
  <c r="N196" i="1"/>
  <c r="M196" i="1"/>
  <c r="J196" i="1"/>
  <c r="L196" i="1" s="1"/>
  <c r="V195" i="1"/>
  <c r="S195" i="1"/>
  <c r="Y195" i="1" s="1"/>
  <c r="M195" i="1"/>
  <c r="Z194" i="1"/>
  <c r="W194" i="1"/>
  <c r="T194" i="1"/>
  <c r="T193" i="1" s="1"/>
  <c r="S194" i="1"/>
  <c r="R194" i="1"/>
  <c r="X194" i="1" s="1"/>
  <c r="P194" i="1"/>
  <c r="V194" i="1" s="1"/>
  <c r="N194" i="1"/>
  <c r="J194" i="1"/>
  <c r="M194" i="1" s="1"/>
  <c r="Y192" i="1"/>
  <c r="V192" i="1"/>
  <c r="S192" i="1"/>
  <c r="M192" i="1"/>
  <c r="V191" i="1"/>
  <c r="S191" i="1"/>
  <c r="Y191" i="1" s="1"/>
  <c r="M191" i="1"/>
  <c r="J189" i="1" s="1"/>
  <c r="Y190" i="1"/>
  <c r="V190" i="1"/>
  <c r="S190" i="1"/>
  <c r="P189" i="1" s="1"/>
  <c r="M190" i="1"/>
  <c r="Z189" i="1"/>
  <c r="W189" i="1"/>
  <c r="T189" i="1"/>
  <c r="N189" i="1"/>
  <c r="V188" i="1"/>
  <c r="S188" i="1"/>
  <c r="Y188" i="1" s="1"/>
  <c r="M188" i="1"/>
  <c r="J185" i="1" s="1"/>
  <c r="Y187" i="1"/>
  <c r="V187" i="1"/>
  <c r="S187" i="1"/>
  <c r="M187" i="1"/>
  <c r="V186" i="1"/>
  <c r="S186" i="1"/>
  <c r="Y186" i="1" s="1"/>
  <c r="M186" i="1"/>
  <c r="W185" i="1"/>
  <c r="T185" i="1"/>
  <c r="Z185" i="1" s="1"/>
  <c r="S185" i="1"/>
  <c r="Y185" i="1" s="1"/>
  <c r="AA185" i="1" s="1"/>
  <c r="P185" i="1"/>
  <c r="R185" i="1" s="1"/>
  <c r="X185" i="1" s="1"/>
  <c r="N185" i="1"/>
  <c r="Y184" i="1"/>
  <c r="V184" i="1"/>
  <c r="S184" i="1"/>
  <c r="M184" i="1"/>
  <c r="V183" i="1"/>
  <c r="S183" i="1"/>
  <c r="Y183" i="1" s="1"/>
  <c r="M183" i="1"/>
  <c r="J181" i="1" s="1"/>
  <c r="Y182" i="1"/>
  <c r="V182" i="1"/>
  <c r="S182" i="1"/>
  <c r="P181" i="1" s="1"/>
  <c r="M182" i="1"/>
  <c r="W181" i="1"/>
  <c r="T181" i="1"/>
  <c r="Z181" i="1" s="1"/>
  <c r="N181" i="1"/>
  <c r="V180" i="1"/>
  <c r="S180" i="1"/>
  <c r="Y180" i="1" s="1"/>
  <c r="M180" i="1"/>
  <c r="J179" i="1" s="1"/>
  <c r="W179" i="1"/>
  <c r="T179" i="1"/>
  <c r="Z179" i="1" s="1"/>
  <c r="S179" i="1"/>
  <c r="Y179" i="1" s="1"/>
  <c r="P179" i="1"/>
  <c r="R179" i="1" s="1"/>
  <c r="X179" i="1" s="1"/>
  <c r="N179" i="1"/>
  <c r="Y178" i="1"/>
  <c r="V178" i="1"/>
  <c r="S178" i="1"/>
  <c r="M178" i="1"/>
  <c r="V177" i="1"/>
  <c r="S177" i="1"/>
  <c r="Y177" i="1" s="1"/>
  <c r="M177" i="1"/>
  <c r="W176" i="1"/>
  <c r="T176" i="1"/>
  <c r="Z176" i="1" s="1"/>
  <c r="S176" i="1"/>
  <c r="Y176" i="1" s="1"/>
  <c r="AA176" i="1" s="1"/>
  <c r="P176" i="1"/>
  <c r="R176" i="1" s="1"/>
  <c r="X176" i="1" s="1"/>
  <c r="N176" i="1"/>
  <c r="J176" i="1"/>
  <c r="Y175" i="1"/>
  <c r="V175" i="1"/>
  <c r="S175" i="1"/>
  <c r="M175" i="1"/>
  <c r="V174" i="1"/>
  <c r="S174" i="1"/>
  <c r="Y174" i="1" s="1"/>
  <c r="M174" i="1"/>
  <c r="J173" i="1" s="1"/>
  <c r="W173" i="1"/>
  <c r="T173" i="1"/>
  <c r="Z173" i="1" s="1"/>
  <c r="S173" i="1"/>
  <c r="Y173" i="1" s="1"/>
  <c r="P173" i="1"/>
  <c r="R173" i="1" s="1"/>
  <c r="X173" i="1" s="1"/>
  <c r="N173" i="1"/>
  <c r="Y172" i="1"/>
  <c r="V172" i="1"/>
  <c r="S172" i="1"/>
  <c r="M172" i="1"/>
  <c r="V171" i="1"/>
  <c r="S171" i="1"/>
  <c r="Y171" i="1" s="1"/>
  <c r="M171" i="1"/>
  <c r="J170" i="1" s="1"/>
  <c r="W170" i="1"/>
  <c r="T170" i="1"/>
  <c r="Z170" i="1" s="1"/>
  <c r="S170" i="1"/>
  <c r="Y170" i="1" s="1"/>
  <c r="AA170" i="1" s="1"/>
  <c r="P170" i="1"/>
  <c r="R170" i="1" s="1"/>
  <c r="X170" i="1" s="1"/>
  <c r="N170" i="1"/>
  <c r="Y169" i="1"/>
  <c r="V169" i="1"/>
  <c r="S169" i="1"/>
  <c r="M169" i="1"/>
  <c r="V168" i="1"/>
  <c r="S168" i="1"/>
  <c r="Y168" i="1" s="1"/>
  <c r="M168" i="1"/>
  <c r="J166" i="1" s="1"/>
  <c r="Y167" i="1"/>
  <c r="V167" i="1"/>
  <c r="S167" i="1"/>
  <c r="P166" i="1" s="1"/>
  <c r="M167" i="1"/>
  <c r="W166" i="1"/>
  <c r="T166" i="1"/>
  <c r="Z166" i="1" s="1"/>
  <c r="N166" i="1"/>
  <c r="V165" i="1"/>
  <c r="S165" i="1"/>
  <c r="Y165" i="1" s="1"/>
  <c r="M165" i="1"/>
  <c r="Y164" i="1"/>
  <c r="V164" i="1"/>
  <c r="S164" i="1"/>
  <c r="M164" i="1"/>
  <c r="V163" i="1"/>
  <c r="S163" i="1"/>
  <c r="Y163" i="1" s="1"/>
  <c r="M163" i="1"/>
  <c r="J162" i="1" s="1"/>
  <c r="W162" i="1"/>
  <c r="T162" i="1"/>
  <c r="Z162" i="1" s="1"/>
  <c r="S162" i="1"/>
  <c r="Y162" i="1" s="1"/>
  <c r="AA162" i="1" s="1"/>
  <c r="P162" i="1"/>
  <c r="R162" i="1" s="1"/>
  <c r="X162" i="1" s="1"/>
  <c r="N162" i="1"/>
  <c r="Y161" i="1"/>
  <c r="V161" i="1"/>
  <c r="S161" i="1"/>
  <c r="M161" i="1"/>
  <c r="V160" i="1"/>
  <c r="S160" i="1"/>
  <c r="Y160" i="1" s="1"/>
  <c r="M160" i="1"/>
  <c r="J158" i="1" s="1"/>
  <c r="Y159" i="1"/>
  <c r="V159" i="1"/>
  <c r="S159" i="1"/>
  <c r="P158" i="1" s="1"/>
  <c r="M159" i="1"/>
  <c r="W158" i="1"/>
  <c r="T158" i="1"/>
  <c r="Z158" i="1" s="1"/>
  <c r="N158" i="1"/>
  <c r="V157" i="1"/>
  <c r="S157" i="1"/>
  <c r="Y157" i="1" s="1"/>
  <c r="M157" i="1"/>
  <c r="Y156" i="1"/>
  <c r="V156" i="1"/>
  <c r="S156" i="1"/>
  <c r="M156" i="1"/>
  <c r="V155" i="1"/>
  <c r="S155" i="1"/>
  <c r="Y155" i="1" s="1"/>
  <c r="M155" i="1"/>
  <c r="J154" i="1" s="1"/>
  <c r="W154" i="1"/>
  <c r="T154" i="1"/>
  <c r="Z154" i="1" s="1"/>
  <c r="S154" i="1"/>
  <c r="Y154" i="1" s="1"/>
  <c r="AA154" i="1" s="1"/>
  <c r="P154" i="1"/>
  <c r="R154" i="1" s="1"/>
  <c r="X154" i="1" s="1"/>
  <c r="N154" i="1"/>
  <c r="Y153" i="1"/>
  <c r="V153" i="1"/>
  <c r="S153" i="1"/>
  <c r="M153" i="1"/>
  <c r="V152" i="1"/>
  <c r="S152" i="1"/>
  <c r="Y152" i="1" s="1"/>
  <c r="M152" i="1"/>
  <c r="J150" i="1" s="1"/>
  <c r="Y151" i="1"/>
  <c r="V151" i="1"/>
  <c r="S151" i="1"/>
  <c r="P150" i="1" s="1"/>
  <c r="M151" i="1"/>
  <c r="W150" i="1"/>
  <c r="T150" i="1"/>
  <c r="Z150" i="1" s="1"/>
  <c r="N150" i="1"/>
  <c r="V149" i="1"/>
  <c r="S149" i="1"/>
  <c r="Y149" i="1" s="1"/>
  <c r="M149" i="1"/>
  <c r="Y148" i="1"/>
  <c r="V148" i="1"/>
  <c r="S148" i="1"/>
  <c r="M148" i="1"/>
  <c r="V147" i="1"/>
  <c r="S147" i="1"/>
  <c r="Y147" i="1" s="1"/>
  <c r="M147" i="1"/>
  <c r="J146" i="1" s="1"/>
  <c r="W146" i="1"/>
  <c r="T146" i="1"/>
  <c r="Z146" i="1" s="1"/>
  <c r="S146" i="1"/>
  <c r="Y146" i="1" s="1"/>
  <c r="AA146" i="1" s="1"/>
  <c r="P146" i="1"/>
  <c r="R146" i="1" s="1"/>
  <c r="X146" i="1" s="1"/>
  <c r="N146" i="1"/>
  <c r="Y145" i="1"/>
  <c r="V145" i="1"/>
  <c r="S145" i="1"/>
  <c r="M145" i="1"/>
  <c r="V144" i="1"/>
  <c r="S144" i="1"/>
  <c r="Y144" i="1" s="1"/>
  <c r="M144" i="1"/>
  <c r="J142" i="1" s="1"/>
  <c r="Y143" i="1"/>
  <c r="V143" i="1"/>
  <c r="S143" i="1"/>
  <c r="P142" i="1" s="1"/>
  <c r="M143" i="1"/>
  <c r="W142" i="1"/>
  <c r="T142" i="1"/>
  <c r="Z142" i="1" s="1"/>
  <c r="N142" i="1"/>
  <c r="V141" i="1"/>
  <c r="S141" i="1"/>
  <c r="Y141" i="1" s="1"/>
  <c r="M141" i="1"/>
  <c r="Y140" i="1"/>
  <c r="V140" i="1"/>
  <c r="S140" i="1"/>
  <c r="M140" i="1"/>
  <c r="V139" i="1"/>
  <c r="S139" i="1"/>
  <c r="Y139" i="1" s="1"/>
  <c r="M139" i="1"/>
  <c r="W138" i="1"/>
  <c r="T138" i="1"/>
  <c r="Z138" i="1" s="1"/>
  <c r="S138" i="1"/>
  <c r="P138" i="1"/>
  <c r="R138" i="1" s="1"/>
  <c r="X138" i="1" s="1"/>
  <c r="N138" i="1"/>
  <c r="J138" i="1"/>
  <c r="Y137" i="1"/>
  <c r="V137" i="1"/>
  <c r="S137" i="1"/>
  <c r="M137" i="1"/>
  <c r="V136" i="1"/>
  <c r="S136" i="1"/>
  <c r="Y136" i="1" s="1"/>
  <c r="M136" i="1"/>
  <c r="J134" i="1" s="1"/>
  <c r="M134" i="1" s="1"/>
  <c r="Y135" i="1"/>
  <c r="V135" i="1"/>
  <c r="S135" i="1"/>
  <c r="P134" i="1" s="1"/>
  <c r="M135" i="1"/>
  <c r="W134" i="1"/>
  <c r="T134" i="1"/>
  <c r="Z134" i="1" s="1"/>
  <c r="O134" i="1"/>
  <c r="N134" i="1"/>
  <c r="L134" i="1"/>
  <c r="V133" i="1"/>
  <c r="S133" i="1"/>
  <c r="Y133" i="1" s="1"/>
  <c r="M133" i="1"/>
  <c r="Y132" i="1"/>
  <c r="V132" i="1"/>
  <c r="S132" i="1"/>
  <c r="P130" i="1" s="1"/>
  <c r="M132" i="1"/>
  <c r="V131" i="1"/>
  <c r="S131" i="1"/>
  <c r="Y131" i="1" s="1"/>
  <c r="M131" i="1"/>
  <c r="J130" i="1" s="1"/>
  <c r="W130" i="1"/>
  <c r="T130" i="1"/>
  <c r="Z130" i="1" s="1"/>
  <c r="N130" i="1"/>
  <c r="Y129" i="1"/>
  <c r="V129" i="1"/>
  <c r="S129" i="1"/>
  <c r="M129" i="1"/>
  <c r="V128" i="1"/>
  <c r="S128" i="1"/>
  <c r="Y128" i="1" s="1"/>
  <c r="M128" i="1"/>
  <c r="J125" i="1" s="1"/>
  <c r="Y127" i="1"/>
  <c r="V127" i="1"/>
  <c r="S127" i="1"/>
  <c r="P125" i="1" s="1"/>
  <c r="M127" i="1"/>
  <c r="V126" i="1"/>
  <c r="S126" i="1"/>
  <c r="Y126" i="1" s="1"/>
  <c r="M126" i="1"/>
  <c r="W125" i="1"/>
  <c r="T125" i="1"/>
  <c r="Z125" i="1" s="1"/>
  <c r="N125" i="1"/>
  <c r="V124" i="1"/>
  <c r="S124" i="1"/>
  <c r="P123" i="1" s="1"/>
  <c r="M124" i="1"/>
  <c r="W123" i="1"/>
  <c r="T123" i="1"/>
  <c r="Z123" i="1" s="1"/>
  <c r="N123" i="1"/>
  <c r="L123" i="1"/>
  <c r="J123" i="1"/>
  <c r="M123" i="1" s="1"/>
  <c r="O123" i="1" s="1"/>
  <c r="V122" i="1"/>
  <c r="S122" i="1"/>
  <c r="Y122" i="1" s="1"/>
  <c r="M122" i="1"/>
  <c r="W121" i="1"/>
  <c r="T121" i="1"/>
  <c r="Z121" i="1" s="1"/>
  <c r="P121" i="1"/>
  <c r="N121" i="1"/>
  <c r="J121" i="1"/>
  <c r="M121" i="1" s="1"/>
  <c r="O121" i="1" s="1"/>
  <c r="Y120" i="1"/>
  <c r="V120" i="1"/>
  <c r="S120" i="1"/>
  <c r="P119" i="1" s="1"/>
  <c r="M120" i="1"/>
  <c r="W119" i="1"/>
  <c r="T119" i="1"/>
  <c r="O119" i="1"/>
  <c r="N119" i="1"/>
  <c r="L119" i="1"/>
  <c r="J119" i="1"/>
  <c r="M119" i="1" s="1"/>
  <c r="V118" i="1"/>
  <c r="S118" i="1"/>
  <c r="Y118" i="1" s="1"/>
  <c r="M118" i="1"/>
  <c r="J117" i="1" s="1"/>
  <c r="W117" i="1"/>
  <c r="T117" i="1"/>
  <c r="Z117" i="1" s="1"/>
  <c r="P117" i="1"/>
  <c r="N117" i="1"/>
  <c r="V116" i="1"/>
  <c r="S116" i="1"/>
  <c r="Y116" i="1" s="1"/>
  <c r="M116" i="1"/>
  <c r="J115" i="1" s="1"/>
  <c r="W115" i="1"/>
  <c r="T115" i="1"/>
  <c r="Z115" i="1" s="1"/>
  <c r="N115" i="1"/>
  <c r="V114" i="1"/>
  <c r="S114" i="1"/>
  <c r="Y114" i="1" s="1"/>
  <c r="M114" i="1"/>
  <c r="W113" i="1"/>
  <c r="T113" i="1"/>
  <c r="Z113" i="1" s="1"/>
  <c r="N113" i="1"/>
  <c r="L113" i="1"/>
  <c r="J113" i="1"/>
  <c r="M113" i="1" s="1"/>
  <c r="O113" i="1" s="1"/>
  <c r="AA112" i="1"/>
  <c r="W112" i="1"/>
  <c r="T112" i="1"/>
  <c r="Z112" i="1" s="1"/>
  <c r="R112" i="1"/>
  <c r="X112" i="1" s="1"/>
  <c r="N112" i="1"/>
  <c r="L112" i="1"/>
  <c r="Y106" i="1"/>
  <c r="V106" i="1"/>
  <c r="S106" i="1"/>
  <c r="M106" i="1"/>
  <c r="Y105" i="1"/>
  <c r="V105" i="1"/>
  <c r="S105" i="1"/>
  <c r="M105" i="1"/>
  <c r="J103" i="1" s="1"/>
  <c r="Y104" i="1"/>
  <c r="V104" i="1"/>
  <c r="S104" i="1"/>
  <c r="P103" i="1" s="1"/>
  <c r="M104" i="1"/>
  <c r="Z103" i="1"/>
  <c r="W103" i="1"/>
  <c r="T103" i="1"/>
  <c r="N103" i="1"/>
  <c r="N102" i="1" s="1"/>
  <c r="N101" i="1" s="1"/>
  <c r="Z102" i="1"/>
  <c r="T102" i="1"/>
  <c r="T101" i="1" s="1"/>
  <c r="Z101" i="1"/>
  <c r="Z100" i="1"/>
  <c r="AA100" i="1" s="1"/>
  <c r="X100" i="1"/>
  <c r="W100" i="1"/>
  <c r="U100" i="1"/>
  <c r="U99" i="1" s="1"/>
  <c r="T100" i="1"/>
  <c r="R100" i="1"/>
  <c r="N100" i="1"/>
  <c r="O100" i="1" s="1"/>
  <c r="O99" i="1" s="1"/>
  <c r="L100" i="1"/>
  <c r="AA99" i="1"/>
  <c r="Z99" i="1"/>
  <c r="Y99" i="1"/>
  <c r="T99" i="1"/>
  <c r="S99" i="1"/>
  <c r="N99" i="1"/>
  <c r="M99" i="1"/>
  <c r="Y98" i="1"/>
  <c r="V98" i="1"/>
  <c r="S98" i="1"/>
  <c r="M98" i="1"/>
  <c r="W97" i="1"/>
  <c r="V97" i="1"/>
  <c r="T97" i="1"/>
  <c r="Z97" i="1" s="1"/>
  <c r="P97" i="1"/>
  <c r="S97" i="1" s="1"/>
  <c r="O97" i="1"/>
  <c r="N97" i="1"/>
  <c r="M97" i="1"/>
  <c r="J97" i="1"/>
  <c r="L97" i="1" s="1"/>
  <c r="V96" i="1"/>
  <c r="S96" i="1"/>
  <c r="P95" i="1" s="1"/>
  <c r="M96" i="1"/>
  <c r="W95" i="1"/>
  <c r="T95" i="1"/>
  <c r="Z95" i="1" s="1"/>
  <c r="N95" i="1"/>
  <c r="J95" i="1"/>
  <c r="Y94" i="1"/>
  <c r="V94" i="1"/>
  <c r="S94" i="1"/>
  <c r="M94" i="1"/>
  <c r="W93" i="1"/>
  <c r="V93" i="1"/>
  <c r="T93" i="1"/>
  <c r="Z93" i="1" s="1"/>
  <c r="P93" i="1"/>
  <c r="S93" i="1" s="1"/>
  <c r="O93" i="1"/>
  <c r="N93" i="1"/>
  <c r="M93" i="1"/>
  <c r="J93" i="1"/>
  <c r="L93" i="1" s="1"/>
  <c r="V92" i="1"/>
  <c r="S92" i="1"/>
  <c r="Y92" i="1" s="1"/>
  <c r="M92" i="1"/>
  <c r="J90" i="1" s="1"/>
  <c r="Y91" i="1"/>
  <c r="V91" i="1"/>
  <c r="S91" i="1"/>
  <c r="M91" i="1"/>
  <c r="W90" i="1"/>
  <c r="V90" i="1"/>
  <c r="T90" i="1"/>
  <c r="Z90" i="1" s="1"/>
  <c r="P90" i="1"/>
  <c r="S90" i="1" s="1"/>
  <c r="N90" i="1"/>
  <c r="V89" i="1"/>
  <c r="S89" i="1"/>
  <c r="Y89" i="1" s="1"/>
  <c r="M89" i="1"/>
  <c r="Y88" i="1"/>
  <c r="V88" i="1"/>
  <c r="S88" i="1"/>
  <c r="M88" i="1"/>
  <c r="V87" i="1"/>
  <c r="S87" i="1"/>
  <c r="P86" i="1" s="1"/>
  <c r="M87" i="1"/>
  <c r="W86" i="1"/>
  <c r="T86" i="1"/>
  <c r="Z86" i="1" s="1"/>
  <c r="N86" i="1"/>
  <c r="J86" i="1"/>
  <c r="Y85" i="1"/>
  <c r="V85" i="1"/>
  <c r="S85" i="1"/>
  <c r="M85" i="1"/>
  <c r="V84" i="1"/>
  <c r="S84" i="1"/>
  <c r="Y84" i="1" s="1"/>
  <c r="M84" i="1"/>
  <c r="J82" i="1" s="1"/>
  <c r="Y83" i="1"/>
  <c r="V83" i="1"/>
  <c r="S83" i="1"/>
  <c r="M83" i="1"/>
  <c r="W82" i="1"/>
  <c r="V82" i="1"/>
  <c r="T82" i="1"/>
  <c r="Z82" i="1" s="1"/>
  <c r="P82" i="1"/>
  <c r="S82" i="1" s="1"/>
  <c r="N82" i="1"/>
  <c r="V81" i="1"/>
  <c r="S81" i="1"/>
  <c r="Y81" i="1" s="1"/>
  <c r="M81" i="1"/>
  <c r="Y80" i="1"/>
  <c r="V80" i="1"/>
  <c r="S80" i="1"/>
  <c r="M80" i="1"/>
  <c r="V79" i="1"/>
  <c r="S79" i="1"/>
  <c r="P78" i="1" s="1"/>
  <c r="M79" i="1"/>
  <c r="W78" i="1"/>
  <c r="T78" i="1"/>
  <c r="Z78" i="1" s="1"/>
  <c r="N78" i="1"/>
  <c r="J78" i="1"/>
  <c r="Y77" i="1"/>
  <c r="V77" i="1"/>
  <c r="S77" i="1"/>
  <c r="M77" i="1"/>
  <c r="V76" i="1"/>
  <c r="S76" i="1"/>
  <c r="P75" i="1" s="1"/>
  <c r="M76" i="1"/>
  <c r="J75" i="1" s="1"/>
  <c r="W75" i="1"/>
  <c r="T75" i="1"/>
  <c r="N75" i="1"/>
  <c r="N74" i="1"/>
  <c r="Y73" i="1"/>
  <c r="V73" i="1"/>
  <c r="S73" i="1"/>
  <c r="M73" i="1"/>
  <c r="V72" i="1"/>
  <c r="S72" i="1"/>
  <c r="Y72" i="1" s="1"/>
  <c r="M72" i="1"/>
  <c r="J69" i="1" s="1"/>
  <c r="Y71" i="1"/>
  <c r="V71" i="1"/>
  <c r="S71" i="1"/>
  <c r="M71" i="1"/>
  <c r="V70" i="1"/>
  <c r="S70" i="1"/>
  <c r="M70" i="1"/>
  <c r="W69" i="1"/>
  <c r="T69" i="1"/>
  <c r="Z69" i="1" s="1"/>
  <c r="N69" i="1"/>
  <c r="Y68" i="1"/>
  <c r="V68" i="1"/>
  <c r="S68" i="1"/>
  <c r="M68" i="1"/>
  <c r="V67" i="1"/>
  <c r="S67" i="1"/>
  <c r="Y67" i="1" s="1"/>
  <c r="M67" i="1"/>
  <c r="Y66" i="1"/>
  <c r="V66" i="1"/>
  <c r="S66" i="1"/>
  <c r="M66" i="1"/>
  <c r="V65" i="1"/>
  <c r="S65" i="1"/>
  <c r="M65" i="1"/>
  <c r="W64" i="1"/>
  <c r="T64" i="1"/>
  <c r="Z64" i="1" s="1"/>
  <c r="N64" i="1"/>
  <c r="L64" i="1"/>
  <c r="J64" i="1"/>
  <c r="M64" i="1" s="1"/>
  <c r="O64" i="1" s="1"/>
  <c r="Y63" i="1"/>
  <c r="V63" i="1"/>
  <c r="S63" i="1"/>
  <c r="M63" i="1"/>
  <c r="V62" i="1"/>
  <c r="S62" i="1"/>
  <c r="Y62" i="1" s="1"/>
  <c r="M62" i="1"/>
  <c r="Y61" i="1"/>
  <c r="V61" i="1"/>
  <c r="S61" i="1"/>
  <c r="M61" i="1"/>
  <c r="V60" i="1"/>
  <c r="S60" i="1"/>
  <c r="Y60" i="1" s="1"/>
  <c r="M60" i="1"/>
  <c r="Y59" i="1"/>
  <c r="V59" i="1"/>
  <c r="S59" i="1"/>
  <c r="M59" i="1"/>
  <c r="Z58" i="1"/>
  <c r="W58" i="1"/>
  <c r="T58" i="1"/>
  <c r="N58" i="1"/>
  <c r="N57" i="1" s="1"/>
  <c r="V56" i="1"/>
  <c r="S56" i="1"/>
  <c r="Y56" i="1" s="1"/>
  <c r="M56" i="1"/>
  <c r="V55" i="1"/>
  <c r="S55" i="1"/>
  <c r="Y55" i="1" s="1"/>
  <c r="M55" i="1"/>
  <c r="V54" i="1"/>
  <c r="S54" i="1"/>
  <c r="Y54" i="1" s="1"/>
  <c r="M54" i="1"/>
  <c r="J52" i="1" s="1"/>
  <c r="V53" i="1"/>
  <c r="S53" i="1"/>
  <c r="Y53" i="1" s="1"/>
  <c r="M53" i="1"/>
  <c r="Z52" i="1"/>
  <c r="W52" i="1"/>
  <c r="T52" i="1"/>
  <c r="T51" i="1" s="1"/>
  <c r="N52" i="1"/>
  <c r="Z51" i="1"/>
  <c r="N51" i="1"/>
  <c r="Y50" i="1"/>
  <c r="V50" i="1"/>
  <c r="S50" i="1"/>
  <c r="M50" i="1"/>
  <c r="Y49" i="1"/>
  <c r="V49" i="1"/>
  <c r="S49" i="1"/>
  <c r="M49" i="1"/>
  <c r="Y48" i="1"/>
  <c r="V48" i="1"/>
  <c r="S48" i="1"/>
  <c r="M48" i="1"/>
  <c r="Y47" i="1"/>
  <c r="V47" i="1"/>
  <c r="S47" i="1"/>
  <c r="M47" i="1"/>
  <c r="J45" i="1" s="1"/>
  <c r="M45" i="1" s="1"/>
  <c r="Y46" i="1"/>
  <c r="V46" i="1"/>
  <c r="S46" i="1"/>
  <c r="P45" i="1" s="1"/>
  <c r="V45" i="1" s="1"/>
  <c r="M46" i="1"/>
  <c r="W45" i="1"/>
  <c r="T45" i="1"/>
  <c r="Z45" i="1" s="1"/>
  <c r="Z44" i="1" s="1"/>
  <c r="N45" i="1"/>
  <c r="N44" i="1" s="1"/>
  <c r="N43" i="1" s="1"/>
  <c r="T44" i="1"/>
  <c r="V42" i="1"/>
  <c r="S42" i="1"/>
  <c r="Y42" i="1" s="1"/>
  <c r="M42" i="1"/>
  <c r="J40" i="1" s="1"/>
  <c r="Y41" i="1"/>
  <c r="V41" i="1"/>
  <c r="S41" i="1"/>
  <c r="M41" i="1"/>
  <c r="Z40" i="1"/>
  <c r="W40" i="1"/>
  <c r="T40" i="1"/>
  <c r="P40" i="1"/>
  <c r="R40" i="1" s="1"/>
  <c r="X40" i="1" s="1"/>
  <c r="N40" i="1"/>
  <c r="V39" i="1"/>
  <c r="S39" i="1"/>
  <c r="Y39" i="1" s="1"/>
  <c r="M39" i="1"/>
  <c r="Y38" i="1"/>
  <c r="V38" i="1"/>
  <c r="S38" i="1"/>
  <c r="M38" i="1"/>
  <c r="V37" i="1"/>
  <c r="S37" i="1"/>
  <c r="Y37" i="1" s="1"/>
  <c r="M37" i="1"/>
  <c r="J35" i="1" s="1"/>
  <c r="Y36" i="1"/>
  <c r="V36" i="1"/>
  <c r="S36" i="1"/>
  <c r="M36" i="1"/>
  <c r="Z35" i="1"/>
  <c r="Z34" i="1" s="1"/>
  <c r="W35" i="1"/>
  <c r="T35" i="1"/>
  <c r="P35" i="1"/>
  <c r="N35" i="1"/>
  <c r="N34" i="1" s="1"/>
  <c r="T34" i="1"/>
  <c r="Y31" i="1"/>
  <c r="V31" i="1"/>
  <c r="S31" i="1"/>
  <c r="M31" i="1"/>
  <c r="V30" i="1"/>
  <c r="S30" i="1"/>
  <c r="Y30" i="1" s="1"/>
  <c r="M30" i="1"/>
  <c r="Y29" i="1"/>
  <c r="V29" i="1"/>
  <c r="S29" i="1"/>
  <c r="M29" i="1"/>
  <c r="V28" i="1"/>
  <c r="S28" i="1"/>
  <c r="Y28" i="1" s="1"/>
  <c r="M28" i="1"/>
  <c r="J26" i="1" s="1"/>
  <c r="L26" i="1" s="1"/>
  <c r="Y27" i="1"/>
  <c r="V27" i="1"/>
  <c r="S27" i="1"/>
  <c r="M27" i="1"/>
  <c r="W26" i="1"/>
  <c r="T26" i="1"/>
  <c r="Z26" i="1" s="1"/>
  <c r="Z25" i="1" s="1"/>
  <c r="P26" i="1"/>
  <c r="V26" i="1" s="1"/>
  <c r="N26" i="1"/>
  <c r="N25" i="1" s="1"/>
  <c r="T25" i="1"/>
  <c r="V24" i="1"/>
  <c r="S24" i="1"/>
  <c r="Y24" i="1" s="1"/>
  <c r="M24" i="1"/>
  <c r="Y23" i="1"/>
  <c r="V23" i="1"/>
  <c r="S23" i="1"/>
  <c r="M23" i="1"/>
  <c r="V22" i="1"/>
  <c r="S22" i="1"/>
  <c r="Y22" i="1" s="1"/>
  <c r="M22" i="1"/>
  <c r="J20" i="1" s="1"/>
  <c r="Y21" i="1"/>
  <c r="V21" i="1"/>
  <c r="S21" i="1"/>
  <c r="M21" i="1"/>
  <c r="Z20" i="1"/>
  <c r="Z19" i="1" s="1"/>
  <c r="Z18" i="1" s="1"/>
  <c r="Z17" i="1" s="1"/>
  <c r="Z16" i="1" s="1"/>
  <c r="W20" i="1"/>
  <c r="T20" i="1"/>
  <c r="N20" i="1"/>
  <c r="N19" i="1" s="1"/>
  <c r="N18" i="1" s="1"/>
  <c r="N17" i="1" s="1"/>
  <c r="N16" i="1" s="1"/>
  <c r="T19" i="1"/>
  <c r="T18" i="1" s="1"/>
  <c r="T17" i="1" s="1"/>
  <c r="T16" i="1" s="1"/>
  <c r="W14" i="1"/>
  <c r="T14" i="1"/>
  <c r="Z14" i="1" s="1"/>
  <c r="R14" i="1"/>
  <c r="X14" i="1" s="1"/>
  <c r="O14" i="1"/>
  <c r="O13" i="1" s="1"/>
  <c r="O12" i="1" s="1"/>
  <c r="O11" i="1" s="1"/>
  <c r="O10" i="1" s="1"/>
  <c r="N14" i="1"/>
  <c r="L14" i="1"/>
  <c r="Y13" i="1"/>
  <c r="Y12" i="1" s="1"/>
  <c r="Y11" i="1" s="1"/>
  <c r="Y10" i="1" s="1"/>
  <c r="S13" i="1"/>
  <c r="S12" i="1" s="1"/>
  <c r="S11" i="1" s="1"/>
  <c r="S10" i="1" s="1"/>
  <c r="N13" i="1"/>
  <c r="N12" i="1" s="1"/>
  <c r="N11" i="1" s="1"/>
  <c r="N10" i="1" s="1"/>
  <c r="M13" i="1"/>
  <c r="M12" i="1"/>
  <c r="M11" i="1"/>
  <c r="M10" i="1" s="1"/>
  <c r="M125" i="2" l="1"/>
  <c r="O125" i="2" s="1"/>
  <c r="L125" i="2"/>
  <c r="Y550" i="2"/>
  <c r="AA550" i="2" s="1"/>
  <c r="U550" i="2"/>
  <c r="S206" i="2"/>
  <c r="R206" i="2"/>
  <c r="X206" i="2" s="1"/>
  <c r="V206" i="2"/>
  <c r="U519" i="2"/>
  <c r="Y519" i="2"/>
  <c r="AA519" i="2" s="1"/>
  <c r="V552" i="2"/>
  <c r="S552" i="2"/>
  <c r="R552" i="2"/>
  <c r="X552" i="2" s="1"/>
  <c r="S357" i="2"/>
  <c r="V357" i="2"/>
  <c r="R357" i="2"/>
  <c r="X357" i="2" s="1"/>
  <c r="S293" i="2"/>
  <c r="R293" i="2"/>
  <c r="X293" i="2" s="1"/>
  <c r="V293" i="2"/>
  <c r="O217" i="2"/>
  <c r="M285" i="2"/>
  <c r="O286" i="2"/>
  <c r="O285" i="2" s="1"/>
  <c r="U536" i="2"/>
  <c r="Y536" i="2"/>
  <c r="M51" i="2"/>
  <c r="O52" i="2"/>
  <c r="O51" i="2" s="1"/>
  <c r="R416" i="2"/>
  <c r="X416" i="2" s="1"/>
  <c r="S416" i="2"/>
  <c r="V416" i="2"/>
  <c r="U507" i="2"/>
  <c r="Y507" i="2"/>
  <c r="AA507" i="2" s="1"/>
  <c r="S250" i="2"/>
  <c r="R250" i="2"/>
  <c r="X250" i="2" s="1"/>
  <c r="V250" i="2"/>
  <c r="R330" i="2"/>
  <c r="X330" i="2" s="1"/>
  <c r="S330" i="2"/>
  <c r="V330" i="2"/>
  <c r="Y196" i="2"/>
  <c r="U196" i="2"/>
  <c r="S361" i="2"/>
  <c r="R361" i="2"/>
  <c r="X361" i="2" s="1"/>
  <c r="V361" i="2"/>
  <c r="O501" i="2"/>
  <c r="O500" i="2" s="1"/>
  <c r="M500" i="2"/>
  <c r="V113" i="2"/>
  <c r="S113" i="2"/>
  <c r="R113" i="2"/>
  <c r="X113" i="2" s="1"/>
  <c r="M333" i="2"/>
  <c r="O333" i="2" s="1"/>
  <c r="L333" i="2"/>
  <c r="Z474" i="2"/>
  <c r="R476" i="2"/>
  <c r="X476" i="2" s="1"/>
  <c r="S476" i="2"/>
  <c r="V476" i="2"/>
  <c r="U202" i="2"/>
  <c r="Y202" i="2"/>
  <c r="AA202" i="2" s="1"/>
  <c r="AA501" i="2"/>
  <c r="V445" i="2"/>
  <c r="S445" i="2"/>
  <c r="R445" i="2"/>
  <c r="X445" i="2" s="1"/>
  <c r="Y345" i="2"/>
  <c r="AA345" i="2" s="1"/>
  <c r="U345" i="2"/>
  <c r="M510" i="2"/>
  <c r="O510" i="2" s="1"/>
  <c r="L510" i="2"/>
  <c r="R270" i="2"/>
  <c r="X270" i="2" s="1"/>
  <c r="V270" i="2"/>
  <c r="S270" i="2"/>
  <c r="R531" i="2"/>
  <c r="X531" i="2" s="1"/>
  <c r="V531" i="2"/>
  <c r="S531" i="2"/>
  <c r="Y538" i="2"/>
  <c r="AA538" i="2" s="1"/>
  <c r="U538" i="2"/>
  <c r="L260" i="2"/>
  <c r="M260" i="2"/>
  <c r="O260" i="2" s="1"/>
  <c r="R440" i="2"/>
  <c r="X440" i="2" s="1"/>
  <c r="S440" i="2"/>
  <c r="S373" i="2" s="1"/>
  <c r="V440" i="2"/>
  <c r="S240" i="2"/>
  <c r="R240" i="2"/>
  <c r="X240" i="2" s="1"/>
  <c r="V240" i="2"/>
  <c r="M86" i="2"/>
  <c r="O86" i="2" s="1"/>
  <c r="L86" i="2"/>
  <c r="Y460" i="2"/>
  <c r="AA460" i="2" s="1"/>
  <c r="U460" i="2"/>
  <c r="L460" i="2"/>
  <c r="M460" i="2"/>
  <c r="O460" i="2" s="1"/>
  <c r="M146" i="2"/>
  <c r="O146" i="2" s="1"/>
  <c r="L146" i="2"/>
  <c r="L488" i="2"/>
  <c r="M488" i="2"/>
  <c r="O488" i="2" s="1"/>
  <c r="V217" i="2"/>
  <c r="S217" i="2"/>
  <c r="R217" i="2"/>
  <c r="X217" i="2" s="1"/>
  <c r="O534" i="2"/>
  <c r="V430" i="2"/>
  <c r="S430" i="2"/>
  <c r="R430" i="2"/>
  <c r="X430" i="2" s="1"/>
  <c r="S353" i="2"/>
  <c r="R353" i="2"/>
  <c r="X353" i="2" s="1"/>
  <c r="V353" i="2"/>
  <c r="O476" i="2"/>
  <c r="M395" i="2"/>
  <c r="O395" i="2" s="1"/>
  <c r="L395" i="2"/>
  <c r="R90" i="2"/>
  <c r="X90" i="2" s="1"/>
  <c r="V90" i="2"/>
  <c r="S90" i="2"/>
  <c r="V510" i="2"/>
  <c r="S510" i="2"/>
  <c r="R510" i="2"/>
  <c r="X510" i="2" s="1"/>
  <c r="V369" i="2"/>
  <c r="R369" i="2"/>
  <c r="X369" i="2" s="1"/>
  <c r="S369" i="2"/>
  <c r="M102" i="2"/>
  <c r="M101" i="2" s="1"/>
  <c r="O103" i="2"/>
  <c r="O102" i="2" s="1"/>
  <c r="O101" i="2" s="1"/>
  <c r="S558" i="2"/>
  <c r="R558" i="2"/>
  <c r="X558" i="2" s="1"/>
  <c r="V558" i="2"/>
  <c r="L312" i="2"/>
  <c r="M312" i="2"/>
  <c r="O312" i="2" s="1"/>
  <c r="T110" i="2"/>
  <c r="S58" i="2"/>
  <c r="V58" i="2"/>
  <c r="R58" i="2"/>
  <c r="X58" i="2" s="1"/>
  <c r="V222" i="2"/>
  <c r="S222" i="2"/>
  <c r="R222" i="2"/>
  <c r="X222" i="2" s="1"/>
  <c r="Y488" i="2"/>
  <c r="AA488" i="2" s="1"/>
  <c r="U488" i="2"/>
  <c r="Y580" i="2"/>
  <c r="AA580" i="2" s="1"/>
  <c r="U580" i="2"/>
  <c r="M383" i="2"/>
  <c r="O383" i="2" s="1"/>
  <c r="L383" i="2"/>
  <c r="M176" i="2"/>
  <c r="O176" i="2" s="1"/>
  <c r="L176" i="2"/>
  <c r="R513" i="2"/>
  <c r="X513" i="2" s="1"/>
  <c r="V513" i="2"/>
  <c r="S513" i="2"/>
  <c r="Y374" i="2"/>
  <c r="U374" i="2"/>
  <c r="R123" i="2"/>
  <c r="X123" i="2" s="1"/>
  <c r="S123" i="2"/>
  <c r="V123" i="2"/>
  <c r="V422" i="2"/>
  <c r="S422" i="2"/>
  <c r="R422" i="2"/>
  <c r="X422" i="2" s="1"/>
  <c r="V528" i="2"/>
  <c r="S528" i="2"/>
  <c r="R528" i="2"/>
  <c r="X528" i="2" s="1"/>
  <c r="S435" i="2"/>
  <c r="R435" i="2"/>
  <c r="X435" i="2" s="1"/>
  <c r="V435" i="2"/>
  <c r="Y142" i="2"/>
  <c r="AA142" i="2" s="1"/>
  <c r="U142" i="2"/>
  <c r="Y181" i="2"/>
  <c r="AA181" i="2" s="1"/>
  <c r="U181" i="2"/>
  <c r="V392" i="2"/>
  <c r="R392" i="2"/>
  <c r="X392" i="2" s="1"/>
  <c r="S392" i="2"/>
  <c r="V341" i="2"/>
  <c r="R341" i="2"/>
  <c r="X341" i="2" s="1"/>
  <c r="S341" i="2"/>
  <c r="L227" i="2"/>
  <c r="M227" i="2"/>
  <c r="O227" i="2" s="1"/>
  <c r="V154" i="2"/>
  <c r="S154" i="2"/>
  <c r="R154" i="2"/>
  <c r="X154" i="2" s="1"/>
  <c r="U319" i="2"/>
  <c r="Y319" i="2"/>
  <c r="AA319" i="2" s="1"/>
  <c r="R386" i="2"/>
  <c r="X386" i="2" s="1"/>
  <c r="S386" i="2"/>
  <c r="V386" i="2"/>
  <c r="Y389" i="2"/>
  <c r="AA389" i="2" s="1"/>
  <c r="U389" i="2"/>
  <c r="R425" i="2"/>
  <c r="X425" i="2" s="1"/>
  <c r="S425" i="2"/>
  <c r="V425" i="2"/>
  <c r="U176" i="2"/>
  <c r="Y176" i="2"/>
  <c r="AA176" i="2" s="1"/>
  <c r="U497" i="2"/>
  <c r="Y497" i="2"/>
  <c r="AA497" i="2" s="1"/>
  <c r="M185" i="2"/>
  <c r="O185" i="2" s="1"/>
  <c r="L185" i="2"/>
  <c r="L245" i="2"/>
  <c r="M245" i="2"/>
  <c r="O245" i="2" s="1"/>
  <c r="M255" i="2"/>
  <c r="O255" i="2" s="1"/>
  <c r="L255" i="2"/>
  <c r="U556" i="2"/>
  <c r="Y556" i="2"/>
  <c r="AA556" i="2" s="1"/>
  <c r="Y383" i="2"/>
  <c r="AA383" i="2" s="1"/>
  <c r="U383" i="2"/>
  <c r="R97" i="2"/>
  <c r="X97" i="2" s="1"/>
  <c r="V97" i="2"/>
  <c r="S97" i="2"/>
  <c r="U214" i="2"/>
  <c r="Y214" i="2"/>
  <c r="AA214" i="2" s="1"/>
  <c r="M181" i="2"/>
  <c r="O181" i="2" s="1"/>
  <c r="L181" i="2"/>
  <c r="T474" i="2"/>
  <c r="T15" i="2"/>
  <c r="V455" i="2"/>
  <c r="S455" i="2"/>
  <c r="R455" i="2"/>
  <c r="X455" i="2" s="1"/>
  <c r="Y316" i="2"/>
  <c r="AA316" i="2" s="1"/>
  <c r="U316" i="2"/>
  <c r="S208" i="2"/>
  <c r="R208" i="2"/>
  <c r="X208" i="2" s="1"/>
  <c r="V208" i="2"/>
  <c r="O75" i="2"/>
  <c r="O74" i="2" s="1"/>
  <c r="M74" i="2"/>
  <c r="Y450" i="2"/>
  <c r="AA450" i="2" s="1"/>
  <c r="U450" i="2"/>
  <c r="M26" i="2"/>
  <c r="L26" i="2"/>
  <c r="U170" i="2"/>
  <c r="Y170" i="2"/>
  <c r="AA170" i="2" s="1"/>
  <c r="U546" i="2"/>
  <c r="Y546" i="2"/>
  <c r="AA546" i="2" s="1"/>
  <c r="U162" i="2"/>
  <c r="Y162" i="2"/>
  <c r="AA162" i="2" s="1"/>
  <c r="S413" i="2"/>
  <c r="V413" i="2"/>
  <c r="R413" i="2"/>
  <c r="X413" i="2" s="1"/>
  <c r="U146" i="2"/>
  <c r="Y146" i="2"/>
  <c r="AA146" i="2" s="1"/>
  <c r="S51" i="2"/>
  <c r="Y52" i="2"/>
  <c r="U52" i="2"/>
  <c r="U51" i="2" s="1"/>
  <c r="S280" i="2"/>
  <c r="V280" i="2"/>
  <c r="R280" i="2"/>
  <c r="X280" i="2" s="1"/>
  <c r="V26" i="2"/>
  <c r="S26" i="2"/>
  <c r="R26" i="2"/>
  <c r="X26" i="2" s="1"/>
  <c r="R227" i="2"/>
  <c r="X227" i="2" s="1"/>
  <c r="V227" i="2"/>
  <c r="S227" i="2"/>
  <c r="V304" i="2"/>
  <c r="R304" i="2"/>
  <c r="X304" i="2" s="1"/>
  <c r="S304" i="2"/>
  <c r="AA535" i="2"/>
  <c r="Z534" i="2"/>
  <c r="Z109" i="2" s="1"/>
  <c r="Z108" i="2" s="1"/>
  <c r="Z107" i="2" s="1"/>
  <c r="V554" i="2"/>
  <c r="S554" i="2"/>
  <c r="R554" i="2"/>
  <c r="X554" i="2" s="1"/>
  <c r="V398" i="2"/>
  <c r="S398" i="2"/>
  <c r="R398" i="2"/>
  <c r="X398" i="2" s="1"/>
  <c r="V464" i="2"/>
  <c r="R464" i="2"/>
  <c r="X464" i="2" s="1"/>
  <c r="S464" i="2"/>
  <c r="M130" i="2"/>
  <c r="O130" i="2" s="1"/>
  <c r="L130" i="2"/>
  <c r="L45" i="2"/>
  <c r="M45" i="2"/>
  <c r="U582" i="2"/>
  <c r="Y582" i="2"/>
  <c r="AA582" i="2" s="1"/>
  <c r="M440" i="2"/>
  <c r="O440" i="2" s="1"/>
  <c r="L440" i="2"/>
  <c r="Y380" i="2"/>
  <c r="AA380" i="2" s="1"/>
  <c r="U380" i="2"/>
  <c r="S75" i="2"/>
  <c r="R75" i="2"/>
  <c r="X75" i="2" s="1"/>
  <c r="V75" i="2"/>
  <c r="S469" i="2"/>
  <c r="R469" i="2"/>
  <c r="X469" i="2" s="1"/>
  <c r="V469" i="2"/>
  <c r="S485" i="2"/>
  <c r="V485" i="2"/>
  <c r="R485" i="2"/>
  <c r="X485" i="2" s="1"/>
  <c r="S410" i="2"/>
  <c r="R410" i="2"/>
  <c r="X410" i="2" s="1"/>
  <c r="V410" i="2"/>
  <c r="V255" i="2"/>
  <c r="S255" i="2"/>
  <c r="R255" i="2"/>
  <c r="X255" i="2" s="1"/>
  <c r="M534" i="2"/>
  <c r="V64" i="2"/>
  <c r="R64" i="2"/>
  <c r="X64" i="2" s="1"/>
  <c r="S64" i="2"/>
  <c r="M58" i="2"/>
  <c r="L58" i="2"/>
  <c r="V333" i="2"/>
  <c r="R333" i="2"/>
  <c r="X333" i="2" s="1"/>
  <c r="S333" i="2"/>
  <c r="V312" i="2"/>
  <c r="R312" i="2"/>
  <c r="X312" i="2" s="1"/>
  <c r="S312" i="2"/>
  <c r="S285" i="2"/>
  <c r="Y286" i="2"/>
  <c r="U286" i="2"/>
  <c r="U285" i="2" s="1"/>
  <c r="R260" i="2"/>
  <c r="X260" i="2" s="1"/>
  <c r="S260" i="2"/>
  <c r="V260" i="2"/>
  <c r="U78" i="2"/>
  <c r="Y78" i="2"/>
  <c r="AA78" i="2" s="1"/>
  <c r="O374" i="2"/>
  <c r="Y401" i="2"/>
  <c r="AA401" i="2" s="1"/>
  <c r="U401" i="2"/>
  <c r="V45" i="2"/>
  <c r="R45" i="2"/>
  <c r="X45" i="2" s="1"/>
  <c r="S45" i="2"/>
  <c r="Y482" i="2"/>
  <c r="AA482" i="2" s="1"/>
  <c r="U482" i="2"/>
  <c r="U130" i="2"/>
  <c r="Y130" i="2"/>
  <c r="AA130" i="2" s="1"/>
  <c r="U491" i="2"/>
  <c r="Y491" i="2"/>
  <c r="AA491" i="2" s="1"/>
  <c r="L445" i="2"/>
  <c r="M445" i="2"/>
  <c r="O445" i="2" s="1"/>
  <c r="O113" i="2"/>
  <c r="O111" i="2" s="1"/>
  <c r="U69" i="2"/>
  <c r="Y69" i="2"/>
  <c r="AA69" i="2" s="1"/>
  <c r="M162" i="2"/>
  <c r="O162" i="2" s="1"/>
  <c r="L162" i="2"/>
  <c r="S173" i="2"/>
  <c r="V173" i="2"/>
  <c r="R173" i="2"/>
  <c r="X173" i="2" s="1"/>
  <c r="Z33" i="2"/>
  <c r="Z32" i="2" s="1"/>
  <c r="Z15" i="2" s="1"/>
  <c r="V103" i="2"/>
  <c r="R103" i="2"/>
  <c r="X103" i="2" s="1"/>
  <c r="S103" i="2"/>
  <c r="V138" i="2"/>
  <c r="S138" i="2"/>
  <c r="R138" i="2"/>
  <c r="X138" i="2" s="1"/>
  <c r="O290" i="2"/>
  <c r="R125" i="2"/>
  <c r="X125" i="2" s="1"/>
  <c r="S125" i="2"/>
  <c r="V125" i="2"/>
  <c r="V337" i="2"/>
  <c r="R337" i="2"/>
  <c r="X337" i="2" s="1"/>
  <c r="S337" i="2"/>
  <c r="U245" i="2"/>
  <c r="Y245" i="2"/>
  <c r="AA245" i="2" s="1"/>
  <c r="U198" i="2"/>
  <c r="Y198" i="2"/>
  <c r="AA198" i="2" s="1"/>
  <c r="R275" i="2"/>
  <c r="X275" i="2" s="1"/>
  <c r="S275" i="2"/>
  <c r="V275" i="2"/>
  <c r="R185" i="2"/>
  <c r="X185" i="2" s="1"/>
  <c r="V185" i="2"/>
  <c r="S185" i="2"/>
  <c r="Y395" i="2"/>
  <c r="AA395" i="2" s="1"/>
  <c r="U395" i="2"/>
  <c r="S212" i="2"/>
  <c r="R212" i="2"/>
  <c r="X212" i="2" s="1"/>
  <c r="V212" i="2"/>
  <c r="Y323" i="2"/>
  <c r="AA323" i="2" s="1"/>
  <c r="U323" i="2"/>
  <c r="R166" i="2"/>
  <c r="X166" i="2" s="1"/>
  <c r="V166" i="2"/>
  <c r="S166" i="2"/>
  <c r="Z13" i="2"/>
  <c r="Z12" i="2" s="1"/>
  <c r="Z11" i="2" s="1"/>
  <c r="Z10" i="2" s="1"/>
  <c r="AA14" i="2"/>
  <c r="AA13" i="2" s="1"/>
  <c r="AA12" i="2" s="1"/>
  <c r="AA11" i="2" s="1"/>
  <c r="AA10" i="2" s="1"/>
  <c r="AA35" i="2"/>
  <c r="AA34" i="2" s="1"/>
  <c r="Y34" i="2"/>
  <c r="V158" i="2"/>
  <c r="S158" i="2"/>
  <c r="R158" i="2"/>
  <c r="X158" i="2" s="1"/>
  <c r="S235" i="2"/>
  <c r="R235" i="2"/>
  <c r="X235" i="2" s="1"/>
  <c r="V235" i="2"/>
  <c r="S479" i="2"/>
  <c r="R479" i="2"/>
  <c r="X479" i="2" s="1"/>
  <c r="V479" i="2"/>
  <c r="R134" i="2"/>
  <c r="X134" i="2" s="1"/>
  <c r="V134" i="2"/>
  <c r="S134" i="2"/>
  <c r="V297" i="2"/>
  <c r="R297" i="2"/>
  <c r="X297" i="2" s="1"/>
  <c r="S297" i="2"/>
  <c r="O196" i="2"/>
  <c r="O193" i="2" s="1"/>
  <c r="M193" i="2"/>
  <c r="U95" i="2"/>
  <c r="Y95" i="2"/>
  <c r="AA95" i="2" s="1"/>
  <c r="V200" i="2"/>
  <c r="S200" i="2"/>
  <c r="R200" i="2"/>
  <c r="X200" i="2" s="1"/>
  <c r="R504" i="2"/>
  <c r="X504" i="2" s="1"/>
  <c r="S504" i="2"/>
  <c r="V504" i="2"/>
  <c r="V569" i="2"/>
  <c r="S569" i="2"/>
  <c r="R569" i="2"/>
  <c r="X569" i="2" s="1"/>
  <c r="AA290" i="2"/>
  <c r="R525" i="2"/>
  <c r="X525" i="2" s="1"/>
  <c r="S525" i="2"/>
  <c r="V525" i="2"/>
  <c r="S300" i="2"/>
  <c r="R300" i="2"/>
  <c r="X300" i="2" s="1"/>
  <c r="V300" i="2"/>
  <c r="V365" i="2"/>
  <c r="S365" i="2"/>
  <c r="R365" i="2"/>
  <c r="X365" i="2" s="1"/>
  <c r="Y407" i="2"/>
  <c r="AA407" i="2" s="1"/>
  <c r="U407" i="2"/>
  <c r="Y231" i="2"/>
  <c r="AA231" i="2" s="1"/>
  <c r="U231" i="2"/>
  <c r="M419" i="2"/>
  <c r="O419" i="2" s="1"/>
  <c r="L419" i="2"/>
  <c r="R189" i="2"/>
  <c r="X189" i="2" s="1"/>
  <c r="S189" i="2"/>
  <c r="V189" i="2"/>
  <c r="Y349" i="2"/>
  <c r="AA349" i="2" s="1"/>
  <c r="U349" i="2"/>
  <c r="V86" i="2"/>
  <c r="S86" i="2"/>
  <c r="R86" i="2"/>
  <c r="X86" i="2" s="1"/>
  <c r="R404" i="2"/>
  <c r="X404" i="2" s="1"/>
  <c r="V404" i="2"/>
  <c r="S404" i="2"/>
  <c r="S20" i="2"/>
  <c r="R20" i="2"/>
  <c r="X20" i="2" s="1"/>
  <c r="V20" i="2"/>
  <c r="N15" i="2"/>
  <c r="N9" i="2" s="1"/>
  <c r="N8" i="2" s="1"/>
  <c r="N587" i="2" s="1"/>
  <c r="Y82" i="2"/>
  <c r="AA82" i="2" s="1"/>
  <c r="U82" i="2"/>
  <c r="U265" i="2"/>
  <c r="Y265" i="2"/>
  <c r="AA265" i="2" s="1"/>
  <c r="Y542" i="2"/>
  <c r="AA542" i="2" s="1"/>
  <c r="U542" i="2"/>
  <c r="V419" i="2"/>
  <c r="S419" i="2"/>
  <c r="R419" i="2"/>
  <c r="X419" i="2" s="1"/>
  <c r="R376" i="2"/>
  <c r="X376" i="2" s="1"/>
  <c r="V376" i="2"/>
  <c r="S376" i="2"/>
  <c r="R150" i="2"/>
  <c r="X150" i="2" s="1"/>
  <c r="V150" i="2"/>
  <c r="S150" i="2"/>
  <c r="L280" i="2"/>
  <c r="M280" i="2"/>
  <c r="O280" i="2" s="1"/>
  <c r="S308" i="2"/>
  <c r="R308" i="2"/>
  <c r="X308" i="2" s="1"/>
  <c r="V308" i="2"/>
  <c r="S326" i="2"/>
  <c r="V326" i="2"/>
  <c r="R326" i="2"/>
  <c r="X326" i="2" s="1"/>
  <c r="U34" i="2"/>
  <c r="O35" i="2"/>
  <c r="O34" i="2" s="1"/>
  <c r="M34" i="2"/>
  <c r="M75" i="1"/>
  <c r="L75" i="1"/>
  <c r="M130" i="1"/>
  <c r="O130" i="1" s="1"/>
  <c r="L130" i="1"/>
  <c r="M44" i="1"/>
  <c r="O45" i="1"/>
  <c r="O44" i="1" s="1"/>
  <c r="M69" i="1"/>
  <c r="O69" i="1" s="1"/>
  <c r="L69" i="1"/>
  <c r="U93" i="1"/>
  <c r="Y93" i="1"/>
  <c r="AA93" i="1" s="1"/>
  <c r="M103" i="1"/>
  <c r="L103" i="1"/>
  <c r="O194" i="1"/>
  <c r="U14" i="1"/>
  <c r="U13" i="1" s="1"/>
  <c r="U12" i="1" s="1"/>
  <c r="U11" i="1" s="1"/>
  <c r="U10" i="1" s="1"/>
  <c r="V35" i="1"/>
  <c r="S35" i="1"/>
  <c r="M95" i="1"/>
  <c r="O95" i="1" s="1"/>
  <c r="L95" i="1"/>
  <c r="R35" i="1"/>
  <c r="X35" i="1" s="1"/>
  <c r="T57" i="1"/>
  <c r="T43" i="1" s="1"/>
  <c r="T33" i="1" s="1"/>
  <c r="T32" i="1" s="1"/>
  <c r="T15" i="1" s="1"/>
  <c r="S75" i="1"/>
  <c r="R75" i="1"/>
  <c r="X75" i="1" s="1"/>
  <c r="V75" i="1"/>
  <c r="M154" i="1"/>
  <c r="O154" i="1" s="1"/>
  <c r="L154" i="1"/>
  <c r="M20" i="1"/>
  <c r="L20" i="1"/>
  <c r="V40" i="1"/>
  <c r="S40" i="1"/>
  <c r="M86" i="1"/>
  <c r="O86" i="1" s="1"/>
  <c r="L86" i="1"/>
  <c r="T13" i="1"/>
  <c r="T12" i="1" s="1"/>
  <c r="T11" i="1" s="1"/>
  <c r="T10" i="1" s="1"/>
  <c r="M52" i="1"/>
  <c r="L52" i="1"/>
  <c r="R125" i="1"/>
  <c r="X125" i="1" s="1"/>
  <c r="V125" i="1"/>
  <c r="S125" i="1"/>
  <c r="M40" i="1"/>
  <c r="O40" i="1" s="1"/>
  <c r="L40" i="1"/>
  <c r="Z57" i="1"/>
  <c r="Z119" i="1"/>
  <c r="Z111" i="1" s="1"/>
  <c r="Z110" i="1" s="1"/>
  <c r="T111" i="1"/>
  <c r="T110" i="1" s="1"/>
  <c r="R130" i="1"/>
  <c r="X130" i="1" s="1"/>
  <c r="V130" i="1"/>
  <c r="S130" i="1"/>
  <c r="S26" i="1"/>
  <c r="R26" i="1"/>
  <c r="X26" i="1" s="1"/>
  <c r="Z43" i="1"/>
  <c r="Z33" i="1" s="1"/>
  <c r="Z32" i="1" s="1"/>
  <c r="Z15" i="1" s="1"/>
  <c r="M35" i="1"/>
  <c r="L35" i="1"/>
  <c r="U97" i="1"/>
  <c r="Y97" i="1"/>
  <c r="AA97" i="1" s="1"/>
  <c r="N111" i="1"/>
  <c r="N110" i="1" s="1"/>
  <c r="O112" i="1"/>
  <c r="M117" i="1"/>
  <c r="O117" i="1" s="1"/>
  <c r="L117" i="1"/>
  <c r="M125" i="1"/>
  <c r="O125" i="1" s="1"/>
  <c r="L125" i="1"/>
  <c r="M170" i="1"/>
  <c r="O170" i="1" s="1"/>
  <c r="L170" i="1"/>
  <c r="P64" i="1"/>
  <c r="Y65" i="1"/>
  <c r="M173" i="1"/>
  <c r="O173" i="1" s="1"/>
  <c r="L173" i="1"/>
  <c r="M82" i="1"/>
  <c r="O82" i="1" s="1"/>
  <c r="L82" i="1"/>
  <c r="P20" i="1"/>
  <c r="S78" i="1"/>
  <c r="R78" i="1"/>
  <c r="X78" i="1" s="1"/>
  <c r="V78" i="1"/>
  <c r="S86" i="1"/>
  <c r="R86" i="1"/>
  <c r="X86" i="1" s="1"/>
  <c r="V86" i="1"/>
  <c r="V103" i="1"/>
  <c r="S103" i="1"/>
  <c r="R103" i="1"/>
  <c r="X103" i="1" s="1"/>
  <c r="M115" i="1"/>
  <c r="O115" i="1" s="1"/>
  <c r="L115" i="1"/>
  <c r="M146" i="1"/>
  <c r="O146" i="1" s="1"/>
  <c r="L146" i="1"/>
  <c r="Y210" i="1"/>
  <c r="AA210" i="1" s="1"/>
  <c r="U210" i="1"/>
  <c r="AA14" i="1"/>
  <c r="AA13" i="1" s="1"/>
  <c r="AA12" i="1" s="1"/>
  <c r="AA11" i="1" s="1"/>
  <c r="AA10" i="1" s="1"/>
  <c r="Z13" i="1"/>
  <c r="Z12" i="1" s="1"/>
  <c r="Z11" i="1" s="1"/>
  <c r="Z10" i="1" s="1"/>
  <c r="U82" i="1"/>
  <c r="Y82" i="1"/>
  <c r="AA82" i="1" s="1"/>
  <c r="U90" i="1"/>
  <c r="Y90" i="1"/>
  <c r="AA90" i="1" s="1"/>
  <c r="J58" i="1"/>
  <c r="M90" i="1"/>
  <c r="O90" i="1" s="1"/>
  <c r="L90" i="1"/>
  <c r="R117" i="1"/>
  <c r="X117" i="1" s="1"/>
  <c r="V117" i="1"/>
  <c r="S117" i="1"/>
  <c r="M179" i="1"/>
  <c r="O179" i="1" s="1"/>
  <c r="L179" i="1"/>
  <c r="M26" i="1"/>
  <c r="L45" i="1"/>
  <c r="S45" i="1"/>
  <c r="R45" i="1"/>
  <c r="X45" i="1" s="1"/>
  <c r="P69" i="1"/>
  <c r="Y70" i="1"/>
  <c r="S95" i="1"/>
  <c r="R95" i="1"/>
  <c r="X95" i="1" s="1"/>
  <c r="V95" i="1"/>
  <c r="V119" i="1"/>
  <c r="S119" i="1"/>
  <c r="R119" i="1"/>
  <c r="X119" i="1" s="1"/>
  <c r="M185" i="1"/>
  <c r="O185" i="1" s="1"/>
  <c r="L185" i="1"/>
  <c r="M78" i="1"/>
  <c r="O78" i="1" s="1"/>
  <c r="L78" i="1"/>
  <c r="L386" i="1"/>
  <c r="M386" i="1"/>
  <c r="O386" i="1" s="1"/>
  <c r="N33" i="1"/>
  <c r="N32" i="1" s="1"/>
  <c r="N15" i="1" s="1"/>
  <c r="P52" i="1"/>
  <c r="P58" i="1"/>
  <c r="Z75" i="1"/>
  <c r="Z74" i="1" s="1"/>
  <c r="T74" i="1"/>
  <c r="M162" i="1"/>
  <c r="O162" i="1" s="1"/>
  <c r="L162" i="1"/>
  <c r="Y124" i="1"/>
  <c r="Y198" i="1"/>
  <c r="AA198" i="1" s="1"/>
  <c r="U198" i="1"/>
  <c r="V208" i="1"/>
  <c r="S208" i="1"/>
  <c r="R208" i="1"/>
  <c r="X208" i="1" s="1"/>
  <c r="M361" i="1"/>
  <c r="O361" i="1" s="1"/>
  <c r="L361" i="1"/>
  <c r="R82" i="1"/>
  <c r="X82" i="1" s="1"/>
  <c r="R90" i="1"/>
  <c r="X90" i="1" s="1"/>
  <c r="R93" i="1"/>
  <c r="X93" i="1" s="1"/>
  <c r="R97" i="1"/>
  <c r="X97" i="1" s="1"/>
  <c r="P115" i="1"/>
  <c r="L121" i="1"/>
  <c r="V134" i="1"/>
  <c r="S134" i="1"/>
  <c r="R134" i="1"/>
  <c r="X134" i="1" s="1"/>
  <c r="V196" i="1"/>
  <c r="S196" i="1"/>
  <c r="R196" i="1"/>
  <c r="X196" i="1" s="1"/>
  <c r="Y308" i="1"/>
  <c r="AA308" i="1" s="1"/>
  <c r="U308" i="1"/>
  <c r="Y76" i="1"/>
  <c r="Y79" i="1"/>
  <c r="Y87" i="1"/>
  <c r="Y96" i="1"/>
  <c r="P113" i="1"/>
  <c r="V142" i="1"/>
  <c r="S142" i="1"/>
  <c r="R142" i="1"/>
  <c r="X142" i="1" s="1"/>
  <c r="V150" i="1"/>
  <c r="S150" i="1"/>
  <c r="R150" i="1"/>
  <c r="X150" i="1" s="1"/>
  <c r="V158" i="1"/>
  <c r="S158" i="1"/>
  <c r="R158" i="1"/>
  <c r="X158" i="1" s="1"/>
  <c r="V166" i="1"/>
  <c r="S166" i="1"/>
  <c r="R166" i="1"/>
  <c r="X166" i="1" s="1"/>
  <c r="V181" i="1"/>
  <c r="S181" i="1"/>
  <c r="R181" i="1"/>
  <c r="X181" i="1" s="1"/>
  <c r="Y206" i="1"/>
  <c r="AA206" i="1" s="1"/>
  <c r="U206" i="1"/>
  <c r="M217" i="1"/>
  <c r="L217" i="1"/>
  <c r="V222" i="1"/>
  <c r="S222" i="1"/>
  <c r="R222" i="1"/>
  <c r="X222" i="1" s="1"/>
  <c r="R121" i="1"/>
  <c r="X121" i="1" s="1"/>
  <c r="V121" i="1"/>
  <c r="M138" i="1"/>
  <c r="O138" i="1" s="1"/>
  <c r="L138" i="1"/>
  <c r="V189" i="1"/>
  <c r="S189" i="1"/>
  <c r="R189" i="1"/>
  <c r="X189" i="1" s="1"/>
  <c r="Y194" i="1"/>
  <c r="S193" i="1"/>
  <c r="U194" i="1"/>
  <c r="V204" i="1"/>
  <c r="S204" i="1"/>
  <c r="R204" i="1"/>
  <c r="X204" i="1" s="1"/>
  <c r="M214" i="1"/>
  <c r="O214" i="1" s="1"/>
  <c r="L214" i="1"/>
  <c r="Y316" i="1"/>
  <c r="AA316" i="1" s="1"/>
  <c r="U316" i="1"/>
  <c r="S121" i="1"/>
  <c r="AA173" i="1"/>
  <c r="O196" i="1"/>
  <c r="S214" i="1"/>
  <c r="R214" i="1"/>
  <c r="X214" i="1" s="1"/>
  <c r="V214" i="1"/>
  <c r="L275" i="1"/>
  <c r="M275" i="1"/>
  <c r="O275" i="1" s="1"/>
  <c r="Y300" i="1"/>
  <c r="AA300" i="1" s="1"/>
  <c r="U300" i="1"/>
  <c r="R341" i="1"/>
  <c r="X341" i="1" s="1"/>
  <c r="V341" i="1"/>
  <c r="S341" i="1"/>
  <c r="M142" i="1"/>
  <c r="O142" i="1" s="1"/>
  <c r="L142" i="1"/>
  <c r="M150" i="1"/>
  <c r="O150" i="1" s="1"/>
  <c r="L150" i="1"/>
  <c r="M158" i="1"/>
  <c r="O158" i="1" s="1"/>
  <c r="L158" i="1"/>
  <c r="M166" i="1"/>
  <c r="O166" i="1" s="1"/>
  <c r="L166" i="1"/>
  <c r="M181" i="1"/>
  <c r="O181" i="1" s="1"/>
  <c r="L181" i="1"/>
  <c r="N193" i="1"/>
  <c r="Y202" i="1"/>
  <c r="AA202" i="1" s="1"/>
  <c r="U202" i="1"/>
  <c r="V212" i="1"/>
  <c r="S212" i="1"/>
  <c r="R212" i="1"/>
  <c r="X212" i="1" s="1"/>
  <c r="M304" i="1"/>
  <c r="O304" i="1" s="1"/>
  <c r="L304" i="1"/>
  <c r="V123" i="1"/>
  <c r="S123" i="1"/>
  <c r="R123" i="1"/>
  <c r="X123" i="1" s="1"/>
  <c r="Y138" i="1"/>
  <c r="AA138" i="1" s="1"/>
  <c r="U138" i="1"/>
  <c r="M176" i="1"/>
  <c r="O176" i="1" s="1"/>
  <c r="L176" i="1"/>
  <c r="AA179" i="1"/>
  <c r="M189" i="1"/>
  <c r="O189" i="1" s="1"/>
  <c r="L189" i="1"/>
  <c r="V200" i="1"/>
  <c r="S200" i="1"/>
  <c r="R200" i="1"/>
  <c r="X200" i="1" s="1"/>
  <c r="O204" i="1"/>
  <c r="S270" i="1"/>
  <c r="R270" i="1"/>
  <c r="X270" i="1" s="1"/>
  <c r="V270" i="1"/>
  <c r="U146" i="1"/>
  <c r="U154" i="1"/>
  <c r="U162" i="1"/>
  <c r="U170" i="1"/>
  <c r="U173" i="1"/>
  <c r="U176" i="1"/>
  <c r="U179" i="1"/>
  <c r="U185" i="1"/>
  <c r="Y215" i="1"/>
  <c r="S250" i="1"/>
  <c r="R250" i="1"/>
  <c r="X250" i="1" s="1"/>
  <c r="N289" i="1"/>
  <c r="M290" i="1"/>
  <c r="L290" i="1"/>
  <c r="R333" i="1"/>
  <c r="X333" i="1" s="1"/>
  <c r="V333" i="1"/>
  <c r="Y367" i="1"/>
  <c r="P365" i="1"/>
  <c r="M376" i="1"/>
  <c r="L376" i="1"/>
  <c r="M380" i="1"/>
  <c r="O380" i="1" s="1"/>
  <c r="L380" i="1"/>
  <c r="V138" i="1"/>
  <c r="V146" i="1"/>
  <c r="V154" i="1"/>
  <c r="V162" i="1"/>
  <c r="V170" i="1"/>
  <c r="V173" i="1"/>
  <c r="V176" i="1"/>
  <c r="V179" i="1"/>
  <c r="V185" i="1"/>
  <c r="L194" i="1"/>
  <c r="L198" i="1"/>
  <c r="L202" i="1"/>
  <c r="L206" i="1"/>
  <c r="L210" i="1"/>
  <c r="S280" i="1"/>
  <c r="R280" i="1"/>
  <c r="X280" i="1" s="1"/>
  <c r="R297" i="1"/>
  <c r="X297" i="1" s="1"/>
  <c r="V297" i="1"/>
  <c r="R319" i="1"/>
  <c r="X319" i="1" s="1"/>
  <c r="V319" i="1"/>
  <c r="M337" i="1"/>
  <c r="O337" i="1" s="1"/>
  <c r="L337" i="1"/>
  <c r="U112" i="1"/>
  <c r="Z217" i="1"/>
  <c r="Z216" i="1" s="1"/>
  <c r="S245" i="1"/>
  <c r="R245" i="1"/>
  <c r="X245" i="1" s="1"/>
  <c r="S265" i="1"/>
  <c r="R265" i="1"/>
  <c r="X265" i="1" s="1"/>
  <c r="Z289" i="1"/>
  <c r="M323" i="1"/>
  <c r="O323" i="1" s="1"/>
  <c r="L323" i="1"/>
  <c r="P369" i="1"/>
  <c r="Y370" i="1"/>
  <c r="P217" i="1"/>
  <c r="Y235" i="1"/>
  <c r="AA235" i="1" s="1"/>
  <c r="U235" i="1"/>
  <c r="M280" i="1"/>
  <c r="O280" i="1" s="1"/>
  <c r="M293" i="1"/>
  <c r="O293" i="1" s="1"/>
  <c r="L293" i="1"/>
  <c r="R330" i="1"/>
  <c r="X330" i="1" s="1"/>
  <c r="V330" i="1"/>
  <c r="S333" i="1"/>
  <c r="M455" i="1"/>
  <c r="O455" i="1" s="1"/>
  <c r="L455" i="1"/>
  <c r="M222" i="1"/>
  <c r="O222" i="1" s="1"/>
  <c r="L222" i="1"/>
  <c r="Y227" i="1"/>
  <c r="AA227" i="1" s="1"/>
  <c r="U227" i="1"/>
  <c r="M235" i="1"/>
  <c r="O235" i="1" s="1"/>
  <c r="L235" i="1"/>
  <c r="Y238" i="1"/>
  <c r="AA238" i="1" s="1"/>
  <c r="U238" i="1"/>
  <c r="S240" i="1"/>
  <c r="R240" i="1"/>
  <c r="X240" i="1" s="1"/>
  <c r="S260" i="1"/>
  <c r="R260" i="1"/>
  <c r="X260" i="1" s="1"/>
  <c r="S275" i="1"/>
  <c r="R275" i="1"/>
  <c r="X275" i="1" s="1"/>
  <c r="P286" i="1"/>
  <c r="Y287" i="1"/>
  <c r="S297" i="1"/>
  <c r="R316" i="1"/>
  <c r="X316" i="1" s="1"/>
  <c r="V316" i="1"/>
  <c r="S319" i="1"/>
  <c r="M349" i="1"/>
  <c r="O349" i="1" s="1"/>
  <c r="Y356" i="1"/>
  <c r="P353" i="1"/>
  <c r="M357" i="1"/>
  <c r="O357" i="1" s="1"/>
  <c r="L357" i="1"/>
  <c r="S231" i="1"/>
  <c r="R231" i="1"/>
  <c r="X231" i="1" s="1"/>
  <c r="R308" i="1"/>
  <c r="X308" i="1" s="1"/>
  <c r="V308" i="1"/>
  <c r="M326" i="1"/>
  <c r="O326" i="1" s="1"/>
  <c r="L326" i="1"/>
  <c r="M353" i="1"/>
  <c r="O353" i="1" s="1"/>
  <c r="L353" i="1"/>
  <c r="S430" i="1"/>
  <c r="R430" i="1"/>
  <c r="X430" i="1" s="1"/>
  <c r="V430" i="1"/>
  <c r="M227" i="1"/>
  <c r="O227" i="1" s="1"/>
  <c r="L227" i="1"/>
  <c r="O240" i="1"/>
  <c r="S255" i="1"/>
  <c r="R255" i="1"/>
  <c r="X255" i="1" s="1"/>
  <c r="R300" i="1"/>
  <c r="X300" i="1" s="1"/>
  <c r="V300" i="1"/>
  <c r="M312" i="1"/>
  <c r="O312" i="1" s="1"/>
  <c r="L312" i="1"/>
  <c r="Y330" i="1"/>
  <c r="AA330" i="1" s="1"/>
  <c r="U330" i="1"/>
  <c r="M345" i="1"/>
  <c r="O345" i="1" s="1"/>
  <c r="L345" i="1"/>
  <c r="U374" i="1"/>
  <c r="Y374" i="1"/>
  <c r="V378" i="1"/>
  <c r="R378" i="1"/>
  <c r="X378" i="1" s="1"/>
  <c r="S378" i="1"/>
  <c r="L392" i="1"/>
  <c r="M392" i="1"/>
  <c r="O392" i="1" s="1"/>
  <c r="S376" i="1"/>
  <c r="S373" i="1" s="1"/>
  <c r="R376" i="1"/>
  <c r="X376" i="1" s="1"/>
  <c r="V376" i="1"/>
  <c r="L383" i="1"/>
  <c r="M383" i="1"/>
  <c r="O383" i="1" s="1"/>
  <c r="L389" i="1"/>
  <c r="M389" i="1"/>
  <c r="O389" i="1" s="1"/>
  <c r="L395" i="1"/>
  <c r="M395" i="1"/>
  <c r="O395" i="1" s="1"/>
  <c r="S419" i="1"/>
  <c r="R419" i="1"/>
  <c r="X419" i="1" s="1"/>
  <c r="V419" i="1"/>
  <c r="V455" i="1"/>
  <c r="R455" i="1"/>
  <c r="X455" i="1" s="1"/>
  <c r="S455" i="1"/>
  <c r="M464" i="1"/>
  <c r="O464" i="1" s="1"/>
  <c r="L464" i="1"/>
  <c r="V580" i="1"/>
  <c r="R580" i="1"/>
  <c r="X580" i="1" s="1"/>
  <c r="S580" i="1"/>
  <c r="L297" i="1"/>
  <c r="L300" i="1"/>
  <c r="L308" i="1"/>
  <c r="L316" i="1"/>
  <c r="L319" i="1"/>
  <c r="L330" i="1"/>
  <c r="L333" i="1"/>
  <c r="L341" i="1"/>
  <c r="P345" i="1"/>
  <c r="P361" i="1"/>
  <c r="Y362" i="1"/>
  <c r="M365" i="1"/>
  <c r="O365" i="1" s="1"/>
  <c r="L365" i="1"/>
  <c r="S380" i="1"/>
  <c r="R380" i="1"/>
  <c r="X380" i="1" s="1"/>
  <c r="V380" i="1"/>
  <c r="S386" i="1"/>
  <c r="R386" i="1"/>
  <c r="X386" i="1" s="1"/>
  <c r="V386" i="1"/>
  <c r="S392" i="1"/>
  <c r="R392" i="1"/>
  <c r="X392" i="1" s="1"/>
  <c r="V392" i="1"/>
  <c r="S398" i="1"/>
  <c r="R398" i="1"/>
  <c r="X398" i="1" s="1"/>
  <c r="V398" i="1"/>
  <c r="S404" i="1"/>
  <c r="R404" i="1"/>
  <c r="X404" i="1" s="1"/>
  <c r="V404" i="1"/>
  <c r="S410" i="1"/>
  <c r="R410" i="1"/>
  <c r="X410" i="1" s="1"/>
  <c r="V410" i="1"/>
  <c r="O430" i="1"/>
  <c r="S440" i="1"/>
  <c r="R440" i="1"/>
  <c r="X440" i="1" s="1"/>
  <c r="V440" i="1"/>
  <c r="V460" i="1"/>
  <c r="R460" i="1"/>
  <c r="X460" i="1" s="1"/>
  <c r="S460" i="1"/>
  <c r="T500" i="1"/>
  <c r="Z501" i="1"/>
  <c r="Z500" i="1" s="1"/>
  <c r="L238" i="1"/>
  <c r="O286" i="1"/>
  <c r="O285" i="1" s="1"/>
  <c r="R290" i="1"/>
  <c r="X290" i="1" s="1"/>
  <c r="R293" i="1"/>
  <c r="X293" i="1" s="1"/>
  <c r="R304" i="1"/>
  <c r="X304" i="1" s="1"/>
  <c r="R312" i="1"/>
  <c r="X312" i="1" s="1"/>
  <c r="R323" i="1"/>
  <c r="X323" i="1" s="1"/>
  <c r="R326" i="1"/>
  <c r="X326" i="1" s="1"/>
  <c r="R337" i="1"/>
  <c r="X337" i="1" s="1"/>
  <c r="P349" i="1"/>
  <c r="Y377" i="1"/>
  <c r="O419" i="1"/>
  <c r="S425" i="1"/>
  <c r="R425" i="1"/>
  <c r="X425" i="1" s="1"/>
  <c r="V425" i="1"/>
  <c r="Z475" i="1"/>
  <c r="Z474" i="1" s="1"/>
  <c r="S290" i="1"/>
  <c r="S293" i="1"/>
  <c r="Y298" i="1"/>
  <c r="Y301" i="1"/>
  <c r="S304" i="1"/>
  <c r="Y309" i="1"/>
  <c r="S312" i="1"/>
  <c r="Y317" i="1"/>
  <c r="Y320" i="1"/>
  <c r="S323" i="1"/>
  <c r="S326" i="1"/>
  <c r="Y331" i="1"/>
  <c r="Y334" i="1"/>
  <c r="S337" i="1"/>
  <c r="Y342" i="1"/>
  <c r="S416" i="1"/>
  <c r="R416" i="1"/>
  <c r="X416" i="1" s="1"/>
  <c r="V416" i="1"/>
  <c r="M507" i="1"/>
  <c r="O507" i="1" s="1"/>
  <c r="L507" i="1"/>
  <c r="U536" i="1"/>
  <c r="S534" i="1"/>
  <c r="Y536" i="1"/>
  <c r="O538" i="1"/>
  <c r="O534" i="1" s="1"/>
  <c r="M534" i="1"/>
  <c r="N373" i="1"/>
  <c r="T373" i="1"/>
  <c r="T288" i="1" s="1"/>
  <c r="Z376" i="1"/>
  <c r="Z373" i="1" s="1"/>
  <c r="S435" i="1"/>
  <c r="R435" i="1"/>
  <c r="X435" i="1" s="1"/>
  <c r="V435" i="1"/>
  <c r="M450" i="1"/>
  <c r="O450" i="1" s="1"/>
  <c r="L450" i="1"/>
  <c r="P357" i="1"/>
  <c r="L369" i="1"/>
  <c r="S383" i="1"/>
  <c r="R383" i="1"/>
  <c r="X383" i="1" s="1"/>
  <c r="V383" i="1"/>
  <c r="S389" i="1"/>
  <c r="R389" i="1"/>
  <c r="X389" i="1" s="1"/>
  <c r="V389" i="1"/>
  <c r="S395" i="1"/>
  <c r="R395" i="1"/>
  <c r="X395" i="1" s="1"/>
  <c r="V395" i="1"/>
  <c r="S401" i="1"/>
  <c r="R401" i="1"/>
  <c r="X401" i="1" s="1"/>
  <c r="V401" i="1"/>
  <c r="S407" i="1"/>
  <c r="R407" i="1"/>
  <c r="X407" i="1" s="1"/>
  <c r="V407" i="1"/>
  <c r="O416" i="1"/>
  <c r="S422" i="1"/>
  <c r="R422" i="1"/>
  <c r="X422" i="1" s="1"/>
  <c r="V422" i="1"/>
  <c r="V374" i="1"/>
  <c r="R374" i="1"/>
  <c r="X374" i="1" s="1"/>
  <c r="S413" i="1"/>
  <c r="R413" i="1"/>
  <c r="X413" i="1" s="1"/>
  <c r="V413" i="1"/>
  <c r="O435" i="1"/>
  <c r="S445" i="1"/>
  <c r="R445" i="1"/>
  <c r="X445" i="1" s="1"/>
  <c r="V445" i="1"/>
  <c r="V450" i="1"/>
  <c r="S450" i="1"/>
  <c r="R450" i="1"/>
  <c r="X450" i="1" s="1"/>
  <c r="M398" i="1"/>
  <c r="O398" i="1" s="1"/>
  <c r="M401" i="1"/>
  <c r="O401" i="1" s="1"/>
  <c r="M404" i="1"/>
  <c r="O404" i="1" s="1"/>
  <c r="M407" i="1"/>
  <c r="O407" i="1" s="1"/>
  <c r="M410" i="1"/>
  <c r="O410" i="1" s="1"/>
  <c r="Y462" i="1"/>
  <c r="N534" i="1"/>
  <c r="V542" i="1"/>
  <c r="R542" i="1"/>
  <c r="X542" i="1" s="1"/>
  <c r="Y546" i="1"/>
  <c r="AA546" i="1" s="1"/>
  <c r="U546" i="1"/>
  <c r="O556" i="1"/>
  <c r="Y569" i="1"/>
  <c r="AA569" i="1" s="1"/>
  <c r="U569" i="1"/>
  <c r="P476" i="1"/>
  <c r="Y477" i="1"/>
  <c r="L482" i="1"/>
  <c r="L485" i="1"/>
  <c r="L488" i="1"/>
  <c r="M513" i="1"/>
  <c r="O513" i="1" s="1"/>
  <c r="L513" i="1"/>
  <c r="V538" i="1"/>
  <c r="R538" i="1"/>
  <c r="X538" i="1" s="1"/>
  <c r="S542" i="1"/>
  <c r="O548" i="1"/>
  <c r="U556" i="1"/>
  <c r="Y556" i="1"/>
  <c r="AA556" i="1" s="1"/>
  <c r="L374" i="1"/>
  <c r="S464" i="1"/>
  <c r="R464" i="1"/>
  <c r="X464" i="1" s="1"/>
  <c r="V464" i="1"/>
  <c r="M504" i="1"/>
  <c r="O504" i="1" s="1"/>
  <c r="L504" i="1"/>
  <c r="U552" i="1"/>
  <c r="Y552" i="1"/>
  <c r="AA552" i="1" s="1"/>
  <c r="V558" i="1"/>
  <c r="R558" i="1"/>
  <c r="X558" i="1" s="1"/>
  <c r="T474" i="1"/>
  <c r="P479" i="1"/>
  <c r="Y480" i="1"/>
  <c r="P482" i="1"/>
  <c r="Y483" i="1"/>
  <c r="P485" i="1"/>
  <c r="Y486" i="1"/>
  <c r="P488" i="1"/>
  <c r="Y489" i="1"/>
  <c r="P491" i="1"/>
  <c r="Y492" i="1"/>
  <c r="P494" i="1"/>
  <c r="Y495" i="1"/>
  <c r="P497" i="1"/>
  <c r="Y498" i="1"/>
  <c r="Y538" i="1"/>
  <c r="AA538" i="1" s="1"/>
  <c r="U538" i="1"/>
  <c r="U548" i="1"/>
  <c r="Y548" i="1"/>
  <c r="AA548" i="1" s="1"/>
  <c r="V554" i="1"/>
  <c r="R554" i="1"/>
  <c r="X554" i="1" s="1"/>
  <c r="O582" i="1"/>
  <c r="M460" i="1"/>
  <c r="O460" i="1" s="1"/>
  <c r="L460" i="1"/>
  <c r="M501" i="1"/>
  <c r="L501" i="1"/>
  <c r="M510" i="1"/>
  <c r="O510" i="1" s="1"/>
  <c r="L510" i="1"/>
  <c r="U544" i="1"/>
  <c r="Y544" i="1"/>
  <c r="AA544" i="1" s="1"/>
  <c r="V550" i="1"/>
  <c r="R550" i="1"/>
  <c r="X550" i="1" s="1"/>
  <c r="Y558" i="1"/>
  <c r="AA558" i="1" s="1"/>
  <c r="U558" i="1"/>
  <c r="Z586" i="1"/>
  <c r="U586" i="1"/>
  <c r="V546" i="1"/>
  <c r="R546" i="1"/>
  <c r="X546" i="1" s="1"/>
  <c r="S554" i="1"/>
  <c r="V569" i="1"/>
  <c r="R569" i="1"/>
  <c r="X569" i="1" s="1"/>
  <c r="U582" i="1"/>
  <c r="Y582" i="1"/>
  <c r="AA582" i="1" s="1"/>
  <c r="U584" i="1"/>
  <c r="S469" i="1"/>
  <c r="R469" i="1"/>
  <c r="X469" i="1" s="1"/>
  <c r="V469" i="1"/>
  <c r="V501" i="1"/>
  <c r="S501" i="1"/>
  <c r="U540" i="1"/>
  <c r="Y540" i="1"/>
  <c r="AA540" i="1" s="1"/>
  <c r="S550" i="1"/>
  <c r="V536" i="1"/>
  <c r="V540" i="1"/>
  <c r="V544" i="1"/>
  <c r="V548" i="1"/>
  <c r="V552" i="1"/>
  <c r="V556" i="1"/>
  <c r="V582" i="1"/>
  <c r="S504" i="1"/>
  <c r="S507" i="1"/>
  <c r="S510" i="1"/>
  <c r="S513" i="1"/>
  <c r="S516" i="1"/>
  <c r="S519" i="1"/>
  <c r="S522" i="1"/>
  <c r="S525" i="1"/>
  <c r="S528" i="1"/>
  <c r="S531" i="1"/>
  <c r="L516" i="1"/>
  <c r="L519" i="1"/>
  <c r="L522" i="1"/>
  <c r="L525" i="1"/>
  <c r="L528" i="1"/>
  <c r="L531" i="1"/>
  <c r="Z535" i="1"/>
  <c r="R536" i="1"/>
  <c r="X536" i="1" s="1"/>
  <c r="R540" i="1"/>
  <c r="X540" i="1" s="1"/>
  <c r="R544" i="1"/>
  <c r="X544" i="1" s="1"/>
  <c r="R548" i="1"/>
  <c r="X548" i="1" s="1"/>
  <c r="R552" i="1"/>
  <c r="X552" i="1" s="1"/>
  <c r="R556" i="1"/>
  <c r="X556" i="1" s="1"/>
  <c r="R582" i="1"/>
  <c r="X582" i="1" s="1"/>
  <c r="Y539" i="1"/>
  <c r="Y543" i="1"/>
  <c r="Y547" i="1"/>
  <c r="Y551" i="1"/>
  <c r="Y555" i="1"/>
  <c r="Y559" i="1"/>
  <c r="Y570" i="1"/>
  <c r="Y581" i="1"/>
  <c r="AA374" i="2" l="1"/>
  <c r="S216" i="2"/>
  <c r="Y217" i="2"/>
  <c r="U217" i="2"/>
  <c r="U293" i="2"/>
  <c r="Y293" i="2"/>
  <c r="S289" i="2"/>
  <c r="S288" i="2" s="1"/>
  <c r="U569" i="2"/>
  <c r="Y569" i="2"/>
  <c r="AA569" i="2" s="1"/>
  <c r="U554" i="2"/>
  <c r="U534" i="2" s="1"/>
  <c r="Y554" i="2"/>
  <c r="AA554" i="2" s="1"/>
  <c r="Y445" i="2"/>
  <c r="AA445" i="2" s="1"/>
  <c r="U445" i="2"/>
  <c r="Y58" i="2"/>
  <c r="U58" i="2"/>
  <c r="S57" i="2"/>
  <c r="U376" i="2"/>
  <c r="Y376" i="2"/>
  <c r="AA376" i="2" s="1"/>
  <c r="AA286" i="2"/>
  <c r="AA285" i="2" s="1"/>
  <c r="Y285" i="2"/>
  <c r="T109" i="2"/>
  <c r="T108" i="2" s="1"/>
  <c r="T107" i="2" s="1"/>
  <c r="T9" i="2" s="1"/>
  <c r="T8" i="2" s="1"/>
  <c r="T587" i="2" s="1"/>
  <c r="Y357" i="2"/>
  <c r="AA357" i="2" s="1"/>
  <c r="U357" i="2"/>
  <c r="U337" i="2"/>
  <c r="Y337" i="2"/>
  <c r="AA337" i="2" s="1"/>
  <c r="Y435" i="2"/>
  <c r="AA435" i="2" s="1"/>
  <c r="U435" i="2"/>
  <c r="U552" i="2"/>
  <c r="Y552" i="2"/>
  <c r="AA552" i="2" s="1"/>
  <c r="O45" i="2"/>
  <c r="O44" i="2" s="1"/>
  <c r="M44" i="2"/>
  <c r="M475" i="2"/>
  <c r="M474" i="2" s="1"/>
  <c r="U531" i="2"/>
  <c r="Y531" i="2"/>
  <c r="AA531" i="2" s="1"/>
  <c r="Y86" i="2"/>
  <c r="AA86" i="2" s="1"/>
  <c r="U86" i="2"/>
  <c r="U200" i="2"/>
  <c r="U193" i="2" s="1"/>
  <c r="Y200" i="2"/>
  <c r="AA200" i="2" s="1"/>
  <c r="Y341" i="2"/>
  <c r="AA341" i="2" s="1"/>
  <c r="U341" i="2"/>
  <c r="S193" i="2"/>
  <c r="U235" i="2"/>
  <c r="Y235" i="2"/>
  <c r="AA235" i="2" s="1"/>
  <c r="U485" i="2"/>
  <c r="Y485" i="2"/>
  <c r="AA485" i="2" s="1"/>
  <c r="Y227" i="2"/>
  <c r="AA227" i="2" s="1"/>
  <c r="U227" i="2"/>
  <c r="Y270" i="2"/>
  <c r="AA270" i="2" s="1"/>
  <c r="U270" i="2"/>
  <c r="Y476" i="2"/>
  <c r="S475" i="2"/>
  <c r="S474" i="2" s="1"/>
  <c r="U476" i="2"/>
  <c r="Y413" i="2"/>
  <c r="AA413" i="2" s="1"/>
  <c r="U413" i="2"/>
  <c r="U353" i="2"/>
  <c r="Y353" i="2"/>
  <c r="AA353" i="2" s="1"/>
  <c r="O289" i="2"/>
  <c r="O288" i="2" s="1"/>
  <c r="M373" i="2"/>
  <c r="U369" i="2"/>
  <c r="Y369" i="2"/>
  <c r="AA369" i="2" s="1"/>
  <c r="O216" i="2"/>
  <c r="O110" i="2" s="1"/>
  <c r="O109" i="2" s="1"/>
  <c r="O108" i="2" s="1"/>
  <c r="O107" i="2" s="1"/>
  <c r="U206" i="2"/>
  <c r="Y206" i="2"/>
  <c r="AA206" i="2" s="1"/>
  <c r="Y189" i="2"/>
  <c r="AA189" i="2" s="1"/>
  <c r="U189" i="2"/>
  <c r="U525" i="2"/>
  <c r="Y525" i="2"/>
  <c r="AA525" i="2" s="1"/>
  <c r="M289" i="2"/>
  <c r="M111" i="2"/>
  <c r="M110" i="2" s="1"/>
  <c r="O373" i="2"/>
  <c r="M57" i="2"/>
  <c r="O58" i="2"/>
  <c r="O57" i="2" s="1"/>
  <c r="U469" i="2"/>
  <c r="Y469" i="2"/>
  <c r="AA469" i="2" s="1"/>
  <c r="Y430" i="2"/>
  <c r="AA430" i="2" s="1"/>
  <c r="U430" i="2"/>
  <c r="M216" i="2"/>
  <c r="U308" i="2"/>
  <c r="Y308" i="2"/>
  <c r="AA308" i="2" s="1"/>
  <c r="Y297" i="2"/>
  <c r="AA297" i="2" s="1"/>
  <c r="U297" i="2"/>
  <c r="U64" i="2"/>
  <c r="Y64" i="2"/>
  <c r="AA64" i="2" s="1"/>
  <c r="Y123" i="2"/>
  <c r="AA123" i="2" s="1"/>
  <c r="U123" i="2"/>
  <c r="Y250" i="2"/>
  <c r="AA250" i="2" s="1"/>
  <c r="U250" i="2"/>
  <c r="U134" i="2"/>
  <c r="Y134" i="2"/>
  <c r="AA134" i="2" s="1"/>
  <c r="Y103" i="2"/>
  <c r="U103" i="2"/>
  <c r="U102" i="2" s="1"/>
  <c r="U101" i="2" s="1"/>
  <c r="S102" i="2"/>
  <c r="S101" i="2" s="1"/>
  <c r="U90" i="2"/>
  <c r="Y90" i="2"/>
  <c r="AA90" i="2" s="1"/>
  <c r="Y416" i="2"/>
  <c r="AA416" i="2" s="1"/>
  <c r="U416" i="2"/>
  <c r="S19" i="2"/>
  <c r="S18" i="2" s="1"/>
  <c r="S17" i="2" s="1"/>
  <c r="S16" i="2" s="1"/>
  <c r="Y20" i="2"/>
  <c r="U20" i="2"/>
  <c r="U19" i="2" s="1"/>
  <c r="U18" i="2" s="1"/>
  <c r="U17" i="2" s="1"/>
  <c r="U16" i="2" s="1"/>
  <c r="U255" i="2"/>
  <c r="Y255" i="2"/>
  <c r="AA255" i="2" s="1"/>
  <c r="Y280" i="2"/>
  <c r="AA280" i="2" s="1"/>
  <c r="U280" i="2"/>
  <c r="U513" i="2"/>
  <c r="Y513" i="2"/>
  <c r="AA513" i="2" s="1"/>
  <c r="M25" i="2"/>
  <c r="M18" i="2" s="1"/>
  <c r="M17" i="2" s="1"/>
  <c r="M16" i="2" s="1"/>
  <c r="O26" i="2"/>
  <c r="O25" i="2" s="1"/>
  <c r="O18" i="2" s="1"/>
  <c r="O17" i="2" s="1"/>
  <c r="O16" i="2" s="1"/>
  <c r="U154" i="2"/>
  <c r="Y154" i="2"/>
  <c r="AA154" i="2" s="1"/>
  <c r="U504" i="2"/>
  <c r="Y504" i="2"/>
  <c r="S500" i="2"/>
  <c r="AA52" i="2"/>
  <c r="AA51" i="2" s="1"/>
  <c r="Y51" i="2"/>
  <c r="Y479" i="2"/>
  <c r="AA479" i="2" s="1"/>
  <c r="U479" i="2"/>
  <c r="Y312" i="2"/>
  <c r="AA312" i="2" s="1"/>
  <c r="U312" i="2"/>
  <c r="Y365" i="2"/>
  <c r="AA365" i="2" s="1"/>
  <c r="U365" i="2"/>
  <c r="U173" i="2"/>
  <c r="Y173" i="2"/>
  <c r="AA173" i="2" s="1"/>
  <c r="U410" i="2"/>
  <c r="Y410" i="2"/>
  <c r="AA410" i="2" s="1"/>
  <c r="S534" i="2"/>
  <c r="Y212" i="2"/>
  <c r="AA212" i="2" s="1"/>
  <c r="U212" i="2"/>
  <c r="Y528" i="2"/>
  <c r="AA528" i="2" s="1"/>
  <c r="U528" i="2"/>
  <c r="O475" i="2"/>
  <c r="O474" i="2" s="1"/>
  <c r="AA536" i="2"/>
  <c r="AA534" i="2" s="1"/>
  <c r="Y125" i="2"/>
  <c r="AA125" i="2" s="1"/>
  <c r="U125" i="2"/>
  <c r="Y425" i="2"/>
  <c r="AA425" i="2" s="1"/>
  <c r="U425" i="2"/>
  <c r="Y326" i="2"/>
  <c r="AA326" i="2" s="1"/>
  <c r="U326" i="2"/>
  <c r="U300" i="2"/>
  <c r="Y300" i="2"/>
  <c r="AA300" i="2" s="1"/>
  <c r="U185" i="2"/>
  <c r="Y185" i="2"/>
  <c r="AA185" i="2" s="1"/>
  <c r="Y208" i="2"/>
  <c r="AA208" i="2" s="1"/>
  <c r="U208" i="2"/>
  <c r="Y392" i="2"/>
  <c r="AA392" i="2" s="1"/>
  <c r="U392" i="2"/>
  <c r="U373" i="2" s="1"/>
  <c r="Y275" i="2"/>
  <c r="AA275" i="2" s="1"/>
  <c r="U275" i="2"/>
  <c r="U138" i="2"/>
  <c r="Y138" i="2"/>
  <c r="AA138" i="2" s="1"/>
  <c r="U398" i="2"/>
  <c r="Y398" i="2"/>
  <c r="AA398" i="2" s="1"/>
  <c r="Y26" i="2"/>
  <c r="S25" i="2"/>
  <c r="U26" i="2"/>
  <c r="U25" i="2" s="1"/>
  <c r="Y455" i="2"/>
  <c r="AA455" i="2" s="1"/>
  <c r="U455" i="2"/>
  <c r="Y386" i="2"/>
  <c r="AA386" i="2" s="1"/>
  <c r="U386" i="2"/>
  <c r="Y222" i="2"/>
  <c r="AA222" i="2" s="1"/>
  <c r="U222" i="2"/>
  <c r="Y240" i="2"/>
  <c r="AA240" i="2" s="1"/>
  <c r="U240" i="2"/>
  <c r="Y150" i="2"/>
  <c r="AA150" i="2" s="1"/>
  <c r="U150" i="2"/>
  <c r="Y166" i="2"/>
  <c r="AA166" i="2" s="1"/>
  <c r="U166" i="2"/>
  <c r="U260" i="2"/>
  <c r="Y260" i="2"/>
  <c r="AA260" i="2" s="1"/>
  <c r="Y440" i="2"/>
  <c r="AA440" i="2" s="1"/>
  <c r="U440" i="2"/>
  <c r="U404" i="2"/>
  <c r="Y404" i="2"/>
  <c r="AA404" i="2" s="1"/>
  <c r="Y304" i="2"/>
  <c r="AA304" i="2" s="1"/>
  <c r="U304" i="2"/>
  <c r="Y361" i="2"/>
  <c r="AA361" i="2" s="1"/>
  <c r="U361" i="2"/>
  <c r="Y45" i="2"/>
  <c r="S44" i="2"/>
  <c r="S43" i="2" s="1"/>
  <c r="S33" i="2" s="1"/>
  <c r="S32" i="2" s="1"/>
  <c r="U45" i="2"/>
  <c r="U44" i="2" s="1"/>
  <c r="Y97" i="2"/>
  <c r="AA97" i="2" s="1"/>
  <c r="U97" i="2"/>
  <c r="Y419" i="2"/>
  <c r="AA419" i="2" s="1"/>
  <c r="U419" i="2"/>
  <c r="AA196" i="2"/>
  <c r="Y333" i="2"/>
  <c r="AA333" i="2" s="1"/>
  <c r="U333" i="2"/>
  <c r="Y558" i="2"/>
  <c r="AA558" i="2" s="1"/>
  <c r="U558" i="2"/>
  <c r="U330" i="2"/>
  <c r="Y330" i="2"/>
  <c r="AA330" i="2" s="1"/>
  <c r="Y158" i="2"/>
  <c r="AA158" i="2" s="1"/>
  <c r="U158" i="2"/>
  <c r="Y464" i="2"/>
  <c r="AA464" i="2" s="1"/>
  <c r="U464" i="2"/>
  <c r="U422" i="2"/>
  <c r="Y422" i="2"/>
  <c r="AA422" i="2" s="1"/>
  <c r="Z9" i="2"/>
  <c r="Z8" i="2" s="1"/>
  <c r="Z587" i="2" s="1"/>
  <c r="U75" i="2"/>
  <c r="U74" i="2" s="1"/>
  <c r="Y75" i="2"/>
  <c r="S74" i="2"/>
  <c r="U510" i="2"/>
  <c r="Y510" i="2"/>
  <c r="AA510" i="2" s="1"/>
  <c r="U113" i="2"/>
  <c r="S111" i="2"/>
  <c r="Y113" i="2"/>
  <c r="N9" i="1"/>
  <c r="N8" i="1" s="1"/>
  <c r="N587" i="1" s="1"/>
  <c r="U534" i="1"/>
  <c r="U383" i="1"/>
  <c r="Y383" i="1"/>
  <c r="AA383" i="1" s="1"/>
  <c r="S369" i="1"/>
  <c r="R369" i="1"/>
  <c r="X369" i="1" s="1"/>
  <c r="V369" i="1"/>
  <c r="V488" i="1"/>
  <c r="S488" i="1"/>
  <c r="R488" i="1"/>
  <c r="X488" i="1" s="1"/>
  <c r="U522" i="1"/>
  <c r="Y522" i="1"/>
  <c r="AA522" i="1" s="1"/>
  <c r="V491" i="1"/>
  <c r="S491" i="1"/>
  <c r="R491" i="1"/>
  <c r="X491" i="1" s="1"/>
  <c r="V479" i="1"/>
  <c r="S479" i="1"/>
  <c r="R479" i="1"/>
  <c r="X479" i="1" s="1"/>
  <c r="Y542" i="1"/>
  <c r="AA542" i="1" s="1"/>
  <c r="U542" i="1"/>
  <c r="U445" i="1"/>
  <c r="Y445" i="1"/>
  <c r="AA445" i="1" s="1"/>
  <c r="U401" i="1"/>
  <c r="Y401" i="1"/>
  <c r="AA401" i="1" s="1"/>
  <c r="U435" i="1"/>
  <c r="Y435" i="1"/>
  <c r="AA435" i="1" s="1"/>
  <c r="U304" i="1"/>
  <c r="Y304" i="1"/>
  <c r="AA304" i="1" s="1"/>
  <c r="U460" i="1"/>
  <c r="Y460" i="1"/>
  <c r="AA460" i="1" s="1"/>
  <c r="Y380" i="1"/>
  <c r="AA380" i="1" s="1"/>
  <c r="U380" i="1"/>
  <c r="U373" i="1" s="1"/>
  <c r="U419" i="1"/>
  <c r="Y419" i="1"/>
  <c r="AA419" i="1" s="1"/>
  <c r="AA374" i="1"/>
  <c r="Y319" i="1"/>
  <c r="AA319" i="1" s="1"/>
  <c r="U319" i="1"/>
  <c r="U245" i="1"/>
  <c r="Y245" i="1"/>
  <c r="AA245" i="1" s="1"/>
  <c r="Y193" i="1"/>
  <c r="AA194" i="1"/>
  <c r="U181" i="1"/>
  <c r="Y181" i="1"/>
  <c r="AA181" i="1" s="1"/>
  <c r="V52" i="1"/>
  <c r="S52" i="1"/>
  <c r="R52" i="1"/>
  <c r="X52" i="1" s="1"/>
  <c r="Y117" i="1"/>
  <c r="AA117" i="1" s="1"/>
  <c r="U117" i="1"/>
  <c r="O111" i="1"/>
  <c r="U26" i="1"/>
  <c r="U25" i="1" s="1"/>
  <c r="Y26" i="1"/>
  <c r="S25" i="1"/>
  <c r="O501" i="1"/>
  <c r="O500" i="1" s="1"/>
  <c r="O474" i="1" s="1"/>
  <c r="M500" i="1"/>
  <c r="M474" i="1" s="1"/>
  <c r="V476" i="1"/>
  <c r="S476" i="1"/>
  <c r="R476" i="1"/>
  <c r="X476" i="1" s="1"/>
  <c r="U410" i="1"/>
  <c r="Y410" i="1"/>
  <c r="AA410" i="1" s="1"/>
  <c r="U260" i="1"/>
  <c r="Y260" i="1"/>
  <c r="AA260" i="1" s="1"/>
  <c r="U222" i="1"/>
  <c r="Y222" i="1"/>
  <c r="AA222" i="1" s="1"/>
  <c r="N109" i="1"/>
  <c r="N108" i="1" s="1"/>
  <c r="N107" i="1" s="1"/>
  <c r="U130" i="1"/>
  <c r="Y130" i="1"/>
  <c r="AA130" i="1" s="1"/>
  <c r="U516" i="1"/>
  <c r="Y516" i="1"/>
  <c r="AA516" i="1" s="1"/>
  <c r="U231" i="1"/>
  <c r="Y231" i="1"/>
  <c r="AA231" i="1" s="1"/>
  <c r="M289" i="1"/>
  <c r="M288" i="1" s="1"/>
  <c r="O290" i="1"/>
  <c r="O289" i="1" s="1"/>
  <c r="U189" i="1"/>
  <c r="Y189" i="1"/>
  <c r="AA189" i="1" s="1"/>
  <c r="Y78" i="1"/>
  <c r="AA78" i="1" s="1"/>
  <c r="U78" i="1"/>
  <c r="U40" i="1"/>
  <c r="Y40" i="1"/>
  <c r="AA40" i="1" s="1"/>
  <c r="Y75" i="1"/>
  <c r="S74" i="1"/>
  <c r="U75" i="1"/>
  <c r="U513" i="1"/>
  <c r="Y513" i="1"/>
  <c r="AA513" i="1" s="1"/>
  <c r="Y554" i="1"/>
  <c r="AA554" i="1" s="1"/>
  <c r="U554" i="1"/>
  <c r="Y464" i="1"/>
  <c r="AA464" i="1" s="1"/>
  <c r="U464" i="1"/>
  <c r="U395" i="1"/>
  <c r="Y395" i="1"/>
  <c r="AA395" i="1" s="1"/>
  <c r="V357" i="1"/>
  <c r="S357" i="1"/>
  <c r="R357" i="1"/>
  <c r="X357" i="1" s="1"/>
  <c r="U323" i="1"/>
  <c r="Y323" i="1"/>
  <c r="AA323" i="1" s="1"/>
  <c r="U293" i="1"/>
  <c r="Y293" i="1"/>
  <c r="AA293" i="1" s="1"/>
  <c r="U455" i="1"/>
  <c r="Y455" i="1"/>
  <c r="AA455" i="1" s="1"/>
  <c r="Y297" i="1"/>
  <c r="AA297" i="1" s="1"/>
  <c r="U297" i="1"/>
  <c r="U240" i="1"/>
  <c r="Y240" i="1"/>
  <c r="AA240" i="1" s="1"/>
  <c r="N288" i="1"/>
  <c r="U212" i="1"/>
  <c r="Y212" i="1"/>
  <c r="AA212" i="1" s="1"/>
  <c r="Y214" i="1"/>
  <c r="AA214" i="1" s="1"/>
  <c r="U214" i="1"/>
  <c r="U166" i="1"/>
  <c r="Y166" i="1"/>
  <c r="AA166" i="1" s="1"/>
  <c r="Y45" i="1"/>
  <c r="S44" i="1"/>
  <c r="U45" i="1"/>
  <c r="U44" i="1" s="1"/>
  <c r="S102" i="1"/>
  <c r="S101" i="1" s="1"/>
  <c r="U103" i="1"/>
  <c r="U102" i="1" s="1"/>
  <c r="U101" i="1" s="1"/>
  <c r="Y103" i="1"/>
  <c r="V20" i="1"/>
  <c r="S20" i="1"/>
  <c r="R20" i="1"/>
  <c r="X20" i="1" s="1"/>
  <c r="O193" i="1"/>
  <c r="Y376" i="1"/>
  <c r="AA376" i="1" s="1"/>
  <c r="U376" i="1"/>
  <c r="U270" i="1"/>
  <c r="Y270" i="1"/>
  <c r="AA270" i="1" s="1"/>
  <c r="U150" i="1"/>
  <c r="Y150" i="1"/>
  <c r="AA150" i="1" s="1"/>
  <c r="R64" i="1"/>
  <c r="X64" i="1" s="1"/>
  <c r="V64" i="1"/>
  <c r="S64" i="1"/>
  <c r="U280" i="1"/>
  <c r="Y280" i="1"/>
  <c r="AA280" i="1" s="1"/>
  <c r="M111" i="1"/>
  <c r="M110" i="1" s="1"/>
  <c r="M109" i="1" s="1"/>
  <c r="M108" i="1" s="1"/>
  <c r="M107" i="1" s="1"/>
  <c r="Y119" i="1"/>
  <c r="AA119" i="1" s="1"/>
  <c r="U119" i="1"/>
  <c r="U125" i="1"/>
  <c r="Y125" i="1"/>
  <c r="AA125" i="1" s="1"/>
  <c r="M193" i="1"/>
  <c r="U510" i="1"/>
  <c r="Y510" i="1"/>
  <c r="AA510" i="1" s="1"/>
  <c r="V497" i="1"/>
  <c r="S497" i="1"/>
  <c r="R497" i="1"/>
  <c r="X497" i="1" s="1"/>
  <c r="V485" i="1"/>
  <c r="S485" i="1"/>
  <c r="R485" i="1"/>
  <c r="X485" i="1" s="1"/>
  <c r="U450" i="1"/>
  <c r="Y450" i="1"/>
  <c r="AA450" i="1" s="1"/>
  <c r="U413" i="1"/>
  <c r="Y413" i="1"/>
  <c r="AA413" i="1" s="1"/>
  <c r="U290" i="1"/>
  <c r="Y290" i="1"/>
  <c r="S349" i="1"/>
  <c r="V349" i="1"/>
  <c r="R349" i="1"/>
  <c r="X349" i="1" s="1"/>
  <c r="U404" i="1"/>
  <c r="Y404" i="1"/>
  <c r="AA404" i="1" s="1"/>
  <c r="S361" i="1"/>
  <c r="R361" i="1"/>
  <c r="X361" i="1" s="1"/>
  <c r="V361" i="1"/>
  <c r="U255" i="1"/>
  <c r="Y255" i="1"/>
  <c r="AA255" i="1" s="1"/>
  <c r="Z288" i="1"/>
  <c r="Z109" i="1" s="1"/>
  <c r="Z108" i="1" s="1"/>
  <c r="Z107" i="1" s="1"/>
  <c r="Z9" i="1" s="1"/>
  <c r="Z8" i="1" s="1"/>
  <c r="Z587" i="1" s="1"/>
  <c r="O376" i="1"/>
  <c r="O373" i="1" s="1"/>
  <c r="M373" i="1"/>
  <c r="U200" i="1"/>
  <c r="Y200" i="1"/>
  <c r="AA200" i="1" s="1"/>
  <c r="U204" i="1"/>
  <c r="Y204" i="1"/>
  <c r="AA204" i="1" s="1"/>
  <c r="O217" i="1"/>
  <c r="O216" i="1" s="1"/>
  <c r="M216" i="1"/>
  <c r="U142" i="1"/>
  <c r="Y142" i="1"/>
  <c r="AA142" i="1" s="1"/>
  <c r="V115" i="1"/>
  <c r="S115" i="1"/>
  <c r="R115" i="1"/>
  <c r="X115" i="1" s="1"/>
  <c r="T109" i="1"/>
  <c r="T108" i="1" s="1"/>
  <c r="T107" i="1" s="1"/>
  <c r="U326" i="1"/>
  <c r="Y326" i="1"/>
  <c r="AA326" i="1" s="1"/>
  <c r="U507" i="1"/>
  <c r="Y507" i="1"/>
  <c r="AA507" i="1" s="1"/>
  <c r="U416" i="1"/>
  <c r="Y416" i="1"/>
  <c r="AA416" i="1" s="1"/>
  <c r="V345" i="1"/>
  <c r="S345" i="1"/>
  <c r="R345" i="1"/>
  <c r="X345" i="1" s="1"/>
  <c r="U378" i="1"/>
  <c r="Y378" i="1"/>
  <c r="AA378" i="1" s="1"/>
  <c r="S353" i="1"/>
  <c r="R353" i="1"/>
  <c r="X353" i="1" s="1"/>
  <c r="V353" i="1"/>
  <c r="S286" i="1"/>
  <c r="R286" i="1"/>
  <c r="X286" i="1" s="1"/>
  <c r="V286" i="1"/>
  <c r="V365" i="1"/>
  <c r="S365" i="1"/>
  <c r="R365" i="1"/>
  <c r="X365" i="1" s="1"/>
  <c r="U250" i="1"/>
  <c r="Y250" i="1"/>
  <c r="AA250" i="1" s="1"/>
  <c r="U208" i="1"/>
  <c r="Y208" i="1"/>
  <c r="AA208" i="1" s="1"/>
  <c r="M25" i="1"/>
  <c r="O26" i="1"/>
  <c r="O25" i="1" s="1"/>
  <c r="M58" i="1"/>
  <c r="L58" i="1"/>
  <c r="M34" i="1"/>
  <c r="O35" i="1"/>
  <c r="O34" i="1" s="1"/>
  <c r="M19" i="1"/>
  <c r="O20" i="1"/>
  <c r="O19" i="1" s="1"/>
  <c r="O18" i="1" s="1"/>
  <c r="O17" i="1" s="1"/>
  <c r="O16" i="1" s="1"/>
  <c r="M102" i="1"/>
  <c r="M101" i="1" s="1"/>
  <c r="O103" i="1"/>
  <c r="O102" i="1" s="1"/>
  <c r="O101" i="1" s="1"/>
  <c r="U519" i="1"/>
  <c r="Y519" i="1"/>
  <c r="AA519" i="1" s="1"/>
  <c r="U422" i="1"/>
  <c r="Y422" i="1"/>
  <c r="AA422" i="1" s="1"/>
  <c r="Y134" i="1"/>
  <c r="AA134" i="1" s="1"/>
  <c r="U134" i="1"/>
  <c r="U430" i="1"/>
  <c r="Y430" i="1"/>
  <c r="AA430" i="1" s="1"/>
  <c r="Y341" i="1"/>
  <c r="AA341" i="1" s="1"/>
  <c r="U341" i="1"/>
  <c r="U531" i="1"/>
  <c r="Y531" i="1"/>
  <c r="AA531" i="1" s="1"/>
  <c r="Y469" i="1"/>
  <c r="AA469" i="1" s="1"/>
  <c r="U469" i="1"/>
  <c r="U407" i="1"/>
  <c r="Y407" i="1"/>
  <c r="AA407" i="1" s="1"/>
  <c r="U440" i="1"/>
  <c r="Y440" i="1"/>
  <c r="AA440" i="1" s="1"/>
  <c r="U386" i="1"/>
  <c r="Y386" i="1"/>
  <c r="AA386" i="1" s="1"/>
  <c r="AA535" i="1"/>
  <c r="Z534" i="1"/>
  <c r="U528" i="1"/>
  <c r="Y528" i="1"/>
  <c r="AA528" i="1" s="1"/>
  <c r="U504" i="1"/>
  <c r="Y504" i="1"/>
  <c r="AA504" i="1" s="1"/>
  <c r="Y550" i="1"/>
  <c r="AA550" i="1" s="1"/>
  <c r="U550" i="1"/>
  <c r="V494" i="1"/>
  <c r="S494" i="1"/>
  <c r="R494" i="1"/>
  <c r="X494" i="1" s="1"/>
  <c r="V482" i="1"/>
  <c r="S482" i="1"/>
  <c r="R482" i="1"/>
  <c r="X482" i="1" s="1"/>
  <c r="U389" i="1"/>
  <c r="Y389" i="1"/>
  <c r="AA389" i="1" s="1"/>
  <c r="AA536" i="1"/>
  <c r="Y534" i="1"/>
  <c r="U312" i="1"/>
  <c r="Y312" i="1"/>
  <c r="AA312" i="1" s="1"/>
  <c r="Y580" i="1"/>
  <c r="AA580" i="1" s="1"/>
  <c r="U580" i="1"/>
  <c r="U265" i="1"/>
  <c r="Y265" i="1"/>
  <c r="AA265" i="1" s="1"/>
  <c r="Y123" i="1"/>
  <c r="AA123" i="1" s="1"/>
  <c r="U123" i="1"/>
  <c r="U121" i="1"/>
  <c r="Y121" i="1"/>
  <c r="AA121" i="1" s="1"/>
  <c r="U158" i="1"/>
  <c r="Y158" i="1"/>
  <c r="AA158" i="1" s="1"/>
  <c r="R113" i="1"/>
  <c r="X113" i="1" s="1"/>
  <c r="V113" i="1"/>
  <c r="S113" i="1"/>
  <c r="U196" i="1"/>
  <c r="U193" i="1" s="1"/>
  <c r="Y196" i="1"/>
  <c r="AA196" i="1" s="1"/>
  <c r="M51" i="1"/>
  <c r="O52" i="1"/>
  <c r="O51" i="1" s="1"/>
  <c r="O75" i="1"/>
  <c r="O74" i="1" s="1"/>
  <c r="M74" i="1"/>
  <c r="S500" i="1"/>
  <c r="U501" i="1"/>
  <c r="Y501" i="1"/>
  <c r="U425" i="1"/>
  <c r="Y425" i="1"/>
  <c r="AA425" i="1" s="1"/>
  <c r="R69" i="1"/>
  <c r="X69" i="1" s="1"/>
  <c r="V69" i="1"/>
  <c r="S69" i="1"/>
  <c r="U392" i="1"/>
  <c r="Y392" i="1"/>
  <c r="AA392" i="1" s="1"/>
  <c r="U525" i="1"/>
  <c r="Y525" i="1"/>
  <c r="AA525" i="1" s="1"/>
  <c r="AA586" i="1"/>
  <c r="AA584" i="1" s="1"/>
  <c r="Z584" i="1"/>
  <c r="U337" i="1"/>
  <c r="Y337" i="1"/>
  <c r="AA337" i="1" s="1"/>
  <c r="U398" i="1"/>
  <c r="Y398" i="1"/>
  <c r="AA398" i="1" s="1"/>
  <c r="U275" i="1"/>
  <c r="Y275" i="1"/>
  <c r="AA275" i="1" s="1"/>
  <c r="Y333" i="1"/>
  <c r="AA333" i="1" s="1"/>
  <c r="U333" i="1"/>
  <c r="V217" i="1"/>
  <c r="S217" i="1"/>
  <c r="R217" i="1"/>
  <c r="X217" i="1" s="1"/>
  <c r="V58" i="1"/>
  <c r="S58" i="1"/>
  <c r="R58" i="1"/>
  <c r="X58" i="1" s="1"/>
  <c r="Y95" i="1"/>
  <c r="AA95" i="1" s="1"/>
  <c r="U95" i="1"/>
  <c r="Y86" i="1"/>
  <c r="AA86" i="1" s="1"/>
  <c r="U86" i="1"/>
  <c r="T9" i="1"/>
  <c r="T8" i="1" s="1"/>
  <c r="T587" i="1" s="1"/>
  <c r="S34" i="1"/>
  <c r="U35" i="1"/>
  <c r="U34" i="1" s="1"/>
  <c r="Y35" i="1"/>
  <c r="S110" i="2" l="1"/>
  <c r="S109" i="2" s="1"/>
  <c r="S108" i="2" s="1"/>
  <c r="S107" i="2" s="1"/>
  <c r="M288" i="2"/>
  <c r="AA293" i="2"/>
  <c r="AA289" i="2" s="1"/>
  <c r="AA288" i="2" s="1"/>
  <c r="Y289" i="2"/>
  <c r="AA20" i="2"/>
  <c r="AA19" i="2" s="1"/>
  <c r="AA18" i="2" s="1"/>
  <c r="AA17" i="2" s="1"/>
  <c r="AA16" i="2" s="1"/>
  <c r="Y19" i="2"/>
  <c r="Y18" i="2" s="1"/>
  <c r="Y17" i="2" s="1"/>
  <c r="Y16" i="2" s="1"/>
  <c r="U475" i="2"/>
  <c r="U289" i="2"/>
  <c r="U288" i="2" s="1"/>
  <c r="S15" i="2"/>
  <c r="S9" i="2" s="1"/>
  <c r="S8" i="2" s="1"/>
  <c r="S587" i="2" s="1"/>
  <c r="U587" i="2" s="1"/>
  <c r="U216" i="2"/>
  <c r="AA75" i="2"/>
  <c r="AA74" i="2" s="1"/>
  <c r="Y74" i="2"/>
  <c r="Y193" i="2"/>
  <c r="Y475" i="2"/>
  <c r="Y474" i="2" s="1"/>
  <c r="AA476" i="2"/>
  <c r="AA475" i="2" s="1"/>
  <c r="AA474" i="2" s="1"/>
  <c r="AA217" i="2"/>
  <c r="AA216" i="2" s="1"/>
  <c r="Y216" i="2"/>
  <c r="AA113" i="2"/>
  <c r="AA111" i="2" s="1"/>
  <c r="Y111" i="2"/>
  <c r="Y44" i="2"/>
  <c r="AA45" i="2"/>
  <c r="AA44" i="2" s="1"/>
  <c r="U111" i="2"/>
  <c r="Y534" i="2"/>
  <c r="M109" i="2"/>
  <c r="M108" i="2" s="1"/>
  <c r="M107" i="2" s="1"/>
  <c r="AA193" i="2"/>
  <c r="AA504" i="2"/>
  <c r="AA500" i="2" s="1"/>
  <c r="Y500" i="2"/>
  <c r="U500" i="2"/>
  <c r="Y373" i="2"/>
  <c r="M43" i="2"/>
  <c r="M33" i="2" s="1"/>
  <c r="M32" i="2" s="1"/>
  <c r="M15" i="2" s="1"/>
  <c r="M9" i="2" s="1"/>
  <c r="M8" i="2" s="1"/>
  <c r="M587" i="2" s="1"/>
  <c r="O587" i="2" s="1"/>
  <c r="AA373" i="2"/>
  <c r="O43" i="2"/>
  <c r="O33" i="2" s="1"/>
  <c r="O32" i="2" s="1"/>
  <c r="U57" i="2"/>
  <c r="U43" i="2" s="1"/>
  <c r="U33" i="2" s="1"/>
  <c r="U32" i="2" s="1"/>
  <c r="U15" i="2" s="1"/>
  <c r="Y25" i="2"/>
  <c r="AA26" i="2"/>
  <c r="AA25" i="2" s="1"/>
  <c r="O15" i="2"/>
  <c r="O9" i="2" s="1"/>
  <c r="O8" i="2" s="1"/>
  <c r="AA58" i="2"/>
  <c r="AA57" i="2" s="1"/>
  <c r="Y57" i="2"/>
  <c r="Y102" i="2"/>
  <c r="Y101" i="2" s="1"/>
  <c r="AA103" i="2"/>
  <c r="AA102" i="2" s="1"/>
  <c r="AA101" i="2" s="1"/>
  <c r="Y488" i="1"/>
  <c r="AA488" i="1" s="1"/>
  <c r="U488" i="1"/>
  <c r="U113" i="1"/>
  <c r="S111" i="1"/>
  <c r="Y113" i="1"/>
  <c r="Y479" i="1"/>
  <c r="AA479" i="1" s="1"/>
  <c r="U479" i="1"/>
  <c r="U349" i="1"/>
  <c r="Y349" i="1"/>
  <c r="AA349" i="1" s="1"/>
  <c r="S51" i="1"/>
  <c r="U52" i="1"/>
  <c r="U51" i="1" s="1"/>
  <c r="Y52" i="1"/>
  <c r="Y491" i="1"/>
  <c r="AA491" i="1" s="1"/>
  <c r="U491" i="1"/>
  <c r="S57" i="1"/>
  <c r="S43" i="1" s="1"/>
  <c r="S33" i="1" s="1"/>
  <c r="S32" i="1" s="1"/>
  <c r="U58" i="1"/>
  <c r="Y58" i="1"/>
  <c r="Y476" i="1"/>
  <c r="S475" i="1"/>
  <c r="S474" i="1" s="1"/>
  <c r="U476" i="1"/>
  <c r="U345" i="1"/>
  <c r="Y345" i="1"/>
  <c r="AA345" i="1" s="1"/>
  <c r="S216" i="1"/>
  <c r="U217" i="1"/>
  <c r="U216" i="1" s="1"/>
  <c r="Y217" i="1"/>
  <c r="AA290" i="1"/>
  <c r="Y485" i="1"/>
  <c r="AA485" i="1" s="1"/>
  <c r="U485" i="1"/>
  <c r="Y64" i="1"/>
  <c r="AA64" i="1" s="1"/>
  <c r="U64" i="1"/>
  <c r="Y369" i="1"/>
  <c r="AA369" i="1" s="1"/>
  <c r="U369" i="1"/>
  <c r="AA534" i="1"/>
  <c r="Y286" i="1"/>
  <c r="S285" i="1"/>
  <c r="U286" i="1"/>
  <c r="U285" i="1" s="1"/>
  <c r="Y357" i="1"/>
  <c r="AA357" i="1" s="1"/>
  <c r="U357" i="1"/>
  <c r="Y69" i="1"/>
  <c r="AA69" i="1" s="1"/>
  <c r="U69" i="1"/>
  <c r="U353" i="1"/>
  <c r="U289" i="1" s="1"/>
  <c r="U288" i="1" s="1"/>
  <c r="Y353" i="1"/>
  <c r="AA353" i="1" s="1"/>
  <c r="Y115" i="1"/>
  <c r="AA115" i="1" s="1"/>
  <c r="U115" i="1"/>
  <c r="U74" i="1"/>
  <c r="AA26" i="1"/>
  <c r="AA25" i="1" s="1"/>
  <c r="Y25" i="1"/>
  <c r="Y373" i="1"/>
  <c r="AA103" i="1"/>
  <c r="AA102" i="1" s="1"/>
  <c r="AA101" i="1" s="1"/>
  <c r="Y102" i="1"/>
  <c r="Y101" i="1" s="1"/>
  <c r="M18" i="1"/>
  <c r="M17" i="1" s="1"/>
  <c r="M16" i="1" s="1"/>
  <c r="Y482" i="1"/>
  <c r="AA482" i="1" s="1"/>
  <c r="U482" i="1"/>
  <c r="M57" i="1"/>
  <c r="M43" i="1" s="1"/>
  <c r="M33" i="1" s="1"/>
  <c r="M32" i="1" s="1"/>
  <c r="O58" i="1"/>
  <c r="O57" i="1" s="1"/>
  <c r="O43" i="1" s="1"/>
  <c r="O33" i="1" s="1"/>
  <c r="O32" i="1" s="1"/>
  <c r="O15" i="1" s="1"/>
  <c r="U365" i="1"/>
  <c r="Y365" i="1"/>
  <c r="AA365" i="1" s="1"/>
  <c r="Y361" i="1"/>
  <c r="AA361" i="1" s="1"/>
  <c r="U361" i="1"/>
  <c r="S289" i="1"/>
  <c r="S288" i="1" s="1"/>
  <c r="AA373" i="1"/>
  <c r="AA501" i="1"/>
  <c r="AA500" i="1" s="1"/>
  <c r="Y500" i="1"/>
  <c r="U500" i="1"/>
  <c r="Y494" i="1"/>
  <c r="AA494" i="1" s="1"/>
  <c r="U494" i="1"/>
  <c r="AA35" i="1"/>
  <c r="AA34" i="1" s="1"/>
  <c r="Y34" i="1"/>
  <c r="Y497" i="1"/>
  <c r="AA497" i="1" s="1"/>
  <c r="U497" i="1"/>
  <c r="S19" i="1"/>
  <c r="S18" i="1" s="1"/>
  <c r="S17" i="1" s="1"/>
  <c r="S16" i="1" s="1"/>
  <c r="U20" i="1"/>
  <c r="U19" i="1" s="1"/>
  <c r="U18" i="1" s="1"/>
  <c r="U17" i="1" s="1"/>
  <c r="U16" i="1" s="1"/>
  <c r="Y20" i="1"/>
  <c r="AA45" i="1"/>
  <c r="AA44" i="1" s="1"/>
  <c r="Y44" i="1"/>
  <c r="AA75" i="1"/>
  <c r="AA74" i="1" s="1"/>
  <c r="Y74" i="1"/>
  <c r="O288" i="1"/>
  <c r="O110" i="1"/>
  <c r="AA193" i="1"/>
  <c r="U110" i="2" l="1"/>
  <c r="Y43" i="2"/>
  <c r="Y33" i="2" s="1"/>
  <c r="Y32" i="2" s="1"/>
  <c r="Y15" i="2" s="1"/>
  <c r="Y110" i="2"/>
  <c r="U474" i="2"/>
  <c r="AA43" i="2"/>
  <c r="AA33" i="2" s="1"/>
  <c r="AA32" i="2" s="1"/>
  <c r="AA15" i="2"/>
  <c r="Y288" i="2"/>
  <c r="AA110" i="2"/>
  <c r="AA109" i="2" s="1"/>
  <c r="AA108" i="2" s="1"/>
  <c r="AA107" i="2" s="1"/>
  <c r="O9" i="1"/>
  <c r="O8" i="1" s="1"/>
  <c r="AA286" i="1"/>
  <c r="AA285" i="1" s="1"/>
  <c r="Y285" i="1"/>
  <c r="Y111" i="1"/>
  <c r="AA113" i="1"/>
  <c r="AA111" i="1" s="1"/>
  <c r="Y289" i="1"/>
  <c r="Y288" i="1" s="1"/>
  <c r="U475" i="1"/>
  <c r="U474" i="1" s="1"/>
  <c r="AA52" i="1"/>
  <c r="AA51" i="1" s="1"/>
  <c r="Y51" i="1"/>
  <c r="Y43" i="1" s="1"/>
  <c r="Y33" i="1" s="1"/>
  <c r="Y32" i="1" s="1"/>
  <c r="S110" i="1"/>
  <c r="S109" i="1" s="1"/>
  <c r="S108" i="1" s="1"/>
  <c r="S107" i="1" s="1"/>
  <c r="AA289" i="1"/>
  <c r="AA288" i="1" s="1"/>
  <c r="U111" i="1"/>
  <c r="U110" i="1" s="1"/>
  <c r="AA20" i="1"/>
  <c r="AA19" i="1" s="1"/>
  <c r="AA18" i="1" s="1"/>
  <c r="AA17" i="1" s="1"/>
  <c r="AA16" i="1" s="1"/>
  <c r="Y19" i="1"/>
  <c r="Y18" i="1" s="1"/>
  <c r="Y17" i="1" s="1"/>
  <c r="Y16" i="1" s="1"/>
  <c r="Y475" i="1"/>
  <c r="Y474" i="1" s="1"/>
  <c r="AA476" i="1"/>
  <c r="AA475" i="1" s="1"/>
  <c r="AA474" i="1" s="1"/>
  <c r="M15" i="1"/>
  <c r="M9" i="1" s="1"/>
  <c r="M8" i="1" s="1"/>
  <c r="M587" i="1" s="1"/>
  <c r="O587" i="1" s="1"/>
  <c r="Y216" i="1"/>
  <c r="AA217" i="1"/>
  <c r="AA216" i="1" s="1"/>
  <c r="AA58" i="1"/>
  <c r="AA57" i="1" s="1"/>
  <c r="AA43" i="1" s="1"/>
  <c r="AA33" i="1" s="1"/>
  <c r="AA32" i="1" s="1"/>
  <c r="Y57" i="1"/>
  <c r="O109" i="1"/>
  <c r="O108" i="1" s="1"/>
  <c r="O107" i="1" s="1"/>
  <c r="S15" i="1"/>
  <c r="S9" i="1" s="1"/>
  <c r="S8" i="1" s="1"/>
  <c r="S587" i="1" s="1"/>
  <c r="U587" i="1" s="1"/>
  <c r="U57" i="1"/>
  <c r="U43" i="1" s="1"/>
  <c r="U33" i="1" s="1"/>
  <c r="U32" i="1" s="1"/>
  <c r="U15" i="1" s="1"/>
  <c r="AA9" i="2" l="1"/>
  <c r="AA8" i="2" s="1"/>
  <c r="Y109" i="2"/>
  <c r="Y108" i="2" s="1"/>
  <c r="Y107" i="2" s="1"/>
  <c r="Y9" i="2" s="1"/>
  <c r="Y8" i="2" s="1"/>
  <c r="Y587" i="2" s="1"/>
  <c r="AA587" i="2" s="1"/>
  <c r="U109" i="2"/>
  <c r="U108" i="2" s="1"/>
  <c r="U107" i="2" s="1"/>
  <c r="U9" i="2" s="1"/>
  <c r="U8" i="2" s="1"/>
  <c r="U9" i="1"/>
  <c r="U8" i="1" s="1"/>
  <c r="U109" i="1"/>
  <c r="U108" i="1" s="1"/>
  <c r="U107" i="1" s="1"/>
  <c r="AA15" i="1"/>
  <c r="AA110" i="1"/>
  <c r="AA109" i="1" s="1"/>
  <c r="AA108" i="1" s="1"/>
  <c r="AA107" i="1" s="1"/>
  <c r="Y110" i="1"/>
  <c r="Y109" i="1" s="1"/>
  <c r="Y108" i="1" s="1"/>
  <c r="Y107" i="1" s="1"/>
  <c r="Y15" i="1"/>
  <c r="Y9" i="1" s="1"/>
  <c r="Y8" i="1" s="1"/>
  <c r="Y587" i="1" s="1"/>
  <c r="AA587" i="1" s="1"/>
  <c r="AA9" i="1" l="1"/>
  <c r="AA8" i="1" s="1"/>
</calcChain>
</file>

<file path=xl/sharedStrings.xml><?xml version="1.0" encoding="utf-8"?>
<sst xmlns="http://schemas.openxmlformats.org/spreadsheetml/2006/main" count="7734" uniqueCount="2233">
  <si>
    <t>Указать название организации (на бланке организации)</t>
  </si>
  <si>
    <t>{"estimateId":5150255,"estimateVersionId":7054632}</t>
  </si>
  <si>
    <t>7</t>
  </si>
  <si>
    <t>GgAM2FBpWmhyGMfZ9Tf1NMFQ/DyspR4qZ2otftkkqNv2yla3zlQjb/blsiN2pwjuAdlC7VVga3/2oaNB1nYRUHySUe+1/a6iIWG1885s5p9yZTDQhAlICQE6+uskosxBc78CWR1P9cdQfRKseE33QA1QOxblQVhztfLkGiv5gBM=</t>
  </si>
  <si>
    <t>ТЕХНИКО-КОММЕРЧЕСКОЕ ПРЕДЛОЖЕНИЕ (ТКП)</t>
  </si>
  <si>
    <t>г. Москва, 2-й Нагатинский пр-д, вл. 2, СОШ на 675 мест</t>
  </si>
  <si>
    <t>Стоимость, указанная в предложении, включает в себя все необходимые затраты на выполнение полного комплекса работс НДС 22%</t>
  </si>
  <si>
    <t>Предельная стоимость производства работ (ПСПР)</t>
  </si>
  <si>
    <t>МФ-СТРОЙ ООО</t>
  </si>
  <si>
    <t>9701212867</t>
  </si>
  <si>
    <t>eF7s/ftzJMeR54v+K2UyWzMJQNbmK/LRa/NDAwR7q9VAVSNRe2xnekxWBRR2aSuSuiR19mVjxmaLEmcpiXrOzKFEUpQ0M/vDvcea/RCb/aLZ/Qdu1r9w/5ITkZVVQBUiIt290qOg2dVMg90AGu0fj0z3b4R7RPz3b7zzX783+ca1b7w++t43dr7xf46++/3JcfWZN77/3e/ufGPyX04m35194htvz79B/v6/3/nGyZuvv/7mG3e+ce2v5B/UT5G/Pf/szp3zH3an/ml3zn9c9b1vn39b9efyD+XT8n75ZXl/+t70x53yRfWHB/Lji/JJ+bhTvpy+Wz6s/6i+64fyv08631Tf2Cm/KJ9VX3pq/M5vVf/eyZtvvnX62hujd2b/6PWg+uzk7Xdee11+7ujN/9w7vWDwG++89s5/vfH91+af+5udZdo3zl77DzTa/37nzvk/K/9N+adrIhB+KMTOxS/9u8lbb7/25hv1d6S+iJMo/BsdyivroMgHgMahs+TVdSx5+7X/QHyAdKbsr2PKWk/z78tfl/9YflL+Q/lx+amnPpS/lf/36/J35T/Lj59Xn/l1p/xMfuLX5a/K38g//p38nfobv5ZP9e/lN3ymf2bDa8NwU1gPux1J8XJ6V75p8t3c6YRe+VVHWn1fvXHT9+Sb9qL64hP16a+n73rlo52O/NZn3U4of/O5xPyf1cvdSVLRKZ+Xj6d3p+9pOaNrw2hTnJ9LlJcS4rliVQFppzO9Nw9Q0nwJMP1IclWM5ePykYw/L8s/yd+poPOkQn5aPpv+dPoj+f2Pp++p75WOeVx+Uf099Vvlhsfyb30xfV9+fKT+temH6tOzGPhu9fHDmbPk3/iw/Fp+27PqL9Uhcf6Jl9L5LzvyH3wpDf5afupx+VT+C/c76ofI2PhS/qC7apR+VX7eCcN/pXV3fG0Yb8rdn9VOfCxd9uPaucrvy2Mwc/bLKqo/UC6rvuXBEqd8dT6TT5l8rbQvz01xrS82Rfnb8o+etO338pX/tPy/OvKD/D+dlQNx7WhTVuapH4RBmCWpzrJCXBtuyjL5/L6sAsa78kGQ+fBfy4+6B1lcu55uysSP1WOpQsWXSpB0ZDD/vPydzspdcW13Y1aqcK3eq8dV7LigsS5EHp3Re+La3saM/rga/cpo+dbfl1bOcoyKfEY3vyKuvXIFLZah693pR/Ljj+SnZFbRmb4vru1vzPRfl49kpleB9nlXZ9yr4tqrGzNO+nX6k+kPutWDerfOnlof3hDXbmzSzPKZpzJVp/y5PtD/W3Ht327Mvk+l8vhb+XA+nimHmak6K3viWm9jVv5TFaWk0pRvzL3yi26jkLmZXPt2silrf1uJ4MfVq35fipkPVZ66c+cNJfPUvFQiPLoYcrUAG/P159L+3+2oSckn+nD67Y2Zhn4MbiXXbm3MWt30AWj3QXLt8M/68T3YnNebHt/DjZk2i7X6ac2OdDD06egn1/obg0C/g4Pk2u0/62d5sDFfNz7LtzdmGvoxOEquHW3M2jVCcZFcO/6zfnyLzXm96fE93phpbYXiYXJtuA7EO2++M/ruJYY733hj9Ppk9mPpHBcWxOCP+ysi4+D53tvfe+tYfe1A/si3Xht9d///9f3Xvve6/GkayrMVyr8ohgffPMi0a3kHzPYWr781eOMtqJGHeiMPmY0cvPXaie5xuWSj8tb2wppVWcFj5TtrDXuh92jBaCtuyI/1Bh4zGggebuWl7WPDcA95LPyPr52eTt5Y713/93qf/nt2i3FD/5d6M/+S3UzwA6A8tv2Xhgfg+vX1DF0rAX9ciZZn5ZPpD2arn1WB/uV5Ve3JbEGqWjQtn8qP88/LT/2gqu4/n/2l6UdaOJFl1+Qjnm0K8Gc6q3ZFlm/KoE9qf/9otsp/f6Yap3flp94915B6b+5t0O5H5f3ON//VtzpVseeFKqPqLHxlcxbqzPm30hz1+G3KpvLn+scv9zdl0C+VDq2esxfLpdwn1R/ulV/L31WffHpBuNYFblVMe1AVh1Ux5dms+D39qf5R3RyjelSbHtONWad/THNfPqYbs6n8heEx3VjLjvExrR6+apKlImf9qH5R95u9rJo5nk7vTX/aqXpg3q1i63vqIe18c/aYz7rZ5hH4ycUIfF+rI/Y26Ab5JH9zTtccejdmp+GZDtQzvSmbyl8anumN9Wt9XiX4px0Vapf7h5Sgmj/cqqniPdVG8171tUfVspO2oLq3QZaqV6xreAw3ZZXhMQzVY7gpm8pfGR7DaFMG/fJiXCy/kv/9sPxKrVvNnk7RUYnd1HOyObNBSX1T1hmevEg9eZuyad/w4MUbsqf8h8tTxo7qx/i66mF9XPU/vJjlZNWI+T+qzkkVCmUKlM+oTNnz8e/MP/Gtqrnz5awXUT7CH9YyVYXSL6VYfTb9cdXto9TC80v/kmmStTkXmThVrUG11TQ9/5sy3PD8x+r535RN5d8ZXgCxKYN+IR/uR/IZvVgQqFqEZ1N+VRp4PO87fqppM5YiVj7j9+RfvdC2VsXv59VLc3mrhfwG+SXDU74xPzxQfrjgBa+S5JomSMNTvinDDU+5asPdmE3l3xue8o0VS/VTt6ov8OtK+tabitQiwsPq+16qLuIHnVoAq2XG2X6i8u/VH+SvL229mXsbZIXE5E0ZZ3haE/W0bsqm8h8MT+vGFsBXlmM/V/sBDE/Zxmysll6ryK86mO8DFgI2ZarhmUvVM7cpm8qPDc/cxmoSn0q9+uH0vYs7gqQouNuRofNj1abxD/I/htWqalVALXD9rfzU+/NNODOhLEOpd2FnVBVl/9UsqlY/omH/5d4GPXJB76tnu3NJIqjP/iudJNJK+Fc2h2J4A1QRbGM2lb8xvAEbK4tceAMuPZxzsaB6q6S2VU959TSo5/vi5jL1N+ZTumeVcphtnAm9qFMJi1nYXH4f6llV9QipbnvRWWwNfKyeLvWvXZx8qn9TmVS9bF+uyBH5RdObtDHPrrxJqzZXn6ucY3hvNmW44b1R1buN2VT+VvveJP7G6jT/XAnoWeHtXF1fqNPdl49ynRqqfa3VZtQqpKrxv/x3dRPQWYH/kXwtPtJGXNJa9QaddmFDjXr67ftrXtmcodpXQJpzbbg5m8pPDK/Axso6v5ot581Sx8O6bP3uefKYb7yeLSHo1z42aP4jGXnVUyiVfB2LHxoew02ZaHgMA/UYbsom/ZxMPoYbK+t8Ouv8tioRmw55eeHvf7NSHjL6yhgttf236o20j6pnuFreUwvB96bvV8t7z2at6NXJDi/VHlY1f/hRFYnrsK5eA2VS6Aexesjkf0X936Q2Sa9bNujPyirvfJJ7LlSaPil9O2uqlh59XH5ZN1ZrAV/ZHKAaA+/OnTfUGNT/TT3DqxaqV21ThpafGV61aFMGfS4f+q/UawYL7ZuyUz6Rd6tqjWGd8pXNmWZ4ziL1nG3KJsNRDIkfb8qgX1YitpKws6NPqsK4DMNPKq1RTQen73audco/dst/6Jafdi+c+jKT09Of7szE8LPuTmfivT567buGp3RTlIZHIVaPwqZsKj83PApiUwap4wIutjy/VKsGahXuh+XLdsZ/U2iG8Rdq/DdlU/l7w/hvrEyhzkCq6pHVkVH1gSxPO7OTwOr57/mkd/aoGAZ6UwyGgU7UQCNt+uvqJ51OBqN3/qP8nLQwGZ+E4/HI9ybxmfDizD/zsiw980Zx5I8iEQenp6PZd7715n+e/Saf/WfBNvnuZLEX5SIceNNdIF+/X9Szv5fzVQ01Tk80n/cu9DivfLs6/k3bpn09u9aDL9lCnfI38i8GEdgZLezYy/U79pjQYjwabrvPoZ7nkIlH4HnA+4IUTl+P02fCgb+Ga24Y1GMVPFihj8PCPXHHepZjJpYAx4J62oZ6lCEDimJJ7iwngVW0tycn77ymyXAyCXz/9fFEN0KX00CgI7quLxpEQeDHcZgEq1iz5Cu9D7ZQZcTvfK9KiY1GJjoTd4kmrr7CFifCMqnqs1k95HKRKZ/M9KzUtrMDHrWr5nv5tR6R5lIuNOO0kAsDf+cgEPKXn+qzIpViNe0BKHBB6FCafihNPzSZfkg1XeBNR8WcvrS8Ly3vmyzvUy2HvwlrJjNJUEiCwkRQEAku5a0GAtwjcyzNPpZmH5vMPqaaDY/jhBQlrR5Kq4cmq4cUq6vn5Y6LbGTIR4G+hDe3OjT6GmwkKiHprdylWgl/E6E56bOqcvJw0Uz61JaU9JPvwL/WowI5TkuBPhuRrXeQjvQmH5JNFniTUXGlb7C4T7YY/tCvm370lhdUy7nTjt7cY7K58EBNSTd6a4ckay9EbPY0Y0o0+iL93O7I6GWwmchE0w11du5S7YS/ddBU86lu44wm2VQrhl/NOqZeqvO+ZIJ6aqhDBoHMPURCx7knNOQeqvUOco/e5EOyyQJvMirI9A0W98kWw9+CdXOP3vKCajl37tGbe0w2Fx69KblHb+2QZK0yt373HOQeU/bR963MLY+NfgYbis4+3Vhn6S7VUvibB80/v6j6C2a7H1/Mr515VDflVmdwTe/KzDM7aPRPto0Pe0Eo0w4RzHHaiQxph2q9g7SjN/mQbLLAm4yKL32DxX2yxfCHf920o7e8oFrOnXb05h6TzYUHbkra0Vs7JFl7ISY6STumxKNvZJvbLoyeBptKSDzdXGfrLtVW+NsHTT2/XTQ6/akz/ajqQb4733U1O/exmgWp7uWqwf6r+caQixux5peiqSyl5ko65r0gkpmJyO04M8WGzES13kFm0pt8SDZZ4E1GhaC+weI+2WL4u7FuZtJbXlAt585MenOPyebCYzslM+mtHZKsrZ6LO4uE9Fe2DPWf33zrP2kQKOnJlKBiK0JqdDjMUlJ2Mhm7SzV2NVCb3IpPTzudqtXy+dJn7lczpxfVFhvdet0skanzzNQE6oEOdY+KuhrVjePyugov33ntbchjpLPwFaqFAmUh0bp9qnUJzLrXJ6O3v/8W6Gl5rl1ofpVqYAozcPJfvjd5422dgW+sGBh0/Xoj54qJN6gmZjAT/883v/t90AunM+7fUo1bzcgG46osAfFelncjnYE9qoHBauY1WKgkTpXGIKJh1Wy/qx/zm2SrgalrYbVRMKyaGqXCYOy3ycYCs9fCWI2Zl5SCdN32UX94+Mo3pV07Hf0a6i2yycAchpppQJ+KA7LVMdJquIycuVq+ZVtLTjc5/pCMIJAI4AdGenV7btalCQfVWmD++l7bgWNAthiY0L6HChoiCbtCa+htsqHAtPY96PgPFgHjtjlgHJHNxSS6Np+EgmrxpSmnzWJ6oLhtDxTHZPOBGRA5/5QPybE+SAxJlv7N3/z136j/7ThrCdHq3+sqrlqMz4xuBhuJm3tqrdylWglf94FOOqv78qrlTzmd/LpaEb3fmR8uoBY41Tz0mbnzQ1zrUWEcL3QmOweRqfuDShDjCeARZrbYmewcGsw+JJst8GbDI0u14Jns9A1W98lWwx9+cPIxLHomO4XB+oJqPffCZ7JzbDD5mGwyPHAjk0+1+JnsDA0WD0kWX1gAZU89plXPxGp3bvQ02Exk8jEteBLthL+ByPQzOwTxy2rJc9Z3qPaiz4/3WUpOOqC9IJFpiAjlOA0ZtmKRrXeQggxbsMgmC7zJqNjSN1jcJ1sMf/DXTT2GLVdUy7nTjmGrFdlceMCmpBzDFiuStRdWpB2kG1PC0Z8zXVue+kY/gw1FJ5xuprN0l2op/M2DppzPqoPo6iPQv1zeDFwdRQfISTrEvSCVSYiI6TgJGe61JlvvIAkZbrkmmyzwJqOiTd9gcZ9sMfxVWDcJGe6/plrOnYQMt2GTzYWHcUoS0ls7JFnrds5jTkP6EzXmtrs+f2KWhkxzH6Kt8LcPmoh+Ub6QU5r36q6O2blbVXpRZ2x92JkdDv+4Pvq3Oj51tgWLkpoymZqI4I5TU75zEApDeqISOEhP+c6hwexDstkCbzYqFvWl1X2D1X2y1fAXZd00le8UBusLqvXcqSrfOTaYfEw2GR7wKekq3xkaLB6SLHafskxJK7daHxr9DTaWlLRMaYtoLfxthKatPyx6D7+an5KkLi1ZyWXT9xe5jJKvcpmviMRu81XoG3IV1Xr+XGUw+ZBsssCbjApCfYPFfbLF8LdizRxlsLygWs6cnwzmHpPNhUd2Qm4yWDskWXshtDvpn18kJ0N6Cq0ncqTgvcWtdNAvcpOxpEQ1F9h/CE1OH1f3+zyqDlBqSEpPVIfDF+p0i9ntVmpLmLoYqzo3t6yu66waIao/vDjvilBlqJUEeP98pvZ8+mH1U55WlzXPr9uqLhlS/fvPq/PVL9z6uqP7eS9npy4/qe7HfVp/61c6v+9R/b6aZlpp6C9/Ie19WO/cvq9cJ4E+ql398/LTeoF16cLr8nlnt3fgyZH7Jx3gK1RAgQKEwM0O6VIj96zbKf9YTcnV4Dyvbij5sON1os70g+l7XXV09ks58n8rwdWD43VC3++oCzy6OsR9KmICQ8RsKtD2nL9KNRDYg9nGpgKqicDuy/U2FVCNW5Upa24qyLuhth2tR7WPZU/BpVzfe3X/6Kh/9M1Zn+VMdQc7B2Eof0XyV/wtdVWOhKj6L/Wa4CYZEZj78RsQ0jT3u742m36bbC0w++N2IIT+fAfCzMc6k2+RTQYqgPXmajP7JclWz8xwQGYAZlPCjK1uM5aGLw2BcT8CGUEgEcCPj/Tq9tys1Qkc2Vpg6gPvRwAEnUIGnUIGnUIGnQIUdAZkPGDixG1eCIIkE4aIc5tsKjCBwrcvLKLNbfObekQ2F5NSSQ/OzPaBPdIUVPt5NzMsosxte5Q5JpsPzKbIxQD5yBzrI8yQZKky1Y/FmQjHgXeWn8VePBqn3ijJAi9ORpN4NIon4mw8gzEuE7xePz8aQOpSgWmxIMBRQvF0CwoWKsyigo5jl5NjVWfYRge42vDb6nrWx9VUXV2j9uHiJuFL03f5ydnNxPfqEzXfK19MP5pdYKwOmvmTnDffm763U13RLefGX9UnzehnZHucjhJwR8FnzzqKfU6KVYVgoUBMkOe3Mj6bLV/oqF7lpFoVBhYqxKxah3GDE2NVNFgw1px5M0KsSgkLxPozdEaOS7N4CwhqJn/pOUuzbqJtD73JyoeI/G3MMudzzUDJJ6kCA/N8k5MaEQDB0yT4iA5Y2bCvHoTNOpqD5tEs2IgrPXoaZHEYjCZeFIvUi8engZcJceZFaSgCMUp8IU7uuNej2nB1vY5iCFfA8JzrUUYORFSC6tGl1vbnRnH6dFEkezITpbMCzcPqyvaXSzWv6svz6oXORXucLhJwF62rRBkpEIG4bSXKSOVSiTJiuFOijBDYdAgYCbMSZeRwpkSjKOyGsY7vJisfIua3qUTDWruEZiXKSY0IgGQlah7RASsb9tWDsDUo0cbRLNiIZ9cu+MnJJDnxvSgKhBfnUeLlJ9HES8NsfJaOotPTvH7OnSpR7ULZ9TDCugKG51yJMnIgohJUiX48X8SsGn4uKcvpPXXCqRKXtdJUW/w/qPqi6muHLmjU7+gcssfpEAF3yLq6k5ECEXZRuvOhjuRVThIWrRkKHccNTg53YpMRApvxIEMR+V3taPQ4QZypzaSbaYuTN1npEFG9Ta0Z1eokMmtNTmpE0CNrTdN4DljJsO8dhKxBaTaOZcFGXCnNSZyOx/ko9QIhQi8IJpmX+ae55/vCF0mWBbmoNZhTpRnrXHG9nn0gXAHDc640GTkQMQmqNH8+6+DXLV+q68W+6ryS+H4nCcX0/VD48oPvm9cyGdEFHH1dTclIgQivCE1pajtnBGGRlEHXFzqSG5wk7kQlIwQ2uQEGI+8mmXY9uccJ4kxUxmkWdX1DNZ0TEBHD29SVca1FjEdaH7BSIwIfWVdahnTACod9+yBwDdKycTgLNuLZWdU77g6qtpfKhRXT+VV+862eWmt3qdauPmEOjyHQHKJT6UX0oQShuNaj8js+lCAxREiq9THeenjz+exQAr3Jh2STBd5keMN5dSiB3uI+2WL4O0IPwrONLHrLC6rl3IcS6M09JpsLj/PIfQjVoQR6a4cka6vnYmativfODiUwHXAdJlYIt9f6LTKVOVsRzV0N1m0eSmDIRlUH1tPqdICv5ccf8Z03UD6t/uKsc2h26pw0YH4ugtrPvlOdizq/+WF6T3saweybZv929Tn1jdMPVB4uH9R7Hd6bbYPvdoLQ1kFGHKXVpHR1jzAgAgoUIARu+QiD5VMKFidjeIvhkt/z8fkjqf7wO2/6rle5oFpMk984fT8RarSD8pPyj9VvwurP4Y6v/iOqj+Uvy0/Lz8vfd0Tke6EfaF/XfaqfVudmLZyDoDXwVaqBwO2cqIUm0zkIRBOB2zjXXEEiGofZtAnwXhKm+oTRoxq4uYMQ0p2DMJO/8p2DyJe/gnpfcmI9DIGKCdQc+MMQgjyPTdcxkq0Fqg7kYQjJ4jCExHwYAtVkoPJYb444X1JLtnpmhgMyAzAvE2aK823KydbSEJgPQ6AiCCQC+PGRXt2em3Vp4ki1Fpj/wOuSgMBTyMBTyMBTyMBTyMBTgALPgIwIzKC4AxHCPA8MQec22VJgIkWch5AszkMwvqxHZHMxqZX07MwXfK3BpqDaz3weQrK15HrzeQhU84EJFbkOIR+ZY32QGZIsrebEZ0kcRNGZF5+mgfxwGnl5NBZefBKNT6J8dBLG9UtqXKF4fdRuL4b5XpTQfpj+JUoonm4tw0KFWc/QcexyciDqeNCFjs+rs/DuTn+sJpP3pu9X6xDTH1ZL7OpQ+/fUQrtXrV3cVasUat6pDkbQoO9xogs4OnxyraPY56RYTfsWCsTU19jfy0jC0owRx91M6FBucKK468ZghMDWgwGjEWZBmHdzw7SbkcVZQ0bSjQzdGJx0iCjexqRxPnVM6/J9ap4+clIjQh941gMdzwErGfbVg5BZx3LQPJYFG3GlLMej8HQcjyaeH6WhF0fhqZel8YkXnchvzfKTcXRaP+VOlaWhXcN+54XGFTA858qSkQMRk6DK0sVJW9oB3+N0lIA7al0dykiBCMYoHQo434CRikWTGs43YMRwp0cZIbBJETASlhoQI4g7MSq6SarDu8mKh4j8barRrFYwmVmNclIjAiBdjZoGdMCKhn3zIGgNcrRxMAs24tnxBmdhJPIw8yZnY6lf83zsZacT4Y3TE5GnZ2d5cja6416ORjpXXA9zrCtgeM7lKCMHIihB5Sj1oC1tn1f1lUR0vCC0bE1jdJCAO2hdGcpIgYjCbctQRiqXMpQRw50MZYTAJkPASFhkKCOIMxkaBFk3z3V8N1n5ECG/TR2a19IlN+tQTmpEBCTrUPOIDljZsO8ehK1BiDaOZsFGPGv8n+SJOMki+cUg9mL/dOzlIz/3xNkkOA1OzvJgVI+4UyEa61xxPbLfs6BxBQzPtRDl5EBEJagQ/bw67EBtLJj+pHxWHah1t3zwnZmmFP6W/H/teO1xcgo455p6kpMCEU0RetLQWc4JwiIh/a7wtU/WDU4UZzKSEwKbygCjEQVJN/C1abnHieJMSIZJ3o2105abrHyIkN2ikIz8mfSIzFfVsVIjQh9ZSJpHdMDKhn37IGx2Idk8mgUbcSUkU5FmwZmfeCfCH3txGIReFp+eeiej09MgOT0RIhzfcS8khc4V16MA6woYnnMhyciBiEpQIbm0z08djfBM9WpWOwKfVcdoTd+dflRtVlUbPL+qFWb53AuEtoF+j5NfwPnXFZiMFIgoCxeY6gJqHcmrnCQsClP4+qnmDU4SdwKTEQKb4gCDIQVm4HczbUNcj5PFncKMu7H+lFZWPEQob1Ng1rcZRea7qVipEaGPLjBNAzpgRcO+fBC0Bn3ZOJgFG/HsLK2/cXuclnYJ5XoUWhmzVUb+g7S0du5S7Vx9sNY/Quvz8rfl76ruR+NBWJ3qZH4pDNUpJOX9zjfrQ0kqaVgfEFI+0T50e1F4rUeFdXteVhTtHAR+YAiEVIQYjwDfoVgdmiXtPjTZfUi2W+Dthm9NVCdnSbP7JrP7ZLPh7wc97lZbn6X5hcn8gmo+8xla0uZjk83HZJvhER65gVUdpCVNHppMHpJMVjbXL6WDJGXYmhpFVstzo7PBhqLTlH6etUu1FP4iQhPVL1aPdSwfL44rUu1WT3THaj01HOMYRTItEdEcp6V45yCWqSmV/81zQ3aikjjITvHOoTT/UJp/aDD/kGy+wJuPCj99aX1fWt+X1vcN1vfJ1sNfkXVzVbxTSIpCUhQGioJKwZ2y4p1jafqxNP3YYPox2XR42KdkrnhnKC0fSsuHBsuHJMurZ+eOuwRmSmGxzfbMN3odbCohhelt3aXaCn9DoUlMd2DxPInpTN+LYpmoiOY7TlRCJir9kT8HZAIHCUrIBKU3+5BstsCbjYoufWl132B1n2w1/HFfNyEJmZD01hdU67kTkZCJSG/yMdlkeNimJCAhE5De4iHJ4gvRWxnu4BziulCsQ7geCStCaHQ6zFJS8jHN93apxq4G8DbPINYdk784/nW2ReWL2bVK1WG+04+qY36fVN/yUk2xOkuXxDMdVKz5eS+1RxHr/L5H9ftq2rmypwpTAQUKEAAXeHFn+pPK5D+VTy6dK+x1Qr8+TljHsU/lWK0htXDqb6Qz8FWqgatVccZTf6kmAg8rXLPUTTRuVZOseepvmMh8oo3RPaqFGzv2N0p2DqJU/srkr3x28qZM+pYjf8mIwPSOP/I3TXO/62sH5Ntka4EpHnfkbyTmR/7OfKwz+RbZZGCiX2+aNq/7i62emeGAzABMmoSJWn0SpzR8aQiMR/6SEQQSAfz4SK9uz826NF+jWgtMfuDmCUDQKWTQKWTQKWTQKUBBZ0DGA6ZO3HG/QZBkwhBxbpNNBaZQ+Hm/i2hz2/ymHpHNxSRV0oMzb0qxRpqCaj/veb+LKHPbHmWOyeYDsylyzi8fmWN9hBmSLFWm+rE4E+E48M7ys9iLR+PUGyWZ1PrJaBKPRvFEnI1nMMaVgNdHbTWNL25f1jFejxIcIxROt2ZgYcKsG+g4djk5VlWGbWyASwouzmTTzsj2OB0l4I6CT5F1FPucFKv6wEKBmCBDDsPgpGLpM9fGlBucGO6azBkhVoWEBaKNGTojibMW8yDNuon+jGBWPkTsb2OWOZ9rJnVbsvmKGVZqRAgET5PgIzpgZcO+fBA262gOmkezYCOu9OhpkMVhMJp4USxSLx6fBl4mxJkXpaEIxCjxhTi541qPhjpHXI+sxyXrHAGDc65HGTkQMQmqR6mHss2qMA/lJ79UFZgLha3qy/Pqhc5Fe5wuEnAXratEGSkQYbhtJcpI5VKJMmK4U6KMENhkCBgJmxJlJHGmRKNI5rBYx3eTlQ8R9dtUovUNB5H5tgpWakQIJCtR84gOWNmwLx+ErUGJNo5mwUY820LiJyeT5MT3oigQXpxHiZefRBMvDbPxWTqKTk/z+jl3qES1C2XXI+tJyTpHwOCcK1FGDkRMgirRj+eLmFVXzyVlOb23I9VodVjbTGmqPZYfVM1Ps/2XFzXqd3QO2eN0iIA7ZF3dyUiBCLoo3flQR/IqJwmL1gyFjuMGJ4c7sckIgc13gKFIRJh2U+149DhRnKnNpJsZTtbgpEPE9Ta1Zn19QWS+i4KVGhH2yFrTNJ4DVjLsmwcha1CajWNZsBFXSnMSp+NxPkq9QIjQC4JJ5mX+ae75vvBFkmVBLmoV5lBpxjpHXI9yrCNgcM6VJiMHIiJBlebPZ236uuXLF9Wxba8kvt9JQjF9PxS+/OCbr5jgRBdw9HU1JSMFIrgiNKWp7ZwRhEVSBl1f6EhucJK4E5WMENjUBhiMMI27QZLoUHqcKM5EZZxmUdc3VNM5ARFRvE1dWd9GEJnvlmClRoQ+sq60DOmAFQ77/kHgGqRl43AWbMTVmW07i5zsdEOnvmAeW48/zuJVVCcbOoVhQyfV2NW4seaGzr+vFghnB7CpTkmp++5O35v1Xr6cvi8l4J+qr8+6L6u9eH+q/qhq4lIbTt/v1FXU59N71T5K+XOmP5z1Y87XH1U5XenI55cK6upv6tyzR3VPDHMPbt+lzsJXqBYKlIVE6/ap1q0GaLbtkFQDgXs6UHrTsB2SaiJwL8d6QpJqHGbnBsB7Qmdcj2rcxnZCxsHOQRzONiPFvm0HJBkNmA/xOyCzXCRd/SP8bbK1wJyI2wEZ+/MdkLHxEoNbZJOBmbENNS1JtnpmhgMyAzB90XdASsOXhsC4A5KMIJAI4MdHenV7btaKtX2ytcB8B56MAIJNIYNNAQo2AzIWMEsidz5GcRQbIs1tsqnAbAnf+biIMrfNb+gR2VxM/iQ9MPXUzh5hCqr9vDsfF9Hltj26HJPNB2ZR5M5H+cgc6yPLkGRpNVE7S+Igis68+DQN5IfTyMujsfDik2h8EuWjkzCu31LjlNmygECbNht2PtYXKIEZoXC6ybWFCTPB1nHscnIg1uugc+/P6+n2j9WpSffkZFsdYyTnzuoEdXUk7Xuqj8erjj66qw45Us3kagukBn2PE13A0dedtTJSIJYeEbNbUycPJwlL2SUW2lX+G5wgzqounBDYVV/AWIShvjOix8nhrOSSdCN9vYWVDhG/25ghzueJ9aUqsfmGHFZqRNADT3Gg4zlgJcO+dhAye7GleSwLNuJZH0+aZkl4lnlxPIoWhZnRJvt4TLfoxCHWETA454qSkQMRkaCKcun6xd9dvGlxR38dY9XNE4TyQyJUDacTlJ+Uf+yUvw2E33lV/prVcKT+vKtE6rtdtVmuG3bKX5afSv36+46IfC/0A+1TsMfpPQH33rqilJECEZ/hotR4eSMnCYsojXKhA7nBCeJOlDJCYLMjYCyC3NBczsnhTJSGQVd/9NVNVjxEDmhTlYa1kgnNqpSTGhH1yKrUOKADVjTsiwdBa5CljYNZsBHP7m3ccXlpo7n7J7JCilVIU/dPu9eJaG3dpdq6+nTxXCeiuQXrZflUB7IXR9d6VBi3l4vE8c6BCOSv1BDwqBQxngJeV6kuGJGmH0rTDw2mH5JNF3jT4TUVdcmItLwvLe8bLO+TLYe/CPQoO6vVxjuFJCgMBAWVgPmyEWn2sTT72GD2MdlseGBHluDUhSPS6qG0emiwekiyunpe7rhMT6YqW2y1PjH6HGwsKUGZ+lOJ1sLfzPZTVH0G09PzVRDV0/pk6RoSHexeHMs0RgR2nMaEIX1RrXeQvvQmH5JNFniTUXGob7C4T7YY/lKsm670lhdUy7nTlN7cY7K58MBOSU96a4ckay+kJRXgHW2dMN/GGAsrBPje+xY3T1j2euxSzV0N1mtun1i6DwuRk3iuuiqfVn9xdp7d7H5jacD8Si51F5T8ni/Pd3xM72kvwpp90+zfrj6nvnH6QVVIeFCfwP3e7HKmbicILecaUkdpNSm1souD4/YsKqBAAQLgGm7PWlzL5i0GTH7PUrno4/J33vRdr3LCxbKQGu+qKlT9Jqz+HO746j+i+giqBe1TPQVs0IVXR8rnWgNfpRoIbLWFFz0sG1KIJgJbbNcsZxCNwzTUQryXJ7HpGByqiZvblpLsHMSp/JXJX/nOgfDrrnHrJV1kTKDuwG9RCfLc1Dj+bbK1QOWB3KKyuKQrNl/SRTYZqD7WmyfOizxiq2dmOCAzAHMzYbY4byJfXNIV2y/pIiMIJAL48ZFe3Z6bdWnySLUWmAHBlTJA4Clk4Clk4Clk4Clk4ClAgWdARgTmUNx2lTDPA+NuFaqlwFSK2K2yuKfL/LIekc3FJFfSszMvQlqDTUG1n3m3yuKeLnugOSabD0yoyLUI+cgc64PMkGRpNS8G9SEqGOMqxeujNnsLbTd3xwmOEoqnW8+wUGHWNHQcu5wciM4S6GJHq/tVGNEFHB0+wdZR7HNSIJpkEJNf434VRhKW1sA47mZCh3KDE8VdcyAjBLZHCTAaWRYEedfXbwToccI46xA0b1vhpEOE8TZmjfO5Y31NU2y+dIuVGhH7wNMe6HgOWMmw7x6EzDqWg+axLNiIK2k5HoWn43g08fwoDb04Ck+9LI1PvOhEfmuWn4yj0/opdyotDV2EKdYVMDzn0pKRAxGToNLSxSWw2gHf43SUgDtqXSHKSIEIxigh2nz1FicViyjVTldvcGK4E6SMENikCBkJWxmIEcWdHBXdJNXh3WTFQ8T+NvVofVlTbL56i5UaEQLpetQ0oANWNOy7B0FrEKSNg1mwEc9u3joLI5GHmTc5G0sFm+djLzudCG+cnog8PTvLk7PRHfeCNNK54npsvxpC4woYnnNBysiBCEpQQUq9BVbb7lV9JREdLwjN9yZwOkjAHbSuEGWkQEThtoUoI5VLIcqI4U6IMkJgkyFkJGxClBHFmRANgqyb5zq+m6x8iKDfphKtL3OKzRdzsVIjYiBZiZpHdMDKhn37IGwNUrRxNAs24tkOgEmeiJMskl8MYi/2T8dePvJzT5xNgtPg5CwPRvWIO5Wisc4V1+Mc6woYnnMpysiBiEpQKfp5dReX2mEw/Un5rLrv9W754DszVSn8Lfn/2vHa4+QUcM51FSUjBSKaIhSlqcGcEYRFRPpd4WufrBucKO6EJCMENpUBRiPP/W4Yacejx4niTEiGSd6NtROXm6x8iJDdppCsr26KzTdxsVIjQh9ZSJpHdMDKhn37IGwNQrJxNAs24kpIpiLNgjM/8U6EP/biMAi9LD499U5Gp6dBcnoiRDi+415ICp0rrgv7meoaV8DwXAtJTg5EVIIKyaXtfrrTIKfvXjwyslaY5XMvENou+j1OfgHnX1NgclIgoixcYBrPd+QkYVGYwtdPNW9wkjgTmJwQ2BQHGAwpMMNIPx49ThR3AjPu6i/5uMmKh4jkLepL4c8UiTDfUsVKjYh8dH1pGtABKxr23YOg2eVl82AWbMQbOuPR0J8pAitmvorp6hAtrbW7VGtXn7ANHKL1dXm//FL++WH1HV+oG1/LB7P7XlWt9IleguyJ4FqPSu32JC1hiopU62O89fAti9VJWgaTD8kmC7zJ8G2K6iQtg8V9ssXwN4Meeqsd0AbLC6rlzCdpGcw9JpsLj+7I3avqJC2DtUOStdVzcWeRkpydpGU651GENog8MLocZisxP5k20+5SzV0N1muepIVOUJ+Vvyw/W/skreqe8/lOgdlBV/fkP/esOupKu/ng/PAt+Y+qXQfVFoNn9Q7Y6qqN89OxlMWdIBDmI7Ko7l/NNlf2iCwqoEABAuAuHZH1mV7iqI6/WuKoTr/P5G9/WX4SeEmSTt8XvjoZy/e196k83umc70mRH9Uj+ePpT9UGlMfqSX1ZPSaP1RFc1c0qD6vjs55HHW9xhlYiw5w6REu7NW2f6svVyRjbIVpUA1dXlxgP0aKaCDz5Y80lI6Jxq7Jo3UO0RKDt/+lR7dvYCVoi2jkQ6uh3IX8ls0NsRGg7PYuMCNQahNOzkjgznZ5FthaoNnCnZ4lwfnqWMN5GcYtsMlBxrDc3nC+fhVs9M8MBmQGYtgkzxPpQG2n40hAYT88iIwgkAvjxkV7dnpt1acJItRaY+sBrkICgU8igUwh1cYCQvyBBZ0DGAyZO5MlZcRqaTs4iWwrMn/CTsxbB5rb5RT0im4vJqKTnZr60aw00BdV+3pOzFkHmtj3IHJPNByZT5NqDfGSO9QFmSLK0kq6neZaI8cgT6WnmxUkcedlJ5ntplp+ejMbBODs7m8EYVyVeH7XbeWE+5VtEOEoonm79wkKFWcPQcexyciDqddDFjfPdZF9d2k2m3UsGWPn45vRutXfpi/L+Tmf6wfReNW3/Wk5BH01/Wi2LPJv+uJqQVmd/1xPWR9XSxp/Ueob2jd3j9KyAexY+rddR7HNSICqbiAk1ZBsaJxVLf4d+GxonhrvmDkYIbIEZMhLGGT0jh7POjiANupm+dZiVD5Eq2piVzuemUd0NEJnnp5zUiAAInlbBR3TAyoZ99SBs1tEcNI9mwUZcCdjTcRKHZ+nEC5PTZHHXZ765a+Vtt3yKGOsKGJ5zAcvIgYhKYAE7q4eootpDKUK/ltqzunmmKqHpyiizL/2ikrQPZ6UQVRtTunP60eXiSfXtSwUWc8GM0XMC7rl1BSojBSI+IwSqqeLDCMKjSbu+luQGJ4k7WcoIgc2NkMEQcW44h7PHieJOmfoi7CZCB3iTFRCRBNqUpnEtZmKzNOWkRoQ+ujQ1D+mAFQ77/kHgGrRp43AWbMQzbTrxT0WutsCJRJ0zm515o2QSeiejSRj6sfxRo8kd99o00rniuhBoV4DwnGtTRg5EWIJqU8LZsap/a3Yq7IPqL89WUN+b3qv06XtqLbW+vEAK3fmlB6YTZDndJeDuWleQMlIgojJCkIJWTBmpeNSpDuMGJ4Y7acoIgU2NkJEwrpgycrjTpTKlafFusuIhwn+bqlTUMsZ8HR4rNSL+0VWpaUAHrGjYFw+C1qBJGwezYCOuNGkWnZ6JWIRelo0SLw5PAi+L47F3mozHJ2fBqR+ntQZ1qkljnSuuiwTrChiec03KyIEISlBN+vH86oFaiVYl++8o7amj2+OkE3C6dSUkIwUihKIk5EMdyaucJCyy0bCiyYjhTjYyQmCzF2AkItMlWJwczmRjbmgLvclKhwjQbarG+uIkYb4Ei5UaEfLIqtE0ngNWMuxrByFrEI2NY1mwES8OUIjv2FVhywcoGBYprVcr5OEqpqsDFGKdtbtUa1efMMcHKHTKL8v70w/KJ9V20/udeq3q+fSeWoWsFhl/OGsG/aWUir/Roe+J9FqPiu/4JIVs5yCJ5a/cECWpFDGeAt7KPjtRIds5lKYfGkw/JJsu8KbD29irkxWynb60vG+wvE+2HP7q0GPzbJdMtlNIgsJAUFAJuE9ayHaOpdnHBrOPyWbD0wFy10N14kK2M5RWDw1WD0lWX8gL6lV1dvJCZNrdYD2rPY+NrofZSkxs5uRGNHc1uK958sKn5RdVd9cPq5au6pzxu1VX1ovZdv/pXfnF2Weel487335j9P2zuoz2uZeESf37B51Qfava/T6vsv3MC9RG+Z95ofZiqz2qA1bzwtU9+4AIKFCAELjLg6xw1IHy5dL17eoU0LvqqAKpZ6qNKB9XhdB70x/I0ZaDvVMfmTH9gXTMM/UNLysp86KSOA+qMuuL2RkKn5WfdALVzRerh+Cz8vPZn4Qv/4WOFEdVY6D0YKIOQ5Di6N905m2GqoRbX6N0f2ZcbdqsXKu+/Pvy1+U/lp9Irp9JE/+gzk4o/6H8uOOpf2T+4z6W3/Az+cU/etXPlc+whJA/8mtl/fTdzjel/Pq8/Mx75dV/G/WOvrXTeecvgnBndliH/Ennz/O/Uf/gk/Lra53yn8tPvFDoRnufOtqrEz2+0xmIBgI3mcKXqyynMxBNBO4uXXMpimgcZi8pwHuJr01/Pap5mzucIZeTBl/+CuSvUP6K6r3SmfWABiomUJIQDmgIQ2E8oIFqLVCUIA9oyBYHNBivvLlFNhkoTNabcs5X57KtnpnhgMwA1BaECed873S2tTQE5gMaqAgCiQB+fKRXt+dmXZpvUq0FZj/wEicg8BQy8BQy8BQy8BQy8BSgwDMgIwLzJ+6QhiCL0q7+YPbbZEuBaRRxSEO2OKTB+LIekc3FJFbSszNfPrYGm4JqP/MhDdnWkuvNhzRQzQcmVORyhXxkjvVBZkiyVJnqR2GcTE4CLzxV1wOHeeCNo8T3RlGSiMQXeTSunyXjAsbro3Z7NiLzIQ05jhKKp1vqsFBhljt0HLucHIiSIHQdBHjl78uVmfSTC8sl1aS1WtKXc8v5kZBVc7HaJSd//6zaG/e0Oo5httYwOzSy/pzpGIeqpCDn3d1v1ZdyXFhqqf+92YrLhbm5+ltyCl4dMagm36ntEErGkRLwkYKvZ+go9jkpEMVYxDwd1MLMSMXSi2JoYWbEcNeLwgixqmUsEGsvFDBiOGtFCYKoq+e7ycqHyDxtTHTn0936gjFhvi6OlRoR/8AzNfiIDljZsG8ehK2hHaVxNAs24lnVbjSKwyg6806SKPDiKDnzRuJs7E2iMEvOojM/GtfPuVM9rF22vp5YrzbRuQKG51oPc3IgohJUD/9WlXW6i7OwVcno91IRv1/VYu6rs9Ir4fukfNrR4e5x4go47pqikpMCEVQRovK5tvHrVU4QFh3pd339WY03OFGcaUlOCGxGA4xGJKOzfjh6nCTO5GTs51E31wLeZAVERO4W9WRS3yiWmK+HY6VGhD6ynrQM6YAVDvv6QeDsgrJ5OAs24tlBDSM/mpyenHnj+DT3Yl9kXp6nkZfJv3Hmj/zUP6294lRQalPh9STAugKG51xQMnIgwhJUUH52cXGy2gyneouqNcv75QO1ulrdp/Ok/Ep9LRVbsb/l78jnVv4pMqxccrpAwF0AF5kX26J0RPucRIioixCc6iy3h3KioB2hVzl5mHRnluhIbnCSuJOdjBDYvAcYDBEkhuHocZI4k51JYtpRx4qHiO5tis6gVimBWXRyUiPCH1l0Ggd0wIqGffUgaA2Ss3EwCzbiSnJORC5G2elEftGX3xuc5N5o4gdePknTUZhO4klwese95Ix1rriehFhXwPCcS05GDkRQoknOWZG8Pov28fRHVaf6V53Zp6XeFJXerCvsseqju+yBPU4PCLgHUIpz0XqvI9rnJEKE3PYUJyMPi+I03CR7gxPEneBkhMBmPcBYBGFiGI4eJ4kzwZkn3USrp2+y4iFie5uCM6w1ivkmP1ZqRPQjC07jgA5Y0bCvHgStQXA2DmbBRlwJThGK8SjOhBfFwakXj5PUG6W+VKix8KOx8JOzyckd94JT6FxxPYmwroDhORecjByIoAQVnL+Z7zM8vyZBnfbwbiU5Z1sjv6p16GLzoerT/E35h/Lj2ecXWxB1/tjj9IeA+wMuP3UU+5wUiKCLkJyGLZWcIExa01BTZwRxpzUZIbAJDzAWQRQahqPHSeJMawZ+2g0Mq5ucfIi43qbYrC9ySszXcrFSI+IeWWyaR3TAyoZ9+SBsDWqzcTQLNmJ1Yth8RB0eqqKNRNeT2EopVimdHaoSaGc9u1R7V4PGFT5VJakOVcl1+HtU/BiGv/kzVaiAAgUIgeMY4tlurvIX1SygOodk5esvZsfJ3a/OZ7kvP/945s7qp3tLh7NUBxCrxV9Rrf1O3498dTbKk9nRLKJqQZh9snt+vsnfl//TC+7ceUPn+32q71dTE9sJJ1QDgTu04TLbfMIJ1UTg1uw1BTTRuNX8vOYJJ2luWoIl2rexI04SsXOQJPJXKn9ls1MGkth2vAkZESgOCMebxL7pnNhvk60FygPc8SZJPD/eJDHeWHWLbDJQIbQxpZAkWz0zwwGZIUYyoE8dkIYvDYHxeBMygkAigB8f6dXtuVkr1vbJ1gJTH3hGBgg6hQw6hQw6hQw6BSjoDMh4wMSJO9okVDsBDUebkC0F5k/40SaLYHPb/KIekc3FZFTSczOf51oDTUG1n/dok0WQuW0PMsdk84HJFHm0iXxkjvUBZkiyVJkK2/apYIzLCJbVFOpSguFok/raTDAlFE+34GChwiw66Dh2OTkQq5fQxYj/hY824RwpAR8p+LKCjmKfkwKxboyYoEOONuGkYimeGdq0GDHclc4YIbCr94CRMK8QMHK4K5yZzzZh5UOknjZmufO5bn2jX2K+npGVGhEAwdM0+IgOWNmwrx6EraFw1jiaBRtxJYhHo9Oz8SQZeaNxoFq6wrE3iseJl8RinIzP8jxI4zvuBbGhupZgXQHDcy6IGTkQUQkniC9uRV3dFaA+J/x6S4B9CyojuoCjr6swGSkQARahMBs2ATDysGhL4yYARhB36pIRApviAGMRJEk3MOhLRhJn+lLiZdorWW6y4iECeZvysr77LzHf48hKjYh+ZHlpHNABKxr21YOgNajLxsEs2IgrdXl2cpKcpeMTL0tPTrw4l5p0HI9OvLNkFIaj8TjL0jqqOlWXkc4V1xP7rV4aV8DwnKtLRg5EUKKrS9tBJ1JiQg46YXSBgLtgXZXJSIGIs+2pTEYeFpXpd7Un69/gBHGnMhkhsKkOMBaJDNza0ehxgjgTmSLqxgaRyYmHiOdtisy01iWpWWRyUiOCH1lkGgd0wIqGffMgaA0is3EwCzbiq7vT1HCN6fUkw7oChudcZDJyIIISVGTy7zRl9IeA+2NdxclIgQi6CMVpam1nBGGRmsadpowg7qQmIwQ24QHGIkjjrq8djh4niTOtadtpysmHiOttis2s1ifm+y9ZqRFxjyw2bTtNOdmwLx+ErUFtNo5mwUas5KZNRba7wdSwSJlb4OIgWoXb+AZTor2rseLPdYMpET+G4V+BDaZEQIEChMBxDHHdU7vJ7aWhcXsp0fOr+YhveynRQOAuGbi2tmwvJZq4qpx5tpcSjVtNymtuL40SY/co0cCN7S9N/Z2DNJC/QvmrvsU6ya37S6mIQG3Q8v5SqrVAdYDcX5ov9pcab267RTYZKBDamEhIkq2emeGAzADM8mvsL823lobAvL+UiiCQCODHR3p1e27WirV9srXA3AeehwGCTiGDTiGDTiGDTgEKOgMyHjBztri/lGopMIEi9pfmi/2lxhf1iGwuJqWSnpv57NYaaAqq/cz7S/OtJdeb95dSzQcmU+z+0nz7WB9ghiRLK2EozpI8ioSXjrPAi0+iU2/si9w7G/vJZJKF8v/ql9S4imBZQ6GuJBj2l6a2S640lFA817UoTg7EmiV0LQJfiyp/hqpFcfpDwP0Bn7vrKPY5KRBrsuvPgzlBnNaiOEGc1aI4IVZlggUCOvvOgtBUi+IkuQq1KFY+RFxvYwpZTyTT+ubJ1HyRKCs1Iu6B50DwER2wsmFfPgibvRbVPJoFG/HV3bxpOho1td1vpXUFDM+52mTkQEQlqNpsc/MmJ7qAo68rLBkpEAEWISztbfWcPEz6Ur95kxPEnb5khMCmOMBYpKkwbd7kJHGmL82bN1nxEIG8TXlZ3zKZmq8MZaVGRD+yvDRv3mRFw756ELQGddk4mAUb8dXdvGnqi0pDrCtgeM7VJSMHIijR1eX6mzc5XSDgLlhXZTJSIOJseyqTkYdFZZo2b3KCuFOZjBDYVAcYizAXpt2bnCTOVKZ59yYrHiKgt6ky66slU/M9oazUiOhHVpnm3ZusaNhXD4LWoDIbB7NgI766JzJHht2baYR1BQzPucpk5EAEJZzK/F/yRGbOkRLwkVpXDDNSINIBQgxDTmTmpGKRxIZlV0YMd4KYEQKblQEjYW6q5wRxpoctRzKz8iFyT5uCuL79MjXfZcpKjYiAZEFsOZKZlQ377kHYGhRx42gWbMTqLtOZLK6fZKPmfXty8s5rb76hcQNB8hqWVGMLZZgnq5SmraZmUzE6dr7bVGvrLtXW1cfL4lagVv2D0pxK65VfVerzgdpS+XWlVx+Xz6cfShkrFYWSjVIM3p++L7/hcbV/UEpNHdpeGl/rUfEuBUQz33rxcLa9SuwcpNnOQRbKX8nOQe7LX5H8JT+fp4bASCWL8WTwznaFcyhxDiXOocQ5lDiHEudQ4hxKnEMDziEZR+Bx4J3ukqYvafqSpi9p+pKmL2n6kqYvafoGmj6ZBv5a0YP2bHON2CkkVSGpCklVSKpCUhWSqjBQFVSqS7soGqhwj9uxRDmWKMcS5ViiHEuUY4lyLFGODSjHZBR4OkFuqpAkQ0kylCRDSTKUJENJMpQkQ0kyNJAMSSTVs3ZnkR8d3f5t3E4hrAiZcTBglpKSpTRXa+wu1djVhLLmuQzgbKmWb9Q++2r1p1qK+bAzvavWfFYXa16qnfZP1Feeqirk9O7sczov7FG9sJp8ruzxDFRAgQKEwKnq4iM5QPfLZ56/44di+t6/6QRe3Jn+pAL5kxwzryO/EgfT97o6mH0qDHDXJ3x1yLQeRLQPuG0Tsc5jPPCAaiJwv+aaazhE41bVxpoHHvhd+XTqDOxRDdzcgQdShafpbM9xKmwHHZDRgHkWf9BBHPqxbzrpgGwuMNniTjpIxfykg9R4j9MtssnAlLveBG6+lCW2emaGAzIDMGESpmr1JmRp+NIQGE86ICMIJAL48ZFe3Z6bdWkGRrUWmPPA64GAaFPIaFOAos2AjAVMlbgTDpLIT0yR5jbZVGDKhB9xsIgyt81v6BHZXEwSJT0w8+VVa4QpqPbzHnGwiC637dHlmGw+MI0iZ+PykTnWR5YhydJKraaRHyf5iTeJg9CL8zz2xifBmXdymo1HWZCeZPnpDMY4F3991GbDhnGSez1NcIxQON2s3cKEmbnrOHY5ORAlM+ik/rxd46tL7RqLZo3Lk/xvyol6dVDexQ6Mb9XtE/XfWlkC0Hlrj9NbAu4t+NxYR7HPSYEoGMInxbCWCUYqly0TjBjuWiYYIbBlW8BIWKbljCDOWiayNAi7WawDvMkKiEgAbUwx5xPN+mq61HzPICs1IgSC50iIIR2wwmHfPgicdTgHzcNZsBHP+iX8k8l4kp14eX428uJgFHh5Ks68JDmNg5PRaRTO32SHqjTUOeJ6mmIdAYNzrkoZORBBCapKf3ZROpb3dUh7nEgCjrSudGSkQMRNuHQ0iUVGDpdikRHDnVhkhMCmK8BIWMQiI4gzsRj7oXHF8iYrISIwt6kW6zvmUvOFgazUiKhHVou2MR2w0mHfPwhdg1xsHM+Cjbjqsd1ZSCWnjUMGQZhZUCPfX0V10jhkOKRnl2ossIoJVXPQxqHnqo9GLTxWO8PkJ6t+oCfT99voHiK6Ioa5Atk99NkSvNr9Nl80fVGdLqu6il7Ir71/YVfcC/kf1U/0ftWc80R66+Vsp5r6rdoj95F08o9nLUjVkQ5fym97LF15vzN7UoRanv1G+cnFf6F8vPgXph+qL9+58wZLbxPR/QLlfpjrF71N3U75x6DjyY+xzuh9qtHAeu76mptoH7Awi9DS5h4moonAguyaOploHKb8CvCe340i7QPYoxq4uR6mfOcg8+WvoO4syKx9TFQ8YNrH9zElvi8yYx8T1Vxg7kf2MWWLPibj9Xq3yCYDFUAb0wZJstUzMxyQGYCpe40+pmxraQjMfUxUBIFEAD8+0qvbc7NWrO2TrQXmPfCsCxBxChlxChlxClDEGZDRgCkT18uU+36WGnuZqKYCUyeilylb9DIZ39IjsrmYZEp6aObTWGuUKaj2M/cyZVtLrjf3MlHNB6ZSbC9Ttn2sjy5DkqWV6gpCfzJJzrxxnI28eBIJL8tOJl4wOclFPD49SeYR37g8YFksoS0RmHqZchwjFE63kGBhwiwm6Dh2OTkQi5PQdQY1tVOnudyd3yeqjpz5cTWl/sjcy6Qj3+MkF3By1Lz2mVoCkdRPqrtOq2tKdWz7nGyIxdf1p7+MHDwlp64f6UhucJK4qzoxQmBXvQGD4Xf9WOhAepwgzqpOuR+r08ITHeFNVkJEYG9j+jifROZ1lcJ89ScrNSLwgec/mDEdsNJh3z8IXUPVqXE8Czbi2Ynavjg5GZ+deafJWebFJ2LsZUkaeOloFGaTeCK/Xksxh3JTX5PKfKwjYHCu5SYnByIqQeXmH8qHM8FZPl2Wm1VdCiU3OckFnBwhNy/CK6kpvCBPd0TUKZ+WD1UR6eI3JNH0/cQLUj8zfUcmf0TqRUHi70Sh9jvy6jtEkOxk2q8HvvyG+h9KRLITJfpvC8X0ffWvSadlOwtjdKOyzzkqiHyxtlDm5HArlDlJnAllTghsogYMht8N81wH0uMEcSaUsziJ/W6ub89iJUSkpBaFclZfhJeZrzVkpUYEPrJQto3pgJUO+/5B6OxCuXk8Czbi2bpsmsufkQUyn6Zn8nulvM6i8Vgm8/gsO4n87OTEvVDWpo/rme0OHv2MAQTnXCgzciCiElQoM+4x/Xq+5KuOFn+i+sY68vtmcu+pYeMAp/cE3Htwsa2j2OekQMRouDgF7TnlpOKRqjqMG5wY7nQqIwQ2TwJGwtxGxQniTKeGeSQTmzav3WQFRCSENmVqfaNeZr4ekZUaEQLJMtUypANWOOzbB4FrUKmNw1mwESuZalOfbW4aMOjO0IIWB/Eq2kY3DVCNXY0T/wI2DVBdEcNc8b83Ddg3DVDdL1Duh7n+4qaBz8rfedW+geo32rdon2o7sIcSLrtNQptoH7AREiGgjXsHqCYCGyDXFMdE4zDtjgDvSdGbCJ2BPaqBG9s7kEU7B1ksf4lZJ28W2vYOkPGA2b/lvQNkc4ESALd3IAvnewcy41WCt8gmA4VAG5MFSbLVMzMckBmAGZy+d0AavjQExr0DZASBRAA/PtKr23OzVqztk60F5j3wXAsQcQoZcQoZcQpQxBmQ0YAps8W9A2RTgakTvndgEWlum9/SI7K5mGRKemjms1drlCmo9vPuHVhEmNv2CHNMNh+YSpF7B+Qjc6yPLkOSpVe0RmW6mSSLcIxQOOc1KkYOxJIkdLnhqtWoGL0n4N6DT5F1FPucFIgFWvhkGVajYqRyWaNixHBXo2KEwK6SA0bCMl1nBLkaNSpOQERCaGPaOZ981rePZua7ZFmpESEQPG9CDOmAFQ779kHgGmpUjcNZsBFf1S0HpmOw6pNyEY6AwTlXqYwciKAEValtbjlgJBdw8nUVJiMFIrzCFaZJUzJy8GhKY4s+I4k7WckIgU1sgMHwu6H2sIUeJ4czVWnv0OckRETwNmVlXOuQ2CwrOakRcY8sK+0d+px02NcPQtegKxvHs2Ajvqonpxg7pQTWETA457qSkQMRlaC6ssWTUzjJBZx8XV3JSIGIr+vrSkYOx7qSkcSdrmSEwCY2wGD4XT/XnjbR4wRxJiytZ6SwEiJCeJvCUtRCxHxpMCs1IvCRhaX1jBRWOuz7B6FrEJaN41mwEbtsqo91aNezxIomVtE221RPNHY1UPxLaKonuiKGueJ/N9U3NNUT3S9Q7ge4PvDizvQnlcl/Kp/obN2n2gpsJlxfXRPtA3YEolSzqYmeaCKwE3BNOUw0DtP3B/BeKL2nnXT0qAZurok+3TnIMvkrr1taE2sTPRUPmO3bbqKnmgtM+cgm+mTRRG+8SPMW2WRg4m9jdiBJtnpmhgMyAzBjr9FEn2wtDYG5iZ6KIJAI4MdHenV7btaKtX2ytcC8B55cASJOISNOISNOAYo4AzIaMGW22URPNRWYOhFN9Mmiid74lh6RzcUkU9JDM5+tWqNMQbWfuYk+2VpyvbmJnmo+MJVim+iT7WN9dBmSLL2iZaTY1ERvu5BQwwiFc15GYuRArEFClxfaLCMxkgs4OXw6q6PY56RYTfYWivUnuowcjstIjCTuykiMENhlbMBg+N3YVEZiBLkiZSROQkQIb2OiOJ8u1hcCZ+YLnlmpEYEPPNPBjOmAlQ77/kHorOM5aB7Pgo34qva9x6a+d9vtVVpHwOCcC0tGDkRUggrLNvveGckFnHxdYclIgYiv6wtLRg7HwpKRxJ2wZITAJjbQYIgk14H0OEGcCUt74zsnISKEtykss1qImC8DZqVGBD6ysLQ3vnPSYd8/CF2DsGwcz4KN+Koe+xGbGt9zrCNgcM6FJSMHIipBheVVO/aD0XsC7r11xSkjBSJGw8Up7NgPRioeqarDuMGJ4U6nMkJg8yRgJCwNRowgznSq9dgPTkBEQmhTptZXU2bmq0ZZqREhkCxTrcd+cMJh3z4IXINKbRzOgo1Y/u+vLygbJT7/yqZG2+yqFzrU67n9rqhwFdVJV73hrLxdqrGrcYOjq/5iC/3LSmC8mH2bFIFPpz+sFOf0B1Jxvi+/X+lL9S0PdmbLmy+VDtmZNY8/lxrzi+oHvVSfkx+lspRfmXWlG35yJTandyvd+bh8MfvX7qrP/aiyS8qdTtWr/7hWPfJbph/t6Hr7nyx19n8gf5Q6B736ft2g7FEHJYYNCrK//49LHr5C3f0a171CdZ1AuQ7kNi/oll97QTb9QMrhO2+oT3hJfOFP3cALLv4xXP5j5IXnfwzVz7rwl0MvvPDNkfqquPBnL8wuflX+wxf/uPQPxZWVF/7sBcnFrwYX/1lx0SYhv3bhj4kXXfiLqZdf/JP81uziH8OLfzPzkvz8T7k0/qKbfC+MLvwxuAgahEv/aBB52cWvLrMEoubUPDj71AcH2DAKn0kZ5k5U+4Bdn4g5kXGjBNVEYLfnevMdqnGY3k6A99Juaji+kGrgxjZK5MHOQR7OWpZz37ZJgowGFG/4TRKBFJZBaNolQbYXKOFwuyRyf75LIjdeUHqLbDJQyLUx+ZMkWz0zwwGZAah76LskpOFLQ2DcJUFGEEgE8OMjvbo9N2vF2j7ZWmDSA8+dAeGmkOGmAIWbARkLmCtxOySCJAwS04as22RbgUkTvkViEWZum1/RI7K5mDRKemLqpQh7iCmo9vNukViEl9v28HJMNh+YSJFbJOQjc6wPLUOSpZVeHfn56SSTKj+bnHhxOo68/PQk804mY5EHIyEyvx4L4xKPZcGLtsxj2CKR269bvMQIhdMtBlmYMAtCOo5dTg7E+jJ0rei3jctCTzrfrP/8RXl/Z7b08HL6A7WUM/3xpe63+TeokuL0PbUcpFZnHlVrNe9VKw+XvkUd6XC3Xt6pfsKiLDlbYLovv7kqhU7vqR9TLf/IH9jVvtV7nP4XcP/D1zZ0FPucFIj1+vUn2owcDouUnBjOipScENgyCWAkLJN7RhBnRco0FLlvELI3WQkRWaSNiep8ulrfuJybL9BmpUZEPfBMCzOmA1Y67PsHobOXKZvHs2AjrrRtdpb74fgs9qI0GHvxRH7vOI1PvWAUJqdBHMb53CsOtW2oc8T1PMQ6AgbnXNsyciCiElTb/kxK0qeq0vadWSdcXR1TldB3lch8Wv3x/qx89uBCUW36o1lFUX8M1B6nGwTcDXCJWX6sRHYl0B/Mtqjcn7umc/Dt485uJ1OVIWmDdFMqvKgq+3RVoafpb/5l53vf/f7bHfW3fS/y1Q/I5e+T1Ef/iPD8RwS+8FKRJLOfoRmDfc4xQKQKhEA21Mpe5SRxKZEZMdxJZEYIbIoGjEQYJvp9zJwczhSyWR1z0iHyUJvqOKzVlPnuaFZqRMgjq+NQREZtzMmGffEgbA3auHE0CzbieQtffGcheZ218GmD0fU8sqJeOvPXSQuf4aSeXaqxwMovVLr+YalX7vF81bVu2Zr15lULobOV1MeqK0x9ZrnL78Iyq+qw0wHvUYFjGDCuPU5n4StUCwXKQoB15cfLDYpqXNQpxO/KT6lTiesOyPn2nIdVW6Rq2pNjYFCxRDRgyRihTg3alGgfsPaL0JzmPimiicCS75p6kmgcpsAL8p7Idfb1qPZtrk0qrnsWImuLFBULmBzxLVJ5kofmDimqucAMieyQihYdUsaLR2+RTQbmyTaktSTZ6pkZDsgMwNS3RodUtLU0BOYOKSqCQCKAHx/p1e25WSvW9snWAtMdeGYCiDQFKNIMyEjADInsjopFlJkmWbfJtgJTJaI7Klp0RxlfzyOyuZjkSXpa5rM8a3gpqPYzd0dFW0uuN3dHUc0H5lBsd1S0fawPK0OSpcrU0/g0jUfBiRcm45EXj5OJl4/SxAvPktP0NArPYuG6OyoxdUfFOEYonG6ebWHCzLV1HLucHKvSwjY2wGk4rDtquV1pcc5C1S21qHVMP9zpTD9QO7+qn6aqH/X8vYu7xEb7uu5xOlbAHQufTOso9jkpEEuc68+bGTlc1nQYMdzVdBghsEvLkJEwztUZOa5ATYeTDpEZ2ph4zqef9T3LufnebFZqRMADz5wuPa2hnHKYW5448bDvHgSvoazTOKAFG7HL+w1THdr1XFjQ4iBZRdtsGYdoLHB5CqofHZZxiMAxDLiNMg7RQoGyEGCdroyjrdnUFxs+rNrEXpZf1CdVvCjvG6o5RELg8tb6qpRoH3CtCqE2zdUcoonAJao1lSTROMyCFMh7QaBdCelRDdxcOSepF1mFtZxDxQImybbLOVRzgZkSWc4Ri3KO8VrmW2STgfmyDVUtSbZ6ZoYDMgMwBa5RzhFbS0NgLudQEQQSAfz4SK9uz81asbZPthaY78CTEkCkKUCRZkBGAqbIVss5VFuBuRJRzhGLco7x9Twim4vJnqSnZT67s4aXgmo/czlHbC253lzOoZoPzKHYco7YPtaHlSHJ0itazklN5ZwExwiFc17OYeRALNpBp+N/RuUcRscKuGPhk2odxT4nBWJ1c/2JMyOHy3IOI4a7cg4jBHZJGTIS5sk6I8gVqOdw0iFSQxszz/n8M6mX/81X07NSIyIeeOqErOdw4mFfPgheQz2ncUALNmKX9ZxMh3Y9t9+hmK6ibbaeQzQWuD4FFZAO6zlE4BgG3EY9h2ihQFkIsK78tPyi2tr/fHljjuYcch3IPhUEuIy1vvok2gdck0KoSnPZhmgicClqTcVINA6z8ATwnt+NEm1lvUc1cHNlm6xeTE2tZRsqFjAXtl22oZoLTIjIsk26KNsYr0G+RTYZmBbbEM+SZKtnZjggMwAz3Rplm3RraQjMZRsqgkAigB8f6dXtuVkr1vbJ1gLzHXjuAYg0BSjSDMhIwBTZatmGaiswVyLKNumibGN8PY/I5mKyJ+lpmU/irOGloNrPXLZJt5Zcby7bUM0H5lBs2SbdPtaHlSHJ0itatslMZRv77bCXGKFwzss2jByItTnorPvPqGzD6FgBdyx87qyj2OekQCxirj9xZuRwWbZhxHBXtmGEwK4cA0bCMllnBLkCZRtOOkRqaGPmOZ9/1re+58Zb3w9YqRERDzx1QpZtOPGwLx8Er6Fs0zigBRtxdbpaFXNqbqMmfXty8s5rb76hcQNBksY6yuvKBiNl5F+6BtZUwTGbilGa8yJObdUlzUk0dvX5svgVKCc/q2o2P6rKBFXd4Av5x/emH+rM3svzaz2q6ZcCntn29eJdtSgb+PrVkQOy+THefPhMWNl8aLL5kGyzwNsMn/5Kk/smk/tkk+FPOD2AVotpJtMLqumXFkkaTMc9Hccme4/J9sKDNHJhRJo7NJk7JJl7YS7t8AxPQ/39elBLCxODeSEKZiot0Rgv4iabCyyMQFON7ibu6b3yy2qZ4vzE+emH1Vn01R3W9RqE/OOfykfl/elPp38rP227WHu52UDnjz2yP1ZTAF87AdlEgTIRYF4lEOrLtaXrVWtHfb3VtU61SfRLNVqd+uby6irv6pu+qi4RON8tOluserwzv+N7erdaUlK9IH87v+G8ugR9+dZ19S8/WWw9fTG9Vy1FPVRPztLClTQhDP3p+0L+imfPgfzC/eo5e1K+6EiHTt8PhF/9Ex9Iq9Ty2POO8H3Vj/JcfTqcXzQ+2/T6Qr+tlTwywIIRfJ2nWtV72O3oe2ZeJRsKLAMhFnKMnRJkG4Hln/VWacjWYao9AP+JrCtEqDOxRzaRpVsCvLBCNxuY7PHdECZbv023FZjtca0Q0px5L4T8rbEZgm41MOmj5mhQZx/QzQbmZsLcrK5SStO2lh1vbIGgUwgkBfi5UZ7dXhi2OlujGwzMauS1POMyHt1kYH7DtTnEwmTpbbqlwCwHb3I4Dx63LcHjiG4xJvO1+TgUZJN5WxvOg8bc4cbmBjoBMCciJ/HqWVkYtTqJpxlbLRdfkG8ulou1uknO4AOr/ZnR2WBL8ZN47c6EXbKp8JU06AT+42pi9EDN33Smyol1cK1Httf1ArGh/EW3f1WCAOyHB5R6hdioOKhGC7zR8BgyWyLW29yn2wx/ssGJxrRGbCipkW1nXyQ2ZheqwfDYjEwws1Vivb1Dmr1V2KufDifJxbhAHFqtz43eBttKSC+mYiTZWvh7CM0wqGqktFulG6LxrtNNZEo3VPtdpBu90Yd0owXeaFRE6Zts7tNthj/ma6cbve0F2Xb2dKM3+JhuMDxak9KN3t4hzV5lcL0A4qwqqeqSpqQT2RiCwOhzmKm0jGO6xGGXbC5wgRKacnRVyeWL7GZdz09VPal8pL7UUaeedqoW6Go6VD7WEe6RCVcjeyt1xvIX0w/rfu4/SZDHEvquKrBWpbWfl59WXeKq3vrF9H+UjyWcajJ/3tntHXjlx+U/6QhfIRMKFCGE7uPF8MiRUYXBFxLwA1VLnL53eby6nfL3qidelZOrL3qdIJyVAnc68mctRl/94Xfe9F2v8k6oyouBqjMmorqZu/yk/GP1m7D6c7hTXdgtqo/lL8tPy8/L33dE5HuhH2hXIvbJLgSuvCLqic8jnYWvki0ELrS2U0gk2ghcYl23kEi0DrOcCvBfLkNyorOwR7aQpY54KXlrdl1Lu3bkB6E+1KdZSgjbDmw6IzCX44uOSWDsU/423VxgPsfWHaPzuqP5KkS61cC0vt5crO6Cl1Zu9SwYB3QMYO4mTMkWJYVoa3kgLHVIKoVAUoCfI+XZ7YVhl+doVIOB2RBchwSEoEKFoEKFoAIYggZ0PmAuxRUt8yAX5qol1VRgSsVULaPzqqX5ikS6xZg0S3p46r0aTWGnICNwVzGjreUBsFQxqQTAJIuc9atnZ2HU5Vk/xdjqkZnkiTjJIm+cBrEX+6djLx/5uSfOJsFpcHKWB6M6IhkXBF4ftbdNu1oUMC4LxDhIKJ1u6cAChVk+0IHssoKsqg/b6AAXFj6vOmKr5tiflM9UepjeLR98p6N+1xH+lvz/WAe6xwoq4KDw2bcOY58VYzXfWzAwM2DtHP1VVhKWvdOxvu/hBiuJs+3TrBSrYsBCAZ13R7mc5enXf3qsLM62UIdJ3o21+ecmLyAibrcxc1zMH+vL7+rf6MAPeMERARA86YGP6oAXDvsOQuCsIzqAjGjBB12JyjDLJn5yEnt5niVeEExSL/NPM8/3hS+SLJOztVpvORSV2qglRaXAegJG515UMoIgghNcVKodU3enP+5Mf1htcqsKHapG5VXX9t2d/qjaO3dflXZ+Gwjt5H6PlVrAqddWmIwYiACLUJhPy4c6lFdZUXgkZix0JDdYSRxKTEYKbHqDjEYQhaH+rtoeK4sziZl0Qy3eTV48RAxvVWCKuRwx3/HHC46If2SBaRrTAS8a9v2DoDXJy+bxLPigK3mZijQLzvzEOxH+2IvDIPSy+PTUOxmdngbJ6YkQ4fiOa3mpXZiV8jLBegJG515eMoIgQhNUXi51vsxOjXyhOnCrXf8fll91pu9OP6rug36guqLqxczyuWdWmowOEHAHrK00GTEQkRauNKcfGM6BZEVhUZqR/m7EG6wkDpUmIwU200FGI0nS3Kg0GVmcKc0w7sbaaHaTlw8Rz1uVmslcmpiv8uIFRwRAstQ0DuqAlw37BkLYmrRm84AWfND1Lt+LR3YZ9WRLW7FMItJ2CHsUhKuI3JuwtGbuks2Eb0uBqr9PpdB7VJ2p9FQdFD47DEnt9pWa8IWUf8t7snaqm7zkn6oToepjwdXXVIv5TCLen90/peOWyjBVu7eI8K53b2WmuEi1P8bbD+/bqXdv6Y0+pBst8EbDW3Vmu7f0NvfpNsNfE3r8rdsB9bYXZNvZd2/pDT6mGwwP8Mg+rtnuLb29Q5q91dNxx02CMvZm2Y5mjoLI6GiwncgUZdysRTQU/vaRkpTa2fO4/JO6hnL6oToXUq1ZXDhTUH/Jocw9mco9RCbXuSc35R6q/S5yj97oQ7rRAm80Krz0TTb36TbDn/61c4/e9oJsO3vu0Rt8TDcYHrtJuUdv75Bm74XVSwe5x5h9cqvpsdHVYEvR2acrdKbukk2Fv4HE/PN5+XH5c53NMsnkKskQDXecZAJ/5yDMsp2DOI13DkSkPmSxKfFQmRwkHglyqEAOFcihAjk0gRzSQQQeBBVv+oqjrzj6iqOvOPomjj6dA/56rJugJE+heArFUyiewsRTkHm4k5aEOFYQxwriWEEcmyCO6RDwREBJZJJhqBiGimGoGIYmhiGNwe3EypzeAusZhYHzG2Gq9GaaYFGNhb/B0AT3WbXm96HOzD1pjcxpVFtd57Rg5yDII5nYgkRlN2FIZ2QcF+ks2DlUDIeK4dDEcEhnEHgGVMDpK4S+QugrhL4JoU9HgL8CayexYKdQKIVC</t>
  </si>
  <si>
    <t>KUwoBRmFPX8FO8fK/mNl/7HJ/mO6/fAwT0pdwc5QmT9U5g9N5g9p5rvPWsa8FVjNT4zeB1tLylvGzEU0F/7aYjLXI3Wzx+K+2vuLu2+rC2bU19UNI0+q+0Y+qI52ejz7/FN1HW51Wcjjjo5Tpj51uC0V1nXqC2XqCyL1QZ2QEqTqQy4/hConhuoLofpC5KsP6iSVSM79glj9tVgmy0CoLwj1BaG+kKgvJOoLqfpCqn5AWv1R/dBM/dBM/bzMtFZJ9puLHBvKHCuddaicdaicdaicdaicdaicdaicdaicdaicdaicdaicdaicdaicdaicdaicdaicdaicdaicdaicdaicdaicdaicdaicdWhy1iHdWQLvLFQI7itf9ZWv+spXfeWrvvJVX/mqr3zVV77qK1/1la/6yld95au+8lVf+aqvfNVXvuorX/WVr/rKV33lq77yVV/5qq981Ve+6pt81af7Ch5+1lYNoVQN0meF8lmhfFYonxXKZ4XyWaF8ViifFcpnhfJZoXxWKJ8VymeF8lmhfFYonxXKZ4XyWaF8ViifFcpnhfJZoXxWmHxWkH3GLk9CKU+ko46Vo46Vo46Vo46Vo46Vo46Vo46Vo46Vo46Vo46Vo46Vo46Vo46Vo46Vo46Vo46Vo46Vo46Vo46Vo46Vo46Vo46Vo45NjjqmOwouHEg6KJQ6SPppqPw0VH4aKj8NlZ+Gyk9D5aeh8tNQ+Wmo/DRUfhoqPw2Vn4bKT0Plp6Hy01D5aaj8NFR+Gio/DZWfhspPQ+WnoclPQ5qfLkgW5S720zMXqsuou0IrBfhOgFbOz1yILtMh07tke1elyJoHaP5PKa+eSFF1oeFnJqlml8G9X3WQV/ewXRBjOqI9MtGqSGjlwEydia+QTRQoEwHmLfm9LoXfV5+Sf3xR35FX+/v+QvreOz/GdHqvU333i+pbHssvPVffWN+c96Q6ukT+4bPyF+U/VsdlPim/vib/7KU71cduUP03m32s/xTM/7P4s34D8T7ZjwnMj/BGeeOhH1QLgUd1wfvfLcdeUm0EntG1Zmc71bpVabbmsZdZlKT65sse2USWcy9XDTffn0c2G5hY8UdZhqn5JEuytcDMijzJMggXJ1lKJWU8yZJsNTC/oub50EfjgG42MIkSptnzY+SCcGvZ8eaTK8kUAkkBfm6UZ7cXhl2eh1INBiY08sYH8w16ZJOBGQ53GGWUiW6qVbq36ZYC8xziLMpF8LhtCR5HdIsxua/Nx6Egm8x89uQiaMwdbj57kkwAzIrIubp6VhZGXZ4zU4xVe2t23F46cT5t1oLIaXNkAwl9o9dhxlKnzcZ7J6j2AtM6dNqsu3ei2l7zZd1etnTZ+uzK87tq8jz9qN51XV+K/rjeoP20vuz82eIbHnSC+u+Y+qCpvgBqhVYm3EQTBcpEgHl1eUktcjzrqonxs6rHvJp6/778dfmP5Sflp/LXP5Qfy//+pvx/d8qfqf+Ufyx/pm7Y+Fn5O/mHX5e/68gJnY51n8wK1BBtTIqJFgIlQzuTYqKNQLGw7qSYaB1GGAD8J5Tc0lnYI1vIMie+lFZ1d0EEcX38emC/AYJMBkys+GlzlJtnzVRjgYkVO2s+v/8hsNz/QLYamF5Rs2aDqFQwWz0LxgEdA5gZ15lFn9//EDTc/0CmEEgK8HOkPLu9MOzyLJpqMDADgmfRgLBTAMPOgE4FzJq4ibawzLOphgJTJ2aefX7ng/k9PaJbjEmnpAdmfhpDQ6gpyAjc8+7zOx/sYeaYTgBMq+h5t7rzQR9ihjRjq/nf6TjKR9mZN4rTxItjP/SyyST2JvEoOU2SYBSFkxmPcT7++sh8QhdxTm4sZsc4TCifbuZuwcLM3nUgu6wgq5rDNj7Aaf0vNfPxH9fz8Z+Xv5n9LvJ9dRVjdUugfqa1x8ot4Nyo+THDjJjRC6uaweKFNmbOjCQsx64Z+mRusJK4O3aNk2JVXFgooPP1JI4Nh6X2WFGcnbomYsPllDd5+RA5oI2552IGOr9vILDcIMEKjgh/4GkTeFAHvGzYFxDCZh3QAWRACz5oVRnamQkahxUhrcSW2lNYKS+dLeesIqS1d5dsL3DJCiodW6oIfb2QYYuGyyfTn8ykaPWF+vBeeJGI6J4Y5p5WikREEwXKRIB5gRd3KmffV6cSLfVNhlVHZFR9jGcfu7PPpRc6KfPZR7322ieDAtfH2tC5RAuBa10Y/WquEBFtBC5zratMidZhlrQA/otyP9Mfx9Ijm7jBEtH8ht5A2EtEVDJgpsWXiGJLYyXVWGCmxZaIxHmJyHjNwS261cB824ZMVzBbPQvGAR0DmBfXKRGJreWBsJSIqBQCSQF+jpRntxeGrRjcpxsMTIHguQ4g7BTAsDOgUwHTJrJElHbrmcqKobfphgJzJ6ZEJM5LRMb39IhuMSafkh6YxdTRHmoKMgJ3iUhsLQ+ApUREJQCmVXSJSGwvjFoxdkgzdpahgrORPxl5J4EfebGcu3tZOD71ojg8OUlO/NPJeDLjMU7QLSsV1Em6sUSU4DChfLqpvAULM53XgeyygiCWB6Hz/KU6iWmCfn/6UX27Tuj76qT1p+VzHf0eK72A08PnyDqMfVYMxFJnGzNgRhLHlR5GEoeVHkYK7EIzYDTiMM+7kdCx9FhZnJV64rQrtPLyJi8fIpa3MYdczCTn97EElgt2WMER8Q88/QEP6oCXDfsGQtiaSj3NA1rwQc83AdXgjjcBaYdYaknrDQwh+CKDlks+hnX0XbK9wCUoqBT8tPzi/EqdS+eVPZSK8JEqCFWnPHyhyjvqfsbpvelPp38r//RcFW5mZ2vcr2o6z3Wwe2TYGAbbSgGHaKJAmQgwr/xMOvzJ7GL15YLbNTk28muPZ3uA1HctleMed1RL1/RedR/7xbNQXn3zrfGbnf3vv/XmyZvf7fjCr34v4+zrk7c6B6/9l051cXv1gztyaC/VAOUwXzza4/yei+opoRzNoRuCffIQANfV2hDWRAuBa2QYwWwuLRFtBC6PrSuFidZhlsIA/qtO5NBmkh7ZxA2WlrL5Gm9qLy1RyYAZHV9akiaZa0tUa4EpHVtbSs9rS6mltkS1GpjY25gXKJitngXjgI4BTNnr1JbSreWBsNSWqBQCSQF+jpRntxeGrRjcpxsMzIHgyRUg7hTAuDOgUwHzJq62FCSW4hLVUmD2xBSX0vPikvFFPaJbjMmopCdmMVm1x5qCjMBdXEq3lgfAUlyiEgATK7q4lG4vjFoxdkgzVlk7jk9FlJ/F3lkaRl7sJ743OhGZNx7H42gyzvLotH5hjUsBlrUR6nKAsbhkvRbrMiaUT7doYMHCLBzoQHZZQRALktAVhV82rBl8tbRmUE8eqwnn886gf+s7KqPoHLHH6ggBdwR8Kt808dZh7rNiItZhEdPlp+VDHcqrrCir2sCCAp9X+/oO7RusJA4LUYwU2GVwwGiEIvC7oXYtpsfK4qwQZTlgkxMPEfbbmG8uZp3ZvGyRWWaenOCI+AeeKq2OqTTCfOIhJxz2DYTANRWimke04IOW/9uxqc12C09CRyd1Zm6hizd2aLu58ES0F7g+BZWJjgpPRNgYBttK4YlookCZCDDPWniSw1U+lj7/evphXQcCnLRf1aGqa2ovFIn+ufxEVYG6Om/sk70BXP9CiFpjDYhoIXAtC65VbTUgoo3AVax1VSjROsyKFcB/UZgbugl6ZBM3VwMK/flabG6vAVHJgMm15RoQ1VpgdsXWgPLzGlBuqQFRrQbm2DY0uYLZ6lkwDugYwOy5Tg0o31oeCEsNiEohkBTg50h5dnth2IrBfbrBwBwIntgA4k4BjDsDOhUwb7ZYA6JaCsyemBpQfl4DMr6oR3SLMRmV9MQs5on2WFOQEbhrQPnW8gBYakBUAmBiRdeA8u2FUSvGDmnGVgpxPMpOssmZl56OUi/ORxNvFKW+nKjnQZ5m/kmY1dHfOCu3LEtQZ+amGlDo4zChfM5rQJwgiMVA6OT+s6qe83V9iZec2j+qDoWv5pBqTvjiYhfh6tzxcflVpz4a5P9T3RX2VH7h3U752/Ln2mHeY/WOgHsHPtXWYeyzYiAWPhFzZGPhhxPFbeGHk8Rd4YeTYlVEWCigU/M8S7uxoe7DieKs7hNkYTdMdIA3eQERwb6NWeZ8rhn6dZ1g9hsd+AEvOCIAgidI8FEd8MJhX0EIXEPlBzCiBR+028qPdkilugysdPkq3aYrP1R7gatSUHHopvJDhY1hsG1UfqgmCpSJAPOcVn7UyXOz32WGGhDVL8D1L4S+NdWAqBYC17LgstVSA6LaCFzFWleQEq3DrFgB/Bf7obEGRDVxgzWgsF6LDQNrDYhMBkyz7daAyNYC8yyyBhQGixrQzM06q2/RrQZm2zbUuYLZ6lkwDugYwDy6Rg1I2r48EOYaEJlCICnAz5Hy7PbCsBWD+3SDgTkQPMUBxJ0CGHcGdCpg3myvBkS2FJg9ETWgRby5bXlRj+gWYzIq6YlZzBjtsaYgIzDXgBZxZj4A5hoQmQCYWLE1IPnsLIxaMXZIM/bK1oAMt+3KWXqIw4Tyua8BMYIglgWh03zXNSBG7wi4d+CTbh3GPisGYgkUMUc214AYURzXgBhJHNaAGCmwC9CA0QhCPzEXgRhZrkYRiBMQEe3bmGYuJpvhvGQQWiacnOCICAieIcFHdcALh30HIXBNRaDmES34oN0WgbS76aW8jGx0lqtHYcZiZCOsCES0F7gsBVWHjopARNgYBttKEYhookCZCDCv3SJQreJfLJd/vLCu/nhhYir+EP0BXPhCCFtj8YdoIXARC65XbcUfoo3A5at1lSjROsxSFcB/YZ5rg2SPbOAGSz/zm+BD203wN+lkwOTacumHai0wu2JLP9F56cd4n/otutXAHNuGJlcwWz0LxgEdA5g91yn9RFvLA2Ep/VApBJIC/Bwpz24vDFsxuE83GJgBwRMbQNwpgHFnQKcCZs0WSz9US4G5E1P6ic5LP8YX9YhuMSafkp6YxTzRHmsKMgJ36SfaWh4AS+mHSgBMrOjST7S9MGrF2CHN2Ctb+kmNpZ8Yhwnlc1/6YQRZFR228QFO7l2Xfhi9I+DegU+1dRj7rBiIhU/EDNlc+mFEcVz6YSRxWPphpMAuOwNGI8tT/Xj0WEmuRuGHExAR69uYZC6mmvG8TBBbppuc4Ij4B54fwUd1wAuHfQMhcE2Fn+YRLfig5xcQzRellBZzeANRpsOValNYcKNQrOI6qgQFQVe7kL1LNhi4TAVVi3+4fONMVT6YflT+SUqMJ53y8/Lj8ue1JlT33jxXxaByfsXNC3VVpSoIPa7kpvwxHVVU6oSBurXyuVKfLztxdYXlc50j9siOiGGOaKVMRDRRoEwEmFd+Jj1cXUBUPut2yn+Ser0qGUnfSwXvVVcJ3Z3+qBqZ2bgsRlJOBH4bCH+nHsTu8piJ8hfl7wL5uc70I/n35TSg/kLg+9P35YeONx/FpSuHtBF3n+ww4CoaQiUb60hEC4ErYnDxa6sjEW0EroWtK2uJ1mHWvSD+C41qlWjgButIyY78kKoPmfqQz5d3bbfH36SDAjM1vqyUJVnX1y4YfJtuLTBVY8tK4rysZLyD/RbdamC+bkPxK5itngXjgI4BzLbrlJXE1vJAWMpKVAqBpAA/R8qz2wvDVgzu0w0GJkTwtAkQhgoVhgoVhgoVhgpgGBrQIYE5FVllCmPfEINu000FplZMmUmcl5mML+4R3WJMuiU9QYtZqT32FGQE7jKT2FoeAEuZiUoATLToMpPYXhi1YuyQZmwlH/PTMPHj0BOxmHjxWXji5anve4Ef5qP8TPihqHmMU37LIgh12m8sMyU4TCifbnHAgoVZINCB7LKCIJYeoQsHf5RzwKdyDnlfFZVUiWi2NiD/OL03fXf6Yaf8e1VdKr9UKwBySilnoNXtQjIHy4+xF2injnusbhBwN8Dn5DqMfVYMxHoqfKY8/WD6ng7lVVYUlnqSdonwBiuHw2oSIwV2LRswFnlmPOGDEcRZMSnsCi3eTV48RDxvY2K5mF4m88JDYplicoIjQh94TgQd0wEvGvblg6A1FZKax7Pgg67E5igI4kTEuZcEJ8KL4yz1xuIk9c7G6al/GmQiSWrHOBWb2lVjKTZTrC9gfO7FJiMIIjhBxebnqswxvTv9cWf6Q0DN4970ffXbSm9WVQ+dE/ZYnSDgTlhbajJiIOItXGpaWpcYUVikpqEefYOVxKHYZKTA5jvAaGSZ0B8X2mMlcaY2k26o3Qh7kxcPEdBbVZvpXJ0Yry8/4AVHRD+y2jSN6YAXDfv2QdCa1GbzeBZ80LNL1M+ycDKOY28cn4ReHOQn3ngUnXl+GIgsTAMxFptQm9oCtlSb9qs7Nb6A8blXm4wgiOAEV5uP69756U/KZ0pETu+WD2arl76/pX4JHegeK6iAg66tKBkxEDEVoSiNbT6MJEyCUlvnuMFK4lBQMlJgUxpkNKKuMHUXMZI4E5SBSLuJdnZ8kxcQEbVblZTzG7NDyx3orOCI8EeWlOZRHfDCYd9ACFyTqGwe0YIPuhKVcXCW+uk499Jgksrv9QMvS85CLx2dhflpIs7E2eSOe1EZ63whRWWO9QWMz72oZARBhCeoqPxNvWZ5v1M+rfrnn1dl8dmaZfmoWtX8evoDtR9z9slKb2ZKbVa98/IPoW/soWf0hYD7Ym3dyYiBCLwI3an20D7sdvTj8iorEI/81HHcYOVwKD4ZKbCpDzAWhipUj5XDnfT0u0K7dn6Tlw8R2ltVnvlcp1ju/GYFRwRAuvI0DeqAlw379kHYmoRn84AWfNBqE+bOTKc43HuZ6yivB5HtorkoTFYp3e291M7dd8kGr8aOK7r3Mr649zKx7b2kOiKGOaKNvZdUEwXKRIB5chrYmf6kOvT0T+UTwu7L0Lfsvpy+a9t9We25fFk+q85ffVF9yZsP89J+TPnU76j/hvV/DW3T+2S3rmYRvh2aVAuBu0kQmti8Q5NqI3AbyZp6l2rdajZdc4dmnmglQY9s3+Y2aEbBjvwQqg9RvSkq8q17M8mMwEyO35uZx4HxyE+ytcBUjtybGfmLvZmR8aLbW3Srgfm8jXmAgtnqWTAO6BjAbLzG3kxp+/JAmPdmkikEkgL8HCnPbi8MWzG4TzcYmArBkylABCpUBCpUBCqAEWhA5wMmUuS2zCiOu6F2InGbbiownyK2ZS5Cz23LO3tEtxiTY0kPz3ye2hB2CjIC87bMRciZD4B5WyaZAJhjsdsy5bOzMGrF2CHN2EozgrrqFY9xNcCyLEJdETBty4wCHCaUT7duYMHCrB3oQHZZQRBrkdA1Ba5tmZxuEHA3wKfrOox9VgzEAit8emzelsmJwlJbMnTKc3K4qy1xUmBXtwFjkaZxrAPpsYI4Ky6Zt2Wy4iHieRtzysXMMqhLEZHlLnFWcEToA0+HoGM64EXDvnwQtIbSEmA8Cz7oq9son5u2ZUYh1hcwPvdikxEEEZygYpPeKM8JKuCga8tJRgxETIXLSXO1hZGERU0aG+U5SRzqSUYKbEqDjIafxPqtsD1WFGeK0tYpzwqICNutasr55bKR5bpgVnBE/CNrSlunPCsc9hWEwDWpyuYRLfigK1XpnyZ5IsTYm2RJ5MWj2PdGI6lFJyfZKDsbJ/kkHt9xryq1XUJSVUZYX8D43KtKRhBEeIKryjUO+wj1pe09VicIuBPWVpyMGIiIi1CcxsM+OFGYJKdpCZORxKHkZKTA5jvAaKRBHBkPl+NkcaY5U/MqJiceIqS3qjijuT6xXIvLCo6If2TFaRrTAS8a9v2DoDXpzebxLPigleC06ch2G+MDreiQEjK24MVhsIq3+c54osGrMePPvzOe6IgY5ohWOuOJJgqUiQDzrl5nfHS5M95wT+0+2Y3A9j+EUjauzRItBDbwYQSwuROeaCOwc29daUu0DtOlB/BfEmWhUbESTdxgM7xQffDqyqIonbeixvZmeCojMHu33AxPtRaYvbHN8PF5M7zx3sdbdKuBKbwNya9gtnoWjAM6RozEIHSmxlvLA2FphqdSCCQF+DlSnt1eGLZicJ9uMDAbgudNgAhUqAhUqAhUACPQgM4HzKVtNsNTTQWmVEwzfHzeDG98Z4/oFmPSLOnhWcxJ7WGnICNwN8PHW8sDYGmGpxIAcyy6GT7eXhi1YuyQZuyVrSQFvrEbXuA4oYDuS0mMIIh1R+g6AlMpidEJAu4E+ARdh7HPioFYSkVMkM2lJEYUx6UkRhKHpSRGCuxSNmA04jzK87Sbave+9FhprkIxiRMPEdTbmFku5pdiXnywXIbLCo6IgOBJEXRMB7xo2DcQgtZUTGoez4IP+uq2xEvJqV00lpIzwToDBuhecjKCIKITXHKSe+IZQQUcdG1ZyYiBCKoIWWmsuzCSMKlKU088I4lDVclIgc1pgNFI/dDvJtoE3WNlcaYprU3xnICIuN2qqpzflxhZ7r9kBUcEQLKqtDbFc8Jh30EIXJOubB7Rgg/66p7rIXWltkNI6krbBU1aZ8AA3etKRhBEfILqSraDPRjdIOBuWFt1MmIggi5cdVoO9mBEYZGdpqVMRg6HopORApvwAGMhAl8Y9sn3WFmciU7L2R6ceIiQ3qrknF+aGFkuwWQFR0Q/suS0nO3BiYZ9/yBoTYKzeTwLPmjHXfGmarjtOqY4DFfxNt8VTzQY2FIHlYBXoCue6IgY5ohWuuKJJgqUiQDzrlxXvEgud8WH3bA6Jz5S58Wr38TGNnmiX4GNgXDhbF6uJVoIbO2D62FbmzzRRmBP37pal2gdpn8P4L84NO/rJFq4wS75fOcgiH31IZj3qGb2LnkqIzCbt9wlT7UWmM2xXfLZeZe88UbIW3SrgSm9jSmAgtnqWTAO6BjAhLxOl3y2tTwQli55KoVAUoCfI+XZ7YVhKwb36QYDkyF4HgWIQIWKQIWKQAUwAg3ofMBU2maXPNVUYEbFdMln513yxnf2iG4xJsuSHp7FHNUedgoyAneXfLa1PACWLnkqATDHorvks+2FUSvGDmnGXt3SkqFL4boMVDhOKKD70hIjCGIdErquwFZaYnSDgLsBPmXXYeyzYiAWV+EzZEtpiRHFaWmJkcNhaYmRAru0DRiLKA5TY2WJEeUqVJY48RARvY1p5WJyOb/ANrLcSMwKjgh+4BkRdEwHvGjY1w+C1lRZah7Pgg/6CrfIB6YW+dh2FZPWGTBA53qTEwQRnaB6k94izwkq4KDrKkpODERQhStKY82Fk4RFUBpb5DlJ3ElKTgpsTgOMRpzK4KzNzz1WFGeS0tYhzwqICNttisrYr0VIbLnolhUcEf/IotLWIc8Kh30FIXANshIwogUf9BU+7MPQLSRlZYB1BgzQvaxkBEHEJ7is5Djsg9MJAu6EtSUnIwYi5CIkp/GwD04UJs1pWMbkJHGoORkpsAkPMBpxFGRhNzUsZHLCOFOd5rM+WPEQMb1VzTm/LjG2XH/JCo4IgGTNaT7rgxUN+wJC0JoUZ/N4FnzQjlvkTUuToRUvWsXbeIs81WBgPx1UA26+RZ7qiBjmiDZa5KkmCpSJAPPKz6SHH1Wuf3YFGuTrcV1qkI+3dD7cJ/sQ2AGI0MnGpVmihcAePoz8NbbDU20ENu+tK2yJ1q3mzDXb4UUmuqnOwh7Zws21w8eR6oSP1QdRN6PGobUdnswIzNzttsOTrQVmbmQ7fBwu2uFj47WPt+hWA9N3G3JfwWz1LBgHdAxg8l2jHV7avjwQ5nZ4MoVAUoCfI+XZ7YVhKwb36QYDkyF4zgSIQIWKQIWKQAUwAg3ofMBU2mI7PNlUYEZFtMMvQs9tyzt7RLcYk2VJD89iPmoPOwUZgbkdfhFy5gNgbocnEwBzLLYdXj47C6NWjB3SjL26daTQ1A4fRzhOKKD7OhIjCGLNEbqGwFRHYnSCgDsBPjnXYeyzYiCWURHzY3MdiRHFcR2JkcRhHYmRAruMDRiNJAqF6Gq3vvRYWa5CGYkTDxHS25hXLmaX8/tqY8v9w6zgiPgHnhJBx3TAi4Z9/yBoTWWk5vEs+KCvcD98aOyHj7HOgAG6F5yMIIjoBBec5H54RlABB11bVDJiIIIqQlQaiy6MJEya0tQPz0jiUFMyUmBzGmA0ErW0Z6r1MKI4k5TWfnhOQETYblVUxnMRYrnrlhUcEf/IotLaD88Jh30FIXBNsrJ5RAs+6Ct8rEdo7IcXWGfAAN3LSkYQRHyCykquYz043SDgblhbdDJiIIIuXHSaj/XgRGFRnaZ1TEYOh5qTkQKb8ABjESeZeRmTEcWZ5jQf68GKh4jorSrO+U2JseXmS1ZwRPAjK07zsR6saNjXD4LWpDebx7Pgg3bcDW9SkIkVL17F23w3PNHg1Zjx598NT3REDHNEK93wRBMFykSAeVfuwHhdP7w6vXGn/o12DXSf7FBgNyBcMJtXaYkWAvv54DrY1hpPtBHYyLeuxiVah2naA/gv0rZB9sjmbbAvPlUt8Zn6kM+7UhN7XzyVEZjDW+6Lp1oLzOHYvvjkvC/eePPjLbrVwETehvBXMFs9C8YBHQOYhtfpi0+2lgfC0hdPpRBICvBzpDy7vTBsxeA+3WBgJgTPngARqFARqFARqABGoAGdD5hH2+yLp5oKTKeYvvjkvC/e+M4e0S3GpFjSw7OYmdrDTkFG4O6LT7aWB8DSF08lAOZYdF98sr0wasXYIc3Yq1tPiox98fbb8S5xQgHd15MYQRCrj9DVBLZ6EqMbBNwN8Im6DmOfFWNVEFgw4NNjSz2JEcVpPYmRw2E9iZECu6ANGItIf6ZJj5XjKhSTOPEQ4byNOeViZjm/rTa23D7MCo6IfODpEHRMB7xo2HcPgmYdzwFkPAs+6CvcEx8Ze+Ltdy9pnAEDdC82GUEQ0QkqNtfoiWcEFXDQteUkIwYiqMLlpLnawkjCoibNPfGMJA71JCMFNqcBRiMOu6YqDyOIM0Fp7YjnBEQE7VYlZTaXIJZ7bVnBEdGPLCmtHfGccNgXEALXJCqbR7Tgg77CJ3tExo74HOsMGKB7UckIgohPcFHJcrIHoxME3AlrC05GDETIRQhO88kejChMitO0gslI4lBxMlJgEx5gNOLQuITJCOJMcVqO9eDEQ8TzVvXm/FrE2HLNJSs4IviR9ablWA9ONOzLB0FrUpvN41nwQcv//fXOrD35r2xqsuW+eO3YXg+E7dqlKExXMd31xWsN3iUbDGyng+pArr74JDhvi89sbfFUP8QwP7TRFk81UaBMBJgXXLm2+ORyW3xY9cRH1cd49rE7+1xWfcxnH/ULi/tkZwMbBRGa2rSIS7UQ2OqHkcrGlnmqjcAevzVFMNW61Ry7Zst8mAa+absn1cTNtc2LYEd+CNWHqG5aFb61bZ7MCEzx+Lb5wA9iY9882Vxgjkf2zQt/0TcvjPdB3qJbDUz0bUwQFMxWz4JxQMcA5uk1+ual7csDYe6bJ1MIJAX4OVKe3V4YtmJwn24wMB2CZ1mAEFSoEFSoEFQAQ9CAzgdMpsi++TjOukJ76NRtuqnAnIrom1+EntuWd/aIbjEmz5IenvkMtiHsFGQE5r75RciZD4C5b55MAEyy2L55+ewsjFoxdkgzttKNoLYnxWNcJ7AsmJDXCkx98yLAcUIBdSsKFi7MqoIOZJcVBLFKCV1t4Oqb53SDgLsBPpPXYeyzYiCWXuFzZHPfPCcKS93JUHXi5HBXdeKkwC58A8YiDJIs1tcBe6wszgpP5t55VjxESG9jXrmYXc6vsRWWa4lZwRHRDzwlgo7pgBcN+/5B0BoKT4DxLPigr3CbU2zqnRch1hkwQPeCkxEEEZ2ggpOnzYnTCQLuhLXlJiMGIuDC5aa5zYkThUVuGtucOEkcCk5GCmzCA4xGFIZ+kHdDk+RkpHEmOc29Tqx4iKDequQM5xLFckkuKzgiApIlp7nXiRUN+wZC0JokZ/N4FnzQV3i7ZmzqrBcR1hkwQPeSkxEEEZ3gkpO6XZMTVMBB15aVjBiIoIqQlcZOH0YSJlWpLXjcYCVxqCoZKbA5DTAaYZ4F3cTUYMTI4kxT2nZssgIi4narqnJ+kaKwXIzJCo4IgGRVaduxyQqHfQchcE26snlECz5ox2fKCx2eVIqxBS8OxSre5nvniQavRo0/+955oh9imB9a6Z0nmihQJgLMCxad81ehbz673DevbTvbJzsQ2ADYhkomWghs4cOoX3M/PNFGYO/eurqWaB2mTw/ivyBPTQeMUE3cYD+8UK3wifqQzptRY3s/PJURmLbb7oenmgvM29h++Pi8H954H+QtutXA5N2G3FcwWz0LxgEdI0ZiEJpT463lgbD0w1MpBJIC/Bwpz24vDFsxuE83GJgOwXMmQAgqVAgqVAgqgCFoQOcDJtM2++GppgJzKqYfPj7vhze+s0d0izF5lvTwLGaj9rBTkBG4++HjreUBsPTDUwmASRbdDx9vL4xaMXZIM/bq1oqEsR9e4DihgO5rRYwgiDVH6ArCGrUiRlABB4XPv3UY+6wYiKXSNmbBjCSOa0WMJA5rRYwU2HVqyGhEQdpNTJNvRparUSviBETE7TYmj4sp5Py2WmG5fZgVHBEAwfMe+KgOeOGw7yAErqlW1DyiBR/0FW57F8a29wTrDBige13JCIKIT3BdydL2zugEAXfC2pqTEQMRchGa09z2zojCJDpNbe+MJA5FJyMFNuFBRiNOkjDs5qYWJUYaZ7LT0vbOiYcI6q2KzmQuUSx34LKCIyIgWXRa2t450bBvIAStSXI2j2fBB32Fj/YQxrZ3+5VNGmfAAN1LTkYQRHSCSk62oz0Y3SDgblhbdDJiIEIuXHRajvZgRGERnSbJycjhUHIyUmATHmAscpEZLpjrsaI405uWkz048RARvVW9Ob9FUVhuxWQFRwQ/st60nOzBiYZ9/SBoTXqzeTwLPmjH7fBaxSEVpP1+pmQVb/Pt8ESDgR11UAW4+XZ4oh9imB9aaYcnmihQJgLMKz+TDn5Uef7ZFWiIr8d1qSFebOl8uE/24WqmYOyIJ1oIbOKDK19bRzzRRmD33rqqlmgdplMP4L/QrFWJBm6wHz7fOQgSX30I5s2omb0fnsoIzNtt98NTzQUmbmw/fHbeD2+8DfIW3Wpg9m5D7SuYrZ4F44COAUy+6/TDZ1vLA2Hph6dSCCQF+DlSnt1eGLZicJ9uMDAZgqdMgBBUqBBUqBBUAEPQgM4HTKVt9sNTTQVmVEw/fHbeD298Z4/oFmOyLOnhWUxH7WGnICNw98NnW8sDYOmHpxIAkyy6Hz7bXhi1YuyQZuzVLSIlxn74HMcJBXRfRGIEQSw5QpcQ2IpIjG4QcDfAp+c6jH1WDMQ6KnyGbCkiMaI4LSIxcjgsIjFSYFexAWMRZMJ4bxsjyVWoIXHiIQJ6G7PKxdxyfo2tsFxLzAqOiH3gCRF0TAe8aNi3D4LWVENqHs+CD/oKt8knpjb5xHbtktYZMEDncpMTBBGdoHKTp02e0wkC7oR1xSYnBiLgwsWmuU2eE4VFbBrb5DlJ3MlNTgpswgOMRhTFvuk2Ik4UZ3rT3CPPioeI6G3qzcSv9Uliue+WFRwR/sh609wjz4qGff0gaA16EzCeBR/0FT7uIzH1yCcB1hkwQPd6kxEEEZ3gepN63AcnqICDrq0pGTEQQRWhKU0tPpwkTJJSW+u4wUriUFIyUmBzGmA0QtEV2ierx0riTFHaDvtgBURE7VY15fxGxMRywyUrOCL8kTWl7bAPVjjsGwiBa1KVzSNa8EHL//31ziw1/5VNNbbcEa9tbZF6MbRgRmG2iumuI17oDN4lGwzsqYPqPVRHPLAlXinG6YfTD8rHnSywNMNTXRDDXNBGMzzVRIEyEWDeVWuGF5eb4YOtHfWfaEvnyn2yK4FtgG0IZqKFwEY+jBA29sRTbQR28K0rcYnWrSbPNXvigzzWTyV6ZAs31xSfRKofPlYfRN2RmoTWpngyIzB1U5ris8TYFE82F5i7kU3xSbhoik+MFzneolsNTOBtSH8Fs9WzYBzQMYBJeI2meGn78kCYm+LJFAJJAX6OlGe3F4atGNynGwzMhuD5EyAEFSoEFSoEFcAQNKDzAXMpsileiKAba1eab9NNBaZURFP8IvTctryzR3SLMWmW9PAsZqb2sFOQEZib4hchZz4A5qZ4MgEwyWKb4uWzszBqxdghzdhKNoI6mhSPcf5vWQghrwGYmuKTCMcJBdStFFi4MKsFOpBdVhDE+iN0FYGrKZ7TDQLuBvg0XYexz4qBWFSFT5HNTfGcKCxFJVOXEiOHw5ISIwV2QRswFlKHhcYuJUYUZzUlc1c8Kx4iorcxrVxMLucX0yaWq4ZZwRHBDzwjgo7pgBcN+/pB0JrqSc3jWfBBX+Gu+NTYFR9jnQEDdK83GUEQ0QmqN5m64hmdIOBOWFttMmIgAi5cbVq64hlRWNSmuSuekcSh3mSkwCY8wGiEeZKn+g7THiuLM8FpaYvnxEOE9FYFZzwXKJZrb1nBEfGPLDgtbfGcaNj3D4LWJDibx7Pgg77CbfGGoCUFp8A6AwboXnAygiCiE1xwktviGUEFHHRtUcmIgQiqCFFp7PJhJGHSlKa2eEYSh5qSkQKb0wCjEQZRV5iaixhRnElKa188JyAibLcqKudXJiaWSzBZwRHxjywqrX3xnHDYVxAC1yQrm0e04IN2fEK8dr1BCsXEgheH6Sre5vvhiQavRo0/5354ogtimAta6YcnmihQJgLMC6QQlw6+X/7pCnTDB0GiaYevuuEDfelgn+xJYANgG0KZaCGwhQ8jgM3t8EQbgb1760pbonWYPj2A/1KhD7o9soEb7IZPVSN8pj7k81bUxN4NT2UEJu62u+Gp5gIzN7YbPjnvhjfe73iLbjUwfbch+BXMVs+CcUDHAKbgdbrhk63lgbB0w1MpBJIC/Bwpz24vDFsxuE83GJgMwbMmQAgqVAgqVAgqgCFoQOcDptI2u+GppgIzKqYbPjnvhje+s0d0izFZlvTwLOaj9rBTkBG4u+GTreUBsHTDUwmASRbdDZ9sL4xaMXZIM/bqFosyYze8/RK8S5xQQPfFIkYQxKojdA1hjWIRI6iAg8Kn4TqMfVaM1ZRvwWhjDsxI4rhYxEjisFjESIFdqQaMRhZ1fe2r3mMluRq1Ik5ARNRuY+q4mEDO755NLHcJs4Ijwh941gMf1QEvHPYNhMBZR3QAGdGCD/oK97xnxp53+wVLGmfAAN2rSkYQRHyCq0qWnndGJwi4E9ZWnIwYiJCLUJzmnndGFCbJaep5ZyRxKDkZKbAJDzIaIk1i/TXsPVYWZ6LT0vPOiYcI6a1KzmwuUCxX27KCI+IfWXJaet450bDvHwStSXA2j2fBB32FD/XIjD3vOdYZMED3gpMRBBGdoIKT7VAPRjcIuBvWlpyMGIiQC5eclkM9GFFYJKdJcDJyOBScjBTYhAcYC/kP6zh6rBzOxKblRA9OPEQ4b1Vszu9FTCz3XLKCIyIfWWxaTvTgRMO+exC0JrHZPJ4FH3R9QrwaUpcnxOc6zOtBarteKQrzVUx3HfFanbRLNhjYUgeVgaiO+PKFFITmpvhO+bX87JPyoRSM71VffaaWMeVnHpfPO/JL9+f/hPp9RwnLTuhbWuapPophPmqjZZ5qokCZCDBv/SPkO9U+Bjky8oeoQZM/avrT6d+q717pi7/f8eYDt9QUH2/pnLRPdhKwARAuko2dAFQLgS18cO1r6Yan2gjs3VtT11KtW82ba3bDJ4nhOKce2cLNtcOnwY78ENZtqKlv7YQn4wETNr4TPokzYyM82VpgwkY2wqf+ohE+NV7ieItuNTBrt6H2FcxWz4JxQMcAJtY1GuGl7csDYW6EJ1MIJAX4OVKe3V4YtmJwn24wMA+Cp0yA4FOo4FMAg8+AjgZMoLge+DwU3VTbKXebbikwjSJa4BdB57blbT2iW4xJraTHZj4RbQg4BRmBuQV+EWzmA2BugScTALMrtgVePjsLo1aMHdKMVdbC6kyKxzjdt6x7kKf8phb4+h0Hc0IBdQsDFi7M4oAOZJcVBLHYCF004GlW4nSCgDsBPuXWYeyzYiDWTxGTYmOzEicKS+XI2KzESeKudsRJgV2/BoxGGPsydptm44wszupH5mYlVjxESG9jRrmYV85vpE0tdwyzgiPiH3gyBB3TAS8a9v2DoDXUjwDjWfBBV4IzDs5SPx3nXhpMUi8O/MDLkrPQS0dnYX6aiDNxNrmzAcGpDVpScIZYZ8AA3QtORhBEdIIKzt/UCvN+p3xaFZ6eVz1JM4VZPqo06NfTH0jp+e7sk5XWzNRmzKq6JP8Q+sYqE6MvBNwXa+tORgxE3EXozq/lQD7sdvTj8iorEI/61HHcYOVwqD0ZKbC5DzAWUaSdCfRYOZzpzsDvCi3fTV4+RGhvVXiGc6FiueuWFRwRAMnC0zioA1427NsHYWtSns0DWvBBuz3DM9Qud0ktGVnw4stHlG6+Y4loMLD2CdWCV7tjieijGOajVjqWiCYKlIkA8wIvXhzzWT6ROvAXpvYj2DLzxXamQKye5WnqWZJPfHWUZzj7WP8pqj7Gs4/d2deS2cf6O9LZx/pP2exj/adg/p9ucOfOG7ph2CcPA7AWjJDhxp4oooXAki5CV1t6oog2Aou562pmonWYwi3Ef0EUpzoLe2QLN9gTFaueqPlF9Wlk74mi4gElQcs9UVRrgZIA2xMVnfdEGa+MvEW3GqgL2phIKJitngXjgI4BTN3r9ERFW8sDYemJolIIJAX4OVKe3V4YtmJwn24wMA+CZ2OA4FOo4FMAg8+AjgZMoC32RFEtBaZRTE9UdN4TZXxbj+gWY1Ir6bFZTHHtAacgI3D3REVbywNg6YmiEgCzK7onKtpeGLVi7JBm7JUtUYW+sScqxnFCAd2XqBhBVqWHbYCAyxK8JSpGXwi4L+Bzex3GPisGYoUWMTduKlExAjktUTFyOCxRMVJgF8kBY5GITDscPVaQK1Gj4uRDxPY2ppaLCeb8ttvUcnsxKzgiAoJnReBBHfCyYV8/CFtTjap5QAs+6Ep6joIgTkSce0lwIrw4zlJvLE5S72ycnvqnQSaSpHaMW+mpXTCW0lNgnQEDdC89GUEQ4QkqPddqxw+EqR2f0QkC7oS1NScjBiLiIjSnuR2fEYVHbRrb8RlJHOpNRgpswgOMRuxnca4N3T1WFGeKM+mG2jLXTV48RERvVXDO78FNLTcbs4Ijwh9ZcJrGdMCLhn39IGhNerN5PAs+aMc9UabFy8SKZ95lC7MWowyBPVFEg4G1T6gCvNo9UUQfxTAftdITRTRRoEwEmBc674kSl1uiwrrhKarbmWJ9rWGf7DZg7RahmY09TEQLgSVYjBQ29zARbQQWX9cVuUTrMIVWgP9kbjMde0+1cIM9TOqa4zSbtxHYbzgm4wFTeMs9TFRrgSkc28N0fsFxarngmGw1MI+3ofsVzFbPgnFAxwCm2nV6mM4vOE4bLjgmUwgkBfg5Up7dXhi2YnCfbjAwD4InT4DgU6jgUwCDz4COBkygLfYwUS0FplFMD9P51cbmt/WIbjEmtZIem8WU1B5wCjICdw/T+dXG9mBzTCcAZld0D5O62lgfaIY0Y69uISkw9jDZb+TT7PyCAbovJDGCIJYdocsITIUkRicIuBPgk3Adxj4rxqoQsGAgJsXmQhIjiuNCEiOJw0ISIwV2JRswGlEmhH5BtMeKchUKSZx4iIjexoRyMa2cX5KbWq49ZgVHhD/wXAg6pgNeNOzrB0GzjucAMp4FH/QV7pkPjI1L9gv5NM6AAbrXm4wgiOgE1Zu8PfOMvhBwX6wtOxkxEHEXITubeuYZgXjEp47jBiuHQ+nJSIHNfYCxCMNIx9Fj5XCmO20t85x8iNDeqvCcX5abWi4/ZgVHBECy8LS1zHOyYd8+CFuT8mwe0IIPur6QTnE7vJAuNGnK3IIZRf4qprtWplxn8C7ZYGAJFKoJN9nKJL+rEwZVQ8ysrym29jURHRbDHNZKXxPRRIEyEWBe4EXEvqbZSC4Wpvcmb03efu2dzt6hDCS6I56Sy/1Moqvzzj7ZO8CyLUIyG9uXiBYCq68IDWxpXyLaCKy7rqtvidatZs8125eSzHgOPtHAzXUvZf68dyC3Ny5RyYAJG9+4lPrC3LhEtRaYsLGNS/l545Lxdt9bdKuBWbsNua9gtnoWjAM6BjCXrtO4lG8tD4SlcYlKIZAU4OdIeXZ7YdiKwX26wcAMCJ4zAeJOAYw7AzoVMGviepYC30+76jm9bOptuqnA5IlpWsrPm5aMb+oR3WJMQiU9MotJqD3YFGQE7qalfGt5ACxNS1QCYGZFNy3l2wujVowd0oxV1sLuEVE8xqm+Zc2DPN03NS1l1kv3LnNCAXWLAhYuzMKADmSXFQSx0ghdMFiracl4GR2nEwTcCfAZ9tLEWMe0z8qEWElFzIuNHUycKDxFJFMHEyeJuzISJ8WqcrBQQKfjUZAHXX2XbY+VxVkpyXwzHSseIr63MbWcTzAzvy48ZJZbz1nBEfEPPCuCjumAFw37/kHQGgpJgPEs+KBVIeni0o5SlS4rStoStxSY1pv4onCV11VFyaCId8kGA9emoAJRV1FSerB8VlUeXkw/nL7fqbpWnqka0VKBqSobPZv+bXdWDwps9SAqbgzDbaMeRDVRoEwEmHfp7o/zag3wYg1N7ccyOvtkdOBSF0LUmoo9VAuBy1YYrWos9lBtBK5XratCidZh1qYA/suiJDVtVqeauMFyT7gjP0TqQ1wvwGaBtfBDZgTmVXzhR4jUWPghWwvMq8jCTxYsCj+Z8VreW3Srgcm1DXWuYLZ6FowDOgYwaa5R+JG2Lw+EufBDphBICvBzpDy7vTBsxeA+3WBgNgRPcQARqFARqFARqABGoAGdD5hLcSWgNDdvWydbCsyoiArQIvLctryyR3SLMVmW9OwsZo/2qFOQEZgrQIuIMx8AcwWITABMsdgKkHx2FkatGDukGVvNjECNn4rHODW3LFaQp+fGClCI44QC6ibxFi7MRF4HsssKglghhE7wWbcRcfpCwH0Bn1rrMPZZMRBrn4hpcsM2Ik4gngqQjuMGK4fD+g8jBXb9GTAWcSq0izA9VhBnxR/LPiJWPkRsb2N+uZhlzm8TzyzXw7OCIyIgeGoEHtQBLxv29YOwNZV/mge04IOupOd4fDIZnUW5J+L4xIvT7MwbJb6Qf2ucnQbj0Wkk6rfZrfTUhi0pPSOsM2CA7qUnIwgiPEGl5y+n707vVeJT7S5S5+yqP1Z1Jak2p3dVlWn6Y1VjKr/qSKH6s/Lz8vflP5S/lb8++U69iekP5Sflx+Wn8uPv1ff83/IPn3duDUTQKX+m89Ieq5cE3Etri1JGDERIRohSc0MSIwqLHPW7oRA6lhusLA4lKSMFNicCxiMMoqibZNozanqsMM5kaS6fOZMs5eRDxP1WZWk0VzGWa8dZwRExkCxLjYM64GXDvoIQtiZZ2jygBR90JUuDkzDM8smZl6RVB1MYe1l0mnunsUjSNPBP/aQedLeyNNI5Q8rSGOsMGKB7WcoIgghPUFn6yXl3k2p7qrubzvWmVKjTH8hfP1zeNj9TqV+r/qjPpED92KvU6s/kj/uV/Pi78vc65+yxOkfAnbO2GmXEQETiVtQoIwqLGjVcsHODlcShFmWkwCZCyGhEUZYa79vghHGnRQ0Ht9zkxUPE+lal6Pwu28xyOTErOCIA0qWoYUwHvGjYFxCC1qREm8ez4IN2fFecNgxJbSkseLFlEyzMWoxmBLbDEw1ejRl/Lu3wRNwYhttKOzzRRIEyEWCelNsvpUeVDH+21AwfbZn73A2nGlGhgK19CHlqbHQnWghszsOoTnOjO9FGYFveunqSaB2mBQ/gv0gYNSLRwA22uSeqw11dzJbN70bKhL3NncoIzJctt7lTrQXmS2ybuzhvczfed3uLbjUwabYhshXMVs+CcUDHACbDddrcxdbyQFja3KkUAkkBfo6UZ7cXhq0Y3KcbDMyF4JkKIAIVKgIVKgIVwAg0oPMBM2mLbe5US4H5FNPmLs7b3I2v7BHdYkyOJT07i0mgPeoUZATuNnextTwAljZ3KgEwxaLb3MX2wqgVY4c0Y69uUcdw67OceCc4Tiig+6IOIwhioQ86cXdc1GF0joA7Bz6H1mHss2Ig1jQRs2ZzUYcRxXFRh5HEYVGHkQK7pgwYDZEkxtk6I8lVqOhw4iECfRuTzcWUM5lXACz3gbOCI6IfeJ4EHdMBLxr27YOgWcdzABnPgg/6Cre8x8aWd+sNdjpnwADdy1BGEER0gsrQTbW8M3pJwL20th5lxEBE5Fb0KCMKix61tbwzsjhUpIwU2JwIGI+86+vvZO2xkrhTpJZ+d04+RNBvVZLO753NLPcIs4IjAiBdklr63TnZsO8fhK1JkzYPaMEHfYVPAImN/e7Wu+10zoAButekjCCI8ATVpLwngDD6QsB9sbbyZMRABF6E8mw6AYQRiEV/mk4AYeRwqD0ZKbC5DzAWoXYweqwYzoSn7fwPTj5EZG9VeM6vnc0s9wizgiPiH1l42s7/4GTDvnwQtibh2TygBR90fY+wCp0uT30XOkwpKXMLZhRFq5ju2ty1D+Mu2WBgxx5UErbT5j69Wz6Q3/lB+dh+FzAVOoZBt9LsTjRRoEwEmGdsdg91ze6J9VB3ItNqvGbsdSdaCOzQQ4hPS6870UZgb966wpJoHaYPD+C/KPZD/bS/RzZxc93uub8jPwTqQzjvNbXf5ktmBKZNfLd7lvnmbneqtcC0ie12P7/NN7Pc5ku2Gpg72xDdCmarZ8E4oGMAs+E63e7nt/lmDbf5kikEkgL8HCnPbi8MWzG4TzcYmA3BMxdABCpUBCpUBCqAEWhA5wPmUly3exAK872+ZFOBKRXT7n5+r6/5nT2iW4xJs6SHZzEptIedgozA3e5+fq+vPeQc0wmAORbd7q7u9dWHmyHNWGUtrP6jeIxTb8saBHn6bWp3z30cJxRQN0m3cGEm6jqQXVYQxMofdAK/oT4jTi8JuJfg02kdxj4rBmK1EzGDNvYZcaKw1HksfUacLO5qPZwUq3rCQgGdumdJ2hWmkzU5WZwVfCydRqx8iLDfxtxzPgPN59fD5pbrflnBESEQPG0CD+qAlw37BkLYGgo+gAEt+KArVTrJff/k7GzkjcbjkRfHp7E3zqOJl0wmJ8GpiESe1E+7W1Vq6H7P7XcqaZwBA3SvShlBEOEJqkrdbsLkdI6AOwcuRhPr0UScOIiI3IooZURhEaXGzZicJA4lKSMFNiECRiMKkyT09SX0HiuMO01q3I/JioeI+a1K0mCuYCy33bKCIwIgXZIa92OyomFfQAhakyJtHs+CD/oK974LU+97HmKdAQN0r0gZQRDRCapIWXvfOX0h4L6AC1Adxj4rBiLuIoRnQ+87JxCP/NRx3GDlcCg+GSmwuQ8yFlli6H7nBHEmPC3d76x8iNjeqvKcX5aYW26/ZAVHRECy8rR0v7OyYV8/CFuT9Gwe0IIPWnW//80FzWXUlm9PTt557c03NI4gSUvTOmdk5YxXOU3t72ZrMYLxvANea+4u2dzVx8ziXKAs/GX5pHxU6cEn5ZdVT/VH1aLkRzuqvf2xFBjPypee/NKD6b3yqfbb7i2+8XFVeH+sY5YaMbrWI4Nfippm8vWCZt33GquWV3XUc57tHIS+rz6E6kOsPiTqg/pCoL4QqC8EsSmkUoljPDG860hhHirMQ4V5qDAPFeahwjxUmIcK81BhHirMQ4V5aMI8pGMKPCa8NUlS9hVlX1H2FWVfUfYVZV9R9hVlX1H2FWVfUfZNlH06JfzFpaeHumEyVr2S6oxgSVso2kLRFoq2ULSFoi0UbaFoCxNtQaa91CnXQIt7bI8V4rFCPFaIxwrxWCEeK8RjhXisEI8V4rFCPDYhHtMR4WkO2U0nCYeKcKgIh4pwqAiHinCoCIeKcKgIh4pwqAiHJsIhjbB6ZmeEKkM6299muBRF5vfYSpEYxwlmLDG5WxI80d7VNMexu+1l+UX5vLyv8ni1AFTVJx/qdUD5pDO92ym/rr7ytErxT+pi5RO1ZNSZfqB+qNoYd19+z/PlcubsRz+rV56qP8if3qlMeVz9uJfV335W/XC1kWtWH33QCdWWOvnp6Uc6/+6R/buaVBk30lFNFCgTAeatbKT7rHL4EzlWi6U+8/C/rIax+hb5yFQD96Rqsvx3k3fefOO1dzrHk5NOFoadb56P2Lc6XkdU9d1/c3HbXry1o/4jtu7ceUPnsX2yx4AbExDLaqZtelQLgVsLEOtk5m16VBuBewrWXQMjWofZPwDwX+JHXVOnH9HCDe7SE/XOmDy27s0jkwFTPn5vXhTGxr15ZGuBOR+5Ny+PF3vzcuNterfoVgMz/3qz28ViYLzVs2Ac0DFiJAZc+883ykjblwfCvDePTCGQFODnSHl2e2HY5fkl1WBgCgSvqwLiTgGMOwM6FTBt4nbkxUnYzbRNTrfplgKTJ2JD3iLe3La8qEd0izEJlfTELNap7bGmICMwb8hbxJn5AJg35JEJgIkVuYSgnp2FUZcXBCjGKmvH4SQUfnbmjSenEy9Og9wbBXHsRX4WpuHk7GQSns54jGsFr4/abTRRM3DTioHAYUL5dKsKFizMyoIOZJcVBFGLhC45YKaX8kt7k7cmb8t5ZDXx37sltKO5x+oEAXcCfNK9Mj/WUe2zUiGqrYiJsbnRmRGFp9NEf8vJDVYSh70mjBTYYjdgNLJYdANTmzMjirNuExFm3Vy74nCTFxAR4tuYWy5mmGLenWC575QVHBEAwdMi+KgOeOGwryAErqnfpHlECz5o1etsU5btVqFMXSaJhS6OglW6jVehiPYC16KgkvBfbhWK6N8Y5t9WqlBEEwXKRIB5gRd3pj9RDejln8on3U756coD0DBRUA/Al/LbH1TFrJdy0KuhqkfxxfTe7M+RX28tXDoxshtWtadop1P9pxtUf4xnH+d/km+Szof7ZB8CF+UQ8ttYlyJaCFxgw6hqc12KaCNwaW1dvUy0DrOMBvGfL6JurjOxRzZxg4WpdL5AnNgLU1QyoApouTBFtRYoA7CFqeS8MGW8FPAW3WqgGGhj8qBgtnoWjAM6BjDnrlOYSraWB8JSmKJSCCQF+DlSnt1eGLZicJ9uMDAHgmdggLhTAOPOgE4FzJstFqaolgKzJ6YwlZwXpowv6hHdYkxGJT0xiwmtPdYUZATuwlSytTwAlsIUlQCYWNGFqWR7YdSKsUOasZUGm8RnaZaE3tlJHntBMMm9zJ+ceL4vfJFkWZCLOvUalw8s6yfUJQRjYcp+E9olTCif+8IUIwhi1RK6CvHbpf5F08aX847HHTldlZP/+i8tpqjBTtCpyiAywcj5WOebs9bK8+7HnXqhYraqUS19/FhNU394cZOM/EH+TtaRRn1W3pd/44H8G4/L52oKrC6SuKuunZitb1T/pPDCjvx599VxlrrB2GMdDAEfDPh6gA5jnxVjVYpYMBBTcnNFjBGFqSJm2n3NSOKwIsZIgV2Oh4xGIPJuaFoKYGRxVhILk7QbaQFv8gIikksbs9rF3HZ+T2puufiWFRwRAcETMvioDnjhsO8gBM46ogPIiBZ80G5LYpGOTqpZ+/Vq4SrdxktiRHuBq2BQMfovtyRG9G8M828rJTGiiQJlIsC8SyUx42b8RZlrfhXdeX9dNXgX92apT3z7jdH3zzrlH+VP+ImcSKgpxyP5c96fvnehLvbP5SeeKn2p/4b1f6P6v3H9X7XgeNmH+2QfApcDEfrbWBIjWghc2sPIanNJjGgjcFFvXcFMtA6zgAfxX+ALY0mMaOIGS2L5fGk6s5fEqGRAFdBySYxqLVAGYEti2XlJzHg17C261UAx0MbkQcFs9SwYB3QMYM5dpySWbS0PhKUkRqUQSArwc6Q8u70wbMXgPt1gYA4Ez8AAcacAxp0BnQqYN1ssiVEtBWZPTEksOy+JGV/UI7rFmIxKemIWE1p7rCnICNwlsWxreQAsJTEqATCxokti2fbCqBVjhzRjq+lUFIxDcXriJWISe7E4TbzxWXrmpZNRFJ8GozgRZzMe4/KBZf2EuoRgLInlOEwon/uSGCMIYtUSugqxVBKbX07xezmxfL+aWL6o55PPpj+efe3//4O/C00btBjJBZwcPvm2zJF1hPushIiFWcTU2FyaYkRhKU1p5/g3WDkcFqYYKbCL4pCxCIPAeCMFI4q7ulSWdzOhA7zJC4iI8G1MLRcTzHxexbBc1s0Kjgh/4FkRfFQHvHDYVxAC11SXah7Rgg+6Ohp4Z6G8lK50eIBgrKO9Hvr2W+GyVVpHdSpDl9gu2V7g0hRUIRrqVLOC02Nwlaras/OwfLm4pXdRciq/kJrrvem98nn1ox6qn6+KWvfLr+oSx3ntKahrT+VXOp/tkX0Ww3zWQu2JbKJAmQgw71Lt6e9XT3hWFcPpvelPp38rP/PVwvUd78IU4bxDrlP+rHwqv72eTnTKz+VP+1oNoPxKJHz512JPXN6aFdS7r4J6i1ZY/3mxZWuxO2v237T+bzb/e/P/LP6sr/zuk10PXK5D6HJDyYpsIXDpDS63zSUrso3ARbf1pDTZOswCG8B/aRakBolMNnFjJavQD2ZLx+oYYkvJik4GFAT4kpXIfFPJim4tUBHgSlbSnHnJqnazzupbdKuBuqCNeYWC2epZMA7oGMBUTS9ZKduXB8JYsqJTCCQF+DlSnt1eGLZicJ9uMDAHgidngLhTAOPOgE4FzJu4klUWZl2hPRLkNt1SYPaEl6zO481ty4t6RLcYk1FJT0w9122KNQUZgbdkdR5n5gNgLFnRCYCJFVmyUs/OwqgVY4c0Y6tZWJKepiOReIEfqFvYk9TLJidn3kmkbiIaT05PY/clq9hQspLBCYcJ5dOtOViwMOsOOpBdVhDEgiZ0QeL38zuJVlskL5Wv4HNTnWP2WB0j4I6BT+l1GPusGIh12zamx4wkLFUr04YqVhJndStWCuyiOWA0MpHnhssBe6wsDgtXaTfTvjw3eQERcb6NCeZimllfvl3/Rgd+wAuOCIDguRF8VAe8cNh3EAJnL1xBRrTgg54XruI7C3XpsHAldLRSaIY22thfpXVUuDII412yvcAFKqhO1BWuABdalk/mO2zU1qmZonwuP/1C7Zyqbk8HF6OIfohhfmilGEU0UaBMBJh38Yaqnc6l0tRvqwGoaoH1zjQ1FC+mH6qy1Pnto0+q36lmNX0P24WpwQ+qLWxS/n9WndTwg53O/+/uX3QCIS4c7fD/fdjxOpHuNMH5WYIXjhCcfS6dlaZ03t4nexu49taGwCZaCFxHwwhnc/2JaCNwBW1dSUy0DrNaBvBfHMdZN9GZ2CObuMH6UzRfBw7t9ScqGTCv4+tPcZSb609Ua4GJHVt/Cs/rT8b7xG/RrQam9zamBwpmq2fBOKBjALPzOvWncGt5ICz1JyqFQFKAnyPl2e2FYSsG9+kGA3MgeI4FiDsFMO4M6FTAvImrPyVh2lWP6WVLb9MtBWZPTP0pPK8/GV/UI7rFmIxKemIWU1Z7rCnICNz1p3BreQAs9ScqATCxoutP4fbCqBVjhzRjK4WY5NkoDMZenp5lXnzqn3mjE3UIi3+axmF4FoWnYsZjXBCwrJBQFwWM9acIhwnl0y0dWLAwywc6kF1WEMS6JHRd4bN6onn/wmqC6QTB+dLBpZmr+uJ5verX5T+Wn5Sfln8sfyM//q5Tfi4/+TP5qV/Jj78rfz/7xiD0/en7ifoQhKaSFaMvBdyXiIm/frOZbqb+ebUgoPZo3Z++O32vnrEHvmHGrnPQPquDEGvBmLl6pCN5lZWEqRjma1FusKI4rIYxUmBX4iHDEaXdONHm0B4ri7NqWBpGWTfSRsqbvISItNPGfHcx643mxZPIMvPlBEeEQPBU7VIZ1w+ybq4d1gEvHfYthNA11cOah7Tgg3Z7wKB2vVIK3dhCF0fRKt3G619Ee4ELZFCduvn6F9EPMcwPrdS/iCYKlIkA84JFvWuz1S6hqXblVU0r1z/u+2QfAlf0MEpZK2ZeJVsIXJ1DKWBjVYtoI3Bdbl1pS7QOswYH8F8sjDUtooEbrGmJ+dpybK9pUcmAubrlmhbVWmCyxta04vOaVmypaVGtBqbsNjS+gtnqWTAO6BgxEoOw1hxvLQ+EpaZFpRBICvBzpDy7vTBsxeA+3WBgBgRPlABxpwDGnQGdCpg1W6xpUS0F5k5MTSs+r2kZX9QjusWYfEp6YhbTTnusKcgI3DWteGt5ACw1LSoBMLGia1rx9sKoFWOHNGOvbE0rMda0BA4Tyue+psUIglhchK4VXO2aFqMvBdyX8Mk8Q01LWGtajA5CLOhiZuqmmhYjieuaFiOKw5oWIwV2NR0wHGE3ik37uxhJrkhFi5MQkXTamO0u5rxiXv4QlnkvJzgiAIInapeiiB+nfjfVLl8OePGwLyEEr6mk1TymBR/0fIuXuLMQuw63eGmPBZG6N7HQRnG4SuuoxGXoPdsl2wtcL4PK1j8s1Gp1pWr5+GLpSiqomUR9LnXsk+rcwec6mj0yTQyjaaVQRTRRoEwEmHdxo1a3U358yccPqjJV+bD69IPZwYE/mL7b7QS+F85UrKonhfLdL38bCn+nk/heUH+l883p3eoe3EflCznv+KhT/chn1QGE6g6yfPZt31qqT8VbOp/tk30GXJZrQ+4SLQQusaFkrLEwRbQRuLi2rj4lWodZSAP4T8jIHmgHuUc2cYOlqXS+RJzYS1NUMmCOxZemwkCk5toU1VxglsXWppLz2lRiqU1RrQbm2jbUuoLZ6lkwDugYwCS7Tm0q2VoeCEttikohkBTg50h5dnth2IrBfbrBwCQInvIAAk8BDDwDOhUwceJqU5GfBd1YG/1v000F5k9McSo5L04Z39QjusWYnEp6ZBYTSHuwKcgI3MWpZGt5ACzFKSoBMLWii1PJ9sKoFWOHNGNnOSpQNwYEXpjGuReH/sgbj6Izb5yPgnEQZGdZWude4/Tcsl5BnaIbi1O2a7w1mFA+3UTegoWZzOtAdllBEOuE0Fn+yhyzLjGpSeVsTqmD3GOFFHBI+Mxah7HPirGa4y0YbUx2GUm4ajvaFdkbrCgOazuMFNhlZcBwiKibJtr10x4rirPiTijysKs/i/QmLyEiaLcxXVxMGtN5ISC1TBw5wREREDzTQQzrgJcO+xJC6KxDOoAMacEH7Xa7krbQLGWi/cbWeJVu47Ucor3A9SWoymurlkOkiWE0rdRyiCYKlIkA86KLm47aqOSsVGuySHPbk/l2JqJbgCtVbShYooXAVSeUMjWWa4g2Apeb1pWcROswS0sg/wm9tO+RLdxgtSafL5pm9moNlQyYRduu1lDNBeZRbLUmO6/WZJZqDdVqYDZtQ34rmK2eBeOAjgFMo+tUa7Kt5YGwVGuoFAJJAX6OlGe3F4atGNynGwzMgeA5DCDwFMDAM6BTAfNmm9UaqqnA9Imp1mTn1Rrjm3pEtxiTUkmPzGJKaA82BRmBu1qTbS0PgKVaQyUAplZ0tSbbXhi1YuyQZuyVrdZkxmpNjsOE8rmv1jCCIBb+oPN4YrWGEVLAIeFzZx3GPisGYq2yjbkuI4nrag0jisNqDSMFdqEYNBwiMk2xGUmuSLGGkxARs9uYLS7mjPl8ZT+3zBs5wREBEDzRQQzrgJcO+w5C6JqKNc1DWvBBuy3W5Dq662HgW+nEKt2mizVUe4HLS1CR11KxhkoTw2jaKNZQTRQoEwHmhczFmsBQrTGc+kb1C3ClqgUFS7UQuOqEUqamag3VRuBy05qSk2odZmkJ5L881D6FPbKFm6vWBPMr7QPblfY36WTANNpytYZsLjCRIqs1gb+o1gTGi+Fv0a0GptM29LeC2epZMA7oGMA8uka1JvC3lgfCXK0hUwgkBfg5Up7dXhi2YnCfbjAwB4InMYDAUwADz4BOBcybLVZryKYC0yeiWrMIOLctb+oR3WJMSiU9MvM5YUOwKcgIzNWaRaCZD4C5WkMmAKZWbLVGPjsLo1aMHdKMvbLVGsMh0nIeHuAwoXzOqzWcIIiVP+hEnlat4YQUcEj45FmHsc+KgVisbGOuy0jiuFrDieKuWsNJgV0pBg1HLrQrpD1WkqtRrWElRMTsNmaLizljUC/tz36jAz/gBUcEQPBEBzGsA1467DsIoWuo1gCGtOCDdlut0athKRNDK16yirfxcg3RXuD6ElTltVWuIdLEMJpWyjVEEwXKRIB5AXO5Joy05RqdV/bJXgEuVLUhYIkWAhedUMLUWKwh2ghcbVpXcRKtw6wsAfwXduNQO8Y9soUbLNbM738PbPe/36STAbNo28UaqrnANIot1oTnxRrjLeq36FYDk2kb8lvBbPUsGAd0DGAWXadYE24tD4SlWEOlEEgK8HOkPLu9MGzF4D7dYGAOBM9hAIGnAAaeAZ0KmDfbLNZQTQWmT0yxJjwv1hjf1CO6xZiUSnpkFlNCe7ApyAjcxZpwa3kALMUaKgEwtaKLNeH2wqgVY4c0Y69ssSbwjdWaCMcJBXRfrWEEQaz8QefxxGoNI6SAQ8LnzjqMfVYMxGJlG5NdRhLX1RpGFIfVGkYK7EoxYDjkHDs1NUQyklyRag0nISJmtzFdXEwao/nSfmSZOHKCIwIgeKaDGNYBLx32HYTQNVVrmoe04IOeX3JTD6vSig4vudEvQ0vZGFtwo9i8TR5mLUYOXqzeGG6j3CXbC1xwgqq+z6TmU8WaJ+WD8qm6ovGH5WMpAR+XL9Sti9MPy+eqElCVc6Y/qm4bfK7j2SPzxDCeVuo3RBMFykSAeUv3y+ysnmC2+olgB1SGIcIBl6DaUKZEC4HLSSjFaSzDEG0EriOtKyWJ1mHWjAD+E1lXJDoLe2QLN1iGmV9ZHtiuLL9JJwOmQ3wZJg+EuQpDtRaYDrFVmPi8CmO89/sW3WpgUmxDViuYrZ4F44COESMxCIuj8dbyQFiqMFQKgaQAP0fKs9sLw1YM7tMNBqZA8NwEEHcKYNwZ0KmAaRNXhQkiP+3qB+A23VRg9sRUYeLzKozxTT2iW4zJqKRHZjHVswebgozAXYWJt5YHwFKFoRIAMyu6ChNvL4xaMXZIM7aa54z8PE/8wMtHp8KLT0LfyybJ2JucRaciHAVBMj6d8Rgn0paVBfJk2liFEThOKKBuym3hwky7dSC7rCCIFT3wfFzOs9+VU+9n5f3yRfno4nT8OypflL8Ves23x0oq4KTwabAOY58VA7ESiZjwPi0f6lBeZUVhqcWEodCR3GAlcViKYaTALgMDRiOIgtQ0z2YkcVaKSbuJdqnoJi8eImq3MWFcTBvnN9MHxpvpD3jBEdEPPNeBjumAFw379kHQmoowzeNZ8EFXRZgLGsQoGt+enLzz2ptvaBxB0ozawZVyMbFymre9g63FKMHzAozW3F2yuauPmcW5QL33h+nd6XtVDeYr9bvyQflytn/mqZSBH8pPPJl+dGFDjQ5HKr/kWo/MdCkemqHWC4f1emu6cxCGofqgfhcF6oNQHzL5IfbVB/VHoX4n1O8S9btE/S5Vv0vV7zL9cskB3Qsx3gvwWbFCP1Tohwr9UKEfKvRDhX6o0A8V+qFCP1Tohwr9UKEfKvRDhX6o0A9N6Id0dIFHh0+nJXlfkfcVeV+R9xV5X5H3FXlfkfcVeV+R9xV5X5H3FXlfkfcVed9E3qeTw99netaol/vSnUJ5oFAeKJQHCuWBQnmgUB4olAcK5YFCeaBQHiiUBwrlgUJ5oDB5oCB74NIqUIMHcI/8scI+VtjHCvtYYR8r7GOFfaywjxX2scI+VtjHCvtYYR8r7GOFfWzCPqZjw7MkcvVIUg8V9VBRDxX1UFEPFfVQUQ8V9VBRDxX1UFEPFfVQUQ8V9VBRD03UQxr1hWzrtGMjMq4w2S/qS41jBzOWqBfUopjO3l2yvcDaFIdguN8pn5Rfdqr2jhfVZx5P75XPy/s6wj0y4WrqbKWFo/xF+bR8Nv3p9EflfUX0pfzP36rG5Om9Tvkr+dXPdBCvkCEECgICMO/Z+I0X60zdJ5sKrFchVrCehzoLXyVbCKw9wRembC0bRBuBRad1l5yI1mEKTAD/iSzsZqnOxB7ZxA32bKipQpCrOYSaEYSL0wdTewsHFRSYH/EtHEIk5hYOqrXABIlt4UjPWziM1+/eolsNTJPrTUEXa3HpVs+CcUDHAOZCwhxyUVlNt5YHwtLCQaUQSArwc6Q8u70w7PJEjmowMCWClzUBYahQYahQYahQYagAhqEBHRKYVXEdHWked8NcZ+ltuqXA3Ipp6EjPGzqM7+0R3WJMviU9QItlY3voKcgI3A0d6dbyAFgaOqgEwDyLnJKrZ2dh1OXJNMXY6pEZRZNIzt49MR4lXpxPUm88Psm8MM0nwTgIs3xUj4hxnv36qN2Gjuq/Okw527ZdzKfBhPLpZuQWLMysXAeyywqCqAxCp+sfV+difdUpH8nJ7EfwqTgjpYBTIma7c9BX33xr/GZn//tvvXny5nc7Is+r3789Opt0iu9/b/JWx+uI+RFUT8uX059Mf9BV+46nd6fvS788Ku93/qLj78RCffnhTkfOXHayVP7+Qbd8vlV94S86QZiEO2FedV7ckU/KnTd0btxndSOimoqYiZt7SRhRWHpJfH3x7QYricNeEkYKbDUbMBpBGnezxLSxl5HFWTdJGEbdRNsuc5MXEJE12pi9Luaw2bz/wHLXOis4IgKCJ16ro5r4uXlbLycc9h2EwDV1lDSPaMEHXYnaJD5N05NJ5I2DLPPiRISe/Ntj+bdGp8E4GZ1m4uSOe1GrXZ6WojbH+gLG517UMoIgwhNU1P5y+q4Ury9mh41W24bnp8Xcq46AfaCOkpneLe9LzftjdaKoUr4PKnUnta8n//NEfvXr+rueyC+8mH2Xzjt7rN4RcO/AxbAOY58VAxGKWxGjjChMYrTuxLusRhlRHKpRRgpsJgQMR5Z248gkRhlRnInRRKqWWMd3k5cPEexb1aLzy34Dy/3NrOCIAEjXoqZBHfCyYV9ACFuTFG0e0IIPupKi2SgSiR9n3jg7k9+bTiZedhrG3kmajHyh/g1/fMe9FNUualwP6/PxEL6A8TmXopwgiOgElaKfS115X7VDTX9UHVfzVWf6gfzNvem75iXXzjfnX3pZfjH9H+Xj8ulMynbkj/u4/Pm3ajV7PHrrP03eeWf2B8C/VGna2fY9pYHVv/lQdWddNkAtWk5/WOnk96ovfaU+s/g5H1QH7Tybfjj7p/M4E5Fq5ZI/qPqDNgjtsQ6dgA/dujqZEwORJhA6WXXbPex29EcjvcoKxKKWtcrsBiuHO6nMSYHN1ICxCHPt4kePlcOZThZBNxM6vpu8fIhM1KZODv1aVoWWG5dZwREBkKyTjYM64GXDvn0QtgadDBjQgg+61snyM2kmvEiIVGlq4eXqw8lJdCLC2D9JRrVjnOpkrUaROjnA+wLC514nM4IgohNUJ/9mWYNCJXBcleo79eru3WrFVknf6s/919947e3vvfnWO293ru8d9/qHnaPY79w42v/3Gv3sLWT0kkaeXVW1opAvC2HdGOyxjoGAj8HagpcRAxHvEYLXtF+Ak4RH6er7pW6wkjjUuowU2GwLGI0kluMhDNsUOFmc6d0gSmR61D5zN3kJETmlVcU7v1g0tNwVywqOiIBkxWsZ1gEvHfYthNA1ad7mIS34oF3eFRuZGg/C0EIXR5foNr13lWrvatC4untXqYQxjNDN3lUqhEBBQADO964Knan7ZFOBG3Xa0KJEC4G7bDAa07h3lWojcH/NuuqRaN1qTlpz72qQiG4Y60zskU3c3N7VMFI7VmP1QR1kEyb1prHQfgssGRSYH9vdu0q2FpggkXtXw/NLYEPLJbBkq4Fpsg1drWC2ehaMAzoGMBeusXc1PL8ENmy4BJZMIZAU4OdIeXZ7YdiKwX26wcCUCJ6cAMJQocJQocJQocJQ</t>
  </si>
  <si>
    <t>AQxDAzokMKu2t3eVbCkwtyL2robnV8Ka39sjusWYfEt6gBYzP3voKcgIzHtXw/MrYe1h55hOAMyz2L2roboSVh9yhjRjlbWn8Sgd5enEC4IkkHPt8NQbhaMTL5qcZaNsNMlOJiczHuM827LQQJ1rm/auhhEOE8rnvmbECIJY34NO19uoGZV/J7/vmZz5NlSN/v3+rVv9/6OlupH8z2P5T96tqkeqBavai/DIuHbAOCwCPizw6fncQeWnF3x5og6wq3x58uZb9T9wedrOiIpYaG1jes9I4rjUxEjisNTESIFd5IaMRhZ00yTWsfRYWa5IqYmTEJGK2pgSLybG81tRQ8tFt6zgiAgIns0hhnXAS4d9CyF0TaWm5iEt+KArqXw2ivLwLBVeME5CLxYikN+bn3onQog0i0+zbFynC6dSWZsVpVSOsb6A8bmXyowgiPgElcrNmwPcbUPQ/EvlZ+Uvyn9UMni25eCZ1MRe3c8136Vg2HsgE6U22OyxDpGADxFcNusw9lkxEAkBIYmbthswAvEoYx3HDVYOh7qYkQKbkQFjkUU6jB4rhjNJbNttwMmHSDitCuJ4rp4sl9WygiPiH1kQ23YbcLJhXz4IW5Mcbh7Qgg/66h4QExp35QqsL2B87uUwIwgiOkHlsOMDYji9I+DeWVuJMmIgIjFCiRoPiOFEYdGg5gNiOFEcylBGCmwmBAxHGHfTLNGh9FhRnElRywExrHyIYN+qFJ1flhhaLr9kBUcEQLIUtRwQw8qGfQEhbE1StHlACz7oq3sAd2jc+JpgfQHjcy9FGUEQ0QkqRYkHcHNSCjglXFIyHcCt884+q3cQgboVpcqIwqRUtZPdG6wkDoUqIwU2TwJGI5YpP9UW43qsKM6Equ1YbVZARC5oVakmc2GTWJQqJzgiANKVquVYbVY47CsIgWuSqs0jWvBBVxe1K/L4zkKCOrx8VZsrpBpNLbhRnK/iOtrAGsTGHaxEg1ejyAZ2sD6dVeyr8/6eVMufz2ZHAP7rjlrUVN+gxOhPdeB7ZPAYBo7b2Koz8RWyiQJlIsC8C9tWg67O1n2yratBmXHfKtFC4A4buNC07Vsl2gjcW7OuhCRah9lHA/Bf5ofCIJ16ZBs3uHFVXboaqktXI3++Wcx+3yqZEZgS8XtWkyQw71mlWgvMidg9q+f3rYaW+1bJVgMTYxvSWsFs9SwYB3QMYJpbZ8/q+X2rYcN9q2QKgaQAP0fKs9sLw1YM7tMNBqZD8PwEEIEKFYEKFYEKYAQa0PmAyRS3XTWPLdtVqZYCUypmu+r5VavmV/aIbjEmzZKencXEzx51CjIC93bV86tW7RHnmE4ATLHo7arqqlV9tBnSjFXWnsWTcZ4kI28s/+sFwWTsZf7Z2PN94Ysky4Jc1EnYOKu2rDNQZ9bG7ar2G7ouYUL5dPNvCxZmDq4D2WUFQazuQefmi0rPbPr9RPXEV93u96uCz4PZltFH8jf3pu9XXe7Pq299If+WalWq95T+alYnkjPz2Q9SDUpyav++qpm8LB9N7138VNVX7y2vAJRfffPWvzveOZ/3e+cTf/kql39SywLqX63vC7ir+v+VidXawo87gRfsiOmPdma9/nW7vie/5bH8q49nHDudeCcKTFWNPdahE/ChQ0zdl8pX3v5bZ99/652OCLPO/vCoXxxfP+ocXR/0XllUr7qQ6lVHzcF2kuTi9bF/0YmSQHpYWMpbjN5DrO7CFxOmH0zf06G8yorCUt4ybQZg5HBY3GKkwK6sA8Yii9JuHgsdS4+VxVl1yzcsB9zkxUNkvzYm4Itp+PyC0dByZSwrOCL6geeOlyqWaWwa1gEvHfYVhNA1Fbeah7Tgg67UuZjk6STOhHcyOQu8eDxOvHwUTzzhT05FGCZn49N62J2qc+3yulTnOdYXMD736pwRBBGf4Or8shqudgfcn1XMlGB/r9oqUFXGisFe59/1/t31TiH/4cnbnendC8eoVlL9udq/qn7EY/lbfydSolDnqT1WTwm4pxBieLZdV22DUNDlV+WLJRdJ7ftZVYRUX55tm1BfUQft/Pha3QBW/qw+LOepmrFc6+yfnU3+0zujzuCtN88mb7/92ptvjL4r5XHid447t177D//xnTt33th7842TtybvTDqDo35H+P70fflB/mN/v+T4r+aO/6rjdzOdy/dZXY7IIXAFbS7HMZLwCOiub2oQY0RxqKEZKbAJHDAcWZgk3Vg7Ij1WlqugoTnxEDmqVQ09vxk1tFx1ywqOiH9kDR0kvkVDc9JhX0EIXZOGbh7Sgg/66m6rNXaPRT7WFzA+5xqaEwQRn6Aa2vG2Wk7vCLh34LpZh7HPioGIxQgtatyswInCIkbN22o5UdyJUU4KbCYEDEcQ+lE3i7U9CD1WGGdq1LKxlpUPEe7blKPR/ALSyHKjLCs4IgSS5ahlYy0rG/YVhLA1iFHAgBZ80G5v19IOqZSXtrvD4ihbpdv45gSqwasx489ucwIVPIaBt7E5gWqiQJkIMO/C5gTtUuM+2VRgMyZCgJoWQ6kWAtsp4brSsjeBaiOwkXJdwUi0DtM0CfCfKuwnOgt7ZAs3tzMhCtWmBHWvVhTXfcFRYN2ZQGYE5sN2dyaQrQUmROTOhChY7EyIjDeA3qJbDcyKbahoBbPVs2Ac0DGAOW6NnQnS9uWBMO9MIFMIJAX4OVKe3V4YtmJwn24wMBmCpyKACFSoCFSoCFQAI9CAzgdMpe3tTCBbCkyoiJ0Ji8hz2/LKHtEtxiRZ0rOzmOTZo05BRmDembCIOPMBMO9MIBMAUyx2Z4J8dhZGrRg7pBl7Zes2hnmqnFiHOEwon/u6DSMIYiEPOjF3Xbdh9I6Aewc+NdZh7LNiIBYtEdNmc92GEcV13YYRxWHdhpECu2gMGA7RTfJYR9JjJbkSRRtOPkSsb2O6uZh0hvM1fss1zqzgiPgHnimBB3XAy4Z9/yBsTUWb5gEt+KCvbhd+bOrCjyKsL2B87pUoIwgiOkGV6Aa78Dk9JeCegqvSP/8ufE6XIzIIQkEbC0+MJCwC2tyFz4niUEAzUmATOGA4orzr56a2J0YUZwra3ITPiodIUa0K6Pm9oJHlqldWcET4IwtoaxM+Kx32DYTQNUno5iEt+KCv7jEzsbEJP8b6AsbnXkIzgiDiE1xC/+9jZmau2GMdOgEfOoSm5zlmJkp38uVDZoJ0x8/MJ8xwOg6RmuDK3HzCDCcKjzTXcdxg5XCoyxkpsKoAMBZRN0+0+a3HSnIVZDknHiLttSrL5/eTRpYLZ1nBEbGPLMut58uw0mFfQAhdkyxvHtKCD3pxeUI9rkpuO7w8QehwpfIWFtxIBKu4rvYnJMb9CUSDV8NIG/sT5jK5WmRelr/yvw9nWxaqS7qkSr2nmiLq3QgP5ee+qPR09U3nwvrL2Zqo4W/rPLJH9kgM80grGxeIJgqUiQDzFhsXPit/48U6Y/fJxgK7NeE6tXoiHkrV/lxn6KtkQ4FtlwgVatnBQLQR2HC5rsIkWodprgT4Lwu6iTbc9cgWbnAHQ6I2L6Tz1mFh37xAxQMmS/zmhSBJu/rV9W/TrQVmS+zmBXG+ecF4c+ktutXAlNmG6lYwWz0LxgEdA5jn1tm8ILaWB8KyeYFKIZAU4OdIeXZ7YdiKwX26wcB0CJ66AIJPoYJPAQw+AzoaMIHi9i2EUW4IPLfplgLTKGbfgjjft2B8W4/oFmNSK+mxWcwG7QGnICNw71sQW8sDYNm3QCUAZlf0vgWxvTBqxdghzdhKKp6cjqJExF6YjBMvTs5Gcv6dTLzsxB/5WRb6p+nZjMc41bYsPlCn28Z9CwkOE8qnm5RbsDATcx3ILisIYs0POmH/7OJU+lKtSlWxfl0+qFqg1KRbFUfe+47KIklXyFH1E50T9lidIOBOQEyAV/zwtFrDUH1eP5XwlSdUL5janjEv/32tvDL9garFnTtLNZFVfWLyuz+uli++mBXsKhc+qH5q/a2zf2LlH1n5sarE97haUnmqqoGdQLoi6naOrt/qpH6snVvuszofsfja4oSeEYin/KSPcjdYSRwWoBgpsOvfgNHI8m6amtYRGFGcVaCCJOom2v7Qm7yAiHzUxmx4MSee3/YcWe7vZgVHhEHwRA4+qgNeOOwrCIGzjugAMqIFH3Qll6MozU7SQHjB+CTwYv9MeNmpn3uBGOVBOPHjk/z0jnu5HOp8IeWy9Z41nS9gfO7lMiMIIjxB5fLfSRn2qBJjj1W56kFVm3pUPjFs85WS7nEll3Xwe6zwAg4Pl8k6jH1WDESkhQtOS6cTIwqL1PS7vnZx7AYrikOtyUiBTXSA4Ui7kekyLU4Sd1LTDwz3nd/kBUTE8lalZjoXJpabrVnBEQGQLjWNozrghcO+gRC4JqnZPKIFH7TqdtqZ9Zg4bHLSDq0UkdY7w0S4SumuySnWGbxLNhhYsYWKwPWanOo9BeXzajFx8c2Ak1iJ9DGMvpWGJqKJAmUiwLylhqawq7N2n2ztakjm72giGgosyMLVpq2jiWgjsBS7rowkWocpuwL8Fwdh0g21izo9so0b7GnK5x0Fmb2diUoGTIv4dqYwMPV3f5tuLTAvYtuZsvN2JuMFoLfoVgOTYxuqWsFs9SwYB3QMYJZbp50p21oeCEs7E5VCICnAz5Hy7PbCsBWD+3SDgbkQPDUBxJ0CGHcGdCpg4sR1MkXGrd636ZYC0yemkyk772QyvqhHdIsxKZX0xCxmevZYU5ARuDuZsq3lAbB0MlEJgIkV3cmUbS+MWjF2SDNWWXs6kbLp9OzMi8JTX+0kmnijwA+90yBJgtGJPx7ndRIzzqctCwvUObWxkynHYUL5dDNvCxZm9q0D2WUFQSznQWflKx08j2ab76vPVTPux9N7cs59v/PN+Zdell9M/0f5uHw6O7RVbZL/uPz5tzqB71f7wjv/x63q96+M3vpPnRtvjf5rxw/ipPPKm9/97n+avNEB/4PzrzxSO/Cndxf7m6oy0aPqmpbO9IPq0890I7HHOhICPhKI6feKb+Ybu55g26h2Vtw8Pzn3WX3Swv1rnZu31CDJL52fcCD/8Ljayv+RapPSrn7tszoVsWjb4ioBIxBL7crcJsVI4rB0xUiBXTgHjEYsoqyb+6bFCUYYZ9WrSPhd/c2IN3kBEemujXn2YrY9v/U4slxkzQqOCITgKSJ8VAe8cNiXEALXVL1qHtGCD3qxV78Ooo736qc63OthbL0pUcSruK7KWJlprz7VYOBKHVQwfyolmTrc6oeLMlZ1bNQ9dQtB1Zf+VS2JVV2q0lPVuVUPq9+9WOzI/+riiakvq0NLZyfIvld1vdef+6DScw90DtkjOySGOaSNyhbVRIEyEWDeorL1cfk7L5Rq8PMLY/akU2/iqBTwj6o9Bs/lZ8v6Ikj9KN7vfHv/6PrB9c7B9aPrf/mXvZ3Z3oVnlcp+Kp+PJ9OPrtUn4XbK36qhlb9VB97evXPnjdXzb195JfSDLPSP1BLdjSP5w/4oBf67aio0fe9aJ1Kn3SbqQz4/feufZtL9Wmem2+cn39Z6vt578fcXnqj7nb3JW5O3X3uns7cfRR0/Vg+qYnssp3Tvqps01JTOO/9xujHdJ48pcM0ToexNZ+JSLQSuX2KkurHwR7URuHK5pginWodZpQT4LwxFV79Zqkc2cXN1vzjYkR/UlYyxupIxnl+IFvvWMiAZFCgrCGXAyFIHJJsLFBbIOmDsL+qAsfHe6Ft0q4Hqoo35iYLZ6lkwDugYQE2wRh1Q2r48EOY6IJlCICnAz5Hy7PbCsBWD+3SDgTkRPMkDxKFCxaFCxaFCxaECGIcGdEhgWkWWBW11QbKpwOyKqAsu4s9ty4t7RLcYk3FJT9B8Dt0QewoyAnNdcBF35gNgrguSCYCZFlsXlM/OwqgVY4c0YysF6YssGI98b3QWhV4cxL6X+3nmnY1ORXYS5GLsj2Y8xgUKy5INdZHCVBeMbRdQajChfLqlDAsWZjlDB7LLCoJYKIUuc1Dmx0/k1x5fKNWtTJdllvlG+Qs15a2KfQ/Vn6ttXsWNxBdycns0u/rxfP4p/3g+8Q0C8xU6nM4VcOfC1yOWlw70qwSrawKXFgF0vthn9QViYRo+jzfvK+NEYanNxTqOG6wc7ipznBTYogBgLHIpEEPtgPRYUZzV5YIgyLqplvAmLyEi37Qx8V1Mf4O6jBMbLwg/4AVHxD/wnA0xrANeOuxLCKFrqMwBhrTgg6708Dg/jSbBSeAlfhx4cZxNvDzKci8/EVE6SUU8jus32qke1q5tSz0cYn0B43OvhxlBEPEJqocvXG4zq9q9lGL3xVylln+oVO4Pqrqg5tSqr5W4+6z8h/Jjr/y8/H35s/KT8lfy4+/K3+u8s8fqHQH3DlzQ6jD2WTEQsRiuRU0X07zKisKiRQN9CLnBSuJQjTJSYBMhZDRUv01kqmUxsriTo0lX38N+k5cPEexbFaPzm61jy1XlrOCIAEgXo6ZBHfCyYd9ACFuTFG0e0IIPupKi4WkY+WIUen4enM2+d3R2knpBNh5FQZLE47M6wDqVopHOF1KKRlhfwPjcS1FGEER0gkrR5Z6e8p+kLv2yWoOVsrRTfr4fRd+ZHZrQCaotGVKHTt+vuoIely+0m/r3WF0g4C5YW28yYiDCbSt6kxGFRW/63VDoUG6wojgUnIwU2HQHGA6RdMNEOyA9VhRnejP2u3ms47vJy4eI6K3qzfk10LHlZm9WcEQAJOtN46AOeNmwLyCErUlvNg9owQc9W/ocn0xGZ1HuiTg+8eI0O/NGiS+8OBhnp8F4dConrXfc603tAyD1Zoz1BYzPvd5kBEFEJ6je/OX0XXVO62y/72zHg+nY1q865W/Kn1VLnP9Q/lb++qSWouUfyk/Kj8tP5cffq+/5v+UfPu/cGoigU/5M56U9Vi8JuJfWlqSMGIiI3IokZURhkqSqJfQyyg1WFIeSlJECmxEBwxHJ4C60Ww57rCjOJGnuG44pu8nLhwj6rUrS+RXIseVWa1ZwRAAkS1LjoA542bAvIIStSZI2D2jBB600qU1qtrstVjukUmQKC10c5at0m98WSzR4NWb8y9kWS3RIDHNIK9tiiSYKlIkA85a2xUbVITMvy0dLI/cUvRH2wj5Y/C7YxA/9Wcfrndi8s3V2DNG71cr34rFZtfxl+bQz6xyOxX/J612za22INZyISx1O4O4fhHQ37oglWgjcugNX5LYdsUQbgXt21pXaROsw+3Mg/vPTbhbrTOyRTdzgjlh1u3ecqg+Z+jA/oDK23/NNBgUqirZ3xFLNBWoK7I7Y84u+Y8tF32SrgcKijYmIgtnqWTAO6BhAObDOjtjzi77jhou+yRQCSQF+jpRntxeGrRjcpxsMzIng2RwgDhUqDhUqDhUqDhXAODSgQwLTaps7YqmmArMrZkfs+Z3f5hf3iG4xJuOSnqDFbNkeewoyAveO2PM7v+1x55hOAMy06B2x6s5vfcwZ0oy9smUww4T/elifzAnGhPK5L4MxgiBWRKErHJsqgzF6ScC9BF9T0GHss2IgVoERc2lzGYwRxXUZjBHFYRmMkQK7Cg8YjiDpBqlpJwAjypUog3HyIYJ+G7PPxRx0fg1zbLlYmxUcEQDBEyfwoA542bAvIIStqQzWPKAFH/TV3QmQGTel2i5+1PoCxudekjKCIKITVJKy7ARgdIGAu2BtvcmIgQi3rehNRhQmvWncCcCI4lBvMlJg0x1gOMKkm5vkJiOJM7lp2wjAyYcI6K3KzflVzLHlcm1WcET8I8tN20YATjbs+wdha5KbzQNa8EFf3TNQMuPG0wzrCxife7nJCIKITlC56foMFEbvCLh31laijBiISNyKEmVEYVGi5jNQGEkcClFGCmwiBIxGEqddX5vUe6wozpSo7QgUTj5ErG9ViWZz4WK5mpoVHBH/yErUdgQKJxv2BYSwNSnR5gEt+KBnC5/j0yhK5LeNT86EF4/ikTcahb534ifhWRpl/uRkdMe9EtVGLalEc6wvYHzulSgjCCI6QZUorE2deh51Z+lA6uXzqAMBOo+a0Z0C7k64dAWeR73UnX/eW287jZrRE4joD1e/ltOoGVFY1K82aN1g5XCofRkpsKkXMhZRYD7+jxHFmfaNkrDrCx3gTV5ARHppVfzO7xSNLbfEsoIjwh9Z/JpHdcALh30FIXBN6rd5RAs+aLe7X3Md3fVQNSCY6WJ/lW7ju1+pBq8GjX8xu1+pDolhDmlj9yvVRIEyEWDe0u5X0VX/1Y5N59uTt0avjzoHo7dG/+2/vbbTWd22Wv6x2jT6UI2U0sKPy0dqhKp17+JG6gepnEusXumaKfkczmYSlYDufHO5oePaYnuqfHZ+3YmiHbVFdTYdMW5RVbfQqi9XX5AGXuuE1Q/XhrN98lis5h6+ratUC4F7bOBq2rJ1lWrjqlrm2bpKtW41Ba+7dTVNjQqYauLmtq4KdZmrUJe5CnWZq5hfoijsl7mSQYFyoOWtq2RzgYIAuXVVnF/mKiyXuZKtBqqCNqYRCmarZ8E4oGMAc/kaW1fF+WWuouEyVzKFQFKAnyPl2e2FYSsG9+kGA3MieC4GiEOFikOFikOFikMFMA4N6JDAtNri1lWyqcDsiti6Ks4vczW/uEd0izEZl/QEzae6DbGnICMwb10V55e52uPOMZ0AmGmxW1eFusxVH3OGNGMrBQm66ErxGBcWLCsr1MUF09ZVEeAwoXzOy2WcIIj1TOjyxJ/XZa6czhVw58LXEZaXB2CrAUvTf50f9ln9gFg7hs/hzaUzThSXpTNODnelM04K7Lo9YCxSP+/G2gHpsaI4K51ZL3JlJUTkmjYmvYup7/zWT2G5yJUVHBH/wPM1xLAOeOmwLyGErqF4BhjSgg/66m5iyE17ZkWI9QWMz70WZgRBxCeoFna8iYHTOwLuHbiY1WHss2IgYjFci5o3MXCisGhR4yYGThKHapSRApsIIaPhJ3E3MNWxGFncyVHzLgZWPkSwb1WMzu/9FJaLXFnBEQGQLkbNuxhY2bBvIIStSYo2D2jBB311j2/JTftpRYT1BYzPvRRlBEFEJ6gU5Ti+hdMFAu6CtfUmIwYi3LaiNxlRWPSm+fgWThSHgpORApvuAMMRx90o1pH0WEmcyU3L8S2sfIiA3qrcnF/7KSz3uLKCI+IfWW5ajm9hZcO+fxC2JrnZPKAFH/TVPcA6N22aFTHWFzA+93KTEQQRnaByc0MHWHN6ScC9tLYiZcRARORWFCkjCpMiNR1gzYniUJEyUmAzImA4wqSbmM5x4URxJkktB1iz8iGCfquSdH7tp7Dc48oKjgiAZElqOcCalQ37AkLYmiRp84AWfNBud7IGvg5PqkxhxQtW8Ta/lZVo8GrQ+JezlZXokBjmkFa2shJNFCgTAeYttrL+xgv+19zIShwJ4KYdhOw2bmQlWgjccQNX07aNrEQbgVtt1pXJROsw22oA/guzbqw9P6FHtnCD+1jVFaxCXcEq1BWsYn71obBfwUoGBYqBtvexUs0FqgHsPtbzK1iF5QpWstVASdDGHELBbPUsGAd0DGAiX2cf6/kVrKLhClYyhUBSgJ8j5dnthWErBvfpBgNTIngiBohDhYpDhYpDhYpDBTAODeiQwKza5j5WqqnA5IrZx3p+Bav5xT2iW4xJuKQnaDHRtceegozAvY/1/ApWe9w5phMAMy16H6u6glUfc4Y0Y69sBUsKCu1c/bqMVjhOKKD7EhYjCGI1E7o4sakSFqOXBNxL8OUAHcY+KwZiBRcxlzaXsBhRXJewGFEclrAYKbAr6IDhiLuhfmdej5XkSlSwOPkQMb+N2ediDjq/sVNYrmBlBUfEP/DECTyoA1427PsHYWuqYDUPaMEHfXV7+KUk1S4vS0lqvSBM5wwYoHtJygiCCE9QScrSxM/oAgF3wdp6kxEDEW9b0ZuMKEx609jEz4jiUG8yUmDzHWA40m4QRjqSHiuJM71pa+Ln5EME9Fb15vzKTmG5g5UVHBH/yHrT1sTPyYZ9/yBsTXqzeUALPuire3yJ1JvasCX1ZoZ1BgzQvd5kBEGEJ6jedH1+CaN3BNw7a0tRRgxEKG5FijKisEhR8/kljCQOlSgjBTYTQkYjNWX1HiuKMylqO76Ekw8R61uVovM7O4XlElZWcET8I0tR2/ElnGzYFxDC1iRFmwe04IO+upewSimqDVtSiuZYZ8AA3UtRRhBEeIJK0at+CyunOwXcnXDtynWQNKMfEMEfLn4tB0kzorCIX23IusHK4VD6MlJgMy9gLIIg6uaJDqXHiuJM+truYGUFRCSXVrXv/MZOYbmDlRUcEf7I2td2BysrHPYVhMA1id/mES34oOX//voiuRK1f2VTuS1vZTV0mya+hTcSySqvq62shntedskGr4aRNbey/qHSpmoN9KtqF+EDpT6rZVPVQjq9p/pFL8nVhq2sT+rdrzrwPTJ4DANvY8sq1USBMhFg3mLL6mf1ptXPLo5Mw7jc73x7/+j6wfXOwfWj63/5lz21W1R+y7Nqcfxptfb9kfrRavQ75W+VglYtGfJLdy/ven3llcQPw3qikewer25wrSYauZC/qh2oO6rLQzUcv6f2sFa/kf/sywt33XS+ubx3tRPWf+/LpWaR+a7Yvf0oUjti5ZNl2xH7LW23yD55RFdz1/pbX79WoyRH8rnO0FfJhgL36sBFuWUHLNXGVdHNswOWah1mQw7Ef0Gc6GN/j2zi5rbAJuoq10Rd5Zqoq1yT+RWKif0qVzIoUETgt8DGadjNc52136ZbCxQRyB2wyflNronlJley1UAl0cZkRMFs9SwYB3QMoC5YYwdscn6Ta9JwkyuZQiApwM+R8uz2wrAVg/t0g4GZETyjA4ShQoWhQoWhQoWhAhiGBnRIYFbF7YBNUtFNtcNxm24pMLciNsAm5xe5mt/bI7rFmHxLeoDm8+WG0FOQEZg3wCbnF7naw84xnQCYZ7EbYBN1kas+5Axpxs5CvS/ESSq8NItPvXh0lnqj+HTk5UkS+1mciMSvc5pxMcKyPENekDBtgE0CHCcUULdsYeHCLF3oQHZZQRCrotAlDfscmVJq66zc09qZ196CcF57S+Rf+v3s82oW3Fh34/SpgPsUvhShw9hnxUCsG8Pn3+ayGScKS9ks6GaxDuUGK4q7yhknBXbZHjAcYeBn3SzUDkmPFcZZ7SyIfEmoA7zJC4jIEm1MVxeT1vmFnYnlDlZWcEQMBM+04KM64IXDvoQQuIbaGWBECz7o2R6GSZqM0zPfO83CwIvDIPJG/lh4p/FpPvazLMjOatXqVsVqnwCpYkOsM2CA7lUsIwgiPqFU7MWtC0rEVtsazs9oaXcbA6eDBNxBa0tSRgxEOIZLUvM2Bk4UFknqd1MdyQ1WEoeKlJECmwwBo5H5YTfUDkiPFcWdHjVvY2DlQ4T7VuXo/NLOxHILKys4Iv7R5ah5GwMrG/YFhLA1qdHmAS34oK/wCS6BaUdtEmGdAQN0r0YZQRDhCapGOU5w4XSBgLtgbb3JiIGIt63oTUYUJr2pv2PpBiuKQ8HJSIHNd4DhiEU3i7UD0mNFcSY4LUe4sPIhInqrgnN+bWdiuYeVFRwRAMmC03KECysb9gWEsDUJzuYBLfigK8GZnGV+cnbqe2ehL7/3JMm97DTPvZPJJPaT6Gzkx3WqcCs4tU+AFJwx1hkwQPeCkxEEEZ6ggrONU6xvDTzLgdWcDhFwh6wtPxkxENG3FfnJiMIlP00nVnOyONSfjBTY9AcYjyDtBrm2jtVjRXGmPy1HVrPyIQJ8q/pzfkdnYrl0lRUcEQHJ+tNyZDUrG/YFhLA16c/mAS34oB1fumoqqAsLXhyHq3ib36lKNHg1aPz57VQlgscw8FZ2qhJNFCgTAeYt7VRNeHaqzj73pPprLy9vUS1u5EHk+/7h6t7UqGrGVR8yxs2pQdSplr3VM3q/svk9425U4qgB99wgtHjTblSiocB9M3ClbduNSrQRuGNmXQVNtA6zOwbivzhMukGss7FHtnGD21HVjayJupE1UTeyJvObEBP7jaxkUKBSaHk7KtVaoFLAbkc9v5A1sVzISrYaKBfamF8omK2eBeOAjgFM/utsRz2/kDVpuJCVTCGQFODnSHl2e2HYisF9usHA1AiepAHCUKHCUKHCUKHCUAEMQwM6JDCttrgdlWopMLlitqOe38dqfm+P6BZjEi7pAVrMge2hpyAjcG9HPb+P1R52jukEwDyL3o6q7mPVh5whzdirW8kKjdtRExwnFNB9JYsRBLHQCV23cFDJYnSIgDsEvligw9hnxUCs4yJmz+ZKFiOK80oWI4vDShYjBXYhHTAeoYzlxkoWI8qVqGRx8iECfBszzcV8c35XZ2K5fJUVHBEBwZMk8KAOeNmwLyCEramS1TygBR/0rHVfiEk4nggvPxkHXjwWoZfFp6EX51EchFlwkuUbaN0PjRtJU6wzYIDu9ScjCCI8QfUnoHW/ui5AlS8uFi908Hus8AIOv7bWZMRARNpWtCYjCpfWjHUoN1hRHEpNRgpspgMMh0jleCQ6lB4rijOpGWdd/b2yN3n5ELG8Vak5v6Yzsdy7ygqOCIBkqWkc1AEvG/YFhLA1Sc3mAS34oK/wmSWhcZdohnUGDNC91GQEQYQnqNTcwJkljA4ScAetLUcZMRDRuBU5yojCJEdTHckNVhKHapSRApsMAaOR5zKx59pFpB4rizM5aju0hJMPEe9blaPzqzoTy92rrOCIAEiWo7ZDSzjZsG8ghK1JjjYPaMEHXcnR08mJyNJR5iVn8UQdtzf2xqfyQz5KUj/ITkZpeHJnA3I01jlDytEc6wwYoHs5ygiCCE9QOfqx5tDn+9OPLm4AuH/eaV73lc+V6uerhz3XzeWzP8rfbqlfmeWEZ0ZnCbiz1pamjBiIyIyQps+1BYhXWUmYlKn+trsbrCgOpSkjBTYxAoYjEEk3S4WOpcfK4kyaxiLuZtql4Ju8gIjg36o2nd+kmVjuRmUFR0RAsjY1j+qAFw77DkLgmsRp84gWfNDzu1HnnbhKdLq8G9WwHJraL1zJVnkd7TgNfdOOU6rBq2GEZ8fpy/KpUoZVUf2j2SeeKSFZ7STtqM2OF3cJVjtOn6iez8XfKh+Xzzvlr8pflJ/VYhO9a/WRNMXfCZXWkT/AdKnFHtmTMcyTbWxhpZooUCYCzFtsYf24/J0XdzsX5g9LA+Jgs2p0vlkVuxV1sSW1E0U7mE2p1HFYTWHrb0o1CXiqhavinHM3KtXGVdXNsxuVah1mcwzEf2GQdiOhs7FHtnFzu1FTdTlqqi5HTdXlqOn8VsLUfjkqGRSoIvC7UYNEiK7+yf423VygjEBuR03Pb0dNLbejkq0Gaok2piMKZqtnwTigYwAT+RrbUdPz21HThttRyRQCSQF+jpRntxeGrRjcpxsMTIrgOR0gDhUqDhUqDhUqDhXAODSgQwLzKm47ahglcTfMdabeppsKTK+I/ajp+fWo5hf3iG4xJuWSnqD5lLkh9hRkBOb9qOn59aj2uHNMJwBmWux+1FRdj6qPOUOasZW1+Wic+37kiXEceXE+Sr1sPFJdXUkSZr6IT9PJjMe4HmFZoSGvSZj2o6YBjhMKqFu5sHBhVi90ILusIIiFUeiqxsezjqzzBYVFtxZPixanewTcPfB1AB3GPisGYhUYMY02tmhxorAUwgwNWpwc7qpgnBTYFXjAWGQiDLqx0LH0WFmcVcEsDVqsfIhY38asczH3nF+JmVouOWUFR4Q/8IQJPKgDXjbsGwhha6iBAQa04IO+wg1akWlrahpinQEDdC9FGUEQ4QkuRTfZoMXpLAF31trClBEDEZkRwtRY32EkYdGlQdc3SVNGFIfSlJECmxghwxH5YVfoz/nqscI406a2Di1WQET0b1Wczm/ITC1XnrKCI0IgWZzaOrRY4bAvIQSuSZ02j2jBB32FD06JTLtZ0wjrDBige3XKCIKIT1B12u7BKZzwAg6/ttpkxECEWoTaNC+DMqKwyE2/Gwodyg1WFIdyk5ECm+kAwxH5cTfSLyr1WFncqU3zySmsfIhg3qrYnN+OmVquO2UFR0RAutg0n5zCyoZ9AyFsTVqzeUALPugrfEh0ZNqqmsZYZ8AA3WtNRhBEeIJqTf5DojkdIuAOWVt/MmIgom8r+pMRhUl/ms6I5kRxqD8ZKbDZDzAcQRZ2E1+bynusLM70p+WQaFY+RIBvVX/Ob8dMLdedsoIjIiBZf1oOiWZlw76BELYm/dk8oAUftNqNujOTXS43ocY6TKkshRUzX8V0twlVW43cJRu8Gjz+5W5CfTl9D7YJlejJGObJVjahEk0UKBMB5i1tQg3W3YT6mXpwOnKWMFugVrtP717ei/rKK4kfyv87unPnjeXNqInah1p9yFUfRXdxceq1i5elnl+iSr071Y/rfg5p/RfVCrv6yy+983/EuGuVOHDADToInW/saiBaCNxdA5fvtl2rRBuB22rW1eVE6zBbaAD+C9XuSKFNbz2yjRvctaruUE3VHaqpukM1nV9emNrvUCWDAmUHfteqtN+ya5VqLlB3YHetnl+imlouUSVbDRQfbcxaFMxWz4JxQMcAZv51dq2eX6KaNlyiSqYQSArwc6Q8u70wbMXgPt1gYFIET/0AcahQcahQcahQcagAxqEBHRKYV3G7VqM8zbpC2wx4m24qML1idq2e36JqfnGP6BZjUi7pCVpMre2xpyAjcO9aPb9F1R53jukEwEyL3rWqblHVx5whzVhl7Tg/FaM4yrxwFORenGRn3liobQVJnJ2eBqenodhAM1Zs3LWa4DihgLqlDgsXZrlDB7LLCoJYP4UugzReLcCwcZXRQwLuIfjagQ5jnxUDsV6MmEmbK2aMKCwVs0C/uHiDlcRhwYyRArtcDxkNkUdRN4x1MD1WGGcVM9veVU4+RMRvY+65mIHOb+FMLdeqsoIjIiB42gQe1AEvG/YVhLA1VcyaB7Tgg64EaTQ6ybNJlHji5FR48egk9fIgSLwsT0+Ck5NgfJqM7mxAkGoziRSkKdYZMED3gpQRBBGeoIJUt3f1idKZS0WayVuj10ed10dvjf7bf3vt8s7VlcpJvZE1CeLMV9WYO/9aatT7s+LevPur+uzHVZHmZSWAH5xvm31Uf/pheX/2sxLf31K/9OfI77H6XMB9vrbEZcRABHiExDUWixhJHCtcRhKHCpeRApteAaMRBVnSlTlNB9NjhXGncLMo70baeHaTlxCRRFrVuPPrP1PLfa6s4IgQSNe45mEd8NJhX0MIXZPKbR7Sgg+6UrknYR6FYTD2TvPoxIvjMPay0Pe9STDO83EaJOmkft7dqlxtO6tUuRnWGTBA9yqXEQQRoKAqF7gH1o/rfiBj/47OG3us3hBwb6ytPxkxEMEXoT/NS6yMKCwC1LIplhHFoQJlpMCmPsBwJEnUzTLtiPRYWZwJ0Njv5rGO7yYvHyK6tyo/59d9ppb7W1nBERGQLD+NgzrgZcO+gRC2JvHZPKAFH/QV3hQbGzfF5lhnwADdi09GEER4gopPB5tiGR0i4A5ZW38yYiCibyv6kxGFSX8aN8UyojjUn4wU2OwHGI4oz7qRfh2px8riTH/aNsVy8iECfKv6c36jZ2q5o5UVHBEByfrTtimWkw37BkLYmvRn84AWfNBKgNp0ZcubYYUO73qY2e54kYCreBvfDEs1eDVo/O/NsFRPxjBPtrEZlmqiQJkIMG9pM2yy7mbYX5V/kj/uufz1Yvrj6Uf6e1lfeSWJw7CtvbCVJfJRlA/rXfWll+XX6umt/sEHlXkvqke2auGYNXn8qf7kTztHQeB2Ly113FcTJN9eWqqFq8qfcy8t1cZVSc+zl5ZqHWZjD8B/kVTpic7C/4e9v++RJLnOPNGvErjAAmRkRsDfzF840B9dpWQhipWZUemZM8NWC4N8vUtAIhcUB9g7wABsNilSlxw1XyQMt8lmq1uzIwF3sFvdzRKr34H9AHsjv8L9JNfNI9yj0tPM/Dkn/FgESWmG0VWVWVnnd8z92GN2HnebsSPc3pO0uT7/Ndfnv+b6/Ne8OXcxd5//ygYFNcvAT9KywwVFC/FJ2nx9/mvuOP+VHTWoXIZY6miY8cyBccjHAGXDBk/S5uvzX/Oe81/ZFIpIAV9HOrN7bWCdgI/5AYNTIrxeBOpQqetQqetQqetQCdahOR8SnFUHfJKWHSo4uRKepM3X57/ab9wTfsSUCZd1BTXr8Z7aU7IRhJ+kzdfnv7rrzimfAJxpqU/S5vr8V3PNOeMFu7tdNWV7kjYPaZwooPeumiQIYdMV3UOR76pJJkThCcH3GUwYB6IYhD1lwrLZ2lWTRPHcVZNE8ddVk6Sg7ukDw6Gmme3FV5Iku9BTE+UjlPchFprtcrM5ITR3HPkqCk6of/AaCR7UuSwb9f5D2Hp6asCAlnLQO/xAgbI9NptH1GRggP7VpyAIoTyh6lP4gQLJbCg8GxtLT0EMQukdRHoKoghJT9sDBZIoHqWnIAV16gOGo5iqwgQyEwXxpjwdTxOI8hFK+6DKszn9M3ec5yoKTih/bOXpeJpAlI16+yFsfcqzf0BLOegdfmGLsj3KmsfUZGCA/pWnIAihPKHK8w/ihS2SOVd4zjfWt4IYhAJP0LdWR5IgiYi8tb6wRZLEo7oVpKBOr8BoJOk0iI0DMhNF8aZvna9rESUkTCGDKtzmzNHccYisKDihALIVrvN1LaJ01JsQoevTuP1DWspB7/BbspXtidk8oSYDA/SvcQVBCAUK1bhbeEu2ZIYUnqGNFakgBqEgExSpfcdVEMWzJBUk8ShJBSmosyEwGlEcTEObN18QxZ8ktb8jW5SPUO8HFaTNIaS541RZUXBC/eMLUvs7skXZqDcgwtYnR/sHtJSD1qfK1pI0ec2tN//q+vI73/jWNw2JYMnNxMRZKU3l4IzToMtpe5LWHi1FRK4fpjWG+4AdbvcycyQXlYp1V/3Nxad6G3Rfb2wue+zPF5/e/rjeFK2++Lu6Pf/s9m+0qrz9sYmpUoDqKzM22L2qaCfbrCiuHtVKbQWQG39Cjx/3uuugj2xBH/GDVvSgcXt7FfOxLeZjfsz4LcAvtKvnaMyxl+zY7z0J0RM77QI5tQV8yg8YL+bEZx+qeM9s8Z7x4q2vjtfaOcjbWefWM8Ly1EkRWbOOBcuckHTMpngfsOPtlu5NX+5Q71U8W/x2+VDCSxOSZToaLT7THrK622Yie8gm6xZ1yZctMENUpBCB8NqXLfxi8Q8T44L8gB1sdwUg+IYAZoTgs4yUTQ37GwKYMYIPMW66XcGMjvLAIpC/KJmmiSnCGTvCLb4hIGsexU3drwTgkoHzHP2VAHmcTgPjvPE1frTgREd9I0C6fiOA9fSoJ/yowelus2VKu2uTjmcOjEM+Bji3MVYr7ZO56fjuQDjeCMClUEQK+DrSmd1rA7u/fOEGDE6B8AYYUHdKsO7M+VTgtEl7BUAYFsk0Nk6eT/mhgrMn5RUA6foVANY79YQfMWVGZV0y7Y6iu9iUbATpVwCk47sD4HgFAJcAnFmJy2B97bRB3V8Gc4LV0d5kNxeXWXA1CZPzy0mSXoWTvPppkzBOr26iizQ7j6+XPNYV8l+e27vQzFWydZ2c0TBRPtNa2oFFWU+bQB6IghC6RuhC+xf3F9N6JX375mhUr7hXLwCo/6R++9yPasvrx41JdfFu803L3+dBHMSrL/20+mP9CoEPtbPVlK2HotlSeLbwlbEJ40AUoysWHBhDrJkFSWQMAyaOR6IcHu0CghTUbiUwFq51uiCJN7dAkap8GhsJH8sSEir/EGvOduXZHE6XO84bFAUnVD94uUQY1rksHfUeROicQzpHhrSUg146Bl4SZVbtOahlwDjZVaIzd2LeM0b4MQwYg33ADhbvlaKa8d26E/OZ1QOQaw8AM1rfHoBi/zDOYltl40IkdAh8xbsyAhT7R7bIj/iRK3rk+Ep36QYo9o9tgR/zA8cvc34lXW2kFfulDaBkA4j7Aor9U1vUp/yo8bJN3BVZmgOK/TNb0Ge8oOuL5TWfc491y6Nwhp9Ycw5Hy5p9rM4AZrj4jYnOP/9UP72rD1744PbHi+ej+pnd9/Wr9LUP4IvmHIjlOwx/oL9x+c780cpD8JkJsJq3Cj1vMSk9z1tFsF996DeMF1k1gwWB/kj0R159hJH+SPWHnt+iWH/o38b6+2L921j/tSTUH0p/6O9T+gtKfyHVX0j1F9LCNjdyE+Vhbqyyc6Szc6Szc6Szc6Szc6Szc6Szc6Szc6Szc6Szc6Szc6Szc6Szc6Szc6Szc6Szc6Szc6Szc6Szc6Szc6Szc2TLzhE/O4qeHVJNPdbJOdbJOdbJOdbJOdbJOdbJOdbJOdbJOdbJOdbJOdbJOdbJOdbJOdbJOdbJOdbJOdbJOdbJOdbJOdbJOdbJObYl55ifHLyUbDrHV0kqdZJKnaRSJ6nUSSp1kkqdpFInqdRJKnWSSp2kUiep1EkqdZJKnaRSJ6nUSSp1kkqdpFInqdRJKm1JKtlJktYRVWZOdWZOdWZOdWZOdWZOdWZOdWZOdWZOdWZOdWZOdWZOdWZOdWZOdWZOdWZOdWZOdWZOdWZOdWZOdWZOdWZObZk55WcGn+Y5WqVKzJlOzJlOzJlOzJlOzJlOzJlOzJlOzJlOzJlOzJlOzJlOzJlOzJlOzJlOzJlOzJlOzJlOzJlOzJlOzJlOzJktMWe8xLykhzw6JiN7J6hwvfM6TlPr8GLBMjWR3THJjRe0kKCi6DfN051Lx+SP9HlYiw/ag4Zu32xPE3pzVIml5/U7n+tHPW9/oI/AWvy2fhf0h9U3/MCsn57X7zxZKqh9/S3LV/J9uHpvyW/10VujL+n3lyx+V/26/Tf29UOkv1i8U/8d/Xjpc/1kqm4PvVVF/d7i7xdvNQFMv9z8Cxrm8+of1y9PqV/3t/jUlP6H7PR3ZYigrZMboiKFCIRXjcNyzH470oeS6VPP9CsYb99Yn4VWn0m1upS0sfYn9aVU6WrjhVQr79/VV8jyElhdTrbL50t3rop7V0rz4PH7evAXH+/rJ5b1c8lf6Nf0NJfRl1cHtn2o37uzfDPk91bR37l26ibl8ni2fQ2hf9CLl1zCOqy7vB/Vp7eFKtir/vcnVQUfLU/Yuv2hDq/OwKon+kH1b7+p/+FRFPxPy/Pe6lf5PG+Ogvv89m9q93J9GFw31S/qx6yf1yeXfWRZq0xNl9IB+1ICHUeEBqKO+sPpyHxbfpUdKGgiIvQH7d5bboyge2jD3h83OopTCMhfFOah9Rlgbozbc98W+nyuIlpZ4Qr3qVxsPFA40S24UW49k4sdLCiciA7cYn0mV+E4k4sdNSifNttsafqghT4Xx45xyMcAZQhjK6QxxhXrM7mKnjO52BSKSAFfRzqze21g93YS2AGD8yHcUgZqT6lrTwnWnjkfDZxBaTbcJLDUnaf8QMFplGDCLdbncNlv1hN+xJSplXXVNE36nnpTshGETbjF+hwud6055ROAcytxC0dfO21Q93ZWWMHqaC8CVYRBfj1J08vrSXKu0kmRpWpyWUTJdXIZXOQXq/vVuunyl+dDmnAdWxmvVAWKhonymbZnHFiULRoTyANREIIVC927+ed7a/FnenX8olqdvr58Kdftm837Z63v7Fq+Rdbxzq79URzY3hT1UDRlCk8Zvplx+73p4uNpZ2X/rPrlp9Pladp1O7BZxY++tFrXf3mkdxxu/9/1s8SGXZAXoz/RS579MB1H42A/CP+kot+P4khvRnxoW5YLJo/ggCMs361vDJNEETEAB+Zq9kiUxJ8FWJKiq2ccFOh2QRXSNLK9xVaSxZsJOJsWRrzHsniEaWeINW+78m1Okyocx4OJghPqH7xcQ8d0LotGvf8QtB77LzCepRx0rYmvz6/jq4sinKRFcjlJYn2eQ5xdTNTlRXQepnkSZNev+dfEFo/w6sIg5ALj86+JBUEIxQnVxL9aSrhW1GmVV0m0v9WNlUrofqk5E+yL2zcr6VcpuC/Xh4VVCk/LPVMKHoqmQOEpwDVutxdlwjoQxSJUX4L67GseCQKJaFDLivqRKIlHDSpIQZ0DgdFIsiKfKmUToYIwHkWo+VSYx7J4hDo/qAhtDpYqHCeFiYITyuAGItQ8pnNZNOoNiKD1idD+8SzloOtn0PZb0eLZ9WaTmbGTNu/SenK9xVbXGzNesG2LqkTjzukHlXB8o/qD79Y+pc9qR1tjXFvukOovV7/7YnVEwvPFJ7d/u/qKyUL0vDbTfbQ2Gz1fbsbWrqVPbv9mWp/eNQpd0pOZrwTL1yA2NWaIihQiEN7ivfpotvf1iN7+uEquaZTvbd1+tvh8sjJyvTRen+rT3W5/oof3veqXtcNKXxK1Y+yT259MojAYfan6fW1J1IP9rDaffThavLX46eLni79f/MPinWo18svq9++OTh+GYfZl10X04uWrxH01vaHfa7ncq1761EbV4uZ5/b31oXT15fXRyts2WV1e/2bUvpzxnxZvT8J8f/WLwjSqB+xRBTvkBNFve+UEN0Kw0U1R8XarGDNGsMe9qT5nRkfpZwP5U9lUmQKcsQPcok8s0T4xpT/SxrARu81iXEZQb9DNYlmYTQtjWfgaP1pQcFDdYvHaLWY9WOsJP2pQdgyxaNEw45kD45CPAaqBTdxi8fjuQDjcYlwKRaSAryOd2b02sE7Ax/yAwbkQXvkBFajUFajUFagEK9CczwfOpDTLWBhEaprZTGPcUMEJlWIai9emMes9e8KPmDLJsi6edlXtLjslG0HaNBaP7w6AwzTGJQDnWLJpLN5rg+oEe8YLVkd7kV9cqavr68n5xXU4SZLifJKnlxeT86ssv1Lq4urq5mrJY92zcGzicPctrKaxhIaJ8pl2NxxYlB0OE8gDUZCu/nCND3Pro7P+rV/Y2K5/G/fYbxbvLt6uPn9erWffcyxxTRl6KJohhWcI30kwYRyIYhA2iglLZ7tbSxBFqFOmTCSPREk8dsoEKagb9cBo5GlkXbILknhrk8XxNDHyPZblI5T7IZac7cKzOQ2wcBzvKApOKH/wagke1LksG/X+Q9j6GmX9A1rKQS/fDRHeZJdXN+kkvIyiSRheF5M8uM4mQaACleZ5WKiVSvMqRm1tNEXNBcbnX4wKghCqEypG323fCm5teWhBGsZBpWQqJbr4NNof3b6p+xyrN1aEwe0PnA00wYQoPCEba09BDELxJWhPa9tGkERIetpMWoIkHqWnIAV16gNGI42nkTKRzERJvEnPqJqnchPfY1k+QnEfVHqqRqkoh/SUBCdUP7b0tA7qXJaNev8hbH3Ss39ASzno5T5ofHEe5mEwicP0epKEYT4pguuLyeV1VFypyzwOstWge5Wexu3eSnqm1FxgfP6lpyAIoTqh0lMfXv65fiC2PoSmEpDPal2pXTP69bAf1Y8FLN5Z/Do14T4UxVU47sbCUhCDUFoJwrLvIQBBICF9GSgTyiNRFI8CU5CCOsEBw5EG0zgzDshMFMWbwgzTaWBcmz2W5SPU8EEVZtoIEsdJqKLghDLIVpjWQZ3LslFvQIStT2H2D2gpB908BaBea4Wjx6cAbBoyc9FmQZfW01MAyvoUADPebgnZ8CmAf9SbjvW7UD6qtx8/0O7sxpv9+WTxu0oJvlErwhf1C0c/qRTiX1e/Xp8IsGqPfzAKddNcG8A/MhE/ZBMnGPEgPn5miIoUIhBeNS7NINQvjF08H9XW998tfnv7Rv1uX/07/d7gD/QXlq9s+VGl339w+71KF/66fqnL8/ods5+sXoPzvdUrYg3e+5+MvvS//EmYqPo9Lcs95uni42rc35/uL9/z+rz6t6rvXL30tVojrE+GWL49Rp8g8d3q538w+v/9zf8e1j/pncWzL4++vD/6zp+EqnkfbP3O4v+99lG8XZsmfrP41eJ/6Evo//HSl/7b4qeLd/Wf2d4Zwxym7iwkaMxnRgjaCUnK2mrMZ8YI+gg3lczM6CieQSB/UZJMg9Ro6pmxY9yiNz/XtvyiMcVmbls+Fw8UAHRbvkoTuy2fGy2oAKi2/Gxty7ceF/iEHzWoA4ZYRmiY8cyBccjHACf3TWz52fjuQDhs+VwKRaSAryOd2b02sE7Ax/yAwZkQXosBxafUxacEi8+cjwZOoTRHfh5k09C48njKjxScSCmG/GxtyLferSf8iCmTK+uyaRe47oJTshGkDfnZ+O4AOAz5XAJwdiUb8rO9NqhOsGe8YGs5VoTn11EWT87TPJ4k11kxyfPrq0l8ERZxcXF9kzS3gXX7wLGfwt1CsBryncci3sdE+UwbDQ4symaDCeSBKAhhExPdhXhntRh99tLeQ2fD4fP1i1o/Na9uX37V6/qB9dXiWPv3v9DrVd3lMuXsoWjOFJ4zfJPAhHEgikHYxqUsoo0T61dFSaTaWEaUR6IoHttYghTUXXRgOOJsmgVGz8lMFMVbG0ulcTFNbW+zkiQkzAFDrEDbdWje9D1yx1pUEpxQAeHFE2FY57J01JsQoetrZfUPaSkHXWvUOE9VfpOpyWX9vfH15eQ8OU8m12F0c14ElxfV52v+Napxa7nSqAU1Fxiff40qCEKoT6hG/bvbv9XH7S2tUr+tuyTdltjs1SeT09Ht67WKrd+8+rk+43ElUuuXES3ftBroz8i8Mf9QNDEKT8zGQlQQg1CGcSGq34tlQvmqKIqIEjUu4x+JcniUoYIU1BkQGIuwEqHTJDW2LWaiMN6EaCVXUhPeY1k8QpUfVIUWjWQpHCpUEpxQ/tgq1Damc1k06g2IoPVJ0P7xLOWgtQZ1Scth3VOJie6VOHCd0lX9X5duy+4pdrxg1xTVhP7cU2ziBCMewD3FDlGRQgTCW+4QT0etyenZSzvCt99fPNPHV7+0HzwyvcT0S//f1/8kDMJJGLxki4r3R//3J38S7AdJOFr8vJKL9Z/+X8++PFoenrByQ5nfpar/BeKbVCfmF8288rB+l6qq/0kN83Ht0XrJLqZD+bA+3Ov9+kHiKiP7zUHb1ZJkpJTxjaimgT1gDyzYZcYVus1vxY4QbBbjwtvut2LH2BXWIn4rdnTd+XpTv1VgeasKO8Ctma3iINyvPiL9ES9NDxWEy3HFZwRFw6COK360oGqgOa6qcBrH1SrNpqif8KMGtcMQKw0NM545MA75GKAg4DuudOx3B8LquOJTKCIFfB3pzO61gXUCPuYHDM6F8HINqEClrkClrkAlWIHmfD5wJh3MdsWPFJxPcdvVuvI8ddyyJ/yIKXMs69pZrYT7qk7JRpC1Xa0rTjMAVtsVnwCcYom2K33ttEF1gj3jBVsr78voRuVFMclvLotJktwEk/Pr4KL67XkRRdfXmYpXI2Ldd3BsvHD3Hiy2q6pM0TBRPt8tLVEQwmYnun0xeEsrjMwtLdHEKDwx+BaCCeNAFIOwp4svmK0tLVEUjy0tUQ5vLS1RCuqOOjAWYRJbl+mCJN76Wfk0Skx4j2XxCCV+iFVmu9ZcHWy8+oUJ/FAWnFD74AUSOqZzWTTq3YeguftZyHiWctC1/ry8jK+vzqObSfWlbJKcp+kkT6KLyXV0nl+oICjOL1d606v+NFuq4tVrIwi5wPj8609BEEJxQvXnW5u/cr/uhJiS8VA0GQpPxsaaUxCDUHdxzWl95b4oiojmNBogHolyeNScghTUWQ8YizAybgTORDm8Kc4omMY2ySnJR6jqg0rOqJEo9mOpZcEJpY8tOa2DOpdlo959CFuf5uwf0FIOencfNU0s76uKV0+KEXKB8fnXnIIghOqEas5deNRUNGcKz9nG0lQQg1CfCdLU8qipKImIMrU+aiqK4lGcClJQp0dsOJRxsTATJfEmT11PmsoSEqaAQQVq3OgZ+2HEsuCEAsgWqK4nTWXpqPcgQtcnUfuHtJSD9mvzVya6SnQmTjrVpdu6zZ8Zb7do/B7Z/JnECUY8iM2fGaIihQiEtw2bf/h75vMPaUZ/5tCC5kaKUDe2ar7KjhC0J5IEuNXoz4wRNCZuqqyZ0VFMiED+YmPXZsYOb4s2f6Ud/qn+yBqTbeK2+XMZQdEwsM2fGy2oGqg2/2Rt87ce7fmEHzWoHYZYbGiY8cyBccjHSIgYDNNtMr47EA6bP5dCESng60hndq8NrBPwMT9gcCaEV2xABSp1BSp1BSrBCjTn84Hz6IA2f26k4GxKsfkna5u/9ZY94UdMmWFZ1067EnZXnZKNIG3zT8Z3B8Bh8+cSgFMs2eaf7LVBdYI94wW7sy0vy2r+lXh1xheMifL5b3kJghD2O9Hti91oeQnmTOE5w3cXTBgHohiEHV/KStrW8hIk8d3yEkTx2PISpKButwPDoaaZ2Xk5EyXZkZaXJCFhChhiFdquRVXTH7GfQy0LTiiA8AKKMKxzWTrqPYjQ9bW8+oe0lIPe3ScBlPVJgJSaC4zPv0QVBCHUJ1SiCj8JIJgMhSdjY+0piEEovQTtaX8SQBBFRHzangQQ5PCoPAUpqLMeMBZRZKzeM1EOb7rT9SSAJB+hqg+qOtNGotjPppYFJ5Q+tup0PQkgyUa9+xC2Ps3ZP6ClHHStOa+C6zA7D5JJfHkVTBKln1RNb/LJxXmWnl/mSfWxmiS8ak7j7kWlOV1naxlzgfH515yCIITqhGrOwd9+ElnffiKYGIUnZmP9KYhBKMK4/nS8/UQQRUR/2t5+IsjhUX8KUlBnQGAsImV0ysxEObzpzzCcms8qeCzLR6jwg+rPrJEr9uONZcEJpY+tP62DOpdlo959CFuf/uwf0FIOuvq/P3+peCbVf/7MpTOHtf0bdykqhZk7aOMs6tJ6sv3n5tMIHrDjBa17qEB8p9J3v9V6r1J/S733THvN66737XdXNnNt8H8xWry7eGvxs+VmZcfz/4vqK7/aH1U/7ReLd5Z/FmlLtgn9IRs9wdAH8f8zQ1SkEIHwVgP0gTYqTEeLf67G5tnKkr8arLdq38Ibt9+fLP7b7RvVUOphqcbhxeK3+nEObbt/v/o7WvR/cPvjpYW/fjhjetcvH6nXXvumKRsH7GyARkFc7Not88wIuzpW1DLPjBE0+W2qT5nRUQx9QP7SwNi2nLHj26Jnvtg/jMNAf4SNYzV3e+a5jOCMS/fM60ay+Xr+Gj9acMqleubztWfeeszmE37U4MQ7hG7XMOOZA+OQjwFOopt45vPx3YFweOa5FIpIAV9HOrN7bWCdgI/5AYNTIbz4ASpQqStQqStQCVagOZ8PnEhpnvkijKa5Ue8/5UcKTqcUz3y+9sxbb9kTfsSUKZZ17bTLSnfVKdkI0p75fHx3AByeeS4BOMWSPfP5XhtUJ9gzXrD1MiRUN9lVEk/i4jqcJHGaTs6Lq2ISXVzHV0kYXFa/W/JYF+2OXQzuwt3qmS9omCifaXnvwKIs8U0gD0RBCFuH6Nq/XkxW6/j1YvL2r/XT1ku/+9IObwJ9KAqqcFDCMrpnlWzCPBDFJOyIEtbHdjOSIIpIM8i40H8kyuGxGSRIQd2OBsYijAKbG0kQxFs3KIqnsa0bJMlHKOlDrCrbtWXRNA/sRzvLghNqH7wgggd1LstGvf0Qtr5uUP+AlnLQteBM8uCmuEzSSZKreJJk1V84v4yDSZwEV1l0fRMkWziLKbU54MOAmguMz7vglAQhVCdUcP5jayz6WD+D+ax2IX23Eps/XnmMKkGqu07fX3yuX/dTv43qg/odQvW31P4jNa7+fxwEgb2/JJkVhWcFV6cmjANRDEIFxtWn3YokiSKiPgOzkfGRKIk//SlJQZ0AgdEIc8t4zERJvAnQLJnGxqnqsSwfocQPKUDDYKVXQsfZv6LghPLHFqDWQZ3LslHvP4StR4ACA1rKQS8PA73Jg/TmKpjcRMHNJLlMi0l+VRSTy+vrJEjjm/MgWU0UXgWosWpVAjSk5gLj8y9ABUEI1QkVoL+oxOUb9eZm43XSv128WLmdXq8l6U+WanO0+NXip4t3F+8tfrn4dfW/t1fPaT6ZT1Q4WvzUlJCHoglReEI21p6CGITii2tP+86nJIqQ9tTt7fsoj0RRPIpPQQrq5AcMR2Ebj5koiTfxWfFFxv7jY1k+QnkfVHw2B0eGjoNARcEJ9Y8tPq2DOpdlo95/CFuf+Owf0FIO2u8r7zMTXSUnIwddkqRdum1737nxghY8VA1uw/vORU8w9CG879wQFSlEILxwkoxu/4t+qd/iX8ze9w+1f72S7Z+vXqqydrrr33YM7mGyv3K6R1anO5cdtPcR9KzN6c6NEDTo4TLV4XTnxgha8zbVn8zoKDY8IH/J6p1U91UlM77tOd3DWJvcE/2hVj7TMHI63dmM4Pw6rNOdHS04wRKd7mHUOt1D60mUT/hRg9PsEKpcw4xnDoxDPgY4ZW7gdK9ivzsQdqc7m0IRKeDrSGd2rw2sE/AxP2BwKoSXNkAFKnUFKnUFKsEKNOfzgRPpcE53dqTgdEpwureV56njlj3hR0yZYlnXTrtodFedko0g7HRvK04zAHanO5sAnGKpTvfq2mmD6gR7xgt2Z/s+mc3pvjoAAsZE+fz3fQRBCBuD6ErfQ99HMCEKTwi+uDZhHIhiEPY9Cetke99HEMV330cQxWPfR5CCuu8MDEcaTDPjeMxESXai7yPJRyjvQ6ww23VmczJu6DjsWBScUP/gxRE8qHNZNur9h7D19X36B7SUg95d13tmdb0n1FxgfP7FpyAIoTqh4tOX610wKwrPysYKVBCDUIFxBepwvQuiCCnQ2ETySJTEowAVpKBOgMBohJHljPuZKIk3AepyvUvyEUr8oAI0afSK4yhcUXBC+WMLUJfrXZKNev8hbH0CtH9ASzno5cFD6vqqCPJicnGt1CS5uM4rsXoRT4KbKE/Po6uLi3P1mn8BapxFKgGqqLnA+PwLUEEQQnVCBej993x0jTPNEUT1q+JrJ83y9/+oN0krYfpCvyv+ZWG6dNt8sfhc+55+uXhrUm+Y/nTx9uLvqs9/WLy3P4oD297cQ9EEKjyBG2tVQQxCsca1qmO3VBBFRKtatNEjURKPWlWQgjpXAqORBplVqwqSeNOqYTSNjO35x7J8hNlgUK3anKkYOo7JFAUnlD+2VrUO6lyWjXr/IWx9WrV/QEs5aL8meeP+d6U+Uydd1qXbukmeGW+3ZPw+muSZ6AmGPohJnhmiIoUIhEc3yWs9X+v6Hy11vMMmb0A/YKODxkCCmrV65JkRgtY+iki1e+SZMYKmvk3lJzM6ioEPyJ/dI8+Mb4se+Uzb4/PGnJq67fFcPHBmHdgez40WnFqp9vh0bY+3Hs/4hB81OMEOocc1zHjmwDjkY4CT5Sb2+HR8dyAc9nguhSJSwNeRzuxeG1gn4GN+wOAsCC9qgOJT6uJTgsVnzkcDp88BnfHcSMFJlOKMT9fOeOvdesKPmDKxsi6bdqXoLjglG0HaGZ+O7w6AwxnPJQBnV7IzPt1rg+oEe8YLdmd7Q7nVGZ/RMFE+/70hQRDCbiC6vN/B3pBgAhWeQHwFbsI4EMXoaggHBmE1be8NCaJ47g0JknjsDQlSUPemgdFw9YYESXaiNyTJR5gNhliLtivS5uzZ0HGYsCg4ofzByyh4UOeybNT7D2FzDugcGdBSDnp3n+LMrUZ617FMxlxgfP61qiAIoTqhWtXDU5yCCVF4QjbWnoIYhOI7iPYURBHRno6nOAVRPIpPQQrq5AcMh+spTkESb+LT9RSnJB+hvA8qPvNGqzjOxhUFJ9Q/tvh0PcUpyUa9/xC2PvHZP6ClHHT1f3++v5ya/8wlLoc1KBUmykpWFg7KOIu7lN4MSsb6+YAdL9g/RVXhMAYlvV2pn+SrFOXHekP09o3b71a/et7vVWJmIcGyMIhXiRmiIoUIhEf3Kjlf6KlWRqV09d989d/Q2GM4YOcBbNkS5K7VuMSMEOy84irWZVxixgj2XDeVp8zoKP1VJH8qKGLz/sGMHeP2zEtRsF99hPojakwEhdvBxGUEp166g0kFud3BxI0WnHupDqZi7WCyHun4hB81OAMPIdw1zHjmwDjkY4BT6CYOpmJ8dyAcDiYuhSJSwNeRzuxeG1gn4GN+wOB0CK9+gApU6gpU6gpUghVozucDJ1OajSmL1DQz6pKn/EjBKZViYyrWNibrLXvCj5gyzbKunXZd6a46JRtB2sZUjO8OgMPGxCUAp1iyjanYa4PqBHvGC1ZHexHm52laXE6UuigmyXl8MSkuri8neRJf31wXcXATXy55rKt3xzYGdwVvszFFAQ0T5TOt8x1YlLW+CeSBKAhh7xDdBNg9G5NkAhWeQHxxbsI4EMUgbKUS1tbWVpIkikgryfIo4yNREn+dJEmKrs5wUKBL+igL02yaGU0hM1EYb80kh5NJlI8wIQyxJm1WplFzbG3kOIdYFJxQAeHlFDyoc1k26i2IsPU0k4ABLeWgl06m8/P8Iq6+LUvjZJIEN8XkXF1WH0EUXl7H6iZrFvxe5arFyRS5j8Uz5ALj8y9XBUEI1QmVq85Xgq6MSn8SLz4dLV/+efuDSI3sLShJeIXDbyw1BTEIhRaXmvY3f0qiiEhN65s/JUk8Sk1BCuo8B4xGoqJsWtiUpiCLN6XpePenKB+hlg+qNJszaiPHocOi4IQCyFaajnd/irJR70CErU9p9g9oKQe9u575wvbuz9XLZCi5gPj8K01BEEJ1QpWmvGdeMiEKT8jG6lMQg1B8cfXp2OgURBFSnzbPvCSKR/kpSEGd/IDhiKI0nhbGveeZKIs3+elwzYvyEQr8oPIzatSK45xdUXBCBWTLT4drXpSNegcibH3ys39ASzlov6/zDI2evUpRxg68JMm7eNu2y3Pj7daM32+7PDcLCZaFIezy3BAVKUQgPLpdvufVnlTDPDcToEOQoHVthnluhKDHD5ewDsM8N0bQ3bepNmVGR3HyIflzGea5MW7RMJ9or3xzFH0UO73ybDxw4h3WK8+OFpx4iV75KG698pH1IMgn/KjB6XcIua5hxjMHxiEfA5w/N/DKV7HfHQi7V55NoYgU8HWkM7vXBtYJ+JgfMDgTwmseoPiUuviUYPGZ89HAKXQ4mzw7UnAiJdjk26Lz1HG3nvAjpkyurMumXUi6C07JRhC2ybfFphkAu02eTQDOrlSbfHXttEF1gj3jBbuz3aAwsPrkExonCui/HSQI0pUergECV/8e2kGCCVF4QvBVtgnjQBSDsBlKWCLb20GCKL7bQYIoHttBghTUzWhgONztIEGWnWgHSfIRCvwQ68t2ldkcXBs5TiIWBSdUQHhpBA/qXJaNegcibH3toP4BLeWgd/cxzUp/GncUK/2pqMnAAP3rT0EQQnlC9ecOPqcpmECFJ3BjvSqIQajWg+hVQRQRvWp/TlOQxKNcFaSgTpbAaPQ8pykI402vup7TlOQjTAiD6tXm8NrIcRqxKDihArL1qus5TUk26i2IsPXp1f4BLeWgPduXbDugqROv6OJt3b7EjLdbM37P7UvMLCRYFgaxLzFDVKQQgfB67UuVkn9epfp5vR/9Wf/7PrPGrtT4l8wvGzpgpwDs1hJErtW3xIwQbLpStKvdt8SMEWy3bqpKmdFRWqtA/uKiiMwnuM/YIW7RtqQPKY5y/VE09gH3ScVsRnDWHdi7xI0WnHWp3qX1ScWR46RidtTg3DuEVtcw45kD45CPAU6em3iX1icVRz0nFbMpFJECvo50ZvfawDoBH/MDBmdDeMEDVKBSV6BSV6ASrEBzPh84lw5oYOJGCs6oFAPT+rhi+y17wo+YMsuyrp12KemuOiUbQdrAtD6u2F1xTvkE4BRLNjDp44rN1eaMF2y9/AjVTXaVxJO4uK5WDnGaTs6Lq2ISXVzHV0kYXFa/W/JYF+6OnQv24t1qYMponCig/waSIAhhvxBd/99vIN1fRZpAH4qCKhwUXz+bMA5EMbozvgODsAa2N3oEUUQaPcbF/CNRDo9tHkEK6h4zMBZZkSfmvttMFMVbkyeKp7Fxf+uxLB+haA+xcGyXj80ptJHjWGFRcEL1g9c88KDOZdmoNyDC5hzQOTKgpRz07r6Ms9KUNlOS+5g7QzIwQP+aUhCEUJ5QTTnw2zgF4RUOv7HOFMQgVFpcZzreximIIqIz7W/jFCTxqDQFKagTHTAaYVhk08xYs2eiLN6kputtnJJ8hFo+qNRszpyNHIcIi4ITCiBbarrexinJRr0DEbY+qdk/oKUc9A4/fxlaX8dZkJMBAfqXmoIghPKESk0Pz18KJkThCdlYfgpiEKovLj8d25yCKELy0/r8pSCKR/0pSEGd/YDhUEU+zY3ttpkoijf56Xr8UpKPUN8HlZ9Fo1Ych+KKghMKIFt+uh6/lGSj3oAIW5/87B/QUg7as53dsncZu05VSlTQxdu2nZ0bL2ipQ/Xglu3s3CwkWBaGsLNzQ1SkEIHwOHb2nvdxwoZ2bhJACx9B5doM7dwIuwJW0tDOjRG0322oSrnRUax2QP5chnZuiNsztMfhfvXRnBgfB04vOxsPnHKH9bKzowWnXKKXPQ5aL3tsPX3xCT9qcOIdQqhrmPHMgXHIxwBnzg287FXsdwfC7mVnUygiBXwd6czutYF1Aj7mBwxOhPBqByg+pS4+JVh85nw0cAYdzsbOjhScRwk29rboPHXcrSf8iClzK+uyaZaQPQWnZCMI29jbYtMMgN3GziYAZ1eqjb26dtqgOsGe8YLd3T5QZLOxx64j6gycKKD3PpAkCGGfEF33y/eBJBOi8ITg62sTxoEoBmEblLBCtvaBJFE894EkUfz1gSQpqNvQwHC4+kCSKLvQBxLlI9T3IZaX7SKzOUM2dhwKLApOKIDwygge1LksG/UGRNh6+kDAgJZy0Dv8FGVkc7yvDGqEZGCA/uWnIAihPKHyk/8UpSSowkE3lpWCGISqOoisFEQRkZXGWvBIlMOjphSkoE5pwFi4nqKURPGmKR1PUYryEYr2oJqyORg2dpz0KwpOqH5sTel4ilKUjXoDImx9mrJ/QEs56Or//vzl21VrxT9ziceBzUaxibeSjbGDN85Ul9eT2ch23NEDdsBg0xOWffcsQs/WVqK7CvD2x4tP97uq8PNJpRufV3/jh/rV6/pbRtVPeVb/iA8Wn9dvZa/+6PXR4ovq188Xv61f4/jdxYv6n6g3NKvv+GhUfXzY2QDVf7y0Nuk/+eT2b6aj6q9/PoqC+lHLldHpg9sf6zfF19/z0fIbEv315xVQ/Up4U/ofstOfYOkfxObEDFGRQgTCe9nmtHihjU6Gi6Z53f4vFu8s7Wq/1WP6frWe0K/nr0f09g39lU/qsV8ObzVyn9ZXz09u/3b0tW+e/8ebm8nt9/W3LH5XX4Hhaqz1BWS6Ppq/8z19EED1N6u/03zf4rcda1W0clTZDFXMdIN9ZIKutxqqmBGC7WBcrrsMVcwYwUbwplKcGR2l6YvkL8hj87wwY4e4RUOVPtg4VvojbYwN7tON2YygtqC7qvIstruquNGC2oLqqlqfbhw7TjdmRw0KjCGWKBpmPHNgHPIxwIl6E1fV+nTjuOd0YzaFIlLA15HO7F4bWCfgY37A4GwIr/OAClTqClTqClSCFWjO5wPnUpq1KoySbKqv2PuhPuWHCk6pFG/V+oxj+z17wo+YMs2yLp52Ce0uOyUbQdpbtT7j2F1yTvkE4BxL9lbpM47N5eaMF2wtvmP9DH4RT/IguZokKj2fnAcX15P4IgqK5OIqzm5WF5V1f8KxY8Peo7B6qxIaJwpo2slwcFF2M0wgD0RBugLENUCb7HKg7S1BVIWj4st1wzraRHYgSkbY8yWsjO0dL0EUkY6X5TUcj0RJPPa8BCmoW+7IaCRBbnnD1kyUxVvTK59myoT3WBaPUMuHWFC2y8rm9NvYcZyxKDih/sFrIXRM57Jo1PsPQetrefWPZykHvTzNOL44D/MwmMRhej1JwjCfFMH1xeTyOiqu1GUeB9lqzP0qTeNecaU0FTUZGKB/pSkIQqhOqNJ8Rzed6me8P7n9Sf3q0Ns3b39Ydys+qF8eqrcnFu8s</t>
  </si>
  <si>
    <t>fm107T4UxVU4Lq42TRgHohiE0kqQlrpl9eF0ZH4twldFgWQEponjkSiHR3kpSEGd3pCxcPV7BFG8qcswnQbGieixLB+hgA8qL5vDamPH6cOi4IQayJaX1kGdy7JRb0CErU9f9g9oKQe9w0+Jxra3hcYpNRkYoH99KQhCKE+ovvTwlKhgQhSeEFyBOj1Ar732TRPmgSgmoToTFKp981MQRUSbOp4iFUTxKE8FKaizIzAcYRpNk9Q4IjNRFm/61PUYqSQfYQIYVJ+mjZxxnL0rCk6ogGx96nqMVJKNegcibH36tH9ASzlobfnfX8oyn07/xIRZKc/MiZl2Mf05/Y2LpQfsgLvF44/L6f/57fdGUbgy9A/i+GcOQ4INwyCOf2aIihQiEB7B8f8v9Yb2+x2vfbjfeZ2p0Vt7wCbuzi+CpntmhKBREBfNLtM9M0bQIbipGmZGR3EDAvmL8kRZW/zMELdous+1376oPpKgsbxmbtM9lxGc5umm+zBIM7vrnhsuOM9TXffZ2nVvPbzyCT9qcLIfYpWgYcYzB8YhHwOcLDdx3WfjuwPhcN1zKRSRAr6OdGb32sA6AR/zAwanQ3ipBZSgUpegUpegEixBcz4fOJkSXfcqSqarMxg6oT7lhwrOqRTXfbZ23Vvv2RN+xJR5lnXxtKtYd9kp2QjSrvtsfHcAHK57LgE4yZJd99leG1Qn2DNesLX6hnxTmse6V+DYNGHvF1hd965j/gycKKBpV8HBRdlZMIE8EAUhbFVutOOAuu4FURWOii+ZF/+w+Ltqsav9Xy/qzYh6m2Tx4vbN6k+/mEajySiO9u2nRB+IIhP2YwlrZntHShClqwUcKJTFtXFl+EiUxGNDSpCCuh0OjEYRJVk0jZQJZiYK460j5fDjS+IRqvwQS812wdmcxhs7jlcWBScUQHiVhI7pXBaNegMiaH39qP7xLOWgd9iPn1j9+AU1GRigfw0qCEKoTqgG3diPL4ircFxch5owDkQxCKWVoC37/PiCQDIK08TxSJTDo74UpKBOb8BYOFtBgije1KXLjy/JRyjgg8rL5rTd2HF8sig4oQay5aXLjy/JRr0BEbY+fdk/oKUcdK0v8zSPLrOrbHIRZ8EkSa9vJsVlcjGJizgoborz8/h6VV/96ktj2XqlEs7UZGCA3vWlJAihPKH68r4ff/Gzxd8v3lv8ZvH2ZPGW/k/1m59Wv3qvlpom6Iei0AqH3lRlSmIQKixBZVp3MCVRRPRlYNkveySK4k9iSlJQZzhgOLKwqtu2HUxJFn8aMwinqXHV/FgWkFDFhxSZSbDSJInjEGBRcEIJ5ItM66jOZeGo9yAC16MygREt5aC1zHSpx4Hd9MZSVOlG99lTYRdv6256bsCgwQ7VfX/sbnruMCTYMAzhpueGqEghAuER3PT6ffmfL9+U/2JU/fmL6qtfVJ8/vH2j47BPGmd981r7MG5+oZpfpKtfREHzi8aXHxmXkQfsnHWnJjk/PjdC0EKIC26HH58bY1dNy/jxudF1Z+gN/fhxHGbmIj9jh7g9P34SaSt+rD+SlRk2CZ1+fDYjKBQG9uOzwwWVAtGPn4StHz+xHq35hB81KBeGWGBomPHMgXHIxwCn2w38+FXsdwfC7sdnUygiBXwd6czutYF1Aj7mBwxOh/AqDShBpS5BpS5BJViC5nw+cDId0I/PDhWcUwl+/Lb0PHXcsyf8iCnzLOviade/7rJTshGE/fhtyWkGwO7HZxOAkyzVj19dO21QnWDPeMHW6ht6jl/zWHcbHNst7B0Hmx8/iWicKKD/XpUgCGGXE92zkH93lGRCFJ4QfGluwjgQxSBs4hJWy/Y+liCKUB/L9m4oSRSPfSxBCuoeOjAcSZFNVW5CmYmieGtjOV4NJcpHqO9DLDLbpWZzeHDiOA1aFJxQAOH1ETyoc1k26g2IsPU1sfoHtJSD3mErvrJZ8ZOYmgwM0L/8FAQhlCdUfm5qxZfEVTjuxuJSEINQWwnisseKLwkkIjEtVnxJDo/6UpCCOr0BY+HsAgmieNOXDiu+KB+hgA+qL+NGjjgO9RUFJ9RAtr50WPFF2ag3IMLWpy/7B7SUg97h141YniCq9GVCTQYG6F9fCoIQyhOqLzd53YgkqsJRcW25+etGJJEJNZigQ+2bnIIoMgrU9roRSRKPGlSQgjoFIqMRZHlg7DvPRFG8aVD7y0ZE8Qg1flAJ2hwWmTgO/xQFJ5Q/tgS1v2xEFI16+yFofQq0fzxLOWjPNn3j3lelKZUTL+ribd+mzwy4WzP+1aa/mU2fOQwJNgyD2PSZISpSiEB4i3eqPNYDuPjEadJ32fIj4w18wKbsTiWCxnpmhKAXkCKO7cZ6ZoygCXBT2cuMjmL4A/KXx+HUeBXO2BFu0Vefakt9pj/yxtSq3L56LiM4sw/tq+eGC07tVF+9WvvqrWdhPuFHDc7vQ6wHNMx45sA45GOA8+Mmvno1vjsQDl89l0IRKeDrSGd2rw2sE/AxP2BwNoQXVUAJKnUJKnUJKsESNOfzgXPpkL56bqjglErx1au1r956z57wI6ZMs6yLp12wustOyUaQ9tWr8d0BcPjquQTgJEv21au9NqhOsGe8YHe38ZRaffUpjRMF9N94EgQhbEputMmANp4EURWOSlglb954EkQm7LwSlsz2xpMgiufGkyCJx8aTIAV15xsYjSgLosxEMhMl2YW+kyQeocQPsc5sV5vNIb2J49RlUXBC9YOXSOiYzmXRqHcfgtbXd+ofz1IOeoed9anVWZ9Rk4EB+heggiCE6oQK0I2d9YK4CsfFRagJ40AUg1BaCcKyz1kvCCQjL00cj0Q5PIpLQQrq9AaMhasNJEjiTVy6jPWSfIT6Pai6zBo14ji3VxScUALZ6tJlrJdko95/CFufvOwf0FIOeoffG5JajfU5NRkYoH95KQhCKE+ovPTw3hDBhCg8IRsLUEEMQvUlCFD7zqYgioj0dLw3RBDFo/oUpKDOfsBwhFEyzRITykwUxZv8dL03RJKPUN8HlZ/NiY+J4wRPUXBCAWTLT9d7QyTZqDcgwtYnP/sHtJSD9uyqNzZZKkFZOPHiLt72XfXMgEHXHSoI/+hd9cxhSLBhGMRVzwxRkUIEwoNd9f9Sb1K/3/HTG+/cAzZedxIRtNMzI+yKY1E7PTNG0Pu3qeJlRtedTDe002d5MTVehTN2hNuz06tgv/oI9UfUeFkLt52eywhO6UPb6bnhgnM61U5frO301qMsn/CjBif2IVYCGmY8c2Ac8jHAiXETO30xvjsQDjs9l0IRKeDrSGd2rw2sE/AxP2BwNoSXU0AJKnUJKnUJKsESNOfzgXPpkHZ6bqjglEqx0xdrO731nj3hR0yZZlkXT7tSdZedko0gbacvxncHwGGn5xKAkyzZTl/stUF1gj3jBVvLRuhgPM1j3RdwbIyw9wZsdnrlOvnPwIkCem83SYIQtiPR3YVhjlSWhFY4NL5QNmEciGIQdlQJC2JrS0kSRailZDtSWRLFX0tJkqKrDhwU6EI8LLJpYjtSWZLFW0/JdaSyKCChig+xlGwWlKo5gFc5jlQWBSeUQHgVhI/qXBaOeg8icD1dJWBESznoHfbMW15yXKlM96FPhmRggP5VpiAIoT6hKnNTz7wkrsJxN9aXghiE4krQlz2eeUkgEZVp8cxLcniUmIIU1OkNGAtHr0eSxJ/AtHvmRfkI9XtQfRk2asRxtq4oOKEE8vWl3TMvyka9/xC2PnnZP6ClHPQOvxMks3nmVURNBgboX14KghDKEyovN3kniCSqwlFxabn5O0EkkQk1mCBD7ducgigyAtT2ThBJEo8SVJCCOgUCoxGpNFWWjeeZKIw3FWp/LYgoHqHKDypCmwMalePETVFwQgFki1D7a0FE0ag3IILWp0H7x7OUg67+78/3l9P4n7k05sAGeuNDEZW6jB2YcZZ1Mf0Z6I0X4wN2wN3a8a8GeqOBXn9jsh+svjUHrPTcAUmwAaFZ6Re/0kmtHemNlK0y8+bt31YMr9++WfNVZC9ncJV2PTyfLbM3NYH+KRtUkUARyF4L/mjxuxrnxfL6u/3B6Pb7Fdln9SX0vCKELPpc4O5sJWfR50YI2gopCtxq0efGCPoJN9XWzOgo3kEgf7lxgGfs8Lboz0+0NV/pj3RljlWx05/PZgQVA8OfH1YLGJs/nx0uKBmI/nwVt/58ZT3f8gk/alA3DLHe0DDjmQPjkI8BzrYb+POr2O8OhN2fz6ZQRAr4OtKZ3WsD6wR8zA8YnArhRRtQgkpdgkpdgkqwBM35fOBESvTnp6ndn88OFZxPCf78tvQ8ddyzJ/yIKXMs6+JpF8TuslOyEYT9+W3JaQbA7s9nE4CTLNWfX107bVCdYM94wdbKG9qC0DzWbQfH/gt768Hqz09onCigaYPCwUXZpDCBPBAF6QoQ1wBtsnmBtrYEURWOSlgtb97aEkQm7OwS1sv21pYgiufWliCJx9aWIAV1Zx0YjShNlQlkJgqyC20tSTxChR9imdkuNptTeZXjlGVRcELxg1dI6JjOZdGoNx+C1tfW6h/PUg56h537udW5r6jJwAD9609BEEJ1QvXnxs59QVyF4+Ia1IRxIIpBKK0EXdnn3BcEklGXJo5HohwetaUgBXV6A8bC2gISxPCmLF22fUk+QvEeVFqqRoo4ju4VBSfUP7a0dNn2JdmoNx/C1qct+we0lIPe4XeP5FbbfkpNBgboX1sKghDKE6otB3r3iCC0wqE3VpiCGIQKS1CY9p1LQRQRbel494ggikd5KUhBneGA4YgsjtKZKIg/gel68YgkIKGED6owm6MdleOoTlFwQv3jK0zXi0ck4ag3IALXJzH7R7SUg1658nX59OnKN5pcKvGYOTHzLqY/V77xMYIH7IC71eNfXfkmV371S/0HP1o8H+W1N7/flM8cjwQbjx0y5TNBFQkUgbSb8j+uro/vVr98cfvD2zdGi0+qa+t3euhG2mdRfXk5kBX939aX1q8Wb3X8+aFxCjhgw3enLkGDPjNC0FeIq3GXQZ8ZI2go3FRmM6OjmAeB/MXBNDEFOGMHuEWLfq7d+UX1kQaNPzZzW/S5jKB8YFj04zCyW/S54YL6gWrRz9YWfetJmU/4UYMiYojlh4YZzxwYh3wMcO7dxKKfje8OhMOiz6VQRAr4OtKZ3WsD6wR8zA8YnAzhNRxQgkpdgkpdgkqwBM35fOBUSrTo55nDos8NFZxRKRb9bG3Rt96zJ/yIKbMs6+JpV8fuslOyEaQt+tn47gA4LPpcAnCSJVv0s702qE6wZ7xga+0N2ak0j3UPwrEZw96HsFr0cxonCmjarXBwUXYsTCAPREEIe6Ab7WSgFn1BVIWjEtbOm1v0BZEJG72EFbO90SWIItLoslv0BUk89rkEKajb7MBoFLlxi3YmyuGtzeVw6EviEQr8EKvMdq3ZnPCrHEc2i4ITah+8QELHdC6LRr33ELS+Flf/eJZy0Ev5CZ3u7F9+2hz6BTkZEKB/+SkIQqhOqPy876LSv63U2QeVOvuubuYsmzXara87Fj9dvLt4b/HLxa+r/739H5ZNrCfziQpHi5+aEvJQNCEKTwguUk0YB6IYhOI7iPAURBERnsFU7zbeR3kkiuJReQpSUGc/YDiSqTL2KWeiIN6kZxFMI6O0fizLR6jug2rPotEqjuOCRcEJ5Y+tPa2DOpdlo95+CFuf+Owf0FIOeocfDy1sFv7UdcqVMRkYoHfxKQlCKE+o+Nz08VBJXIXjbiotJTEItZUgLXseD5UEEhGYlsdDJTn8qUtJCur0BoyF3YAkCeJNXToeEBXlI5TvIdVl2pwymTrODRUFJ1RAtrp0PCAqyka9/RC2HnUJDGgpB63d+zX5SlZp1ejRxh8ZfXiVgHSdYxXnQZfXl40/Mnf7H7ADBh14qAB02vgXH2pntHbH12rw08UL7Y//tLbtv7n6LdOfv3h38dbiZysLvjblR8O+Kp+b3gRLL82VbwrxT9khKlKIQHjhJBnd/pcq188W/7J4UYlKo7/+pWtBrxJWhvt3Fr9YvNPx0OevvfZNE/IBG7k7g8i56LkRgtY/giC2u+i5MYKev03FLjO67ky6qYs+t3S6ZuwIt2ejTyPtoI/1R7LysKah00bPZgSnb7qNPs9iq4ueHS04fRNd9GnYuuhT69mZT/hRg3P4EKsADTOeOTAO+RjgXLmBi76K/e5A2F30bApFpICvI53ZvTawTsDH/IDByRBeSgEVqNQVqNQVqAQr0JzPB06lRBd9lGRTfcXeD/UpP1RwRiW46NvS89Rxz57wI6bMsqyLp12lustOyUYQdtG3JacZALuLnk0AzrFUF3117bRBdYI94wWro70IVBEG+fUkTS+vJ8m5SidFlqrJZREl18llcJFf+LcxRYHNRZ9GNE4U0LRZ4OCibBiYQB6IghC2IjfZSOiuGVdupcU/1o7z71f/++v6ee36y9WffXZnYfnLxVuT2uv008Xbi7+rPv9h8d7+KA5stpqHoilTeMoIK+/AYbSXpCFsyRIW1Va/kySK13aUIIfHdpQgBXU/HBiLaiVvW8gLgnhrR2VTM95jWTzCFDDEOrRdjTYHAqeOA55FwQmlD15CoWM6l0Wj3nwIWl8zqn88Szno3fXZVwLVeAVUAjWmJgMD9C9QBUEI1QkVqPI+e8mEKDwhuPw0YRyIYhCK7yC6UxBFRHfaffaSKB6lpyAFdfYDhkPl09jyjKckiTft6TDai/IRyvug4jNuxIrj3F9RcEL9Y4tPh9FelI16/yFsfeqzf0BLOejdNdpX6jM2JaNSnwk1GRigf/UpCEIoT6j63NhoL4ircNyNtaUgBqG2ErRln9FeEEhEYdp2NgU5PMpLQQrq9AaMhcujJEjiTV66nPaSfIT6Pai8bE6FTB2nfIqCE0ogW166nPaSbNT7D2Hrk5f9A1rKQa/ek69VlU+Dva2vrpyYYRfTn8HeeDE+YAfcLR5/AAZ7xnvwOZZ7ZsITLOGDWO6ZISpSiEB4m1ju3198Uv3Jx7dvdGz36f7qFfbGO/iADQ/6DQma2mq+Z0bYFcqi5ntmjKBVcFMBzIyOYgsE8qfCuKrLNmnLjHGL9vtUO+8z/ZE35lfltt9zGcHJnW6/DwOX/54bLji7U/33au2/tx6C+YQfNTjFD7E20DDjmQPjkI8BTpyb+O/V+O5AOPz3XApFpICvI53ZvTawTsDH/IDB+RBeYAElqNQlqNQlqARL0JzPB86mRP+9qmaE3Li5+ZQfKjipUvz3au2/t96zJ/yIKRMt6+Jp167uslOyEaT992p8dwAc/nsuATjJkv33aq8NqhPsGS9YHS1mhdI81h0Cx1YJe5fA6r9PaZwooGkvwcFF2U8wgTwQBSFsUG6yz+Ddfy+YMoWnDF+Gb/42fElkwm4uYfFtN0sJonhtZQlyeGxlCVJQt9KRsYjyOFC2c58lYbx1sxxGfUk8wlwxxIK1XbY2ZwSnjlOfRcEJ5Q9ea6FjOpdFo96ACFpfL6t/PEs56B22SoVWo35GTgYE6F/JCoIQqhOqZDe2SgniKhwXV6EmjANRDEJpJSjLPquUIJBXfSnI4VFfClJQpzdgLNwdJUEWb/LSZZaS5CNU8EH1ZdboEccBv6LghCLI1pcus5QkG/UORNj6BGb/gJZy0Dv8JKjl0L5KYDqPnzIlAwP0LzAFQQjlCRWYHp4EFUyIwhOysQQVxCBUX4IEtW9uCqKIiE/Hk6CCKB71pyAFdfYDhsP1JKggiTf16XoSVJKPUN4HVZ/N8ZCp47hPUXBC/WOrT9eToJJs1PsPYetTn/0DWspBa/npUpUDW/RtG5aFAy9RSRdv+xZ9ZsCgfw/Vg39EFn1mwhMs4YNY9JkhKlKIQHibWPT/pd6ifr9j0Fcm4gM2cXcGEfTlMyPsCmNRXz4zRtBCuKnaZUZHsQsC+YvCIJ1meWIKcsYOcnvG/CzYrz5C/RE1rtjCbcznMoJT+tDGfG644JxONeYXa2O+9WjLJ/yowYl9iJWAhhnPHBiHfAxwutzEmF+M7w6Ew5jPpVBECvg60pndawPrBHzMDxicEOHlFFCCSl2CSl2CSrAEzfl84HQ6pDGfGyo4q1KM+cXamG+9Z0/4EVNmWtbF065U3WWnZCNIG/OL8d0BcBjzuQTgJEs25hd7bVCdYM94wdbKMc2jy+wqm1xURWCSpNc3k+IyuZjERRwUN8X5eXy9ug2s+wKOjRH23oDNmJ+5TgQ0cKKA3rtNkiCE7Uh0d+F+t2nxs8XfVwvD31RLwsVb+j+1x/6txXu1s8kE/VAUWuHQ+PLZhHEgikHYUSWsia0dJUkUoY5SpEwoj0RR/HWUJCm66sBBga7FVZRO08IovGaiLN56SmEQTlMj4GNZQEIVH2Ip2Swos+Zg3sxx0rIoOKEEwqsgfFTnsnDUexCB6+kqASNaykHvsGne0tKpVKbrmCljMjBA/ypTEIRQn1CVualpXhJX4bgb60tBDEJxJejLHtO8JJCIyrSY5iU5PEpMQQrq9AaMhbvdIwnjT2PaXfOifIQSPqjEDBtB4jjQVxScUAX5EtPumhdlo96CCFufwuwf0FIOeodfMBLZXPNZRE4GBOhfYQqCEMoTqjAR+4v0C0YkU6bwlOEqdfMXjEgiE2o5QdHad0wFUbxqWUEOj1pWkII6kQJjoaI0Laa27VJBFm9S1v5+EVE8wlQxqJJtDo7MHAeBioITqh9bydrfLyKKRr3/ELQ+Ids/nqUctH5X/n9+ScFZlepfXV9+5xvf+qYhESyhatsFjR2ccR51OW1OfHu0FPm5NuMbw33ADrd7mTmSC4rMf6qk0evLVvntjxfPR5VuerZ4Xzvdb3+80o1f1GpSP6j5A22vr7/9RevXNwFWujH+yoxNea9C2jE3K5ArT2ui7az6jdNZXn3k2uKax/pD/1leVB9FpD+U/qi+JQlC/ZHoj6z6CAP9EeuPVH9UfyOJIv1R/Y0k1l+N9a8S/atE/0rpXyn9q1T/KtU/Ki1sNZmbxoSeRtylpHN3pHN3pHN3pHN3pHN3pHN3pHN3pHN3pHN3pHN3pHN3pHN3pHN3pHN3pHN3pHN3pHN3pHN3pHN3pHN3pHN3pHN3pHN3pHN3pHN3pHN3pHN3pHN3ZMvdET93ip473B9Vpe5Yp+5Yp+5Yp+5Yp+5Yp+5Yp+5Yp+5Yp+5Yp+5Yp+5Yp+5Yp+5Yp+5Yp+5Yp+5Yp+5Yp+5Yp+5Yp+5Yp+5Yp+5Yp+5Yp+5Yp+5Yp+5Yp+5Yp+7YlrpjfurwIsWfCldW0ES7QPWLmqsUljqFpU5hqVNY6hSWOoWlTmGpU1jqFJY6haVOYalTWOoUljqFpU5hqVNY6hSWOoWlTmGpU1jqFJY6haVOYalTWOoUlrYUluwU3jMW9qSQdtee6ryd6ryd6ryd6ryd6ryd6ryd6ryd6ryd6ryd6ryd6ryd6ryd6ryd6ryd6ryd6ryd6ryd6ryd6ryd6ryd6ryd6ryd6ryd6ryd6ryd6ryd6ryd2vJ2ys8bLj6IjsYqbWc6bWc6bWc6bWc6bWc6bWc6bWc6bWc6bWc6bWc6bWc6bWc6bWc6bWc6bWc6bWc6bWc6bWc6bWc6bWc6bWc6bWc6bWc6bWc6bWc6bWc6bWc6bWe2tJ3x0vbSTowWQ94OPrLbJhMnxT3J6uWhykh/muJ9wI63K3I2fKby15VK+2z58FyrzZaq7vYHWsPpXbDni0+q/3202jN8Z/Hzxf9uYnrIZuoqDsHHFrkhKlKIQHjtE4fvLt6bhPqC0alt0v1C515r5+9Xyvm7d/dma8G9+F01Rm/UvoG6M63PGrr9m8Wz27+tPl/ob3h38dPFP9YbtvrNKP+bNrH+VJ9GtBTiy23htxe/GC3+W/1PaCfC974ySoPg9gf1RxgEru1OZh67i3m5hyG5EYJPbxB2J+0PQ3JjBB/b2HTnkRkd5RENIH9xFEwz40MBM3aIW3wUUq2ePsoS5wOQbDJw9uU8ABkG1gcg2eGC8y/xAcgsaR+AzKxnQj7hRw3OwpvtM7RbsMl45sA45GMkRAx8xdA8jVTFfncg7A9AsikUkQK+jnRm99rA7i91uQGDkyC8mw0UnhIsPHM+FThxEh97TBL7Y4/sUMH5k/DYY1twnjru1BN+xJQ5lXXJtP0Bd7Ep2QjCjz22haYZAPtjj2wCcGolbhLoa6cN6v7qnBOsjvY8TC4TdRlP4vNLNUmKMJjk6VU+idOr5Cq8ucgv4pslj3Xh/pfnw9qF6rcMmTCr5buiYaJ8piW+A4uyzDeBPBAFIbSA0fV/u+TUbvR6ab9c5kdZEPyvFcz/qkyYD0UxFY5JWG/v5OJ69KXbv663XOp3m1Z/rfqnn9W/1b8YVX/ywXTx6dRYyA5EB4HQdccX67c/uv2eCeWroihePUeCHB49R4IUVM8DMBbOHQJBFG+WoyRKpuZHUB/LAhJmnCHWuu2KVzUmFcd5vKLghPIHL9PumY6KzLahMpelo96DCJ1zSOfIkJZy0D5f/Gl3G6UOOt2u69BtvUXFjBfcHEMl6rAtKiZTgjEN0qJihqhIIQLhdVtUUbdF1SuT36++83d31fYz/aiB/suwhH6/fiT2C5eWdvSpmMkEt+hw6WvvUzEjBLfbCIrW0adixgjus22qVpnRUfbUgPwlscVEPGNHuMU2VdbsFqfuNhWXDJyBh25TccMF52Bqmypdt6msxz0+4UcNzsRDSHcNM545MA75GODku0mbKh3fHQhHm4pLoYgU8HWkM7vXBtYJ+JgfMDgHwusfoPCUYOGZ86nAeXPINhU3VHD6pLSp0nWbynqnnvAjpkyprEumXU66i03JRpBuU6XjuwPgaFNxCcCpldymSvfaoDrBnvGC3dk2ld1lmtEwUT7/bSpBEMKmIboHwG5TCWIqHJOw5t7dBfaGvSrBkegKFcdI4At2R69KEMVrr0qQw2OvSpCCuk8OjIVrl0CQZDdaVZKAhFlniPVuu+ptjtPNHOcji4ITqh+8VOuOahoX6TQ11pG5LB31FkTonEM6R4a0lIP226qKTXSVzs2ddGmXbuutKma84AYZKlOHbVUxmRKMaZBWFTNERQoRCK/bqop3s1WlnI9UMZMJbtPhytfeqmJGCG65EQSto1XFjBHca9tUrDKjo+yrIflTwTQwzuYzdohb7FUVzZZx7u5VccnAKXjoXhU3XHASpvaq8nWvynp27xN+1OBUPIR21zDjmQPjkI8Bzr6b9Kry8d2BcPSquBSKSAFfRzqze21gnYCP+QGDkyC8AAIKTwkWnjmfCpw4h+xVcUMF509Krypf96qsd+oJP2LKnMq6ZNr1pLvYlGwE6V5VPr47AI5eFZcAnFrJvap8rw2qE+wZL9id7VXF1l5VQcNE+fz3qgRBCLuG6CYAu1cliKlwTMKie3dX2Bv2qgRHgrBbi6/YHb0qQRSvvSpBDo+9KkEK6kY5MhaubQJBlN1oVkkCEqadIRa87bK3aDobjuPURcEJ5Q9eq9GaVZJ01HsQoetrVvUPaSkHXb/Peb8toVrtenwVYGKifSXOXQf96bcudmg9Na9ys1B/wI4X3DFDdeuvKoWk5dvHtTB7vdJXP1w9D3/37c7vLt5a/GzVvlp/t5ZoTctr9cUPRlH1R7UQfNNE/pBNnmDkQ7S4uCEqUohAeJXa/nzx2/o9BZ/sj8JJMrr9L8tW4+LFdLT4tVbCzfkuVe7rb/5s8fmk+s+LahSWsvv1Skx/vj7g5eXBq2Tz57VY1ycSvl599ZWj04NHr9QttcU/LH6z+GX137+vrpL/MaougE/037t9XS9wfvaV0dcOw/1R9Q2/W77pe/W2788XH+kLSv/69idfqS6G6nft31u+P/xFfWk1B6389/qF4ZWeP3nlyagIgrgW+z+r11I/XnxUfcedNp/5fjpgDxm4h4jLcmsjjRshuB9IUNv2Rho3RnAjcEMlzY2OsumH5C9Kk3waWTQyN8jttdLyUL+7Plpta+eBs5/GxgNVAb2flkS5tZ3GjhaUBcR2Wh607bTcemjxE37UoDgYYnWhYcYzB8YhHwOc6Tdop1Wx3x0IezuNTaGIFPB1pDO71wbWCfiYHzA4FcJLNKD4lLr4lGDxmfPRwDmU1lNLw3CaGL10T/mRgjMpoaXWFp2njrv1hB8xZXZlXTbNqren4JRsBOGWWltsmgGwt9TYBODsSm2pVddOG1Qn2DNesLVaLKKr4ia/mtzcnN9MksvrfJJnV9EkiqP0PL0skjxeTQHWPQXHJgt3X8HWUstDGibKZ9p9cGBRdiBMIA9EQQh7m+jWxFsvr1N1x+lD3f2pVqs/XK5ju0vX+be/9Z3ry++M/vT68lvfXh122q4pDQl5KJoQhScE3w4wL5FNcAeicIQNXcLC2Xo2qSSKSD8rMFvsH4mS+OtoSVJQd9OB0YizIpkmqXFIZqIw3npaURxME2UCfCwLSKj7Q6w627VnczJ7bj2Z/VAWnFAC4QUTPqpzWTjqTYjA9bS0gBEt5aBrWZre5EF6cxVMbqJAf29aTPKrophcXl8nQRrfnAfJarbwKkuN28mVLI2oucD4/MtSQRBCeUJl6S8qDfpG/cCX7rt8vDQbfbZ4sTr39HXdqrn9Sd1E+2hUO5t0L+WXi19X/3t7JUufzCcqHC1+akrIQ9GEKDwhuCw1YRyIYhCq7yACVBBFSIDq7cf7KI9EUTwqUEEK6uQHDEeYF9m0mnJMMDNRGG8KtAimkdF6/ViWj1DhBxWgzYnqufVE9UNZcEIJZAtQ66DOZdmotyDC1qc/+we0lIP2+/y/MtFVijJ20CUq69Jt3ULFjBfskqKCcBsWKiZ5gpEPYqFihqhIIQLh/TFZqI4elqNyFAZZMPl6Gpzc804ZBcgBe6zAhjFBgVu9U8wIwb4vLqxd3ilmjGDHd1PFzIyO0t0F8pcl0zgzRThjR7hF41SijVPNEYt57DZOcfFALTCwcYobLSgGqMapeG2cih3GKW7UoCQYYgWhYcYzB8YhHwOc3zcxTsXjuwPhME5xKRSRAr6OdGb32sA6AR/zAwbnQXgZBhSfUhefEiw+cz4aOIEOaJziRgpOoxTjVLw2Tlnv1hN+xJSplXXZtGtbd8Ep2QjSxql4fHcAHMYpLgE4u5KNU/FeG1Qn2DNesDvboVJW41RCw0T5/HeoBEG6ysM1PuCGhIcOlWBCFJ4QfBPAhHEgikHYniWsj+0dKkEU3x0qQRSPHSpBCur2ODAclSILVWpCmYmi7ER/SpKPUN+HWF22a8ykaWckjnWmJDihAMILI3hQ57Js1BsQYevrT/UPaCkHvbu2fcvboSv1qai5wPj8q09BEEJ1QtWnB9u+YEIUnhBcfXbaMiaqA1EqQi0eRIwKogiJUeOl9kiUxKMWFaSgToXAaETRNA5tT9cLonjTok63viQgodwPKkabY+Bz6zHwh7LghALIFqNOt74kHPUWROD61Gj/iJZy0H7dUsZVcaUvUydd3qXbuluKGW+3ZvweuqWY5AlGPohbihmiIoUIhPfH55YKlJbl96xSyjRQB+yBAlvEBPVttUoxIwQ7vbiodlmlmDGCPd5N5TIzOko/F8hfmk8j244sM8ItWqUybZXKG7eC65jvx3w8UAgMbJXiRgsqAapVKl1bpaxHZT/hRw3qgSHWDxpmPHNgHPIxwMl9E6tUOr47EA6rFJdCESng60hndq8NrBPwMT9gcB6EF2FA8Sl18SnB4jPno4ET6IBWKW6k4DRKsUqla6uU9W494UdMmVpZl027sHUXnJKNIG2VSsd3B8BhleISgLMr2SqV7rVBdYI94wW7s82q1GqVymiYKJ//ZpUgCGH3Et2N8NCsEkyIwhOC7wC8vCo2IR2IInX1gQOJsFa2d6oEUTx3qgRJPHaqBCmo2+TAaETBNDEfODYTRdmNTpUkIKHWD7HSbNebzSnwufUU+ENZcEIBhBdJ+KjOZeGotyAC5xzROTKipRz07rr2U6tvyn1QoiEXGJ9/KSoIQihPqBT14NoXTIjCE4JLURPGgSgGofoOIj8FUYTkp9W1L4jiUX8KUlAnP2A4wmAaxYUJZSaK4k1/ulz7knyE+j6o/MwbseI4pV4UnFAA2fLT5dqXZKPegAhbn/rsH9BSDtqvTyoz0VV6snDSFV26rfukmPGCfVFUDm7DJ8UkTzDyQXxSzBAVKUQgvD8+n1QcJMHkURzct0oZWzcH7LECW8QE/W21SjEjBDu9uKx2WaWYMYI93k31MjM6Sj8XyJ9+q5QyRThjR7g9q1QR7FcfYeNWKNxWKS4eqAUGtkpxowXFANUqVaytUtaDlJ/wowYlwRArCA0znjkwDvkY4Py+iVWqGN8dCIdVikuhiBTwdaQzu9cG1gn4mB8wOA/CyzCg+JS6+JRg8Znz0cAJdECrFDdScBqlWKWKtVXKeree8COmTK2sy6Zd27oLTslGkLZKFeO7A+CwSnEJwNmVbJUq9tqgOsGe8YLd2f5UZrNKFa5TBw2YKJ/3/pQkCGH/Et2QkO9PSSZE4QnBNwFMGAeiGITtWcL62NqfkkTx3J+SRPHXn5Kk6AoHBwW6Lq/fKmWUZDNRlF3oT4nyEer7EKvLZo1ZBKt2RuE49l0UnFAA4YURPKhzWTbqDYiw9fSngAEt5aB316if2dxRhesEQmMuMD7/6lMQhFCdUPUpb9SXTIjCE4Krz05bxkR1IEpFqMWDiFFBFCExarzUHomSeNSighTUqRAYDf1WqUCZUGaiKN60qMurLwpIKPeDitHmxODCcQa0KDihALLFqMurLwpHvQURuD412j+ipRy0X7eUcYFR6cvIRZcGXbptu6W48YKtUVQebsEtxSVPMPIh3FLcEBUpRCC8Pz63lAqiYHKSBQ/uuaWM3ZsD9liBXWKCALe5pbgRgs1eXFc73FLcGME276aKmRkdpaUL5C8KprlxjGfsCLfoloq1WypZGRaKyOmWYuOBWmBYtxQ7WlAMEN1SRdS6pQrrGclP+FGDkmCIJYSGGc8cGId8DHB+38AtVcV+dyDsbik2hSJSwNeRzuxeG1gn4GN+wOA8CK/DgOJT6uJTgsVnzkcDJ9Dh3FLsSMFplOCWaovOU8fdesKPmDK1si6bdm3rLjglG0HYLdUWm2YA7G4pNgE4u1LdUtW10wbVCfaMF+zO9qss6/NXqgpFw0T5/PerBEEIG5johoSHfpVgQhSeEHwToLMwNlEdiFIRtmsJy2V7v0oQxXO/SpDEY79KkIK6WQ6MRjqNktREMhMl2Y12lSQgodoPsdZsV5xx09xwnPwuCk6of/AyCR/VuSwc9Q5E4PraVf0jWspB7651P7eapxJqLjA+/2JUEIRQnlAx6sG6L5gQhScEF6MmjANRDEL1HUR9CqIIqU+rdV8QxaP8FKSgTn7AcFTlPDIuB2aiJN7kp8u5L8lHKO+Dqs/m+ODCcR60KDih/rHVp8u5L8lGvf8Qtj7x2T+gpRy0X6+U0TJRyUnlpAu7dFv3SjHj7ZaM30OvFJM8wcgH8UoxQ1SkEIHw/hi9UnEwOSkMXqnQuJA8YA8W2CQm6G+rWYoZIdjrxWW1yyzFjBHs8m6ql5nRUTq6SP6SaZaYIpyxI9yiWSrVZqms8Ssot1mKiweKgYHNUtxoQTVANUuptVnKekTyE37UoCYYYgmhYcYzB8YhHwOc4DcxS6nx3YFwmKW4FIpIAV9HOrN7bWCdgI/5AYPzILwOA4pPqYtPCRafOR8NnEAHNEtxIwWnUYpZSq3NUta79YQfMWVqZV027eLWXXBKNoK0WUqN7w6AwyzFJQBnV7JZSu21QXWCPeMFu7P9qcJqlkppmCif//6UIAhhAxPdkfDQnxJMiMITgu8CmDAORDEI+7OE9bG9PyWI4rs/JYjisT8lSEHdHweGoyrkobGMz0RJdqI/JclHKO9DLC7bJWbatDMch72LghPqH7wuggd1LstGvf8Qtr7+VP+AlnLQu+vUL6zmqIyaC4zPv/gUBCFUJ1R8enDqCyZE4QnBxWenLWOiOhClItTiQbSoIIqQFjVeao9ESTxKUUEK6lQIjEYyTSJjUZ+JkniTok6nviQgodoPqkWbI4MLxyHQouCE+sfWok6nviQc9Q5E4PrEaP+IlnLQfs1SobFBWulL5ymDadTF27pbihkv2BlF5eE23FJM8gQjH8QtxQxRkUIEwvvjc0sl9QO0RreUURQesAcL7BITFLjVLcWMEGz24sLa5ZZixgi2eTeVzMzoKC1dIH/61VLGq3DGjnCLbqli/zAJgsawkLvdUlw8UA0M7JbiRguqAapbKl+7pawHJT/hRw1qgiEWERpmPHNgHPIxwAl+E7dUPr47EA63FJdCESng60hndq8NrBPwMT9gcB6EV2JA8Sl18SnB4jPno4ET6IBuKW6k4DRKcUvla7eU9W494UdMmVpZl027unUXnJKNIO2Wysd3B8DhluISgLMr2S2V77VBdYI94wW7sw2rMLDapQoaJwrov2MlCELYw0S3JDx0rAQTovCE4NsAJowDUQzCFi1hgWxvUQmieG5RCZJ4bFEJUlA3yIHRSKdRUphIZqIku9GikgQklPchVpftGrNoGhqOA99FwQn1D14Y4aM6l4Wj3oEIXF+Lqn9ESzno3TXrV/LTbJhKAuexhKZkYIC+5acoCKE+ofJT3K0vmhCFJwSXn53OjInqQJSKUI0HUKOiKEJq1GLeF0XxJkdFKaiTITAc+uVSxvGYiZJ4k6N2874sH6HaD6hGK6aldln9wgR+KAtOqH9sNWo378uyUe8/hM0tRpEBLeWgPfulzLubSeA8ZzCNu3hb9kux4wV7o6g69O+XYpMnGPkAfil2iIoUIhDeH59fKrK/XSoxDdYBe7DAPjFBgFv8UuwIwXYvrqvtfil2jGCjd1PBzIyO0tQF8hdVM5F5X5Yd4db8UtXyV/ul4qVloYrf5Zfi44FqYFC/FD9aUA3Q/FJVOI1fapVmU9RP+FGDmmCINYSGGc8cGId8DHCC5/uldOx3B8Lql+JTKCIFfB3pzO61gXUCPuYHDM6D8EIMKD6lLj4lWHzmfDRwAh3ML8WPFJxGcb/Uuug8ddytJ/yIKVMr67JpV7fuglOyEWT9Uuti0wyA1S/FJwBnV6JfSl87bVCdYM94we5uwyq0+KWqEkXjRAH9N6wEQQhbmOiWhIeGlWBCFJ4QfBvAhHEgikHYoSUskO0dKkEU3x0qQRSPHSpBCuoOOTAc8TQKbAtzQZKd6FBJ8hHK+xCry3aNGTUNDfuR77LghPoHL4zgQZ3LslHvP4Str0PVP6ClHPQOu/VDq10qpiYDA/SvPgVBCOUJVZ/ibn3RhCg8Ibj67DRmTFQHolSEYjyIGBVEERKjxkvtkSiJRy0qSEGdC4HRSKeJ3ni8TzITJfGmRR3mfVlAQrUfVIzGjXaxnwQtC06of2wx6jDvy8JR70AErk+N9o9oKQft2S9l05eJEy/p4m3dL8WMt1s0fg/9UkzyBCMfxC/FDFGRQgTC+2PyS61WGeq+USo1jdIBe5TABjFBeluNUswIwT4vrqhdRilmjGCHd1OtzIyO0s0F8hclyTQ2VvIZO8QtOqWUdkqljVkhcTuluHigDhjYKcWNFtQBVKdUsnZKWQ9KfsKPGlQDQywfNMx45sA45GMkRAyGeSEZ3x0Ih1OKS6GIFPB1pDO71wbWCfiYHzA4EcJrMKD4lLr4lGDxmfPRwBl0QKcUN1JwHqU4pZK1U8p6t57wI6bMrazLpl3XugtOyUaQdkol47sD4HBKcQnA2ZXslEr22qA6wZ7xgt3dXlVkdUopGicK6L9XJQhC2L1ENyM89KoEE6LwhOAbAM2i2IRzIIpD2KQlrJTtTSpBFM9NKkESj00qQQrqFjkwGlk8jQrjgMxEUXajSyUJSKjzQywz28Wmanoa9oPfZcEJBRBeIeGjOpeFo96CCFxfl6p/REs56B127EdWz1RKTQYG6F+HCoIQ6hOqQz049gUTovCE4DrUhHEgikEov4PoT0EUIf1pdewLongUoIIU1NkPGI44naaJzSYliOJNgLos+5J8hPo+qP5MG7ViPxFaFpxQANn602XZl2Sj3oAIW5/87B/QUg7as0nKuBKuBGXmxFNdvK2bpJjxgm1RVA9uwyTFJE8w8kFMUswQFSlEILw/JpPU8tmFUAXR5Ov3jFKR0RRxwB4psD9MkN9WoxQzQrDNi6tql1GKGSPY4N1ULjOjozRzgfxlcTG17sMyQ9yiUSrXRqmi8SpkbqMUFw/UAgMbpbjRglqAapTK1kYp6yHJT/hRg4pgiBWEhhnPHBiHfAxwet/EKJWN7w6EwyjFpVBECvg60pndawPrBHzMDxicCOFlGFB8Sl18SrD4zPlo4Aw6oFGKGyk4j1KMUtnaKGW9W0/4EVPmVtZl065t3QWnZCNIG6Wy8d0BcBiluATg7Eo2SmV7bVCdYM94we5ugyq2GqXcRw3e40QB/TeoBEEIG5johoSHBpVgQhSeEHwTwIRxIIpB2J8lrJDtDSpBlK4IcKDgS2lHg0oQxWODSpCCuj8ODEcV1nR1gNf9lbkgyk40qCT5CPV9iOVlu8jMm36G/ax3WXBCAYRXRvCgzmXZqDcgwtbXoOof0FIOeod9+rHVH1VQk4EB+pefgiCE8oTKTw8+fcGEKDwhuPx8uS9jQjoQRSJU4kGkqCCKkBQ1XmePREk8KlFBCupECIxGFIXTIrNJUUEWb1LUadaXBCQU+0G1aNFIF/t50LLghArI1qJOs74kHPUeROD6xGj/iJZy0J7dUokJ75UkdJ8wmHbxtu2W4sYL9kZRdbgFtxSXPMHIh3BLcUNUpBCB8HbZLbV4e/GLfrtUiNul2lVGdSEtflZdU5/oLfGOccryHPgBe8zAdjFBitt8U9wIwa4vrrAdvilujGC/d0PtzI2O0tsF8qcSpaaxMsU4Y8e4PeNUGO5XH9HKuxAGTuMUGw+UBcMap9jRgrKAaJwKg9Y4FVpPS37CjxoUB0OsJjTMeObAOORjgDP9BsapKva7A2E3TrEpFJECvo50ZvfawDoBH/MDBmdCeEkGFJ9SF58SLD5zPho4hQ5nnGJHCk6kBONUW3SeOu7WE37ElMmVddk0y9yeglOyEYSNU22xaQbAbpxiE4CzK9U4VV07bVCdYM94we5u5yqxGadC95mD9zhRQO+dK0kQwmYmujch37mSTIjCE4LvB5iXyCa4A1E4wg4uYeFs7WFJovjtYUmS+OthSVJQ98+B0QhT/cC/+b1sM1GYnWhiiQIS6v4Qy8528RmuWh6h4zB4UXBCCYRXTPiozmXhqDchAtfTxAJGtJSD3mFDf2JzVK1OVyEkAwP0r0sFQQj1CdWl8oZ+yYQoPCG4LjVhHIhiEMrvIApUEEVIgdoM/ZIoHiWoIAV19gOGIw/zaWxehs5EWbwpUIejX5SPUOAHFaDNocKh45RoUXBCBWQLUIejX5SNegcibH36s39ASzlozyYqZcKrFGXsxMu6eFs3UTHjBfukqCDchomKSZ5g5IOYqJghKlKIQHh/VCaq5rzsNJh8PQ5O7runjFbuA/ZogU1jgga32qeYEYK9X1xau+xTzBjBru+mmpkZHaXDC+QvjafmQ2tm7Ai3aJ5KtHlKNf6F2G2e4uKBcmBg8xQ3WlAOUM1T8do8ZT06+Qk/alAUDLGI0DDjmQPjkI8BzvCbmKfi8d2BcJinuBSKSAFfRzqze21gnYCP+QGD8yC8EgOKT6mLTwkWnzkfDZxABzRPcSMFp1GKeSpem6esd+sJP2LK1Mq6bNrlrbvglGwEafNUPL47AA7zFJcAnF3J5ql4rw2qE+wZL9jdbVIpq3kqoXGigP6bVIIgXenhGiBwT8JDk0owIQpPCL4PYMI4EMUgbNESFsj2JpUgiu8mlSCKxyaVIAV1ixwYjmKaqNREMhMl2YkWlSQfobwPsbps15hJ09FwHAMvCk6of/DCCB7UuSwb9f5D2PpaVP0DWspB77B1X1ktUoqaDAzQv/oUBCGUJ1R9erDuCyZE4QnB1WenMWOiOhClIhTjQcSoIIqQGDVeao9ESTxqUUEK6lwIjEaYT4vQWNVnoijexKjTsS8JSCj3g6rR5kTh0HFGtCg4oQCy1ajTsS8JR70FEbg+Odo/oqUctGfHlHFdXAnM1ImXd/G27phixtstGr+HjikmeYKRD+KYYoaoSCEC4Uk4pj7QBqZ6HbA2ON2zUlGcU28tfj3scX3Q+6eMGvGAPXRg25ggyK32KWaEYPcX19ku+xQzRrDvu6mCZkZH6fEi+YvzaWws7zN2iFv0T2XaP5U3FobU7Z/i4oHiYGD/FDdaUBxQ/VPp2j9lPVX5CT9qUCIMsabQMOOZA+OQjwHO95v4p9Lx3YFw+Ke4FIpIAV9HOrN7bWCdgI/5AYMTIbwwA4pPqYtPCRafOR8NnEEH9E9xIwXnUYp/Kl37p6x36wk/Ysrcyrps2sWuu+CUbARp/1Q6vjsADv8UlwCcXcn+qXSvDaoT7Bkv2N3tYKVW/1RG40QB/XewBEEIW5roDoWHDpZgQhSeEHxXwIRxIIrRFQUODMIK2d6yEkTx3LISJPHYshKkoO6XA6ORVIqsMA7ITBRlN1pWkoCE+j7E8rJdZGZNg8NxPLwoOKEAwisjfFTnsnDUWxCBc47oHBnRUg56h/37qdVB5T7D0JAMDNC//hQEIdQnVH968O8LJkThCcH1J+nlp4JwhKI8iCoVRBFSpVZXvyCKR1kqSEGdE4HhiIJplmQmlJkoijdZ6rL1S/IRqv6gqrQ5ejh0nCUtCk4ogGxV6rL1S7JRb0CErU+U9g9oKQft2UdlLESVzCyceEUXb+s+Kma8YJMUVYnb8FExyROMfBAfFTNERQoRCK/HR6W/+kkl6z/9I/ZTKdMQHrCHEGwjE3S51U/FjLAruUX9VMwYwT7wpjqaGR2l54vkLwmmuc1PxQxxe36qKNivPsLG0lC4/VRcPFAkDOyn4kYLigSqn6pY+6ms5y4/4UcNSoUhlhYaZjxzYBzyMcB5fxM/VTG+OxAOPxWXQhEp4OtIZ3avDawT8DE/YHAihNdnQPEpdfEpweIz56OBM+iAfipupOA8SvFTFWs/lfVuPeFHTJlbWZdNu+h1F5ySjSDtpyrGdwfA4afiEoCzK9lPVey1QXWCPeMFu7v9rMzmp4rchxbe40QBvfezJEEIO5voToV8P0syIQpPCL47YMI4EMUgbNwSVsjWzpUkiufOlSSKv86VJEVXOTgo0JV5VJXzyLj9MhNF2YXOlSgfob4PsbxsFplRsGp0RI5T40XBCQUQXhnBgzqXZaPegAhbT+cKGNBSDnqH7fyZzU4VuQ8wNCQDA/QvPwVBCOUJlZ/ydn7JhCg8Ibj8pNipJOEINXkQUSqIIiRKjVfcI1ESj5pUkII6JQKjkVT13bxPOBNF8aZJXSZ/UUBC1R9UlDbnDkeOk6RFwQkFkC1KXSZ/UTjqLYjA9anS/hEt5aA9+6mMK41KZ0YuvCzo4m3bT8WNF2ySojJxC34qLnmCkQ/hp+KGqEghAuH9Xvmphj7ZD7NTjU1DeMAeQrCNTBDmNj8VN0KwG4zrbYefihsj2AfeVEkzo6P0fIH8xdVMaPH5ztgxbtFQFWtDVbLyNESR01DFxgNVwrCGKna0oEogGqqiqDVURdYzmJ/wowa1whCLCw0znjkwDvkY4MS/gaGqiv3uQNgNVWwKRaSAryOd2b02sE7Ax/yAwZkQXqEBxafUxacEi8+cjwZOocMZqtiRghMpwVDVFp2njrv1hB8xZXJlXTbtqtddcEo2grChqi02zQDYDVVsAnB2pRqqqmunDaoT7Bkv2N3taFlW7q9UJYrGiQL672gJghD2NtGtCg8dLcGEKDwh+PYAqaMlCEfY0CUsnO0dLUEUzx0tQRKPHS1BCup2OjAaYZgn00RZnoCShNmNnpYkIKHuD7HsbBefcdMBcZwwLwpOKIHwigkf1bksHPUmROD6elr9I1rKQe+w0T+3Oq0SajIwQP+6VBCEUJ9QXerB6C+YEIUnBNelJowDUQxC+R1EgQqiCClQq9FfEMWjBBWkoM5+wHCooqrlUWpimYmyeFOgLqe/JB+hwA8qQJuTiiPH0dOi4IQKyBagLqe/JBv1DkTY+vRn/4CWctDV//35S6VHy8o/c+nMgT1WxkdmK4WpHLhxbj8vAYuWohxf9lgVVo8VM95uDdnQY/WbxfuLTxYvbv+6FYiLL+pfann4g6VZRrtg1laqld1KO2R+V1t7tENG27Q+Gt3+qLb3fLCyW32sf0ilMD+tvuWH1a9fX37b/stf+XzxYWuw+Z7+57QO/aIO6Xurn7r47eLzUbAfabNK9XNvf3T7PVNKH7JTmmApHcS8xQxRkUIEwqvG8P7g1FvV6+Q/G33t4OSVw1dGh6+cvPLqq7N97av6vPryJ9WF8HF1yby4fbN+VdWz+k8+0gO1GuQvqu/9aXUFVVdH9Z1vLD75ykgFQfHaa99c/De9M750hX1lFAXB7Q/qj3S/0Nvkn1qcVaMv1Xvsz5dX4+LjUaS/ufpX/utL1+Cz0cPrb1//1Te+U12kB6O4WpwHyehhDfp88X71ubR0fT6poqzpb9/88vSuZcty9McBe+TATjVB+Fs9W8wIwYYzruddni1mjGCreVOhzoyO0lZG8hfkyTQzznMzdoxb9Gyl2rOlTxaMcv1RNAYK5XZvcUFB/UF3b0VxGk8L47h8jR8uKECo9i21tm9ZD4R+wo8alCFDLGM0zHjmwDjkY4BT/yb2LTW+OxAO+xaXQhEp4OtIZ3avDawT8DE/YHBShNeCQB0qdR0qdR0qdR0qwTo050OC8yrNyBXHWTYNjR3bp/xQwemV4uRSayeX9cY94UdMmXJZV1C71nbXnpKNIO3kUuO7A+BwcnEJwJmW7ORSe21QnWDPeMHqaC+jIo6i8GJyVcSXkySJkklerTwm1+FFUVxkYZpdryY1606GY2uHvZthdXKlNE4U0LTn4eCi7HuYQB6IghA2VNENkbvrycV/r1aOv6sXi9WaWC8r4/g/6GmjWliuFpGmlaXN6fRQNBsKzwa+UWDCOBDFIGwWE1bN9naZIIpQu8xcGx+JonhslwlSUDfrgeGIsqqYF8bOw0yUxVu7LAmmRWLieyzLR6juQ6wz29Vm2nRXHCfai4ITKiC8RIIHdS7LRr0DEba+dln/gJZy0Eu7VnKVZZfX8eQizPNJkqpoch5fX0yS4vwqvEjPr3J1+doWxKfNrpVRk4EB+hefgiCE8oSKz/t2rZUHy+zawp+oN2XnoWh2FJ6djcWoIAahFA8iRgVRhMSo1bsliOJRjApSUKdCYDjCNJpmZovETJTFmxhNi6myiVFJPkK1H1SMNmckR45Tr0XBCRWQLUatgzqXZaPegQhbnxjtH9BSDroWoxfFlTqvfswkOg+L6nvzm8mFOo8meZrkV1fh1VWkVgXWrxiNTcmoxKjrsEVjMjBA/2JUEIRQnlAx+s7KCNS8duuj5duRni8+WonS0eIfa9/W92v/mN4yrd/ypDXn8tu/WHyu37/0y8Vbk/q5gp8u3l78XfX5D4v3TBl6KJohhWdoY0EqiEEox4MIUkEUEUEamte0j0RJPOpRQQrqbAiMRqqCfJoZp/aZKIs3PRqm09j2LIEkH6HgD6pHm+ORI8d516LghALI1qPWQZ3LslHvQIStT4/2D2gpB13r0Sy4ia5UcjE5v1BqksQXSaVi42Byrm7ym1xdZ0GxFT1qLFuVHi2oycAA/etRQRBCeUL1qMmx/kLLzJeeIBh97frb5395PvrL82+f/6f/9I2VUH3JRl7/fmlF118weteX39RY0025eyiaO4XnbmOlKohBKNQEpWp1vwuSCAnVIDOhPBJF8ahUBSmo8yQyHGEaTDOzs2ImCuNNqhaa0Aj4WBaQMBkMqlWLRto4jlIWBSeUQLZWtY/qXBaOehMicH1itX9ESzlov4cJREbl8UoSO0/wysIu3rYfdOXG2y0a//qgays+uSlNsJQO8aArN0RFChEIbwsPukZ5CDzoqv9i9SM+qEN7pi3E1TXn7SlXo4o+YA9bd6KTe8qVGyH4NA5Jv9uecuXG2BXnMk+5cqPrzvcbPuVaJNPUYlTgRri9Z1zjcL/6iPSHPqEgbl4SHgfOZ1zZoKD0GPgZV3a4oPYgPuMaB+0zrrH1yNMn/KhBBTLEkkXDjGcOjEM+Bjjrb/CMaxX73YGwP+PKplBECvg60pndawPrBHzMDxicEuF1H1CHSl2HSl2HSl2HSrAOzfmQ4Kw64DOu7FDByZXwjGtbf546btwTfsSUCZd1BTXL6p7aU7IRhJ9xbetOMwD2Z1zZBOBMS33Gtbp22qA6wZ7xgtXRnqdRcB7EN5Ns+QbZMJyc39xcTxJ1Fd2cXweX6uZiyWPdxHDs4rA3MmzPuMbOYx/vc6KA3jtpkiCEzVN0L2SDTtq7eplaf/PSAlY+ClWSHa1+16xy6wWuKVUPRVOl8FThGwgmjANRDMKu8RALakESz40zSRR/jTNJCuqePTIcQVXszSffzkRZvPXNwiTIp0FiInwsS0io/UOsQtu1aHNmc+w4hVsUnFAC4QUUYVjnsnTUuxCh6+mcAUNaykHv7mMHlTg1zouVOI2oycAA/YtTQRBCgULF6RYeO5DMkMIztLEmFcQgFGSCJrU+diCJIiRKjWXkkSiJR00qSEGdDYHRUGk+DY0z+0wUxZ8ktT91IMpHqPeDCtKoUS+OM5xFwQn1jy9I7U8diLJRb0CErU+O9g9oKQe9u69kiSynMVZyNKYmAwP0L0cFQQjlCZWjnl/JIpkdhWdnYykqiEEoxYNIUUEUESlqfyWLJIpHLSpIQZ0KgeEIk6qq27SoIIo3Lep4I4soH6HYD6pFm8M/Y8dxrqLghALI1qKON7KIslFvQIStT4v2D2gpB72776autKjxCqi0aEJNBgboX4sKghDKE6pFhd9NLZkNhWdjY+0piEEovYNoT0EUIe1peze1JIpH7SlIQZ36gOGI4mmaxSaUmSiKN+3peDW1KB+huA+qPZuDP2PHSa6i4IQCyNaejldTi7JRb0CErU979g9oKQft+YFWmwtUOfGiLt7WH2hlxtutGf/6QOtaeTJTmmApHeSBVmaIihQiEN4WHmgN8wx7oPU3qyviX6of+oHfY1uNKueAPWzg0zsEkW/13zIjBB+9wbW764FWZozgMzebinJmdJTna4D8RXEwjVNTiDN2iFt8olWf2hrrU1tjfWpr3JyWGLtPbWWDgtpj6CdaueGC4oP6ROv61NbYcWorO2pQggyxZNEw45kD45CPAU77mzzRuj61Ne45tZVNoYgU8HWkM7vXBtYJ+JgfMDgnwus+oA6Vug6Vug6Vug6VYB2a8yHBaXXIJ1q5oYKzK+WJ1vWprfYb94QfMWXGZV1B7braXXtKNoL0E63rU1vddeeUTwDOtOQnWvWpreaac8YLdnc7Y6H1idaUxokC+u+MCYIQNk/RzRDpzphgNhSeDXyTwIRxIIpB2BgmLJrtnTFBFN+dMUEUj50xQQrqxjwwHCqbKuOacCZKshONMUk+Qm0fYpXZrjWbIz5jx5mtouCE+gcvkOBBncuyUe8/hK2vMdY/oKUc9A4/IGB50KySnq4zw4zJwAD9S09BEEJ5QqWn7wcEBLOj8OxsLEUFMQileBApKogiJEWtDwgIoniUooIU1KkQGI44mSqz13omiuJNi7oeEJDkIxT7QbVoc8Jn7DiyVRScUADZWtT1gIAkG/UGRNj6tGj/gJZy0Dv87pTQ+rBqTk0GBuhfiwqCEMoTqkW38e4UwQwpPEMb61FBDEI5HkSPCqKI6FH7u1MESTzKUUEK6myIjEacR9MwNbHMRFm86VHXy1Mk+QgFf1A92pzwGTuObBUFJxRAth51vTxFko16ByJsfXq0f0BLOehaj8bn5zfxzfn15DxJ0klynV9Ozi/im0l+Hl1epufBzU18/doW9GhiSkalRwtqMjBA/3pUEIRQnlA9usGLpv+h0qP/sn7R9NKDvtGRrZK5U3juNlaqghiEQk1QqlbnuyCJkFC1vnlaEMWjUhWkoM6TwHBESTpNcmVimYmy+FOqYRhNY+Ok9liWkDAZDKpVmwM+Y8eRraLghBLI16r2YZ3L0lHvQoSuT632D2kpB+35EVdLbz5xH+gSd/G2/YgrN95u1fjXR1xb9clNaYKldIhHXLkhKlKIQHjbeMQ1BM9s/a/VD9M/8DO/j7caJ4sD9pB1Zzm5x1u5EYLP4ZDEu+3xVm6MXWUu83grN7ruXL/p462hZXqbsSPc3tOtiT6vNdHntSb6vNakOScxcZ/XygYFZcfAT7eywwV1B/Hp1mR9XmviOK+VHTWoPoZYr2iY8cyBccjHAGf8DZ5uTdbntSY957WyKRSRAr6OdGb32sA6AR/zAwanRHjRB9ShUtehUtehUtehEqxDcz4kOKsO+HQrO1RwciU83Zqsz2u137gn/IgpEy7rCmqW1D21p2QjCD/dmqzPa3XXnVM+ATjTUp9uTfR5reaac8YLtl7cXcXBZRhfTW4usnCSBEkxKVR8PUmDPL+Mq99fhFdLHusGhmMHh72JYXu6NXGfD3aPEwX03kaTBCHsnKL7IBu00e4sV3sbaHoZjLTSJPOn8PzhOwomjANRDMI+8hCrbEESz600SRR/rTRJCuomPjAcVc3PAmVCmYmi+OukBXE6VUbCx7KEhPlgiJVpuz5tDvxMHGe4ioITKiC8qCIM61yWjnoTInQ9nTRgSEs56B1+DiGyPRObRNRkYID+BasgCKFAoYJ1C88hSGZI4RnaWJIKYhAKMkGSWp9DkEQR0qTGMvJIlMSjJBWkoM6GyGhE2TS2NZwEUfxJUvtjCKJ8hHo/qCBtjvxMHGe4ioIT6h9fkNofQxBlo96ACFufHO0f0FIOeodf0RLZHotNYmoyMED/clQQhFCeUDnq+RUtktlReHY2lqKCGIRSPIgUFUQRkaL2V7RIonjUooIU1KkQGI6quOfGmj4TJfEmRR1vaBHlI9T6QaVoc+Jn4jjCVRScUP/YUtTxhhZRNur9h7D1SdH+AS3loHf4RdWR7YnYJKEmAwP0L0UFQQjlCZWiwi+qlsyGwrOxsfQUxCCU3kGkpyCKkPS0vahaEsWj9BSkoE59wHCoaWxtzAuSeJOejhdVi/IRavug0rM58DNxnOAqCk6of2zp6XhRtSgb9f5D2PqkZ/+AlnLQnh9vjU14lZhUTryki7f1x1uZ8XZrxr8+3roWnsyUJlhKB3m8lRmiIoUIhLeNx1uDAnu89f9cXlCT+gjXT26/5/cpV2UauQP2yIGP9BBkvtV/y4wQfB4HV++up1yZMYIP4mwqy5nRUR66AfKnj/YyPk05Y0e4xadc9RmuiT7DNdFnuCbN2YmJ+wxXNiioPoZ+ypUbLig/qE+5rs9wTRxnuLKjBkXIEIsWDTOeOTAO+RjgxL/JU67rM1yTnjNc2RSKSAFfRzqze21gnYCP+QGDUyK88gPqUKnrUKnrUKnrUAnWoTkfEpxVh3zKlRsqOLlSnnJdn+Fqv3FP+BFTJlzWFdSurN21p2QjSD/luj7D1V13TvkE4ExLfspVn+FqrjlnvGB3tzUWW59yTWmcKKD/1pggCGH7FN0OkW6NCWZD4dnAtwlMGAeiGIStYcKa2d4aE0Tx3RoTRPHYGhOkoG7NA8OhplFh9FrPREl2ojUmyUeo7UOsMtu1ZnPkZ+I4w1UUnFD/4AUSPKhzWTbq/Yew9bXG+ge0lIPe4QcEYuvzqu5DxAzJwAD9S09BEEJ5QqWn7wcEBLOj8OxsLEUFMQileBApKogiJEWtDwgIoniUooIU1KkQGI6quGe2tpEgiTcp6npAQJKPUOsHlaLNiZ+J4whXUXBC/WNLUdcDApJs1PsPYeuTov0DWspB7/CrU2Lrs6o5NRkYoH8pKghCKE+oFN3Gq1MEM6TwDG0sRwUxCOV4EDkqiCIiR+2vThEk8ahGBSmosyEyGlE2DY0z+0wUxZscdb06RZKPUO8HlaPNgZ+J4wRXUXBC/WPLUderUyTZqDcgwtYnR/sHtJSD/s/LezWIoyKNJ2lwmUySKLmZ5EV2Ncnz6gvhZXp+UawG3a8cNZatSo4W1GRggP7lqCAIoTyhcnSDV0//ZvUd2kn+QS1NV++YDnL9C/5BrpIpVHgKcb06tJXf4tM3ZetANFuEaYEgi60me0ESIVVsfcm1IIpHWSxIQZ2VgeGIommaGbc7ZqIo/mRxqCrhb7zkHssSEmaeQYVxc7Zo4jguVhScUAH5wtg+rHNZOupNiND1SeP+IS3loD0/T2sRu8p9nozq4m37eVpuvN2q8a/P07Yal5vSBEvpEM/TckNUpBCB8LDnaR9++/o73zJr78NvffNbo8u/+NZ/vLqvt4NgUv1/NQnzyfKXURIH956ljevHaPVH+yTtz2phXu/If1j94s3FZ9U/16yEPD1Ra5wzDtgj153s5J6n5UYIPvlDkvC252m5MXb1uczztNzoulP+hs/TVjeGZRE0Y4e4vQdqlT42VuljY5U+NlY1xzUq97GxbFBQfgz8QC07XFB/EB+oVetjY5Xj2Fh21KAKGWLdomHGMwfGIR8DnPk3eKBWrY+NVT3HxrIpFJECvo50ZvfawDoBH/MDBudEePEH1KFS16FS16FS16ESrENzPiQ4rQ74QC07VHB2JTxQq9bHxtpv3BN+xJQZl3UFNUvrntpTshGEH6hV62Nj3XXnlE8AzrTUB2qVPjbWXHPOeMHqaLE+n+axbmQ4dnLYmxm2B2qV+0iye5wooPfenSQIYQcV3Q/ZgpVMMkMKzxC+d2DCOBDFIOwYExbSViuZJIpQ08xiJZMk8dczk6Sgbtcjo5FXC/jEOCIzURZ/TTO7l0yUj1Dwh1h6tgvQ5hBR5TgXVhScUADhVRM8qHNZNuodiLD1NMyAAS3loHf4KdvE9pStiqjJwAD961FBEEJ5QvWo56dsJbOj8OxsrEUFMQileBAtKogiokXtT9lKongUo4IU1KkQGI5ETYPQuMkwE0XxpkUdj9mK8hGK/aBatDlBVDmOhBUFJxRAthZ1PGYryka9ARG2Pi3aP6ClHPQOv2wwsT1mq2JqMjBA/1pUEIRQnlAtKvyyQclsKDwbG2tPQQxC6R1EewqiCGlP28sGJVE8ak9BCurUBwxHprWncUtpJoriTXs63jYoykco7oNqz+bIUOU4A1YUnFAA2drT8bZBUTbqDYiw9WnP/gEt5aBr7ZlcJeFNEEaT+FxdTZI4CSbnRX5Tfe/5ZVYUuTpvnDR+tafxCqi0Z0JNBgboX3sKghDKE6o9Ibv6/BvX3/n2uf7PN//TebNP+nq9R/q96ttelqCjxa9rNfv5y4/Zfq0IiiAMToIgCP/t6TyoH7nVu6WrZx9W+6v198ZBME6r/+XahW5K8UPRFCs8xbigxbK8Sw8FmBJ/IJp4wgxEkOBWT78giYgCtz++K4niUYELUlAFADAccaQHRJlYZqIs3iR4GBfZNE5NhI9lCQmz3KAivDk8VTlOwxUFJ5RAtgh3DOtclo56FyJ0fTK8f0hLOWjPz+8ai1ElrJUTL+3ibf35XWa83arxr8/vrvUyM6UJltJBnt9lhqhIIQLhYVIdeolOra+rP3+uLw395Vpf3xfwuX6q06jXuwfirn9iFVb7E309wGvccDxgDx34sNIQYp8ZIfikEUnEWx/gZcYIPmK0qTpnRkd5nAjJXxLl08goXmbsGLf4BK8+ElfpI3GVPhJXNUdRKveRuGxQUIAM/QQvN1xQgVCf4F0fiascR+KyowZ1yBArFw0znjkwDvkY4Ny/yRO86yNxVc+RuGwKRaSAryOd2b02sE7Ax/yAwUkRXv4BdajUdajUdajUdagE69CcDwnOq0M+wcsNFZxeKU/wro/Etd+4J/yIKVMu6wpqF9fu2lOyEaSf4F0fieuuO6d8AnCmJT/Bq4/ENdecM16wOlqsq6h5rFsZjr0c9naG9QnelMaJAvrvFAqCEPZQ0R0RaZeaYDYUng18p8CEcSCKQdgfJqya7S41QRSRHpnDpSaI4rFHJkhB3Z0HhiNW2TRIjSMyE2Xx1iNz2dQk+QjVfYh1ZrvabM5QVY5DcUXBCRUQXiLBgzqXZaPegQhbX3+sf0BLOegdflxXWR/XzajJwAD9i09BEEJ5QsWn78d1BbOj8OxsLEYFMQileBAxKogiJEatj+sKongUo4IU1KkQGI4oTKZRbGxRzERZvIlR1/O6knyEaj+oGG1OUVWOY3FFwQkVkC1GXc/rSrJR70CErU+M9g9oKQe9w+8yVNbndXNqMjBA/2JUEIRQnlAxuo13GQpmSOEZ2liQCmIQyvEgglQQRUSQ2t9lKEjiUY8KUlBnQ2A0cqWn9tTEMhNl8aZHXe8ylOQjFPxB9WhzjKpynIsrCk4ogGw96nqXoSQb9Q5E2Pr0aP+AlnLQtR7NgpvoSiUXk/MLpSZJfJFUKjYOJufqJr/J1XUWFFvRo4kpGZUeLajJwAD961FBEEJ5QvXoBufirp8BXZ6HGwTF8gvsA3Elc6fw3OFKtevlv++8H8Deb0jVgWiqCJMBQQ1bHfaCJEJi2Po4rSCKRzUsSEGdi5HhUNrYb1YWM1EYb3K4SIOp+YHhx7KAhAlnUD3cnJ2qHMfhioITSiBbD6dhtYozlve5LBz1JkTg+gRx/4iWctCen6Y1rsxfSVL3MTlZF2/bT9Ny4+0WjX99mrYVuNyUJlhKh3ialhuiIoUIhIc9TasH+YvaMPzb2pTx3dpavBwW6EnbX1c/+Ye337v98Wi5r65/xIvFv5jU+HFZje5rD+Mw0f8Nw0gVJ6O+V+V4esA2tKwTuMPZnQDlnrDlRgg+CUTS9bYnbLkxdkW7zBO23Oi6OmDDJ2yTSqSaApyxA9ze47WpPiA31QfkpvHqibbUfTYumxEUIwM/WcsOF1QjxCdr0/XZuKnjbFx21KAmGWIRo2HGMwfGIR8D1AEbPFmbrs/GTXvOxmVTKCIFfB3pzO61gXUCPuYHDE6G8EoQKEGlLkGlLkElWILmfD5wKh3woVp2qOCMSnioNl0fi2u/Z0/4EVNmWdbF06yxe8pOyUYQfqg2XR+L6y45p3wCcJKlPlSb6mNxzeXmjBesjhZr82ke646GY0uHvathe6g2dZ/Jdo8TBfTeupMEIeykohsjW7CSSWZI4RnCNxFMGAeiGISdY8Li2Wolk0QR6p5ZrGSSJP6aZ5IU1H17YDSixHK65EyUxFvnzGEkE+UjlPsh1pztyrM5QzV1HIorCk4of/ByCR7UuSwb9f5D2Hr6ZsCAlnLQO/yKl9T2lG0aUZOBAfpXo4IghPKEqlHhV7xIZkPh2dhYeQpiEErvIMpTEEVEedpf8SKJ4lF6ClJQpz5gOMJgGtpOQZBE8aY9HW94EeUjFPdBtWdzZmrqOARXFJxQANna0/GGF1E26g2IsPVpz/4BLeWgd/ggstT2UG0aU5OBAfrXnoIghPKEak/IKbRjB5FJpljhKcYFLZblHfdjmcbiQHQsCJMSQZVbzVSCJCKi3P4whSSKR1EuSEHVBMBwJPFUJUbL0EwUxZsodx5NJkpImPcGleXNcbKp43xgUXBCBWTLcufRZKJ01JsQoesT5v1DWspBe36Ywjg7VFI7ceLlXbytP0zBjLdbNf71YYq1gmamNMFSOsjDFMwQFSlEIDxMvA8t0CFJ7u8RCeOtecAeJNAVOoSqZ0YI+jpJat36iAQzRtDQuakMZ0ZHMW8i+QvSwtKFmLFj3OJTEko/IKFPIkv1SWRp3viUE/ejElxQUGoM/agEN1xQa1AflUjWj0pYj6Z9wo8aVBxDrFE0zHjmwDjkYyREDIZvORnfHQjHoxJcCkWkgK8jndm9NrBOwMf8gMFJEV7oAXWo1HWo1HWo1HWoBOvQnA8JzqtDPi/BDRWcXinPSyTr5yWsN+4JP2LK</t>
  </si>
  <si>
    <t>lMu6gtpltLv2lGwE6eclkvHdAXA8L8ElAGda8vMSyV4bVCfYM16wu9slzKzPSygaJwrov0soCELYLUX3PqAl8K51CQVTrPAU4xsNW9lCMOXuQDR3hD3tIdb/giS+u3qCKB67eoIU1IYCMhxhkkzrVyHdh5mJwuxIX0+SkDBTDbFmblfOqmkCOY7wFgUn1EB4uUcY1rksHfU2ROj6+nr9Q1rKQe/wwx6Z9WGPlJoMDNC/lBYEIRQoVEpLP+whmA2FZwNXvSaMA1EMQvElCFD7wx6CKCIK1PGwhyCKRwUqSEGd+oDhiNJqGjdvbs5EWbwJUNfTHpJ8hOo+qPxsjn9NHef5ioITKiBbfrqe9pBko96BCFuf+Owf0FIOeofP882sT3tk1GRggP7FpyAIoTyh4tPzeb6S2VF4djYWo4IYhFI8iBgVRBESo7bzfCVRPIpRQQrqVAgMR5gG0zi37YYKsngTo47zfEX5CNV+UDHaHP+aOs7zFQUnVEC2GHWc5yvKRr0DEbY+Mdo/oKUc9A6/hDGznZ+W5tRkYID+xaggCKE8oWJ0Gy9hFMyQwjO0sSAVxCCU40EEqSCKiCC1v4RRkMSjHhWkoM6GwGikSaimyoQyE0XxJkddb2GU5CPU+0HlaHP6a+o4zlcUnFD/2HLU9RZGSTbqDYiw9cnR/gEt5aCr//vz/aUK+zOX3Bz4wVvj2FZCs3BgxnnRxfT24K1xRnvAjrdbO/4IHrz9/PZ72IO3zJQmWEoHefCWGaIihQiEh7mOIdfsO3rtsDId14bZj29fv2+Y/dM/TYOo+n9dz2x677Hbl5zMa4dz/VtfD+QmpsE7YA9ed9YTfCCXGWFXzIs+kMuMsSvThR7IZUZHeToIyF82TZQpwBk7wO09jZsF+9WHPrgs0weXZe2pQYX7aVwuKKg/GE/jFnk8NV/WX+OHCwoQ6tO4xfppXOvRtk/4UYMyZIjli4YZzxwYh3wMcOrf5GncYnx3IBxP43IpFJECvo50ZvfawDoBH/MDBmdEeA0I1KFS16FS16FS16ESrENzPiQ4qdKexk2iNJwmsSnUp/xQwbmV8jRusX4a13rjnvAjpsy3rCuoXWO7a0/JRpB+GrcY3x0Ax9O4XAJwpiU/jVvstUF1gj3jBVsrNHV1mYY30SRRcfWRqGJykZxnk4vLi/g8vUhVUqymYutOhmNLh72bYXsaN3Od0mbgRAFNex4OLsq+hwnkgSgIYSMV3RAxrYtf6F2Il/YpRl+7/vb5X56P/vL82+f/6T99Y9VRq9aOLy9WX1rGLhtuegUcxEFwsj86qJMxevLVIBydffMb3/nGX1z/2yoJ3xr9P799/f8azR+Nln9lvTYOA/uzuJIJVniC/wD2Hkz5PRDNL2FDfIDtAUkSoX6gsTo+EiXx1w+UpOgKJAcFuilRzVWFMpHMREm8tQPzNJmGqQnwsSwgYRobYkHdLKuzYNU+yhxngouCE8ofvBa8t2sTxPk0MF63c1k66i2I0PV0BIEhLeWgd9igltse1c1ch9QZk4EB+tfZgiCEAoXq7C0Y1CQzpPAM4ULZhHEgikEoyAQ9ajWoSaIICVJjGXkkSuJRkApSUGdDYDSSZJqZQGaiIN70qMOeJspHqPaDytHmTNnMcUiwKDih+rHlqMOeJspGvf0Qtj4x2j+gpRz0Dr83Jrc9uptF1GRggP7FqCAIoTyhYlT4vTGS2VB4NjYWnoIYhNI7iPAURBERnvb3xkiieFSeghTUqQ8YjnCap8YaPhMl8SY9HW+NEeUj1PZBpWdzpGzmOCNYFJxQ/9jS0/HWGFE26v2HsPVJz/4BLeWgd/itMbntQd0spiYDA/QvPQVBCOUJlZ6e3xojmR2FZ2djKSqIQSjFg0hRQRQhKWp7a4wkikcpKkhBnQqB4ahKe2jcUJqJkniToo53xojyEWr9oFK0OUQ1c5yLKwpOqH9sKep4Z4woG/X+Q9j6pGj/gJZy0Poh3aUeXV3PVrH5V9eX3/nGt75pyARDa8YmzEpkJi7MIuhi2h7StcdK0Y/Nc7rGYB+wg+1eY47EghrxHf0IbO1+/HjxwhRspeuSr8zYEd+rdfaQNyt1qwfC1P6hCszPWxzyIRI6BG6r15Ef6ciPbJEf8SNX9MhxO30V+LEO/NgW+DE/cPxS51fT1cM7ar+0AZRsgHvPYPQA0K6XUx31qS3qU37UeOkmPnpRBX2mgz6zBX3GC7q+WF7zOf9YH6tQzvBDa87haFkzkO14dm64+I2JzkH/VPe9PludKvZ8VBv439cTkz4uq/ZimV8cof+4nb2qbzCBVvOX0vMXk9b3/KVPFs6K6iPXDzTn+rThPK8+Cv2Qc5Hoj8w2u3ERfcxu6f6R5jrSXEea60hzHWmuI811ZOM64nMpOhepnh1rrGONdayxjjXWscY61ljHGuvYhnXMx8JvwI1nRn2+bIVXarxS45Uar9R4pcYrbXglG0983kz3TzXTqWY61UynmulUM51qplMb0ymfCZ+QWLNqun+mkc400plGOtNIZxrpTCOd2ZDOeEiaaVU0NJmnVzTVnyaKaupNnRSxdWCwYJnz7jSxzr3MeLuT0YZvaKofcavnUr31r99+dPtG/bxc9d/GsPLyFPtMv6rpjWoKfqGfr9OGlU/rV+a8ufpt9d21geW32k29tLhUv1s2F5avW9KPOt7pSaxeymSa3Zetivrfvv2b6aj6qZ+P0n1lfZzuITut3QlQ8C1N3BAVKUQgPL3yXw7U4pP9UThJRrf/RV8Ii39ZvKiS/fPbH9cy7INVp6h+PFVrs7+uRvRT/bYu/U6tSq4ZLoR6pJbjVF8UL4/5p9Vvq/F8Q+u7evg/rOVdbcHX/8LHSx1Ynxv74vbNl16f9E+LtxfvTCJTWg/Yae1uSMq9P4kbIfiqB7zH4nh/EjdG8B0PmzZPmNF19dKG708Kw8xi1Z+xQ9ziG5QyveDIV+8ryVLne5PYeKAooL83KY0K62uT2NGCqoD42qQsbV+blFnPG3rCjxrUBputUttWUjqeOTAO+RjgXMxYiTavL6livzsQ9tcmsSkUkQK+jnRm99rA7i8quQGDEyHclQOKT6mLTwkWnzkfDZxBaS9Lyot8qoxPCD3lRwrOo4R3JbVF56njbj3hR0yZW1mXTdvqdBecko0g/K6kttg0A2B/VxKbAJxdiVsL+tppg7q/b8AJtlbccRLcFEU8yYPkapKo9HxyHlxcT+KLKCiSi6s4u1ldVNYthb88H9K7uPy0bSy4DlwxYKJ8ps0HBxZlA8IE8kAUhGBnQXcm/tmwFXF36enwIQqiKhwVX4qbMA5EMbqzvQODsPS1+xAFUUR8iBaXySNREo82REGKriJwUKAr7iwNo6nNhyiI4s2HmE9X2/D3V9ySeIS6PcSqsV07NiedZY6j60TBCeUPXvCgYzqXRaPefgiaczznyHiWctDLFwNdXF6f38TFRCXJ5aRaUt5MztNATZLwIr8KL86vYrW6l72KSuMuYSUqc2ouMD7/olIQhFCcUFF5/3kY84Mwy3cA/Wrx0/rdP79c/Lr639vNmzj/cfH24q3Fb6rP9/T3/B/Vb94dPZmrcLT4qSlLD0WzpPAsbaxHBTEIBXkQPSqIIqJHHc/FCKJ4FKSCFNQZERiOMFPT1CZIBVG8CdIisByG9ViWj1D0B1WkzWFnmeP0OlFwQgFkK1LroM5l2ag3IMLWJ0n7B7SUg9aa1CU1h7VE2URm4aDTbrEO3dYtUcx4wbYnqhH/4CxRzLQmWFoHsUQxQ1SkEIHwmJaoxYfaoVSN/NK/Dhii3q/f5f95fQno8f6s/lc+Xhqk7lmelCltB+y0gZ1egs62Wp6YEYINW1w+uyxPzBjBVu2mupgZHaUtC+QvC8LAanlihrg9y1OuD43Lw8Z14D4qjo0HTvoDW5640YKzPtXytD4pLnOcFMeOGpz7h1gqaJjxzIFxyMcA59pNLE/rk+KynpPi2BSKSAFfRzqze21gnYCP+QGDEyG83gKKT6mLTwkWnzkfDZxBB7Q8cSMF51GK5Wl9PJz9bj3hR0yZW1mXTbuIdRecko0gbXlaHw/nLjanfAJwdiVbnvTxcOZCc8YLttaKaR5dZlfZ5CLOgkmSXt9MisvkYhIXcVDcFOfn8fXqNrBuGTj2TLjbBjbLU+46wsOAifJ5705JghA2KtGdh/vdqcXPFn9frQV/s3h70rScFj+tfvVe/cZgE/RDUWiFQ+OLbhPGgSgGYa+VsAi2NpskUYSaTbb3AUui+Gs2SVJ0xYGDAl18h5mKpso4IjNRFm/dpjAIp6nRZ/xYFpBQxYdYQzYrybw5SSt3HI4mCk4ogfDyBx/VuSwc9R5E4Hr6TcCIlnLQSwtUoIowyK8naXp5PUnOVTopslRNLosouU4ug4v8YjVbeBWZlu5U7jqaw5gLjM+/yBQEIZQnVGSafPUv9y9012vtdLKckdYcqGs9I21/FAc2QfRQNGUKT9nGElUQg1CfB5GogigiEtW4dH0kyuFRnwpSUOdGYCxiFSjjeMxESbyp02xaGCexx7J4hOI/qDZtDtbKHSeliYITah9bm9rGdC6LRr37ELQ+Zdo/nqUcdP2K4P12Pkte8/qyqNhEW2nPyEEbF6pL68kZlZqPz3jAjhfsjqLScWmO+XDlffqgtUKZ3sv47uKtxc9WbqXXa8fTZytR+YvqK7/a18LxF4t3ln8W2d1LXPQEQx/CvcQNUZFCBMK751f652p0nq1OPv7AqPS1E+nZ4nftb2+/N41ql9I9D1K83/wqbX+VVcP3TVNSDthJAVuyBM1r8yZxIwQ7qwQpa/cmcWMEe6qbylRmdJT+KZC/PMpsJ/VyI9yiNSnW1qRk5Q7II6c1iY0HzroMa1JstyaxowWnXaI1KY9aa1JuPcfrCT9qcPIdQrprmPHMgXHIxwAn0g2sSVXsdwfCbk1iUygiBXwd6czutYF1Aj7mBwzOg/D6Byg+pS4+JVh85nw0cAKlWZMK/YIAY6/hKT9ScBolWJPaovPUcbee8COmTK2sy6ZdVboLTslGELYmtcWmGQC7NYlNAM6uVGtSde20QXWCPeMFq6O9VNdXRZAXk4trpSbJxXU+ya8u4klwE+XpeXR1cXGuljzWNbtjE4O7brdak2IaJspnWt07sCgrfBPIA1EQwsYhuvSvV5LVytK+kmx6Ru/rh5vqtaRwD0kwgQpPIL46N2EciGIQ9lEJ62l7D0kQRaaHNFUmkkeiJB67SIIU1H1sZDSiJLS7nARZvPWRKoka2UxOknyE+WCI1Wi7Jm3OJswdh02KghMKILyQggd1LstGvQMRtr5OUv+AlnLQy3eH3uRBenMVTG6i4GaSXKZF9b1FMbm8vk6CNL45DxL/HqfY6nFKqLnA+PyrVUEQQnVC1eoQr3l6Mp843ugkmRCFJ2Rj9SmIQSi+g6hPQRQR9Wl/o5Mkikf5KUhBnfyA4ajkZzUgxhGZibJ4k5+OVzqJ8hEK/KDyM2nUSuKQn5LghArIlp+OVzqJslHvQIStT372D2gpB+33lU6Jia4SlMpBpx896NBt3bjEjLdbMn4fjUtM9ARDH8S4xAxRkUIEwtuGccmQkQN2RsBuLUHnWl1LzAjBpisuX12uJWaMYLt1U13KjI7SWgXy53ItMSPcomtJH1qdZ41xQLldS1w8cMod2LXEjRacc6muJbV2LSmHa4kbNTjzDiHUNcx45sA45GOAs+gmriU1vjsQDtcSl0IRKeDrSGd2rw2sE/AxP2BwHoRXO0DxKXXxKcHiM+ejgRPogK4lbqTgNEpxLam1a8l6t57wI6ZMrazLpl1CugtOyUaQdi2p8d0BcLiWuATg7Ep2Lam9NqhOsGe8YHe2D2R5s3G1bE9pmCif/z6QIAhhmxBd93voAwkmROEJwZfaJowDUQzCLihhfWzvAwmi+O4DCaJ47AMJUlB3oYHhcPeBBFl2og8kyUco8EMsL9tFZtq0DRyHlYuCEyogvDKCB3Uuy0a9AxG2vj5Q/4CWctC7a5pPrDakjJoLjM+//BQEIVQnVH7uoGleMIEKT+DGclUQg1CsB5GrgigictVumhck8ahWBSmocyUyGk7TvCCLN7XqMs1L8hHmg0HVanOUbu44GlkUnFAA2WrVZZqXZKPegQhbn1rtH9BSDlq/fml/OTd7fO2SsR5VOjR3UMZF2qX05l4yxvuAHS/YQ0Vl5DDuJa0ZDYfZPe83MjGzkGBZGMTIxAxRkUIEwus5P+6+ranS98/1QXH1JvVnNGOTcbV3wE4G2LsliF6rh4kZIdiCpWhZu4eJGSPYfN1UpTKjozRakfyFmeX00Rk7xC2amIr9w6QIGh9B7jYxcfHAmZduYlJBbjcxcaMFp16qiSlfm5isx/M+4UcNTsBD6HYNM545MA75GOAMuomJKR/fHQiHiYlLoYgU8HWkM7vXBtYJ+JgfMDgRwosfoPiUuviUYPGZ89HAGZRmYsoiNc2Mzoen/EjBeZRiYsrXJibr3XrCj5gyt7Ium3ZF6S44JRtB2sSUj+8OgMPExCUAZ1eyiSnfa4PqBHvGC7ZefoTqJrtK4klcXFdrhThNJ+fFVTGJLq7jqyQMLqvfLXms63bHBgZ37W41MRU0TJTPtMJ3YFFW+SaQB6IghF1DdPl/v4t0f9FoAn0oCqpwUHz5bMI4EMUgbHYSFr72bo8giki3x7i4eyTK4bHXI0hB3WlGxiJOIvODljNRFG+tniiexoWJ77EsH6FoD7FkbBeORdMZcBwpLgpOqH7wagce1LksG/UGRNj6Wj39A1rKQe+uL17ZjEmF6zw8Yy4wPu+SUhKEUJ1QSSnvi5dMiMITsqn0lMQgFN8hpKckioj0tPviJVH8qU9JCurkBwxHmKlpatwBmYmieFOfDlu8KB+hvg+pPovmwNrCcQSxKDihALLVp8MWL8pGvQERth71CQxoKQft9/VIRu9YpSedp9jlYZdu2wYjbrxgfxOVg1s2GHGzkGBZGMJgxA1RkUIEwhvCYKSfK6ifL/hR8wdUixE3HWBnlSB3bRYjboRggxRXsQ6LETdGsDW6qTxlRkdpgyL5c1iMuCFuz2JURNpiFK+6/EXotBix8cC5d1iLETtacPIlWoyKsLUYFdZzb5/wowan4CEUu4YZzxwYh3wMcA7dwGJUxX53IOwWIzaFIlLA15HO7F4bWCfgY37A4EQIL3uA4lPq4lOCxWfORwNn0OEsRuxIwXmUYDFqi85Tx916wo+YMreyLpt2LekuOCUbQdhi1BabZgDsFiM2ATi7Ui1G1bXTBtUJ9owX7M72g1KbxaiIaJgon/9+kCAIYb8Q3QDw0A8STIjCE4IvtE0YB6IYhO1QwgLZ3g8SRPHdDxJE8dgPEqSgbkcDw+HsBwmi7EQ/SJKPUN+HWF22a8yoaR84ThEXBScUQHhhBA/qXJaNegMibH39oP4BLeWgd9fgnlrdSDE1Fxiff/UpCEKoTqj65BvcJUEVDrqxqhTEIBTVQVSlIIqIqjTWgkeiHB4lpSAFdUZDxsJhcJdE8SYpHQZ3UT5C0R5UUjbnxRaOA4BFwQnVjy0pHQZ3UTbqDYiw9UnK/gEt5aBX7zLSY+rxXUaZibISi4mDMi6yLqU3q5HRGvWAHW+3dGzHaqS/pf4bn9R/Y1PDETMXCZaLQQxHzBAVKUQgPLLhiH9QmzKl4oCdCrDHSlC9VrMRM0KwVYqLWZfZiBkj2CTdVKgyo6M0RIH8ZUEYWM1GzBC3aDZS2myUNv3+xG024uKBsy/DbJSkdrMRN1pw+qWajZK12ch6Nu0TftTgJDyEdtcw45kD45CPkRAxGP3/ZHx3IBxmIy6FIlLA15HO7F4bWCfgY37A4EQIL4CA4lPq4lOCxWfORwNnUKLZKA8shecpP1JwHqWYjZK12ch6t57wI6bMrazLpl1VugtOyUaQNhsl47sD4DAbcQnA2ZVsNkr22qA6wZ7xgq3XipFKLpKL68n5pYonyXlUTM6vonhSZNVKPlMXl1FyseSxrt0dmxjc9bvVbKRomCifaZXvwKKs9E0gD0RBCDuH6BbANk/FGH3pwezQeI8+FE2jwtOIL81NGAeiGITtVMKy2t5MEkQRaSaFU6O34JEoicd2kiAFdTcbGY0oDfNpbNwQnYnCeGsoOQ7HEOUjTAtDLErbpalq+g+OM8NFwQkVEF5PwYM6l2Wj3oIIW19DqX9ASznoWrReXFxen9/ExUQlyeUkyfKbyXkaqEkSXuRX4cX5VaxWd7NX0WrchaxEa0rNBcbnX7QKghCqEypah3DIV/r17cVbi99Un+/p7/k/qt+8O3oyd9nmBbOk8CxtrEkFMQgVeRBNKogiokkdtnlBFI+iVJCCOiMCwxEGKpyq2MQyE2XxpkldvnlJPkLVH1STNqfRFo7jhUXBCRWQrUldvnlJNuodiLD1adL+AS3loP2+R8k4pJXKzBx0SR516bZubmLGC/ZVUZG4G+YmZi4SLBeDmJuYISpSiEB4m5ubCO9SUqZkHLCTAXZ1CZrXam9iRgg2Z3Ep67I3MWME27KbalRmdJQWLJA/p72JGeIW7U25tjcVjcMgc9ubuHjg/DuwvYkbLTgBU+1N2dreZD3E9gk/anAaHkK1a5jxzIFxyMcAZ9BN7E3Z+O5AOOxNXApFpICvI53ZvTawTsDH/IDBiRBe+gDFp9TFpwSLz5yPBs6gA9qbuJGC8yjF3pSt7U3Wu/WEHzFlbmVdNu160l1wSjaCtL0pG98dAIe9iUsAzq5ke1O21wbVCfaMF+zOdopyq73JdSqdARPl898pEgQh7BmimwDb6hQJZknhWcLX3iaMA1EMwj4pYdVs7xQJovjuFAmieOwUCVJQ96mB4XB3igRZdqJTJMlHqPpDrDnblWfeNBYch4WLghMqILxcggd1LstGvQMRtr5OUf+AlnLQu2u5z63upYKaC4zPvyYVBCFUJ1ST7qzlXjCNCk/jxqJVEINQsgcRrYIoIqLVbrkXJPGoWQUpqDMmMhpuy70gjDfR6rLcS/IRpoVBRWtzpm3hOKRYFJxQAdmi1WW5l2Sj3oIIW59o7R/QUg5av8PpP78k16yq9K+uL7/zjW9905AIlig1C1K16oOYOeNK1nc4bUYne7QUrbn2OhnDfcAOt3uZOZILKsp/qtTg68s9ztsfL56PKmn4rBKPn99+7/bHK1loMT69bHaqvsEE+rAC/cqMTXuvVNpxN6uUtQ9BBeF+9ZHoj6z6CAP9EeuPVH8U1UcU6Q+lP/LqIw7NdZRPnNCJ8YaQxjzSmEca80hjHmnMI415pDGPNOaRxjzSmEca88iGecTHVHRMvGtUUR5rymNNeawpjzXlsaY81pTHmvJYUx5rymNNeWyjPOZT4ncrf06ou9iattS0paYtNW2paUtNW2raUtOWmrbUtKWNtmTT3mti9tDSLttTjXiqEU814qlGPNWIpxrxVCOeasRTjXiqEU9tiKd8RHxuIzY6K8IzTXimCc804ZkmPNOEZ5rwTBOeacIzTXimCc9shGc8wpf2LPS06O3VjJGl81klxEGRBIF1nLBgmTO6Y1ZnxgvaptAp/Ve11/Xzxcd6Ltc7Q7c/rLuU3cn9Zefy+rsbr/PLc/vqmz4YRaPqOz6pvmh+jzc7A91pT86zzA5RkUIEwmtdxe8s3puE09Hi1/XWXvu2xQ9qS3MluCbVfyqRVg3Ksu/8ovpCu3H3aTUYf3v7N/o3lTCr/uDlcXzl6PTg0SujekfvHxa/Wfyy+u/fV9fH/9gfVWOvtwdfv31dB/Czr4y+dhhWf/rLxe+WGm+l8z5ffKQvAf3r2598pRr/2kW9+ntL5fiivqr07qLxojhgZxz0gxF2yyzGaHaEoK2LsglmM0azYwQNXZttb7Gjo5i3gPwl2TQzbiPO2BFuzRetAr3YCFbHPGp14PBF8/HAmZ3ui07SxOaL5kcLTu00X3QVTuOLXqXZFPUTftTgBL/ZIna10VdFOZ45MA75GOAszViZrqyKOva7A2H1RfMpFJECvo50ZvfawO4vI7kBg/MgvGcKFJ9SF58SLD5zPho4gdJ80WkaTXPjJvBTfqTgNIr7otdF56njbj3hR0yZWlmXzWojuq/glGwEWV/0utg0A2D1RfMJwNmVuF2gr502qPuLf06wtVQsoqviJr+a3Nyc6xPBrvNJnl1FkyiO0vP0skjyeDUFWPcF/vJ8WA9KpP9rwnylqlA0TJTPtIPgwKLsIphAHoiCEJqN6PbCWy9vFHy2eF4/J/3dahH6Q/OKdP7tb33n+vI7oz+9vvzWt1f2lJNXnoyKIDB6Ih+KJkThCcGX8iaMA1EMQi+VsD62uUlEUUTcJMHUeG09EiXx5iYRpaC2soHRCJNprH/8fZSZKIo3L0kUB9NEmQAfywIS6vsQq8t2jbk6knT1CxP4oSw4oQDCCyN8VOeycNRbEIFzu0mQES3loGv5iR1I611+GveMK/kZU3OB8fmXn4IghPKEys8hHst7Mp/Yn8ATTYjCE7Kx/BTEIFTfQeSnIIqQ/LQ8gSeK4lF/ClJQJz9gOLJpmBofIp+JkniTn/bn72T5COV9UPUZN1rFfhytLDih/rHVp/35O1k26v2HsPWJz/4BLeWgfb6pMbLKycRFl8dduq17nZjxdkvG77HXiZmBBMvAIF4nZoiKFCIQXsfrFP0hu52YOQe7vAQ5bXU7MSMEm7W4Sna5nZgxgm3aTeUvMzpKSxbIXxZVwtbYHZuxQ9yi3Uk/VhGkjePAecotHw+c3Ae2O3GjBWd3qt0pWdud7Kfc8qMG5/ghlgQaZjxzYBzyMRIiBsOBkIzvDoTD7sSlUEQK+DrSmd1rA+sEfMwPGJwI4XUVUHxKXXxKsPjM+WjgDDqg3YkbKTiPUuxOydruZD/llh8xZW5lXTbtYtVdcEo2grTdKRnfHQCH3YlLAM6uZLtTstcG1Qn2jBfszvab7A9DKRomyue/3yQIQtiQRHcYPPSbBBOi8ITgq3kTxoEoBmG/lbBAtvebBFF895sEUTz2mwQpqPvdwHCEQTENrB0nQZad6DhJ8hEK/BDLy3aRqZoGhf28WllwQgWEV0bwoM5l2ah3IMLW13HqH9BSDnp33fb2/lRKzQXG519+CoIQqhMqPz247QUTovCEbCw/BTEIxXcQ+SmIIiQ/jdfWI1ESj+pTkII69wGjEYX5NIyNIzITZfGmPp12e0lAQoEfVH6mjVqxH00rC06ogGz56bTbS8JR70EErk9/9o9oKQft1/FkrESVosycdEmXbuuOJ2a8YDcUFYTbdDwxM5BgGRjE8cQMUZFCBMK743j6w/A7VT/gv9e73t/7Sr2kyKqU6kun+nE6dL3/ffuj+rXzH5sG54A9OGBHmCC9rdYoZoRgYxdX1C5rFDNGsKW7qVZmRkdp3wL5U0FV0RNTiDN2iFu0RumXzQZF405wnpDLxwNVwMDWKG60oAygWqOytTXKfkIuP2pQDAyxeNAw45kD45CPAc7om1ijsvHdgXBYo7gUikgBX0c6s3ttYJ2Aj/kBgxMhvAIDik+pi08JFp85Hw2cQQe0RnEjBedRijUqW1uj7Cfk8iOmzK2sy6Zd1boLTslGkLZGZeO7A+CwRnEJwNmVbI3K9tqgOsGe8YLd2d5UbLVGuU9mu4eJ8vnvTQmCELYu0a0ID70pwYQoPCH4st+EcSCKQdiZJSyQ7b0pQRTPvSlBEo+9KUEK6r44MBqhCqZFYtx9mYmy7EZvShKQUOCHWF62i8y86WTYD8OVBSdUQHhlhI/qXBaOeg8icH29qf4RLeWgd9eabz98rKDmAuPzrz8FQQjlCdWfHqz5gglReEI21p+CGITqO4j+FEQR0p9Wa74gikcBKkhBnfyA4cjUNMlsz8wLonjTny5nviQfob4PKj+LRqzYj7WVBScUQLb8dDnzJdmoNyDC1qc++we0lIP264xKTHSvqNB1el+Sqy7dtp1R3HjBZigqB7fojOJmIMEyMIQzihuiIoUIhNdxRm3/5LvF24tf9JujQtgcZcr/ATv/YM+XoK1t5iduhGDrFpfMDvMTN0awabuhFuZGR2nQAvmLkrCaYYx6YcaOcXvup1Cfyx1GKwNCGDjdT2w8cKYf1v3Ejhac6onupzBo3U/LNJuifsKPGpzwh1gfaJjxzIFxyMcAZ+0N3E9V7HcHwu5+YlMoIgV8HenM7rWBdQI+5gcMzoTwIgsoPqUuPiVYfOZ8NHAKHc79xI4UnEgJ7qe26Dx13K0n/IgpkyvrsmlWrj0Fp2QjCLuf2mLTDIDd/cQmAGdXqvupunbaoDrBnvGC3dnuU2JzP4XO4/7uY6J83rtPkiCE3Ul0u0G++ySZEIUnBF/amzAORDEIm6+EFbK1+ySJ4rn7JInir/skSUHd/AaGI07DaZoZ3bozUZZdaD+J8hEK/BDLy3aRGa66FaHjwHVRcEIFhFdG8KDOZdmodyDC1tN+Aga0lIPeXfN9YjM/hRE1Fxiff/kpCEKoTqj8lDffSyZE4QnZWH4KYhCK7yDyUxBFSH4ar61HoiQe1acgBXXuA0Yji+JprBITy0yUxZv6dJnvRQEJBX5Q+dmc2hs6zmEWBSdUQLb8dJnvReGo9yAC16c/+0e0lIP2a38yDmmlKGMnXdql27r9iRkv2A1FBeE27U/MDCRYBgaxPzFDVKQQgfA69qfiD87+NDp6WI7KkQqiYHKSBQ9M43HAHg+wCUxQ21Y7FDNCsJeLi2iXHYoZI9jF3VQeM6OjdGyR/OXT3LgMmbEj3KIZKtFmKNX4EWK3GYqLB877A5uhuNGCEz/VDBWvzVDWY4mf8KMGp/8hlgsaZjxzYBzyMcA5fBMzVDy+OxAOMxSXQhEp4OtIZ3avDawT8DE/YHAehNdcQPEpdfEpweIz56OBE+iAZihupOA0SjFDxWszlPVuPeFHTJlaWZdNu451F5ySjSBthorHdwfAYYbiEoCzK9kMFe+1QXWCPeMFu7PdKGU1QyU0TJTPfzdKEKSrPFzjA24+eOhGCSZE4QnBF/omjANRDMJeLGF9bO9GCaJ47kYJknjsRglSUHfCgdFQ0zQpTCQzUZLd6EVJAhLK+xCLy3aJmTSdC8dh7KLghPoHr4vwUZ3LwlHvQASurxfVP6KlHPTuWvGV1QulqLnA+PyrT0EQQnlC1acHK75gQhSekI3VpyAGofoOoj4FUYTUp9WKL4jiUX4KUlAnP2A4omkeGcdjJkriTX66jPiSfITyPqj6bA70DR0nNIuCE+ofW326jPiSbNT7D2HrE5/9A1rKQfs1Qhn7EpWcTJ10WZdu60YoZrzdkvF7bIRiZiDBMjCIEYoZoiKFCITXfQ/U9g/JE3NCxcHkpLA6oZgDAnaACVrb6oRiRgg2cnEJ7XJCMWMEW7ibamNmdJR2LZA/lU1j22uhmBFu0QmVaSdU3pgRUrcTiosHTvwDO6G40YIzP9UJla6dUNbjip/wowbn/yGWCxpmPHNgHPIxwEl8EydUOr47EA4nFJdCESng60hndq8NrBPwMT9gcB6E11xA8Sl18SnB4jPno4ET6IBOKG6k4DRKcUKlayeU9W494UdMmVpZl027kHUXnJKNIO2ESsd3B8DhhOISgLMr2QmV7rVBdYI94wW7s72o1OqEymiYKJ//XpQgCGGzEt198NCLEkyIwhOCr/RNGAeiGF1N4MAgrI/tvShBFN+9KEEUj70oQQrqXjgwHPk0NR/hOhMl2YlelCQfobwPsbhsl5hZ07pwnL0uCk6of/C6CB7UuSwb9f5D2JwDOkcGtJSD3l0bfmo1QrlPBzTkAuPzLz4FQQjVCRWfHmz4gglReEI2Fp+CGITiO4j4FEQREp/Ga+uRKIlH7SlIQZ37gNEIs2m08vDeF5+CKN7Ep9OHLwlIqO+Dqs/m+N7QcSCzKDihALLVp9OHLwlHvQURuD752T+ipRy0XyuUcRlcCcrCSZd36bZuhWLGC7ZCUT24TSsUMwMJloFBrFDMEBUpRCC8rhUq/kO1QkW1FSq3WqGYAwK2gAlq22qFYkbYFdKiVihmjGAPd1N5zIyO0q8F8qcq2WvbcmVGuD0rVBTsVx9h40Yo3FYoLh448Q9sheJGC878VCtUsbZCWc8nfsKPGpz/h1gvaJjxzIFxyMcAJ/FNrFDF+O5AOKxQXApFpICvI53ZvTawTsDH/IDBeRBedAHFp9TFpwSLz5yPBk6gA1qhuJGC0yjFClWsrVDWu/WEHzFlamVdNu1C1l1wSjaCtBWqGN8dAIcViksAzq5kK1Sx1wbVCfaMF+zOdqMymxUqch8EeA8T5fPejZIEIexWorsP8t0oyYQoPCH4St+EcSCKQdiMJayPrd0oSRS/3ShJEn/dKEmKrm5wUKDL8rAq4rmxjM9EUXaiGyUKSKjvQ6wumzVmFKx6F5HjJHZRcEIBhBdG+KjOZeGotyAC19ONAka0lIPeXSd+ZjNDRe7TAg25wPj8y09BEEJ5QuWnvBNfMiEKT8jG8lMQg1B9B5GfgihC8tPmxJdE8ag/BSmokx8wHPlUFTb5KUjiTX46nPiifITyPqj6bE7zjRzHM4uCE+ofW306nPiibNT7D2HrE5/9A1rKQfu1QhmHtJKTkZOu6NJt2wrFjRdshaJqcItWKG4GEiwDQ1ihuCEqUohAeF0rVPJHaoXiDgjYAiZobZsVihsh2MnFJbTDCsWNEezhbqqNmdFR+rVA/qJ8mlqsUNwIt2iFirUVKlm5EaLIaYVi44ET/7BWKHa04MxPtEJFUWuFiqxnFT/hRw3O/0MsFzTMeObAOORjgJP4BlaoKva7A2G3QrEpFJECvo50ZvfawDoBH/MDBudBeM0FFJ9SF58SLD5zPho4gQ5nhWJHCk6jBCtUW3SeOu7WE37ElKmVddm0C1l3wSnZCMJWqLbYNANgt0KxCcDZlWqFqq6dNqhOsGe8YHe2F5VbrVAxDRPl89+LEgQhbFaiuw8eelGCCVF4QvCVvgnjQBSDsBdLWB/be1GCKL57UYIoHntRghTUvXBgOJJpHNh6UYIkO9GLkuQjlPchFpftEjNuWheOY9hFwQn1D14XwYM6l2Wj3n8IW18vqn9ASzno3fXh51YjVELNBcbnX3wKghCqEyo+PfjwBROi8IRsLD4FMQjFdxDxKYgiJD6N19YjURKP2lOQgjr3AaOh30hq056CJN60p9OGLwlIKO+Dis/mKN/IcTizKDih/rHFp9OGLwlHvQMRuD712T+ipRy0XyeU8fHVSk8qF10RdOm27oRixtutGb/HTihmBhIsA4M4oZghKlKIQHhdJ5T6w3NC6UVFFpgP6jhgjwTY+iWobKsFihkh2MHFxbPLAsWMEezdbiqLmdFR+rRA/pKoiKeZ8TqcsWPcogkq1SaorPEhKLcJiosHzvkDm6C40YKTPtUEpdYmKOs5xU/4UYNT/xBLBQ0znjkwDvkY4Py9iQlKje8OhMMExaVQRAr4OtKZ3WsD6wR8zA8YnAnh9RZQfEpdfEqw+Mz5aOAUOqAJihspOJFSTFBqbYKy3q0n/IgpkyvrsmnXsO6CU7IRpE1Qanx3ABwmKC4BOLuSTVBqrw2qE+wZL9id7UMVVhNUSsNE+fz3oQRBCBuV6MaDhz6UYEIUnhB8kW/COBDFIOzDElbI9j6UIIrnPpQgicc+lCAFdRccGI0wyvNpaHaUzERhdqMVJQlIqPBDrC/bVWbaNC4ch7CLghNKILw0wkd1LgtHvQkRuL5WVP+IlnLQu+vCL6xGqIyaC4zPvwAVBCGUJ1SAenDhCyZE4QnZWIAKYhCq7yACVBBFSIBaXfiCKB4VqCAFdfIDhiNNkmmQJiaWmSiLNwHq8uFL8hEK/KD6sznMN3KcziwKTqiAbP3p8uFLslHvQIStT372D2gpB+3XCRUa26KVonSe/leEXbytW6GY8YL9UFQQbtMKxcxAgmVgECsUM0RFChEIr2uFSv9QrVBJoi+fKgIdu16E3P5o8VxfWqYBOmAPENgXJshvq0OKGSHY3sVVtcshxYwRbOxuKpeZ0VGauED+YqXM7bQZO8It+qOK/UMVB41FIXf7o7h4oBIY2B/FjRZUAlR/VL72R1kPL37CjxrUA0OsHzTMeObAOORjgJP6Jv6ofHx3IBz+KC6FIlLA15HO7F4bWCfgY37A4DwIL8KA4lPq4lOCxWfORwMn0AH9UdxIwWmU4o/K1/4o6916wo+YMrWyLpt2ZesuOCUbQdoflY/vDoDDH8UlAGdXsj8q32uD6gR7xgt2Z9tTYWA1SBU0ThTQf39KEISwfYluR3joTwkmROEJwZf+JowDUQzC7ixhgWzvTwmi+O5PCaJ47E8JUlB3x4HhUFUpT40DMhNF2Yn2lCQfob4PsbxsF5lF081wHMwuCk4ogPDKCB7UuSwb9QZE2PraU/0DWspB7649v5KfFntU7Dw80JQMDNC7/JQEIZQnVH7K+/MlE6LwhGwqPyUxCNV3CPkpiSIkP43X1iNREn/qU5KCOvkBoxEG6VQZB2QmiuJNfbrc+aKAhPo+pPyMm9N9Y8d5zaLghALIlp8ud74oHPUWROB69CcwoqUctGd7lGVDM3aeCFhEXbxt26O48YLtUFQQbtEexc1AgmVgCHsUN0RFChEI7449Sr8m6jeVcq/0+0uWpGdds9NuOZ/qFYN2Pv1M25309rYp5QfslIONXoKgthmeuBGC/VpcJzsMT9wYwU7tpgqYGR2lKwvkL86KzLJHNWPHuD3LUxxpy1O8ch3EodPyxMYDZ/dhLU/saMHZnWh5isPW8hRbDyl+wo8anOOHWBRomPHMgXHIxwAn6g0sT1XsdwfCbnliUygiBXwd6czutYF1Aj7mBwzOhPDKCig+pS4+JVh85nw0cAodzvLEjhScSAmWp7boPHXcrSf8iCmTK+uyaVer7oJTshGELU9tsWkGwG55YhOAsyvV8lRdO21QnWDPeMHubs8ptFme4ojGiQL67zkJghD2JNEtBg89J8GEKDwh+HLehHEgikHYciUske09J0EUzz0nQRKPPSdBCuqGNzAaYRgX0zBPTDAzUZjd6DpJAhIq/BALzHaZGTU9CscR7KLghBIIr43wUZ3LwlFvQgSur+vUP6KlHPQOm+5Dq+sppiYDA/SvQAVBCPUJVaDypnvJhCg8IRsrUEEMQvkdRIEKoggpUJvpXhLFowQVpKDOfsBwqLSYqsJYyGeiLN4UqMN1L8pHKPCDCtDmLN/YcTizKDihArIFqMN1L8pGvQMRtj792T+gpRx09X9/vhShyWtuhflX15ff+ca3vmnIBENgJibMSlkmLszA/owtHCtFNDYGKGOwD9jBdq8xR2JBYfhr/eagShY+W/zLyz6mlQnq9gej2tL0WW150RLy49u/rlSj0blSacDkKzM2272qaIfbrCiuvAJKewX0GVJxXn0kgf7Q/oEk0R/6C4n+gtJfUPoLSn9B6S8o/YVUv18l11/NrbWUm4qEngq8m6P5jzT/keY/0vxHmv9I8x9p/iPNf6T5jzT/keY/0vxHmv9I8x9p/iPNf2TjP+LzKzo/3guq8I81/rHGP9b4xxr/WOMfa/xjjX+s8Y81/rHGP9b4xxr/WOMfa/xjjX9swz/m4+O3OX8mWTWtlW5a68OMqjSUOg2lTkOp01DqNJQ6DaVOQ6nTUOo0lDoNpU5DqdNQ6jSUtjSU7DTca2b2pIF2B5xq9lPNfqrZTzX7qWY/1eynmv1Us59q9lPNfqrZTzX7qWY/1eynmv3Uxn7KZ8enUGIntEI/0+hnGv1Mo59p9DONfqbRzzT6mUY/0+hnGv1Mo59p9DONfqbRzzT6mQ39jIf+0oysM/BnLlUxnKs6sTZMlZMhtg4fFipLUej9NVO0D9jRdifeDQ3Vb1di4reL96vP5U7T4nf649OO0Ki+Re89va4NtrofetdFrU3Vt99dvBgtPqhUyOv1V56PtBm7+vLz6pfxflT9zP1R/W98sm6lLt+K+Hm9m/W75ZsT632u6i9/Uv9z2p+tf+4yhE9Xzt7nVknDzGl3Bpe0aDNDVKQQmeEdsMMDTVyEnTKrnZkZIejFwjfAXHZmZoygC2vTnS1mdBTHFZC/rApkqjJTjDN2jCJ25vtbn+aBf8wPG5wu6TblMArtNmVutOCMSbUpr0+ujR0n17KjBmdO0noVvTQO+WGDkxNjbdk6Bdcn1cY9J9WyKRSRAr5udGb32sDuL+u4AYMzGnvn03alzPkhg1MczW4cZg67MTdScKKj2I3XJ9Dai8cJP2LK5Dfk5VCyQ5a2F69PnHUXjVM+ATgrEhfV+lppg7q/EuYEqzfX99t1hNfFsM27kToxlDXnWKi8xbBl6f6AHS04paOL4e7+eu+y9+XHjF8sfjfSTyffvrF6tvSH9V/9uPrVD0aL31YL5OfNT1vu1X9R/ZQXt98zZeQhOyOgWhhkKcsMUZFCZIZ3wA4PnPiHWMoyIwTn+WGWsswYwRl+06UsMzrKbA7kL47CYloYRdKMHaPIUvbebGh8MjdrnotL3Q/lcsnA+ZCx2s2ieFoUpnC/xg8XnBOpy910vdy1nlL6hB81ODeSlrsWNahhxjMHxiEfA5zQNln+puO7A+FY/nIpFJECvo50ZvfawO4vf7kBg7MgvPwFCk8JFp45nwqcOWkr5CjRT+QmplCf8kMFJ1DKEjldL5Gtd+oJP2LKpMq6ZFonlbvYlGwE6SVzOr47AI4lM5cAnFrJS+Z0rw3q/pKZE6yO9iYuzlUR5ZPqW28mYXh9PSmKIJlchWkanl8GFxfFahazLqX/8nzI5yGs/dpqQZ3RIFE606LbAUVZeJtAHoiCELyy6Jr8neUqWa+276yh63Zx7X6rltifrV7oVHeV/27x88U7o7/6k0gtPl18Oiq/9R+/efXgW+ffvhqV//F/uf72V7/xzWtTZh6KZkbhmcEXvndesxUGU/2Lu5sWH1m2JPQXXjIQLj5e7V98Wv1Hv6fru80zJquNj1Xf/eP6m1/O+zP9j1bf/rn++6szD1/U3/uJfuvW4qfrf13/I8tHW75YfFH9tZ+P2nd1PdN9/g9uf9D89a+MHrwSRkEwmtz5CW389Th/UbsF6n9o9OD85uYvrkevXH7rP1ajdzkq/+frv/iL/Tq02zdr48AbmmPFpEPRP36cVv+Lgv3lu8c+r76vfvfY6Et1jFXitBrJb390+z39C7WfpdVa/sujeBRFaj+tshX9m1GYqjDOdaB/XxHon/LSxtFIBUF9Eb5yMvrS/MujxbvVN0ajuCLTP7X622GRBrH+2/+4jG85FrWdYpXzz9qX3H00CovbH0TJ6Etx9W9/efWUeRjUPzMq1HLP6sMqtZ/+m1GQRHGe6Z/83qT+eZ/ffr8C18mKktsfxHH1vwp/OXrP9cBX0J9q18bqfWf1T83i9P5PLSw/M0pvf1CP2p0fokZJFr30Q6amm+9A9ObrilnHzTfEto4gicijPMYZ75Eoh8fneAQpqE8RAGPh3koSZPH2HI/DPSGJR5AmQ2yJtBsjzVHgseNsd1FwQvGDV/P3KkgcRvZ+tiQd9RZE6JxDOkeGtJSD9vf64sT8jpFqKeQ+dG47Rlt7b5EZLbh/iq5jdqm3yMxIgmVkkN4iM0RFChEI7+Ul1uJnE8vbug7YAYP7rEPIUmaE4J4pQW46uo3MGMHN0k2lJDM6ysYokr8kmxbGy3DGDnGLzcai2fN3H3rOJgMnyKGbjdxwwUmS2mxcn3oeO049Z0cNTpZDKGsNM545MA75GOAMt0mzcX3qedxz6jmbQhEp4OtIZ3avDawT8DE/YHAShJcnQOEpwcIz51OBE+eQzUZuqOD8SWk2rk88t9+pJ/yIKXMq65JpV3vuYlOyEaSbjesTz92F5pRPAE6t5GajPvHcXGTOeMHuaLMxtjYbCxokSue/2SgIQtjRQxfpPpuNgplReGYIK+F/1g2iVX/rw/q1I/olyPpVyHU78f3qN9+//f6qISfWTnxr8Y+L/7b4zeJtvSTXRwPp99/9b/q379a/+c2o+tNn1V/+VP+7Xxn9aa4bUnps1gf8HD0sR+UoDpJg8igOvm4aoAPRASLsyQ6x8hck8dqQEuTw2JASpKDuhiNj4dptEETZhX6UJB5h9hpi1dyunZuzv2PHYe6i4ITaBy/47l20SgWOBywl8ai3IILX15DqH9NSDtpnQyoxsb2iEvdZoUmXbbsNKW604B4bqnV3qCHFzUiCZWSIhhQ3REUKEQjvXkPKKPoO2AGDe3EDyFJuhOC+GkFu2htS3BjBDbUNpSQ3OsrmGZK/JJmmlhe5cEPcXkMqCVf7wkngbEixycAJcuCGFDtccJIkNqSSoG1IJdZTwJ/wowYnyyGktYYZzxwYh3wMcIbboCFVxX53IOwNKTaFIlLA15HO7F4bWCfgY37A4CQIr0+AwlOChWfOpwInzgEbUuxQwfmT0JBqC85Tx516wo+YMqeyLplmtddTbEo2gnBDqi00zQDYG1JsAnBqpTakqmunDaoT7Bkv2B1tSFnfrZqENEiUzntDShKEsKWHLtI9NqQkM6PwzBBWwr8nDal9W0dq/15LKgyyYPL1NDgxDdGB6BARtmWHWPsLkvhsSUly+GtJSVJQ98ORsXDtNwii7EBLShSPMH8NsW5uV8/hqn2RWA9ZP5QFJ9Q+eMlHa0mJ4lFvQQSvpyUFjGkpB+2zJaVMbJVgjpxs9hd4YKFShDDSkmJGC+6yoWp3l1pSzIwkWEYGaUkxQ1SkEIHw7rWkYlPAB+yAwd24IWQpM0JwZ40gNx0tKWaM4JbaplKSGR1l+wzJXyURY4triRviFltScbMzHLlbUlwycIIcuiXFDRecJKktqWjdkrIeEf6EHzU4WQ4hrTXMeObAOORjgDPcJi2paHx3IBwtKS6FIlLA15HO7F4bWCfgY37A4CQIr0+AwlOChWfOpwInziFbUtxQwfmT0pKK1i0p6516wo+YMqeyLpl2tecuNiUbQbolFY3vDoCjJcUlAKdWcksq2muD6gR7xgt2R1tSytqSimmQKJ3/lpQgCGFLD12k+2xJCWZG4ZkhrIT/+FpSgkNE2JYdYu0vSOK1JSXI4bElJUhB3Q9HxsK13yCIsgstKUk8wvw1xLq5XT3HTfsidqygJcEJtQ9e8hFbUpJ41FsQwetrSfWPaSkH7bMllZrYKsGcONnSLtuWW1LMaLsV4w+oJcXMSIJlZJCWFDNERQoRCO9eSyoxBXzADhjcjRtCljIjBHfWCHLT0ZJixghuqW0qJZnRUbbPgPzlQTSNbK4lZohbbEmpZmc4cbekuGTgBDl0S4obLjhJUltSybollThaUtyowclyCGmtYcYzB8YhHyMhYjB2ipPx3YFwtKS4FIpIAV9HOrN7bWCdgI/5AYOTILw+AQpPCRaeOZ8KnDiHbElxQwXnT0pLKlm3pKx36gk/Ysqcyrpk2tWeu9iUbATpllQyvjsAjpYUlwCcWsktqWSvDaoT7Bkv2B1tSaXWlpSiQaJ0/ltSgiCELT10ke6zJSWYGYVnhrAS/sNrSUVBGky+HltbUoJDRNiWHWLtL0jitSUlyOGxJSVIQd0PB8bCud8giLILLSlJPML8NcS6uV09q6Z9oRwraElwQu2Dl3zElpQkHvUWRPD6WlL9Y1rKQftsSRnrUCWYUydb1mXbckuKGS24y4aq3V1qSTEzkmAZGaQlxQxRkUIEwuu0pCwHTR+wAwZ344aQpcwIwZ01gtx0tKSYMYJbaptKSWZ0lO0zJH9JPI2NnZAZO8QttqSyZmc4dbekuGTgBDl0S4obLjhJUltS6bollTpaUtyowclyCGmtYcYzB8YhHwOc4TZpSaXjuwPhaElxKRSRAr6OdGb32sA6AR/zAwYnQXh9AhSeEiw8cz4VOHEO2ZLihgrOn5SWVLpuSVnv1BN+xJQ5lXXJtKs9d7Ep2QjSLal0fHcAHC0pLgE4tZJbUuleG1Qn2DNesDvaksqsLSnnOdT3IVE6/y0pQRDClh66SPfZkhLMjMIzQ1gJ/+G1pHrOkpIcoq7kcQzREGt/QRKvLSlBDo8tKUEK6n44Mhau/QZBlF1oSUniEeavIdbN7eo5a9oXmWMFLQlOqH3wko/YkpLEo96CCJ5zTOfImJZy0D5bUsbzZSvB7D5fNu+ybbklxYwW3GVD1e4utaSYGUmwjAzSkmKGqEghAuHda0kZRd8BO2BwN24IWcqMENxZI8hNR0uKGSO4pbaplGRGR9k+Q/LnerczM8QttqSKZmc4d7ekuGTgBDl0S4obLjhJUltS+bollTtaUtyowclyCGmtYcYzB8YhHwOc4TZpSeXjuwPhaElxKRSRAr6OdGb32sA6AR/zAwYnQXh9AhSeEiw8cz4VOHEO2ZLihgrOn5SWVL5uSVnv1BN+xJQ5lXXJtKs9d7Ep2QjSLal8fHcAHC0pLgE4tZJbUvleG1Qn2DNesDvaksqtLamCBonS+W9JCYIQtvTQRbrPlpRgZhSeGcJK+Pe1JRVG7Df3CY4RYV92iMW/IInXnpQgh8eelCAFdUMcGQvXhoMgyi70pCTxCBPYEAvndvlcNP2LwrGElgQn1D54zdcd0ywIHS0pSTrqHYjQ9bWk+oe0lIP22ZIybre9opT7hNmiy7bdlhQ3WnCXDVW7O9SS4mYkwTIyREuKG6IihQiEd68lFZsCPmAHDO7GDaBKuRGCO2sEtWlvSXFjBLfUNlSS3Ogo22dI/hzvduaGuL2WlApXO8MqcLak2GTgBDlwS4odLjhJEltSKmhbUss8m6J+wo8anCyHUNYaZjxzYBzyMcAZboOWVBX73YGwt6TYFIpIAV9HOrN7bWCdgI/5AYOTILw8AQpPCRaeOZ8KnDgHbEmxQwXnT0JLqi04Tx136gk/YsqcyrpkmtVeT7Ep2QjCLam20DQDYG9JsQnAqZXakqqunTaoTrBnvGB3tCVV2FpSKqRBonTeW1KSIIQdPXSR7rElJZkZhWeGsBL+42tJSY4RYVt2iMW/IInPlpQkh7+WlCQFdUMcGQvXhoMgyg60pETxCBPYEAvndvkcrvoXy1+YwA9lwQm1D17zkVpSonTUOxCh62lJAUNaykH7bEmFxhGtFHPkgFNB0IXbck+KGS24zYbK3V3qSTEzkmAZGaQnxQxRkUIEwrvXk0pMAR+wAwa344aQpcwIwa01gtx09KSYMYJ7aptKSWZ0lP0zIH/65c6JTSIyQ9xiTyputoYjd0+KSwbOkEP3pLjhgpMktScVrXtSkaMnxY0anCyHkNYaZjxzYBzyMcAZbpOeVDS+OxCOnhSXQhEp4OtIZ3avDawT8DE/YHAShNcnQOEpwcIz51OBE+eQPSluqOD8SelJReuelPVOPeFHTJlTWZdMu9xzF5uSjSDdk4rGdwfA0ZPiEoBTK7knFe21QXWCPeMFu6M9qTCwNqViGiWK578pJQhC2NNDV+k+m1KCmVF4ZghL4T/AplTPcVKSY0TYmB1i9S9I4rUpJcjhsSklSEHdEgfGwrnjIIiyC00pSTzCBDbEyrldP8dNByN2rKElwQm1D1700ZpSknTUOxCh62tK9Q9pKQfttSllU8yJEy7swm25KcWMtlsx/oCaUsyMJFhGBmlKMUNUpBCB8DpNqcQU7gE7XHA3bghRyowQ3FkjiE1HS4oZI7iltqmQZEZH2T4D8hfF6VRvO98PccYOcYstKdXsDCfulhSXDJwfh25JccMFp0hqSypZt6QSR0uKGzU4VQ4hrDXMeObAOORjJEQMxk5xMr47EI6WFJdCESng60hndq8NrBPwMT9gcBKEVydA4SnBwjPnU4ET55AtKW6o4PxJaUkl65aU9U494UdMmVNZl0y72HMXm5KNIN2SSsZ3B8DRkuISgFMruSWV7LVBdYI94wW7qy2p0NqSUjRKFM9/S0oQhLCjh67RfbakBDOj8MwQFsI/NW0/LJ53NjNuf7z8o2e6F6XTye5Ojeof+V397+kNkeZvjRafVz+k+ofr3ZQXdf/qg/qfq//t4XtauqV1+4PY0Nc6eeXJqAiCWAuJxc/qf+PHi49M430gOt6ELd4hdhIESby2twQ5PLa3BCmom+vAWDh3LwRRdqG9JYlHmAyHWIW3a3HV9EKUYz0uCU6offAC8l4BCTPl6G9J4lFvQQSvr7/VP6alHLTX/pZxhqvkd+qEi7pwW+5vMaMFN+1Q7bxL/S1mRhIsI4P0t5ghKlKIQHid/pYyhXvADhfc2htClTIjBLfpCGrT0d9ixgjuz22qJJnRUfbigPxFeWopzDN2iFvsb2XNNnPq7m9xycD5cej+FjdccIqk9rfSdX8rdfS3uFGDU+UQylrDjGcOjEM+Bji/bdLfSsd3B8LR3+JSKCIFfB3pzO61gXUCPuYHDE6C8PIEKDwlWHjmfCpw4hyyv8UNFZw/Kf2tdN3fst6pJ/yIKXMq65JpF3vuYlOyEaT7W+n47gA4+ltcAnBqJfe30r02qE6wZ7xgd7W/FVn7W66DrQ2UKJ7//pYgCGFLD12j++xvCWZG4ZkhLIT/uPtb6ab9LcHx7goox3gPsZMgSOK1vyXI4bG/JUhB3VwHxsK5eyGIsgv9LUk8wmQ4xCq8XYtnTS8kc6zHJcEJtQ9eQHbHNFWBo70lSUe9AxE655DOkSEt5aCr//vz/aW2+zOXFh+0zRWbICsV7jwFN0i7kJ7aXMZoH7CjBffuUAm9eZvrF9Uf/KoSf6OoEof1o/1vVr+o/l4t+z7Vwq/+n5aAny7/+PPb71e//UQL8ncW75jy85CdnwTLzyBNL2aIihQiEF44uv0vyzGs5PR/rVY6P6rS+8FyvF4evkp5jyox/WzxUa3s36+l+W+rP/60HrHfVV/5bb0K0N/60aj6MR/Uf6f6hV4haNH/vP65+qvVUqEab/1zvrh9sxrf+k+rf79pwP3T4u3FOxPjvsABO3Xg3uMQspkZIbiPSJDDjgYcM0ZwA3FTqcuMjrJZCOQvzqbGi3DGDnCL7bdi/1Clgf4I9UekP2L9kegPpT9S/ZHpj7zZMs/dvTpuGsBJntGrq6AsAu5r/HDBeZ7aq8vXvbrc0avjRg3O90OsEjTMeObAOORjgNPyJr26fHx3IBy9Oi6FIlLA15HO7F4bWCfgY37A4HwJL7WAKlXqKlXqKlXqKlXqKlXqKlXqKlXqKlXqKlXqKlWCVWrOTwE4IRMbe1EcTXPjvPKUHyo4L1Mae/m6sWe9rU/4EVPmatb11S5z3ZWpZCNIN/by8d0BcDT2uATgPExu7OV7bVCdYM94wdb6+KJIVRBfT1SeF5PkIs8nF9lNWv02uDw/P0/T6Px6yWPdTHDsqjA3FKyNvYJGieKZth0cVJStBxPIA1EQwl4muivxz531pm7w1V2bl5eoL9oF6v6o+hu/Wfx88e7il4tfLd76D/X3vhcbt14eiiZD4cnA1/cmjANRDMI2LWGt/fHiQxPKV0VRRHpUwTRWJpRHoige21SCFNRNcmA4dAW3LfIFSbx1qZSaFsYp6rEsH6G0D7EAbZehRdPTKBxLUUlwQv2D107woM5l2aj3H8LW16TqH9BSDrrWnUl6eZmcXxQTFQfpJEkugslFEF1NsvjyPEquLhOVXrzmXXcaN59fqRbP1FRgeN51pyQIoTihuvMfK3H5Se18ak1IdzpW1R99tBSX67bK57c/rK1MH+k/T4NxlJlS8VA0FQpPxaaqUxKDUHVx1Xn7I/NzdV8VRZFSnSaSR6Ik/kSnJAV10gNGIwynkXF3ZCZK4k90TjOLNUoUj1DWh9ScabCSKMtfmMAPZcEJ1Y+vOS1jOpdFo959CFqP5ATGs5SDriXnVVykl3EST5Lg+nKSxMH15CJV4eTyJr/Oz8PgJsqS17xLTot7Kg2pqcDw/EtOQRBCbUIl57uViHyuXe9O0TmqnVmfVX/0xspBr01VH2jZydajgnlSeJ421qOCGISKPIgeFUQR0aOx2VnzSJTEox4VpKDOiMBohLGaxpZdUEkUb4I0TKehsZg9luUjVP1BFWlzWnxqPS3+UBacUP/YitQ6qHNZNuoNiLD1SdL+AS3loJe7oOfxhVJFMbkOw2iSXObh5Lyo/lacJTdFdnFzfXO+utp9StLElIpKkkbUVGB4/iWpIAihOKGS9J+1yLx9Y/FFLS3jfTU2NzsfioIpHGxjDSmIQaihg2hIQRQZDWnxtkuCeJSQghTUGQwYjOqftO1oCoJ4E5DBNLV00UXxCCV6UP0YNXLDcd69KDih9rH1o21M57Jo1JsPQeuTj/3jWcpB1/IxPC+uoss0nORRfDNJolhNLsIin1wXWRBeXVxlKrl+zbt8VKZUVPIxpqYCw/MvHwVBCLUJlY8vvZXlLf1ikEpNft/w2OF/WD5EGin9uo7lSzvCaKpGi09NWXgomgWFZ2FjrSmIQai3uNa0PiEpSSIiNaNpoEwoj0RRPIpNQQrqfAcMR5ZNA5vaFCTxqDZtrxYRxSNU9EHVZnOMcOo4GVoUnFD92GozTFVqfbWIKB31BkTo+gRn/5CWctDL/co4vwnii3wSRImaJFmSTs5v4otJkVwVSZylwUV88Zp3wWlsslSCM6GmAsPzLzgFQQjlCRWc7X6lfiGFfkXd8k109avpPm33MM2nfz8UhVU47Ma6UhCDUFlxXenYwxREERGW5hOAHomCeJSVghTUWQ0YjCbe+6JSkMOjqCyMs89jWTxC1R5UVCaNAnGcjywKTih9bFFpG9O5LBr13kPQ+hRl/3iWctC1ory+idP0Kr2YhGGYT5IwvZycX16qum9+Xf3ZdaVKX/OuKI0OiEpRKmoqMDz/ilIQhFCbUEX5q9Xrip+NFs8qIfmpfm9xJTL/9vZv6tdIf6n75rNnX65lpgr0K4dNGXgomgGFZ2BjmSmIQai1uMysX2r44dSyrfxVUSAZsTmNlAnlkSiKR7kpSEGd8oDhSIyleyaK4U1t2g4veSyLR6jog6rN5qTI1HH6pyg4oQKy1aZtTOeyaNRbD0HrU5v941nKQS8fAQqvwvBKFZMLdaOfUL8MJnmR3EySyyBMgyC6uElWk4RPtWnsulRqM6WmAsPzrzYFQQi1CVWbP601ZKUnJ/Urj14sPqvVZDpOjI2Gh6J8CufbWEsKYhAqKa4lHVuWgigiKjKYZsqE8kgUxaOKFKSgTmXAcES5+VUgM1GQXdCRkniEWj2ojkwb3eE49VIUnFD9JHSkJBr15kPQ+nRk/3iWctBLHXmdJHkYBJPzoO6Z31xMLoogntych1dBnqjrODl/zbuOLEypqHRkRk4FhOdfRwqCEGoTqiPfeelojZ/0PxY+DvYrgam749Y9S0F+hfNvrDMFMQiVFteZvXuWgkAiajMxNzgeiZJ4FJuCFNT5DhiNMEunmU1uCqJ4k5tpPg1t1ktJPkJNH1RvNkeApY5T3UTBCVWQrTetgzqXZaPegAhbn+DsH9BSDroWnMH1RXZxeRNNzi/1JufF1fUkv47TSXx5eZFcXqk8D1ZXu0/Bab4AKsVJfBs9yudfcQqCEKoTrDjXB8bdO9mt+u3tm4tP9alg/VrUlI2HotlQeDY21p+CGITKi+tPxz6nIIqQ8jQKnUeiJB6VpyAFdeIDRiNU2bSwKU9BFG/KU9mFpyQeobQPKjzzRqc4jgwTBSeUP7bwtI3pXBaNevshaH26s388SzloLTxdenLQM4QTE1wlJAsHnAriLtx2zxDmRtstF3+oZwhz85Ng+RniDGFuiIoUIhBelUU9bM8WnwBnCP9i8fPFrxY/Fzs12Hi9H7CT1Z0l5E4N5kbY1b6SpwZzY+yqWplTg7nRdafLDU8NTqPEdmwwN8LtHRuc6RODM31icKZPDM70icGZPjE40ycGZ/rE4EyfGJzl+qNYHciZ1me1WI8NZqcBnNcHPjaYHS44tROPDU6L9tjg1HomzhN+1OAUP8RqQMOMZw6MQz4GOBNvcGxwFfvdgbBRHPEpFJECvo50ZvfawDoBH/MDBidMeEkFVKlSV6lSV6lSV6lSV6lSV6lSV6lSV6lSV6lSV6kSrFJzfgrAGXnAY4PZoYITM+HY4LY6PXXc1if8iCmTNev6ale07spUshGEjw1uq1IzADaCUz4BOA9/h1SRdEb32qA6wZ7xgt3VflRiOzY4cx0rYqBE8by3oyRBCHuW6EaEcDtKMhsKzwa+pjdhHIhiEPZj8dW2vR0lieK3HSVJ4q8dJUnR1QwOCnSRH6VRPI0t/ShJlh3oR4niEWr7ECvQZh2aNWd+ZY4z3ETBCfUPXjyhYzqXRaPefwhaTz8KGM9SDnpnjfeWSaTSna6zQ4ypwPD8605BEEJtgnXn0MZ7SX6F82+sNAUxCJUWV5p9xntJICG9aTHeS5J41JuCFNT5DhiNqIjVNLXpTUEWb3rT4bwX5SMU9UEFZ3OiV+Y4ok0UnFAG2YLT4bwXZaPegQhbn+LsH9BSDnr1grrzqyg+v5ncXFxcTZI4qnRqeJFNgsu4yC+j5DqOV4PuU3HGplRUijOipgLD8684BUEIxQlVnL/Qdhn9tuP6DODno9vXb79XHwzcHiFca87n2rtTn8Zx++PVeRuLD6o/eKZtWfrv6O3QxcfVD/to+dUw0m9KjoJKpipzJ/2haKoUnqqNxakgBqEqE8SpzXQkSSKiSu0HcUiieJSlghTUSREYjjDKg2lirPAzURZvsjSMs2lmbEk+lgUklP5BdWlzVFjmOPpNFJxQAdm61D6qc1k46j2IwPUJ0/4RLeWgd/Zddont7OAspqYCw/MvTAVBCNUJFabkd9lJ8imcb2M1KYhBqKW4mnQ01QVRROSk/V12kige5aQgBXUqA4YjSfNpYhyQmSiKNzVpf5udKB6hWg+qJZtTwDLHwW6i4IT6x9aS9rfZiaJRbz8ErU9J9o9nKQe9s2dwJLZjhLOEmgoMz7+SFAQh1CZUSQqcwSGZAYVnYGOtKYhBqLW41uxtqwsCiShO+xkckigeFacgBXXKA4Yjy21LgJkoyi4oTkk8QlUfVHE2p4RljlPfRMEJVVBCcUqiUW8/BK1PcfaPZykHvbPnCFseMK8Up6KmAsPzrzgFQQi1CVWcm50jLAmrcNiNxaUgBqGs4uLSsZEpiCIjK5UJ5JEoiEdRKUhBndWAwShi80OsM1EQb5LSfpCwKB6hbA8qKZujwDLH0W6i4ITax5aU9oOERdGoNx+C1icp+8ezlINeSsrz+EKpophUWjOaJJd5ODkvri8ncZbcFNnFzfXN+RY2MY12/0pSpuRUQHj+JaUgCKE2kSVlKx9jZQJ7KAqmcLCN5aMgBqGEDiIfBVFE5GNseeGbJIhH+ShIQZ3BgMEI8yzOTSQzURKP+jE1LoQfy+IRavSg+rE5AixzHOkmCk4ofhvoR/OYzmXRqHcfgtanH/vHs5SDXtop4yK9jJN4kgTVd+hNy8lFqsLJ5U1+nZ+HwU2kt0R960djyar0Y0ZNBYbnXz8KghBqE6of3118vni++K32Ua4f7bnzbqPqjz4a1e89+qz6ozfqh4A+qF+XrJ8M4r/rSDBPCs/TxnJUEINQkQeRo4IoMnLU3N94JEriUY8KUlBnRGA0oijJp8o4IjNRFm+KNEynobGaPZblI5T9QSVpc0hY5jj1TRScUADZktQ6qHNZNuodiLD1adL+AS3loJd7munlZXJ+UUxUHKSTJLkIJhdBdDXJ4svzKLm6TFS6hTa5sQ1TaVLXQSRmeQ7h+dekgiCE4oRq0n+stOYnPYqULTsFU6HwVGwsOwUxCFV3ENkpiCIiOwPzuyoeiZJ4lJ2CFNRJDxiNMM+m1n1QQRRvqlNNM9sLjyTxCHV9UNHZnBCWOU58EwUnlD+26LSN6VwWjXr7IWh9mrN/PEs56FpzZhdFWv2Q64nKc/3gUJ5PLrKbtPptcHl+fp6m0fn1a941p+2k4dX7Bgi5wPj8i05BEEJxQkXnP3fOEns2Wvy21pgvHz/2oj18bH9U/Y3fLH6+eHfxy8WvFm8t9eh7sVEaPBRNhsKTsbHsFMQg1F1cdlZj9qEJ5auiKFKyU5lQHomieNSdghTUiQ8YjijMLc3MmSiKP92ppoWtAS/JR6jtgwrPohEqjmPGRMEJBZAvPG2DOpdlo96ACFuf8uwf0FIOuvq/P6/+clL9nT9zKctBzxxWJshXqsgckEmQdSE9nTmcmKJ9wI62Wze2eOZw9ccvtJwcLX6qHyxv35352eLDSjf+oj5z+JPbn9y+qf++KQsP2VlIsCwMcbIwN0RFCpEZ3gE7vG4ZljvLlxthV15KnuXLjbGrG2XO8uVG152ONj3LN86nythwmLFD3N5hvnm4Ovkyrw9FsZ7PyyYD50D6+bxFGk0LYzPva/xowVmQeDxvHrTH8+bWs2ee8KMGZ8MhFLSGGc8cGId8DHA62+B43ir2uwNhozjiUygiBXwd6czutYF1Aj7mBwzOgfAyBKg7JVh35nwqcN6knbgbxpltN/8pP1Rw+iScuNsWnKeOO/WEHzFlSmVdMs26rqfYlGwE4RN320LTDICN4JRPAM6s3yEVGZ3RvTaoTrBnvGBrGXuZhHEYhJMgKs4nicqTyfnldTZJi/OrILy5ujg/X92x1tWzYxuBuYK2nbibu47kMFCieKZ1toOKstY2gTwQBSFs3aHL8Hc6K++PXl53f774uFpOL/6hbsH8j8X/uXhv8ZvmFIr3a+PQj9tzJ4Lg9gf1R+J4f5tkchSeHHzpuzwZbvFi8bu6LfXbtWPqK6PFT6sUva8z929GVY6eVd/zqX7dyKj6K89vf1T973u6pfWVUarTki5zM7oIg+63v3n7Q225qvtfL+ex+r639Fkft6/r45DfWfys+jd/Ee6PFj/XH3+nP94Lq2/67/X4fa/66s/aQal+9rN6FOuHCEyjcSA6GoTN1iFW+oIkIs2m0FwHH4mS+Os1SVJQt7qB0ciCaJqYHY0zURZvzaZchVMz4GNZQMKUNcRauV0xN8eA5Y5z3UTBCQUQXubhozqXhaPegwhcT7sJGNFSDlo7nVxCedA2k/EZn0oiRw44FSRduC23mZjRghtrqL7ddpuJmYUEy8IgbSZmiIoUIhBetbqo0v0VrXTfm+RTLX5r6VsL6c8aVfu8HsxP6kPxfliP5PL0u7vLlunolb+4uP6r0f/1/zk9eHT25JWT/+sTE/0Bmx7cwRtC2zIjBHfjKJrV3sVixghuw22qRpnRUbbckPylsfnJhhk7wi02seJmMzlyN7G4ZOAMO3ATixstOMdSm1jRuollPTXsCT9qcK4dQphrmPHMgXHIxwAny02aWNH47kA4mlhcCkWkgK8jndm9NrBOwMf8gMEpEF7dAHWnBOvOnE8FTptDNrG4oYKzJ6WJFa2bWNY79YQfMWVGZV0y7WrRXWxKNoJ0Eysa3x0ARxOLSwDOrOQmVrTXBtUJ9owXbL3KyK+zyzy9mSRZdlF9XBSTIlc3k+BcRflFHN1k+eWSx7o2d2xOMNfn1iZWTKNE8fw3sQRBCDuC6CLfuVB0LRNN9A9F6RVOT1g5GxLQ6eJZ8rE/cnW4lmtovftRb4V8fPvG4pOvvLymvtvIWh9VX/e8/tfqf/of/rT6Rz5+KcBno1fm1ZdeSfVEXgSTarUfqup73tZh3b5x+zergVq/kOD2J6PTUagmcT6an8wO/83oyZ/Emf7hekPni/oV/8+b9xMY/2JUtH9RB1VxfNimZv7kSf0D93Wwd/aIdIfvndGXnvxJWH/ty6Pbv246bSevPBkVQRDXT6W1rdAatNOwe2vx66D+rrcXvzBdbgeilxthF3qIrQpBEpk2nInjkSiHxyacIAW1AYCMhWN7RJDEWwsumJp3zx7L4hGm2yHW+e1qvzmkMnccOioKTih98BL13kOKcaAswzqXpaPegAhdXweuf0hLOWj9wFe9IihW6Fa9/1fXl9/5xre+acgEQ+4rE2al9BMHZhLkXUxbL84eK0XEN+0487bmA3a03YvMkVlQqddis5JqLxbPtU3qWaWdPteC0RR3JcST</t>
  </si>
  <si>
    <t>r8zYwd+rfPboNyt8qw1xtV99pLZKx4VI6BD4roOO/EhHfmSL/IgfuaJHju82VIEf68CPbYEf8wPHr3p+ZV1tZqr90gZQsgHubVH1ANCul1Md9akt6lN+1HgZJ+5MVUGf6aDPbEGf8YJ+qZ7r2D09hmx3UCsXQxhYE4+FypuPppE53AfscLtVfUN/yLv1cl/vIPxLNRt9Vk9M1SL+8/pc6jduX9fujw9Gq02GF/qbVxsMeiegfm+Nfovim6N6t2X9GpulJ7o+4Xrx8e1f628xpeEhOw3deWEQg8jiLb0rMtEbQcsdo9dv36yCf15lQB+ouPhwubmhvTOjxYd6/q63WWrfzBd3t5G0Wab61bOXE7N6h+TtD16a+qemtPwpOy2KlBYgJabwDtjhgS0zylaMHiVTkF9lBwl2wAi7LA7jCDNGsPW16Q4KMzpKmwvIn+Xti9zoREwjhN0ObtjgnEp3hOSJKmK7J4QbLzixUj0hau0JsR6d94QfNTi/kpZM6MVxyA8bnA8Zi6S2NavGdxPv8IBwKRSRAr5udGb32sDur5W4AYMTGnuDzXalzPkhg9Mb0eARpXkRTAtjqX7KDxac5ygWD7W2eFjrxwk/YsrcN+QVUbJDlrZ0qPHdhDssHVwCcGokLpz1tdIGdX/NzAlWb+LutzrY67LZ2LOsls2pEyOy5hwLlblstlhMHrDDBad1dNmsF4qf6lVxtaCr1sjLFe5Iv8u1fkai+lx10vXC8bfV7394+8bq2QoT10M2Fzjv09bB6n+ql6064F8v/mFUrXdN69jOFnYNvPyT3y2/USP/5qVtgWeODPwpOwOKlAGA3hTeATs8UCEQlrwfr669T+q9FdvilxkuqA6GWfwyYwRFwaaLX2Z0FAGA5M8U3Ywd3bYXv9ywwZmRvvi1xfo1fqzg1Ehd+Kbrha/1zM8n/KjBGVJq4csNG5wAN1n4puO7iXcsfLkUikgBXzc6s3ttYPcXvtyAwWlNYuHLDRmc2ogL3yBPcpVF08y4ffaUHy44y1GWvul66WutICf8iCkz35DXRMkOWXrpm47vJtyx9OUSgBMjeemb7rVB3V/6coKt/UvL/6u+/j9/4+rq+psPq9XhvF4caob04jK6uDgPJtfJjZokeXAzyfPsZnKexMF5rJLw6up8+Z3tgjlSHfzrv7hur6a7GVj+i/DUdT8nZ4df+nphHL6vm8+X0djdVKCU9dh2iywEh1+mmuhVM9GrQkTdGgwR4ZdtBfTKK2aiV14RQHppgWe/JO1GjkEuyTDY/3qoqv8FmfniLBw3a5SGxpvVdPVBHMSrrwr+1Sr4V23Bv8oNvnuhQcETL7Qq+OpD6Q9L+NXFyIi/nky3fVWF5ospdL2NMUqj7V5N5qBfZQft5SoyB60vKkbUL23Nbu/aMYucr4eutxNF6b3DMPxeO+agX2UH7eXaMQetLypG1C/tJ2/v2okt107kBLI/7evl2jEH/So7aC/XjjlofVExon5p53N7105iuXZcz2REqdrutWMO+lV20F6uHXPQ+qJiRP2S3rnXEY3AzdQlC7xj3eUy0fxbvbfogLG/JhvcSn0pZvyiWW0ohMnKYzu1vuTh37HjT8jx45GfAJH/e3bkihI5u9yYqww35m6V6Y+ZerWcAjl/lR0/uK/KqTZVUveawO7XGk7AzS7U/g7I5HT/67FNKisnm/0pEi9TVrr/qiXwV9mBe5m20mqtbolcr+QZoe/EWt2y8bN6kaoNqNjuRWTZ8GEH7eUCsm3zsKLWYefbvnZyy7WTuYAyuxXPy7VjDvpVdtBerh1z0PqiYkS9E3Wn2P96pCzXj3m3vYHa8q5zsf+qJfBX2YF7uYaKagKzRK6vMEbou3AhRea3GH49dO6eZ9FWLyJL0K+yg/ZxAVmC1lcWI+qXVPS2Fu7NGw+joHeF828j54Z6Zt+O87CeB+L/d+z4E3L8eOQnQOT/nh25okTOr0KrN6wCKF9no3hY5gPxv8qOX3KZHwV7TWD3KhMrYB1xkKgbFV2Ek5viJpkk5xfZ5DzNw0mSnl8n5+fJtbq5eK0z8XWL1l+eW18rNEzhasrX8lCPavCcBczZ1bmfCjQHxlutF33z2y3svVy/LoZcXyJXYZ5E4fn1JE5UNkkursJJrtTNJM4iFarzNFDqcmcukQi6RJzNG1O+sBxs6xKJgEtECnnZEA3Sy+v0MpjEcagmSRGnk+Iyvp5kUX5xk53HV1dFvDOXSAxdIs4ejSlfWA62dYnEwCUihVxfItdJdnFRnGeTUKloEobX+SQPropJEKhApXkeFureXvPWLpEEukQSar6wHGzrEulvf3xdDLl9cd+2+w2R+e1PX9dxOMi32x63BP0qO2gvq2xz0HrrhhH1Szs0+hLa6io77b2R/q2+LByMW+2aA/H/O3b8CTl+PPITIPJ/z45cUSLnV6GmGvejfJ2N4mOV3R//q+z4RVfZ6V4T2P3KxAlYRxzfpEkYxzeT5CqrFllXV/GkiC8qyXQZX1zGxflllKyYdkD8ZJD4cfdjDIdoYjnYlvjJei/Xr4sh15fIxXl0dZFUy62gWmBNkji6muRZcjmJL6tvzYvLi/hqd5ZQOXSJuDsthnxhOdjWJZIDl4gU8nKVfRPFqojyyfXNRXVNFcXFJL+6VpOL7FIV2c1Nkd7ce/Rra5dIAV0i7oaKIV9YDrZ1iRTAJSKFvJTA10WqLvO4+mKYTJLg6mJSnAfFRN1ch1fh5U0Rnqe7conEAXKJxO6dbUO+sBxs6RKJ+7sPXxdDri+RTGV5eBOkk0sVXEySKIwmeTU1TS7Pr67C9OqyWqfvzI5/DO34x+7tb9OB3lAOtnWJADv+Ysi75P2MY/3ApuUZu9i9ob1d82cV+au2yF9lR+5jV6aKXD9UZ3vcjhV7rV22fS0l+19Pquspq/5bWB5Qj90b4Nu1glYAr1YAr1YAr1oAXv3/V/duPa4jWZbmX2nkUwE6BpC0C836LdBAzVPOg6vySLQ+/cBrVWAyIwoRUdMzDeR/HzO6XJ1DUWaLW2U0MRPJ9DiSn1jf4ib3JhcvZIBdKku4yhK+vGr/0xMGX4EEiH84/ZevxKQrsScXaXERgtJ5rxR1wu0T4ZYsfJeS8reVP1HuC44g/R/6Xu6rtbiMzgHfuQwyVk9Xzw7nkQH9F7J+sVk/rvwDUH4lK5dblNN3SV/DZBylIaMsd05xlK1F9C+AfkvWn/I8MpenL2GPeyaKYK8Yu2znTY7dFHTsprZZgXqQ69gtHns0yZAPd7UWh6IGHjzvvuYX5kGuEgGihmTIh7tai0NRAw+ed1/zC/MgV4kAUUMy5MNdrcWhqIEHz7uv+YV5kKtEgKghGfLfb0/ov2HnPlAS8XPq30XwnLrOelsLoP9C1i8268eVfwDKr2Tly40qPp2/UERnAKUho+xwoATot2T9KQ+URHH6EvZwoEQS7BVjV168R/8SUMglgonPoxWoB5n6lwBCrmTInyNOXWtVTZoJ0fJ7r2vfcsQRFVQiwXBmzS/Mg1wlAtzWkgz5bS5IF+JbI0v3vyfPLxHBuETnvTDdibdOvH0i3pLF75EuCB9TOfVu8eyJJiT975BViSdPpBAiCKTyVtOTp1GQRe9SRc8eREFS/Q+143dMWY+64mfmvwsZZHx+qcMeR11x/ReyfrFZP678A1B+JSuXW5TT90JfPT6O0pBR9jjqiuu3ZP1Jj7rk6UvY456JIvhwR11QPCXUNitQD3KN1EA8lQz5cLc5CCieEuGsZsUvzINcJQLEU8mQD3ebg4DiKRHOalb8wjzIVSJAPJUM+XC3OQgonhLhrGbFL8yDXCUCxFPJkA93m4OE7oSR4ZPhK35hHmQqERkPLJpkyG9zek8+Iw+f+857LfoT0ZYseo8TMU9E+1N8BNX/cCImd/wt4+fJv8vgeXLz/IGtO5yIAfRfyPrFZv248g9A+ZWsXG5RTt8Lfe2N4ygNGWWHEzGAfkvWn/JEjKxOX8Ie90wUwfPwMxitZNcyWQ+aCSU4070uWK3N0Ldd2elp+vEuww/0PDYZTFoerUA9yDX8AM9jS4b8eZ1wp0Q11SOr1KDe/Ao/CT2PTYqtfmEe5CoR4HlsyZA/S2QsBmn84ZZU/ryenlirxsrN0mNVFcL9Ve34NiUioRKRm/2CPMhVIvH0oUmGPJeI5sMkhXQHWbpV7nCrL93hlujYoLqun8qhEPVD1J2tRKAz/lJt9QvzIFeJAGf8kyHfj7LFsgaWRkAHfCQfPo+y9bdGCfe/J3d+y+AJbVMtHdj3aFt/s068fSLeksXvctStv/30k/JX0jyR76+uIej/h3M3vriyHn/HT4d/l8HT4Sbr5eeA/gtZv9isH1f+ASi/kpXLLcrp+6ev/XQcpSGj7HH8HddvyfqTHn/r05ewxz0TRbBXXPBKqNF1xWrwcafroazjqmAtV0qqQhremR/vMhZB+ZQMhjWPVqAe5BqLgHwqGfJn82pbUfmLJnrF3ZTNlZuy5dSxkVdaTXwqePc2F0IoKJ9SwbBmzS/Mg0wlooB8Khny5/F3W/Bx6CfWCXeELgqpmTE1Z9r9xlS0Re0O3N+mRKCbWFQwalnzC/MgV4kAN7EkQ/68iUUa2ephdB8W7rtlb1g7FiUzY123VT2KsRzepkQqqETC57zX7uiAPMhVIvFcokmGPJeIrGTXCi0ZF+XARKdq1taFqykh3c5GFmoa3+aBEArKAlT4xPiKX5gHuUoEyAKSIftTNO6X/at5sx5Eq/jZ7u9KBE14frfQDgfRgP4LWb/YrB9X/gEov5KVL7em+JHbC0V0BlAaMsoOB9GAfkvWn/IgWonTl7CHg2iS4KMdRCsoflJymxWoB7kaFxA/JUOeS6Rth6kbVcvarvRzUNWx1rU6poTsVDcZU9bibUoEip+U2uoX5kGuEgHip2TIc4lMfa+muuuZrvueCeMKqxNtzybVVlXbdVrX+m1KBLrhRIXzkhW/MA9ylQhww0ky5OMdIUE3nKjwiesVvzAPcpVIPFxokiH7Gsl5YBQ/U/1dhc5Ui5Iv2Xc9MIrrv5D1i836ceUfgPIrWflyI4pP4y8U0RlAacgoexwYxfVbsv6kB0bm9CXs8cCIItgr1nJShnPJ6k6X/i7bgXVuLmZTV6hx1JX7740pf7+qoeioDuUoK1agHmTqVzUQHSVDPtyBUQ1FR3UoR1n1C/MgV4kA0VEy5MMdGNVQdFSHcpRVvzAPcpUIEB0lQz7cGbgaio7qUI6y6hfmQa4SAaKjZMifV/d68ocLVZZOQFeWkoyYL++t5bem1t8aXbn/qW+NKdz/uPuf+3Pz5Ll5fkf41JbK5H3SmQOyDsg6IOuArAOyDsg6IPsEyJKB9rgMuPZv6qn9tcAOyS2UfwNU4Rf+hVDGf/qEy78uigDmyd7k/tw6fpr8ey2DjFkflAbov5D1i836ceUfgPIrWbncopy+g/va08dRGjLKDkfwgH5L1p/yCL6Wpy9hj3smimCvuK55IZTp2ehmdP+sG8G6vpxYP+iu1WXdazP8eJfBCsqt6nCIs/akDsiDXIMVkFslQ/6cqYp+7EbdM2Om1h3KtSUztZyYUoMo+3bgVVm8TYlAuVUdDnHWHiwHeZCrRIDcKhny329v4Lit8ewjTjyg+V6HAhpeFEsvdh1x4vovZP1pR5y48itZ+XKjivfVF4roDKA0ZJQ9Rpy4fkvWn3TE0acvYY8jDkWwV2zKqhhH5a9i125HNnLJtO5HVo69kaIbelXeNow36F/QLVB1KK9ZsQL1IFf/imdqTTLkzzPQhez7bprYoPz7GHrZMa3qktVtW+lRjO7z6l1KREM5lg6FOqt+YR5kKhEN5FjJkD/3IrVxf4ePu3Q9ue+6wtK86xgvxaR7Xui+f58SgXIsHQp11jcpyINcJQLkWMmQM1+ao+MBzXcdDmiy3vgP6L+Q9YvN+nHlH4DyK1n5ciOKj1ovFNEZQGnIKDtMvYB+S9afcurV1elL2MPUSxJ8uH4FJaY6HB+u3HmGeZCrXwGJaTLk40290IP3tNjqF+ZBrhKJ34XVJEM+3LGzhu580nKrX5gHuUoknmY1yZBzT73xaOS7DkUjosx6py6g/0LWLzbrx5V/AMqvZOXLjSg+ar1QRGcApSGj7DH1xvVbsv6kU686fQl7nHopgg/Xr6CsUoeCuxUrUA9y9Ssgq0yGfLypF7rHToeSkVW/MA9ylUg8vWqSIR/v2BlKjHQoPlnfpCAPcpUIkBglQ/664uE2Iea+4sHEo5HvJhyNVEsv9pyCAf0Xsn6xWT+u/ANQfiUrX25U8dHrhSI6AygNGWWHKRjQb8n6U07Bpjh9CXuYgkmCveK6Lcwwuh2Z1GPPRN1xZoZes37spClbKXXxNlfsGSirNOHg7sEK1INM/csAWWUy5M87dydTVN0kGK/Lzk3MnX+VoRhY2VZqKEUlTGnepkQqqERCScmqX5gHuUoknmY1yZC/Rpxb+8w+4sSjku8mFJXwImu8Dei/kPWnHXHiyq9k5cuNKt5XXyiiM4DSkFH2GHHi+i1Zf9IRh5++hD2OOBTBXvEghlq0Zc8q1bX+kTkjM22tWDWpoR54NQn5PiMOlF0asc0K1INc/QvILpMhZw6mTDyU+25kgF2Uz2+S3aNfxfVfyPrT9qu48itZ+XIjiu8kXyiiM4DSkFH26Fdx/ZasP2m/kqcvYY/9iiL4cP0Kus/SqG1WoB7k6lfxHLVJhpy7X8VDue8mHMrVTzfVPfpVXP+FrD9tv4orv5KVLzei+E7yhSI6AygNGWWPfhXXb8n6k/ar+vQl7LFfUQQfrl9BKbkJR8YPVqAe5OpXQEqeDPnvX69TNQ8niZdOQM/wIRkxP3CpLIon7CbAzgv8mi0IAN/bzE9VeqbaklUvdzCQangf8/nopGeq3W6GItvrzpyhr+4oyiKcu2UddZy46HZ/oRMkHXYQ7Ve6drlFO3m3s7qzoYveYbBBbLd0gpSjjVN1ukt72OvQNN+fFfjwTNFlAUH7UEoNfbWuJ227LMLRL/74LIgAL6hb73paQlTZ+zSvddn+E4ruN5l++LMSCkfDJnMJrcu2dNn7lNC67Lm4CLq98JvduQagrzNADi3aI9xgFEzryvLp2tllMIoTXOgEiQejuPYrXbvcop2+R7odmCIwDR1ml4EpTmDpBGkHJn66S1vZTVE0e9HlaJTstb9aqBRMFEPHjH/hq5zGcij7yZTtbcXkPx3kWJDzQe5r28xAXch0QsipjlZtkw56LpNK67FQvWDGaMXKcqyZLgbNikIWUmldmve5t6YsoPuF3de2Ooa5kK1M4rlskw768/pkWetyKhTrZdExUZUV02IYWN8OQ6mGXsqqe58ygdJQ97WtjmEuZCsTIA9NB307Sv/Hc4QZD7L0M/xQusLLaom/80HWumxLl73PQda6bP8JRfc8vWSvIPOsgoIPtdzwqjOIYHMFrcu2dNn7VNC67Lm2CLq9cJm7gsriW+Na7LdG1OJbI7lfaPGsqoJxzIandEFUW6vKoViPYj2K9Sj2GYqlo+xSaaV/cYhn+eknD/PTT57GLZ/gzLVJ4HmLfZjr5k3p32VTlcrXonxSfGXwpPyGh2VAQJuLr/xmPYX1FPYZhaVT7FN3pauycn5jjefwNbgOMtcogeQ9Kq5yFed2ym4h/aL2C+MWlS/Fyn9Q+Q944RfCL9wOshT+14Sr0VL6D6T/QPoPlP9A+Q9q/0Ht/4J6/kf/l2r/l2r/9+ln3boMBgUbLreFnNtc2pUrbWeX9XZZb5f1dllvl/V2WW+X9XZZb5f1dllvl/V2WW+X9XZZb5f1dllvl/V2WW+X9XZZb5f1dllvl31ml6Xbtc825F//5P3ySzkv63lp/LKat7Bq/rSaP+XFvBTz0u/xvXN+6bc/751fzp/K+VM1f6rmT+v503r+2+rPP5n/LXr+t+j5739i47y1E3ycjfz0MVe4sIbz3fkepMn6giknLnrUe6ETiM0EuPYPRPuVrl1u0U7e8z/Z71JFL/e7cdFbS+ZfENstnSBpWFBWp7u0ld0ORfPtxuGb8bn2PPdYs4wnOW6PFExFqoengu+7R4oTXOgEifdIce1Xuna5RTt5j3Q/IQrANHSYXfZUcQJLJ0i7p/KxZvks1iRpnk8tDx03rZ5YK2rFhCgqpsdRsFG0alCqbHk1/lgcBWULIkos1vRPuttiBupCriCiRGLNZNC+oX37zCDyNrJ4audWvQy6kPf6HIDgQidI3Mji2q907cuNKr7nfKGUzghMQ4fZpZHFCSydIG0jk6e7tJVGRtE8n6vj5dQWY8v6suBMuJ0b01U3MC6qvld9MYzd+ONtGhmWqJdqmxmoC9kaGZKoJ4P+OjIzP97kyCx+u6UrgWDiWz3PGXdpaHGCC50gcUOLa7/StS83rvge9IVSOiMwDR1ml4YWJ7B0grQNrT7dpa00NIpmL7oTg+RmEmyqK7dXK1TB2l5q1nWi42OnDR9uWO/Q0KAbkN3XtpmBupCtoQG3IKeDzvzMjLKMP4ParXIToBe5w444wYVOkLiBxbVf6dqXG1N8j/lCKZ0RmIYOs0sDixNYOkHaBmZOd2krDYyi2YvWXat7PU6sHtqaCdOOrOV14XZqpjS1LvpK37aQN2hgFfROYfe1bWagLuRqYFX8xugmHXTuBlbFH0LtVnno2gNRPr8hc48GBhBc6ARpGxig/UrXvtyY4nvMF0rpjMA0dJg9GhhAYOkESRtYVZ7u0h4bGEnz8RpYhTWw0CUNK2agLmRrYPFrT5p00NkbWDzPdqs8lA2LzBd3AAQXOkHiBhbXfqVrX25M8T3mC6V0RmAaOswuDSxOYOkEaRuYv7ijenZxB0nz8RoYdnGH36a3mIG6kK2BIRd3JIP+ysTK260Ofu1nDcWqeLDtakAG7OBV1lcaIwQXOkHijhbXfqVrX25d8V3oC6V0RmAaOswuHS1OYOkEaTuav8rjJm2lo1E0zx3NDJUqRMWkkCMTU9UzUxcFK4vKtGaSRSUfbtrK19Gwqzx8KW0xA3UhW0dDrvJIBj2XSVuWQklhmCp7yYTQNetkX7Opq4diKLVUyrxPmUBvwS6rcJC84hjmQrYyiSf+TTroz4h90tXYCcE60VdMlKZnXcsnVlSl1FVdyk6+UZlgEXsVTptXHMNcyFYmSMSeDHouE1FOdVF3htX+mT6iLEqm1VSxup0qMyg5yWl8nzKB3obtvrbVMcyFbGUSj1+bdNDvco08j8d5392Xgi5kfe8WQnChE4jNBLj2D0T7la59uVHFx/UXSumMwDR0mD2OngACSydIevTE/UO/+bOHfpM0H+7oiUOvxXZf22YG6kKuRsbjMWyTDvp4YzHHck8eigBXHcNcyFYmSO6ZDHouk2JQRknZsVErzkQrCta2rrjGXrd66pQZRfc+ZcKxMgnfR7viGOZCtjKJZ2JNOujc8TiPZytulYsAvch8yyhAcKETiM0EuPYPRPuVrn25McXnrxdK6YzANHSYXcbhOIGlE6Qdh8XpLm1lHKZoPl4Dw57VzeU2M1AXsjWweATWpIM+4DiMZU48FL+sOoa5kK1MkMwpGfQBD66xzImH4pdVxzAXspUJkjklg84+DsejFLfKg29Mraol/b7jcJzgQicQmwlw7R+I9itd+3Jjis9fL5TSGYFp6DC7jMNxAksnSDsO69Nd2so4TNF8vAaGxZzcbDMDdSFbA0NizmTQxxuHBXZbpwje4bjmGOZCrjIR8eirSQd9vINrgWVNIngn2ZpjmAvZygTJmpJB5x6HRTxCcas8FKGIzM9fAggudAKxmQDX/oFov9K1Lzem+Pz1QimdEZiGDrPHOAwQWDpB0nFY+Gd436Q9jsMkzcdrYFi8KcJ3kq08ighzIVsDQ+LNZNAHHIexe+yE2OoY5kK2MolHX0066OMdXAssaxJyq2OYC9nKBMmakkFnH4fjEYpb5eEI5fnL6HYZh+MEFzqB2EyAa/9AtF/p2pcbU3z+eqGUzghMQ4fZZRyOE1g6QdpxWJ3u0lbGYYrm4zUwLN4U4aTvwQzUhWwNDIk3k0EfcBzGbqkT4URlxTHMhWxlEo++mnTQBzy4xrImYbY6hrmQrUyQrCkZ9O2WOj91Zb2lTsajlO/uSwEXeFUvXdh1LAYILnQCsZkA1/6BaL/StS83qvgc9kIpnRGYhg6zx1gMEFg6QdKxWPpb6uSzW+pImg83Fkss5pThu8sezEBdyNXIJBJzJoM+3rwjK6xMQsnKqmOYC9nKJB6BNemgj3f0JLHMSYbvLltxDHMhW5kgmVMy6NxniWU8SnGrXAToRebn8wEEFzqB2EyAa/9AtF/p2pcbU3z+eqGUzghMQ4fZZRyOE1g6Qdpx2N9Sd5O2Mg5TNB+vgWExp5TbzEBdyNbAkJgzGfQBx2HsljoZTlZWHMNcyFYm8QisSQd9wINrLHOS4fiF/uDLXGWCZE7JoLOPw/Eoxa3ycJSS94FrAMGFTiA2E+DaPxDtV7r25cYUn79eKKUzAtPQYXYZh+MElk6Qdhz2t9TJZ7fUkTQfr4FhMaef4raYgbqQrYEhMWcy6OONwwq7pU6F7y6jP1QqU5moePTVpIM+3sG1wrImFb67jP6IulxlgmRNyaBvF0147qwXTah4lOJWfThKyftmaIDgQicQmwlw7R+I9itd+3Kjis9hL5TSGYFp6DB7jMUAgaUTJB2Llb+17ibtcSwmaT7cWKywmFOFE7+1lyRDLmRrZEjMmQz6gGMxdmudElsdw1zIVibxCKxJB33AsRjLnJTc6hjmQrYyQTKnZNC5zxKreJTiVnk4Ssl7DTFAcKETiM0EuPYPRPuVrn25McXnrxdK6YzANHSYXcbhOIGlE6Qdh/2tdTdpK+MwRfPxGhgWc6pw4ke/AG5tm4vC/ydsd0jMmQz6gOMwdmudCicr9Mtpc5VJPAJr0kEf8OAay5z8Kxu3OYa5kK1MkMwpGfTtLLFv9lnPEtfxSOW7+1LABV6ZpQu7jsUAwYVOIDYT4No/EO1XuvblRhWfw14opTMC09Bh9hiLAQJLJ0g6Ftf+1rr62a11JM2Hm3dqLO6sw3eZPZiBupCrkdVI3JkMei4T7BWt71ImFVYm4WRlxTHMhWxlEo/AmnTQuU//1fEoxa3y8FMK86bhAMGFTpB4zolrv9K1LzemeGN9oZTOCExDh9llzokTWDpB2jmHn+7SVuYciubjNTAs5qzFNjNQF7I1MCTmTAY9l0lblkJJYZgqe8mE0DXrZF+zqauHYii1VOp9zhLXWMxZy62OYS5kKxMk5kwGnX3OiSc7bpWHU5LM53PiBBc6QeI5J679Ste+3JjijfWFUjojMA0dZpc5J05g6QRp5xwfc96krcw5FM3Ha2BYzFmHE7+VY1bMhWwNDIk5k0EfcBzGYs46nPjRT23kKhMk5kwGfcuv/M4ib34VT/HcqjcBFzgvli7sO+/ECS50gsTzTlz7la59uVHFG+wLpXRGYBo6zC7zTpzA0gnSzjvmdJe2Mu9QNB8uv9LYXZ06GOY9moG6kKuR6Xjq2qSD9o3Mk5e31e6vy8na0XQ8znM1EIzzePV0I96jowEEFzpB2o4GaL/StS+3rvgu9IVSOiMwDR1mj44GEFg6QdKOpsvTXdpjRyNpPtyhma6wjhZMnR/NQF3I1tGQqD0Z9Of17F0/thM3TArRM1HribWqcMf9ZaeHsmsH7h+3/S5lgt3eqYN3Oq45hrmQrUziMWyTDnouk7KvKm3Gial6HpIqwTQfDBuEVHVdFkOh1PuUCZZ7arHVMcyFbGWC5J7JoHMHWjoe57lVLgP0IvMJHoDgQicQmwlw7R+I9itd+3Jjis9fL5TSGYFp6DC7jMNxAksnSDsOy9Nd2so4TNF8vAaGPcVWq21moC5ka2DxGLZJB33AcRjLPXUwAlxzDHMhW5kguWcy6AMeXGO5pw5GgGuOYS5kKxMk90wGfcs93V+f+SxxPOpxqz4cmzy8J3vfsThOcKETiM0EuPYPRPuVrn25UcXnsBdK6YzANHSYXcbiOIGlE6Qdi33ueZO2MhZTNB9u3jFY7mnCEeCDGagLuRqZQXLPZNBzmYymKPppalnbdS0TYhCsM3xkahz7cpBcGsXfp0yw2ztNOFlZcQxzIVuZxCOwJh308cZig2VOJhy/rDiGuZCtTJDMKRn0fBXFjL6sg6UVv4/9Hz//+ksCJ85/+fM/OUTxzS2UX+hvTVUUflH5hfAL5Rf+g9J/UPoPSvHMrXD08vBe7aczD8SMjz0e1HpQ60GtB7Ue1HpQ60GtB7Ue1HpQ60HtM1BLB12ORhAoPB15TjcEOVC/VPNSu6Vn9ctqXop5qebl/Gk5f1rOnz5B9n8ThXk+43gr7B+ZjwBNPBZyezkRpMz72huA4EInEJsJcO0fiPYrXbvcop2+x7z3jjhMQ4fZ4wgQILB0gqRHgMa/BfImbWU3RdE8HwFWYyULN/x34zC6w4DSsLYUgvFCV3U1Tv1YDT/eZmbDblU1cpsZqAvZZrZ4nNekg86d7Jt4LORWuQrQC14+3WZ3aWBxggudIHEDi2u/0rUvN6b4HvOFUjojMA0dZpcGFiewdIK0DczfqnqTttLAKJq9aDOKqdaqYlNvBCvL0TBdjD0rCllIpbXbMT4cbOZrYFhka8Lp5YMZqAvZGhgS2SaDzt7A4kmkW+XhJLJ6us3u0sDiBBc6QeIGFtd+pWtfbkzxPeYLpXRGYBo6zC4NLE5g6QRpG5h/8ah59uJRkub5rDkvu0oOPVNyFEzIQbFuqidWjy0XQ9kKJacfb9PAsIdAm1AguWIG6kK2BhZPjpt00F/3Ht7Weu5bD6sinkh+d18KuMF51ockIgQXOkHShoZov9K1Lzeu+B70hVI6IzANHWaHhoYQWDpByobmVJ3u0h4aGk3z3NBUPdStVKwsSn9lgaqZHvuJ9dyHg904DOJtGlpVQFcLuK9tMwN1IVNDczzRqm3SQX81tNuOMn9Di4firgSCobjIevMQQnChEyRuaHHtV7r25cYV34O+UEpnBKahw+zS0OIElk6QtqFVp7u0lYZG0exFa2V0W5UdM/WkmRiKibW9P+1UDLWoqolXw63K3qGhQTdJu69tMwN1IVtDA26STged+RRjVcRzbbfKRYBe5L3MHyG40AkSN7C49itd+3Jjiu8xXyilMwLT0GF2aWBxAksnSNvAxOkubaWBUTQfr4FBF3m4r20zA3UhWwMDLvJIB/11RHYDz39EFs+5XQmogBtcVE+34V0aWpzgQidI3NDi2q907cuNK74HfaGUzghMQ4fZpaHFCSydIG1DU6e7tJWGRtHsRZfcP6R6KllVC8NEVbSf7+LtTFt2ZaknXb/NRR9VAV304b62zQzUhWwNDbjoIx109iOyeM7tVnk4M35+Q8UuDSxOcKETJG5gce1XuvblxhTfY75QSmcEpqHD7NLA4gSWTpC2genTXdpKA6NoPl4Dgy76cF/bZgbqQrYGBlz0kQ46dwMr47n2d/elIL18us3u0cAAggudIG0DA7Rf6dqXG1N8j/lCKZ0RmIYOs0cDAwgsnSBpAyv9RR7ls4s8SJoP18BK7CKPMnS9w4oZqAu5GliJXOSRDDp7A4vn2G6VhzJhkffGZ4TgQidI3MDi2q907cuNKb7HfKGUzghMQ4fZpYHFCSydIG0D8xd13KStNDCK5uM1MOyijjL4Xuu1e4AxF7I1MOSijmTQX5nYbfvMnomV8VzblYAIuMFF3lOKAMGFTpC4ocW1X+nalxtXfA/6QimdEZiGDrNLQ4sTWDpB2obmL/K4SVtpaBTNXrRoC2NUUTLTDpKJviqYHlXHxokPsmrLUnXDj7dpaNhFHqXcZgbqQraGhlzkkQz6/vS1h4c1Lq2AHtBFcmJ++lpV1t+aqvJPVav8T7z0C+kX/plrwj9zTfh/lP4n6X9S/iflf6r9T7X/SRfPHFRBB/FzSZAP+M5rfiKbh7ce3np46+Gth7ce3np46+Gth7ce3np46+Gth7ce3j6Dt3T45U4Pgof3e59PafPwblnNT12r5p8dv1/KeTk/mU3MT2YT85/I+Wc5/6zmn9X8cz3/XM8/P7HC/9soXsxm/HiTmS8eoru9ZDhEr5+u8V1mvjjBhU4gNhPg2j8Q7Ve6drlFO32Pe+89cZiGDrPLzBcnsHSCtDNffbpLW9lNUTTPJzFaPnK3d2SyaxUTZqxZ1/XaHdia0R3KVtq0b/P87qqEXkThvrbNDNSFbDNf/OKHJh30XCZKDHXdj5x1pdZMKFkx99ud+612KDvVDlr271Mm2NUGpdnqGOZCtjJBrjZIBv15m0DLpSqEZp3214rX48j0UAnW16otpP93FN3blEkFvQ3AfW2rY5gLucqkiifRTTroW5m4P6m1ZFzK2peUZP4N6qzveS/d8N6r1rxPmWDRbxW81X3dMcSFbGWCRL/JoHNHv1U87XKrPJwc5T1qAggudAKxmQDX/oFov9K1Lzem+Jj+QimdEZiGDrPHURNAYOkESY+aKh/9Vs+iX5JmL3oQbd2aemRlqUq3F6sG1lZtz/g46Va3o+7H9xmHKyz6rcIp6Mq+HHMhWwNDot9k0HOZTC031VRL5ubkigkpS/ddM7BeuuanxaB1V79PmUAvPa/8rn+bY5gL2cokHgM26aCPd3BdYbmbX5XbHMNcyFYmSO6WDPp4p+oq6A3UVRWKV1Ydw1zIVibxG22bdNBf1xv5KwA8efbwqYqfb3c1ED53bZZ27HsYFSe40AnEZgJc+wei/UrXvty64nP7C6V0RmAaOswuh1FxAksnSHsY5cOn6ln4RNI8z8di7IxSLevc//vH73dMF1P3lm9eqCosfKrCOcyDGagL2ToaEj4lg57LRI7ueEtoyfpxcodcXaeYacXIZDEO0nXTqRvU+5QJFj5V4RxmxTHMhWxlgoRPyaCPdxjFsfCJh3OYFccwF3KVCUfCp2TQuVMFHs9U3CoP306X97H3AMGFTiA2E+DaPxDtV7r25cYUn79eKKUzAtPQYfYYhwECSydIOg7z8nSX9jgOkzQfr4FVWAMLRywrT4DHXMjWwOJZWJMO+njjMMfCJx7OYVYcw1zIViZI+JQM+ngH1xwLn7jY6hjmQrYyQcKnZND308W33UX208U8HrK4GpABO7jM+qJehOBCJxCbCXDtH4j2K137cuuKD2QvlNIZgWnoMLvMx3ECSydIOx/L013aynxM0exF635ouZKCVco1PqGm1u3W1Mh0X7SF1lUx1NOPt+loWADK1TYzUBeydTQkAE0G/XlvKq91X5f+0oveDUnFJJkeCtcHZWvKaixEb4b3KRPs0b48GLGsOYa5kK1M4llYkw7aDz7fPl8elnfeiWcrbtUHsxVZLV3Yd96JE1zoBInnnbj2K137cqOKN9gXSumMwDR0mF3mnTiBpROknXf8I375s0f8kjR70cNYVmqYJsarofCHcSNry6JiQ6lU2fZF15mH5zDka2RY7smDEeCjGagL2RoZknsmg74fwesf73EEL+L53nf3paAdeZ8wBRBc6ARpOxqg/UrXvty64rvQF0rpjMA0dJg9OhpAYOkESTua8M/8Fc+e+UvSPB/BF1KXXVuwduIVE6UomCmMZlM7SN2XRnZF++NdOprAbvwUwXsgH81AXcjV0UQ8l23SQc9l0pmBj6U7glOFcIdxQo/McG2Y6SWvx1qKTrzPle4CC0JFKBNcdQxzIVuZIEFoMujPRywNFS9kW7HClNPnd9upr1mpu5a7QUl0k36fMsGCUBHKBFcdw1zIViZIEJoM+nNv0vWj2+kYJoXwr5TXE2tVId0+qNOD2yUNXL7R3gQLQoXY6hjmQrYyQYLQZNC5rwsU8ajHrXIZoBc8720yAMGFTiA2E+DaPxDtV7r25cYUH9NfKKUzAtPQYXY5aooTWDpB2qMmn3vepK0cNVE0H6+BYbmnUNvMQF3I1sCQ3DMZ9AHHYSz3FKEIcNUxzIVsZYLknsmgD3hwjd10J8JvUVzbsCAXspVJPAtr0kF/7k26gXPlvtb1k9vftKJlbVsVrC9UNdVcF2P/RqfqsPBJhHKY9Q0LciFbmSDhUzLo3EdNMn56/Xslg6+nE8WSftejJoDgQicQmwlw7R+I9itd+3Jjio/pL5TSGYFp6DB7HDUBBJZOkPSoSfqsST7LmkiaD5c1SSxrksFbyx7NQF3I1cAkkjUlgz7eOCyxrEmGYpdVxzAXspUJkjUlgz7ewbXEsiYZvP9szTHMhWxlgmRNyaCPd6pOYlmTFFsdw1zIViZI1pQMOvtRU/z0ulvlMkif9x47gOBCJxCbCXDtH4j2K137cmOKj+kvlNIZgWnoMLscNcUJLJ0g7VGTz5pu0laOmiiaj9fAsKxJBmOXRzNQF7I1MCRrSgZ9wHEYy5pkMHZZcwxzIVuZIFlTMugDHlxjWZMMxi6rGxbkQrYyQbKmZNDHy5okljXJYOyyumFBLmQrEyRrSgZ9v9HJfJJnv9FJxc+3f3dfCtjB3fTybHLc4zAKILjQCcRmAlz7B6L9Ste+3Lric/sLpXRGYBo6zB6HUQCBpRMkPYxSPnxSz8InkuZ5PyUKKftaMv+uD7dbm2rWiqFlxs1HhRZKquJ9bt1VWPikwvf8PJiBupCroykkfEoG/Tkfj7Xq6qlgg67ckFSVnLVFJ9kgBtMVWpd6Kt+nTLDwSYXv+VlxDHMhW5kg4VMy6OMdbSssfFLhe35WHMNcyFYmSPiUDPrz+bGTLtQ0FGyqCvfdXhmmB2NYP46iUHxqC1G/T5lg4ZMSWx3DXMhWJkj4lAw6d/ik4ufb3SqXAXohqiX9vkdNcYILnUBsJsC1fyDar3Tty40pPqa/UEpnBKahw+xy1BQnsHSCtEdNPny6SVs5aqJoPl4Dw8InFc5hHsxAXcjWwJDwKRn05zgs5Vh1o2Sm7/xTsGXF3KFWxYThoqx02WvzRuMwFj6pcA6z4hjmQrYyQcKnZNAHPLjGwicVzmFWHMNcyFYmSPiUDPr2lL1e6rrVTE1i9OdrOtYNbmFaVRel7tu6ep+3bigsfFLhHGbFMcyFbGWChE/JoL/Cp+qWVWcPn+r4+fbv7ksBO7jM+x4pgOBCJxCbCXDtH4j2K137cuuKz+0vlNIZgWnoMHscRgEElk6Q9DCq9uFT/Sx8ImmeRZu2M0XBmewE968QqpnuWj8pKVXpQoqhHn+8S0ersfCpDucwKy9BwVzI1dFqJHxKBn28wafGwqc6nMOsOIa5kK1MkPApGfTxjrZrLHyqwznM2oYFuZCtTJDwKRn08c7d1Vj4VIutjmEuZCsTJHxKBv33z7du+JWe9+gpft7drXoZdCHv0/YAggudQGwmwLV/INqvdO3LjSo+rr9QSmcEpqHD7HL0FCewdIK0R08+hLpJWzl6omieTxubQbaCa1a1pWFC6Yl1/gIMrYQehnIY5ovh36WRYSFUHcpjVsxAXcjWyJAQKhn0XCa87Y0euWKyH/yF633NTFkqpk3dl31fdoN6n3sWaiyEqkN5zKpjmAvZygQJoZJBz2XSV4ZXVdmxwfCeCVEJpquiYGPZGdPVparH97kQuMZCqDr8QqMVxzAXspUJEkIlgz7g0RMWQtWhPGbVMcyFbGWChFDJoHNfuqfjp9m/uy8F6B3/kn7XoyaA4EInEJsJcO0fiPYrXftyY4qP6S+U0hmBaegwexw1AQSWTpD0qEn7zEk/y5xImg/XwDSWOenwg+cezEBdyNXANJI5JYM+3jisscxJh+KXVccwF7KVCZI5JYM+3sG1xjInHX7w3IpjmAvZygTJnJJBH+9UncYyJy22Ooa5kK1MkMwpGfR86Z5HF8s6WFrx+9j/8fOvvyRw4vyXP/+TQ1TP2GWAnatiyf500IUI8FnXy7bPZFu67OV0C8mGB1yv2s+x67L9JxTdXvjtWvHsF3/q+LlvtxcJnvtW1dO1s8uBeJzgQicQmwlw7R+I9itdu9yinb5Huu+b4zANHWaXA/E4gaUTpD0QV6e7tJXdFEWzFz3VU9fXxcBKNzu5xjiUbszWipVcDVPVqbrl44+3mYmwXEoHI5pHM1AXss1ESC6VDPpzJprZl4Ww9ALqzSQrbkOR+dbwmj9zIBi5KPwUIISB73xuk5H5Zp9pt3Tt+4xH5ttPPz0T7z+nqP+HISlfRZnim1twv6hdbRWFXwi/0G5RVn6h/MJXXsX9wv8j99/j/h+5/zVR+oX0C/896T+Q/gPlP1D+A2WeVW0wAVIPb6ndt2qdP9b7Y70/1vtjvT/W+2O9P9b7Y70/1vtjvT/W+2O9P9b7Y70/1vtjvT/W+2O9P9b7Y70/9pk/lu7PLluG88cv+bys/VZSFPNSzEvtl84lv1Tzct6SKj4v5z/h8/f5/Cd8/hucW34p5+X8fTl/KudP1fypmj99Ytq8xRJce6fDFhOPTL67LwUp8z4wESC40AnEZgJc+wei/UrXLrdop+/hv8YnAKahw+xx2AIQWDpB0sMW4/ND8yw/JGmeT+UW0pSFHplSvb8jRSpmaiVZbyoxir7odPc++aHB8kMTvH3r0QzUhVyHLQbJD5NBz2UytiMfOlMyZfwz6rkPkXjdMdl3VVsqLYo3urXRYPmhCUVpq45hLmQrEyQ/TAb9dbP+bSLIP/fEYzJXAsFbs1Tee/UBggudIPHcE9d+pWtfblzxRvtCKZ0RmIYOs8vcEyewdIK0cw8/3aWtzD0UzfPco7tBDuPI2m70r0kwLdOq71g71HqQshuGafjxNg0Ni7CN2GYG6kK2hoZE2MmgP4/iy6nuh0mxsq8qVpajYboYa1YUspBK69LIh5O5+cpEYmUitzqGuZCtTOK30jXpoD/3JrxrS10WjJfKjdJlqZkpxo71Y2UG2Wte1Op9ygS7d82orY5hLmQrk3hk2aSD/hqPb+D5x+N4FOZKIBiF1c+vNdllPI4TXOgEYjMBrv0D0X6la19uXPF57IVSOiMwDR1ml/E4TmDpBGnH4/p0l7YyHlM0e9HGlO1Y1Zy1SnMmxto1Pz0OjHel4aYbJ1G+zxWeBrt90gTD1UczUBeyNTTk9slk0J/Xi2sl9VRL1s/f5WPPWtEKNpbV1Jqi79zyfcoEu33SBBO/NccwF7KVCXL7ZDLozLdP8iKe+Hx3XwrQu/8s6feccxCCC50g6ZyDaL/StS83pnhjfaGUzghMQ4fZYc5BCCydIOWc41Sd7tIe5hyaZi9a9dUktXEtbuoNE2IqWDsWnfvH1lTVONaS3x4+nL+B8QKKP93XtpmBupCpgTmeaNU26aA/b5/s+Ti01cTcRzUTrVJMi6pjY9XqThaFafu3eaQ9L6D4031tq2OYC9nKBIg/00Ef7qiJF9Dtk7wI30m44hjmQrYyiUdhTTro7ONwPFJxq1wE6eWSft9xOE5woROIzQS49g9E+5WufbkxxeevF0rpjMA0dJhdxuE4gaUTpB2HxekubWUcpmg+XgOD4k73tW1moC5ka2BA3JkO+oDjMBR3uq9tdQxzIVuZAHFnOui5TIZiLOu2EIz3Q8GE9EdYatKsa2vV9lq4xdtcW8wL6JZI97WtjmEuZCuTePTVpIP+SsVvTcW1raypOC/ikYorgXCkUi3d2Hc8jhNc6ARiMwGu/QPRfqVrX25c8XnshVI6IzANHWaX8ThOYOkEacdjfbpLWxmPKZq9aFnKqR4EZ9z4Kwe5a36tGQyrupEPoix6908/3qahQXGn+9o2M1AXsjU0IO5MB/35zCNdTKYXigkt3Shdu19oe14wLoqhrsapEG8UKpQFVCZl8AazNccwF3KVSRmPwpp00Id7dKdDxsokeBfammOYC9nKBMmekkHnPltcxiMVt8rDkUrWe8cRggudQGwmwLV/INqvdO3LjSk+f71QSmcEpqHD7DEOAwSWTpB0HC6r013a4zhM0ny8BobFnWU4+Vu5PxZzIVsDQ+LOZNAHHIehW+3c17Y6hrmQrUziUViTDvozVJDjYAptWDdKyUQ3aldSHWfFVGnVVkPXtfJ9ygTLnkq51THMhWxlgmRPyaCzj8PxSMWt8nCkUi/p9x2H4wQXOoHYTIBr/0C0X+nalxtTfP56oZTOCExDh9llHI4TWDpB2nFYne7SVsZhiubjNTAs7izDyd+DGagL2RoYEncmgz7gURN0ax0vQ4nKqmOYC9nKJB59Nemg//75wm7PnTUNL+NRilv14Sgl66vnEIILnSDxvBPXfqVrX25U8Qb7QimdEZiGDrPLvBMnsHSCtPOOOd2lrcw7FM1edFfqVinTMyk7w0TLO2a6sWda8HEaDS8m3v94l0ZWYTFnFU781l6IA7mQq5FVSMyZDPpz3mlb3XH3tVpxwUQxGdbK3i2KquxHLqe6lO9TJljMWYUTv7WX9UEuZCsTJOZMBn28sbiqsDIJJSvrjkEuZCuTeATWpIPOffqvikcpbpWHo5SsTxRFCC50ArGZANf+gWi/0rUvN6b4/PVCKZ0RmIYOs8c4DBBYOkHScbjip7u0x3GYpPl4DQyLOf02vcUM1IVsDQyJOZNBH/CoCYs5/arc5hjmQrYyQWLOZNDZ55x4suNWeTglMUv6feecOMGFTpB4zolrv9K1LzemeGN9oZTOCExDh9llzokTWDpB2jnHx5w3aStzDkWzF43dCfEuDQyLOatw4vdgBupCtgaGxJzJoA942g+LOatw4rfiGOZCtjJBYs5k0Ac8asJuqatCicq6Y5AL2cokHn016aBzj8M8HqF85zz4AEJZLOl3HYcBggudQGwmwLV/INqvdO3LjSk+f71QSmcEpqHD7DEOAwSWTpB0HOb+CaL82RNESZoP18A4Fm/y4MM0H81AXcjVwDgSbyaDPt5RE8fiTR5K+lYdw1zIViZIvJkM+utZOOXtZqjcr4jhPB7xuBoIvoCtzvusSIDgQidIPPjEtV/p2pdbV7zTvlBKZwSmocPsMvjECSydIO3g4/NO/izvJGmeBx/uj+wNZ7oQAxNSte4AvxsZ76rCiG7g9WR+vE1Hw/JOLraZgbqQraMheWcy6M+8E3o/2ruUCZZ3crnVMcyFbGWC5J3JoA94GIU9UpSrrY5hLmQrk3gW1qSDvt0V41d63rE4nq24VR/KVnid96E4AMGFTiA2E+DaPxDtV7r25UYVn8NeKKUzAtPQYXYZi+MElk6QdiyuT3dpK2MxRfPxxmIs9+ThB2auPR8GciFbI0Nyz2TQBxyLsdyTm62OYS5kKxMk90wGPZeJVrrq66FmHa8LJtQ4MdOLjnHDCzOZtuXj+7yQQWD32Inw7WYrjmEu5CoTEc/EmnTQueNxEc9W3CoPZyvlkn7XcRgguNAJxGYCXPsHov1K177cmOLz1wuldEZgGjrMHuMwQGDpBEnHYVGe7tIex2GS5sOd1xFY7inCEeCDGagL2RoYknsmgz7eOCywR4mK4J1ka45hLmQrk3gE1qSDPt7BtcAyJyG2Ooa5kK1MkMwpGXT2cTgepbhVLoP01ZJ+33E4TnChE4jNBLj2D0T7la59uTHF568XSumMwDR0mF3G4TiBpROkHYfl6S5tZRymaD5eA8NiTqG2mYG6kK2BITFnMugDjsPYPXYilKisOoa5kK1M4tFXkw76gAfXWNYkgrebrW5YkAvZygTJmpJBZx+H4xGKW+WhCEXIvI8QBQgudAKxmQDX/oFov9K1Lzem+Pz1QimdEZiGDrPLOBwnsHSCtOOwf4ToTdrKOEzRfLh4U2LxpgzfSbby/DvMhVwNTCLxZjLo443DErvHToYTlbWHrkIuZCuTePTVpIM+3sG1xLImGY5d1p6mCbmQrUyQrCkZ9N/f5Mn6Mh6luFUfvjMn75uEAIILnUBsJsC1fyDar3Tty40qPoe9UEpnBKahw+wxFgMElk6QdCyW/tY6+ezWOpLm4zUyLOaUYpsZqAvZGhkScyaDPuBYjN1aJ+VWxzAXspVJPAJr0kEf8CAby5yk2uoY5kK2MkEyp2TQt7HYV0HesTgeqbhVH4pUeJ33CfsAwYVOIDYT4No/EO1XuvblRhWfw14opTMC09BhdhmL4wSWTpB2LPa31t2krYzFFM3HG4uxuFOG7zJbe9g85EK2RobEncmgj5eKS+zWOmk2Owa5kK1M4lFYkw76eEdPCsueVPgus7V3EkAu5CoThWRPyaDvT2S7rfbsT2RT8YzF1UDwNW26WNqx63wMEFzoBGIzAa79A9F+pWtfbl3xgeyFUjojMA0dZo/5GCCwdIKk87Hy99qpZ/fakTTPHa2Qpiz0yJTq3W6tlYqZWknWm0qMoi863b3P4KOw/FOFosAVM1AXsnU0JP9MBn28+Vhh99qpYNSy5hjmQrYyiWdiTTroA87HWAilxFbHMBeylQkSQiWDfpcnsql4xuJWvQy6kPcRFADBhU4gNhPg2j8Q7Ve69uVGFZ/DXiilMwLT0GF2GYvjBJZOkHYs9vfc3aStjMUUzccbi7H8U6ltZqAuZGtkSP6ZDPqA8w52z50KRi2rjkEuZCuTeCbWpIM+4NETFkKpYB6z5hjmQrYyQUKoZNC577lT8WzFrfJQtiKkWNLvOw7HCS50ArGZANf+gWi/0rUvN6b4/PVCKZ0RmIYOs8s4HCewdIK047C/5+4mbWUcpmj2orFrwt6kgdVY7lmHbz97MAN1IVcDq5HcMxn08cbhGrvnrg7ffrbiGOZCtjKJR2BNOujjHVzXWOZUh+KXdccgF7KVCZI5JYOer6KY0Zd1sLTi97H/4+dff0ngxPkvf/4nhyi+Nf5Ry42/KKTxZ77dgvuF/zNt3MJUfiH9wn1FFKVfCL+o3aIs/IL7hfIL9xuiqvzC/Ybg/lPufxL+J+F/kv4n6X9S/ifl/yplnq2CcJ5TLVfB00EKMhKfpbx71rtnvXvWu2e9e9a7Z7171rtnvXvWu2e9e9a7Z7171rtnvXvWu2e9e9a7Z7171rtnvXvWu2e9e9a7Z7171rtnvXvWu2efuWfp7i2HOMg9eI7z5rlxzbnnl2pear90Bvoln5fznzsP3dKZ6JdyXvpveh/9UszL2i/LYl7yeanmpf9db6df+t/1hvrl/LOYfxbzz3L+Wc4/q/lnNf/NT4z1einOemtvG3j2gKiOx2Rury+ClHmPiAGCC51AbCbAtX8g2q907XKLdnoHuffSOExDh9njiBggsHSCpEfEtTjdpa3spiiavei2FL2QPWe87SUTbqhhWg2acTWIoZzcHMOnH28zw2L3UdZymxmoC9lm2His2aSDzn1Kt47HY26VqwC9b/hZG1ic4EInSNzA4tqvdO3LjSm+x3yhlM4ITEOH2aWBxQksnSBtA1Onu7SVBkbRfLwGhkXXdSjFXTEDdSFbA0Oi62TQ2RtYPJF1qzz8FNS8L00FCC50gsQNLK79Ste+3Jjie8wXSumMwDR0mF0aWJzA0gnSNjB9uktbaWAUzcdrYNgtu3U4oF154x/mQrYGFk/Sm3TQX/di3qLp7Ldi6nhC+919KeCGP+mbs6EBBBc6QdqGBmi/0rUvN674HvSFUjojMA0dZo+GBhBYOkHShqaL013aY0MjaZ53U6YazKQHNk2tv1Rw1EzXQ8UqXqlW9UZofttC3qChaezqCR2+L3XtFbaQC7kamkaunkgGfbyLiTV29YQOXUiw6hjmQrYyQa6eSAad+8Bdx29Edas8/NLHvE8qBggudILEc05c+5WufbkxxRvrC6V0RmAaOswuc06cwNIJ0s45/knF+tmTikmaj9fAsJvEtdhmBupCtgYWD/ybdNAHHIexhF3LrY5hLmQrEyRhTwadfc6Jh4pulasgfd5HzwIEFzpB4jknrv1K177cmOKN9YVSOiMwDR1mlzknTmDpBGnnHJ+w36StzDkUzcdrYFjCrsNh88pzEzEXsjUwJGFPBn3AcRi7OVyHQz36U1hzlUk8fW3SQWefc+Ipnlvl4RTPLOn3nXPiBBc6QeI5J679Ste+3JjijfWFUjojMA0dZpc5J05g6QRp5xx/c/hN2sqcQ9F8uAZmsJvDTfg+6QczUBdyNTATT1ubdNDHG4cNFm+a8H3SK45hLmQrEyTeTAade84x8dTOrfJQaudvjsw55wAEFzpB2jkH0H6la19uTPHG+kIpnRGYhg6zx5wDEFg6QdI5x1Snu7THOYek+XgNDHsGtgmGeI9moC5ka2DxtLVJB33AcRiLN43Y6hjmQrYyQeLNZNDZ55x4audWuQzS5332NUBwoRMknnPi2q907cuNKd5YXyilMwLT0GF2mXPiBJZOkHbO8c++vklbmXMomo/XwLBnXxu1zQzUhWwNLJ62NumgDzgOY/GmCSZ9a45hLmQrEyTeTAadfc6Jp3ZulQdTO1Ut6fedc+IEFzpB4jknrv1K177cmOKN9YVSOiMwDR1mlzknTmDpBGnnHH8DsXl2AzFJ8/EaGHYDsQmGeI9moC5ka2DxtLVJB324cVgUULzpvrbVMcyFTGXieOJlkg4685wjinhq51Z5MLVTfEm/55yDEFzoBEnnHET7la59uTHFG+sLpXRGYBo6zA5zDkJg6QQp5xyn6nSX9jDn0DQfr4FVWAMLh3gPZqAuZGtg8bS1SQd9uHFYFFC86b621THMhWxlAsSb6aCzzznx1M6tchGkz/pIboTgQidIPOfEtV/p2pcbU7yxvlBKZwSmocPsMufECSydIO2cI053aStzDkXz8RoYdMOw+9o2M1AXsjWweNrapIM+4DgMxZvua1sdw1zIViZAvJkOOvucE0/t3CoPp3ZZn9yOEFzoBGIzAa79A9F+pWtfbkzxxvpCKZ0RmIYOs8ucEyewdIK0c059uktbmXMomo/XwKAbht3XtpmBupCtgcXT1iYd9AHHYSjedF/b6hjmQrYyAeLNdNC555wyntp9d18K0md9HjJCcKETpJ1zAO1XuvblxhRvrC+U0hmBaegwe8w5AIGlEySdc8ridJf2OOeQNB+ugZXQDcPua9vMQF3I1cDKeNrapIM+3jhcYvFmGU766I8GzlUmSLyZDDr7nBNP7dwqD6d2WZ+HjBBc6ASJ55y49itd+3JjijfWF0rpjMA0dJhd5pw4gaUTpJ1z+OkubWXOoWg+XgODbhh2X9tmBupCtgYWT1ubdNAHHIexeLOUWx3DXMhWJki8mQw6+5wTT+3cKldB+qzPQ0YILnSCxHNOXPuVrn25McUb6wuldEZgGjrMLnNOnMDSCdLOOep0l7Yy51A0H6+BQTcMu69tMwN1IVsDi6etTTroA47DWLxZhpM++qOBc5UJEm8mg84+58RTO7fKw6ld1uchIwQXOkHiOSeu/UrXvtyY4o31hVI6IzANHWaXOSdOYOkEaeccc7pLW5lzKJoP18Aq7IbhKhzi0R8NvLbNReFf3+6qeNrapIM+3jhcYfFmFU766I8GzlUmSLyZDDr3nFPFUzu3yoOpXV0s6XedcwCCC50g7ZwDaL/StS83pnhjfaGUzghMQ4fZY84BCCydIOmcU1Wnu7THOYek+XgNDLthuAqGeI9moC5ka2DxtLVJB33AcRiLN/2uf5tjmAvZygSJN5NBu//8D09uPsHdOPVf/3vWuSee4rkSkAE3/HvSss49cYILnSDx3BPXfqVrX25c8Ub7QimdEZiGDrPL3BMnsHSCtHOPPN2lrcw9FM1edF8ZXlVlxwbDeybcfpHpqijYWHbGdHWp6vG2jb9DQ8NuIPaltMUM1IVsDS2evjbpoD/nHjHUdT9y1pVaM6FkxVo+dkyYdig71Q5a9u9TJljcWYWSv1XHMBeylQkSdyaDnsukM4Ns3V/DqrY07rt6Yp1sK6aV0MNQDkMl9fuUCRZ3VqHkb9UxzIVsZYLEncmg5zKpi6kapOhY20nJBO+EKy5esFZOetJyrAvzRmWC3c1ZhRKWVccwF7KVSTwKa9JB5z5bzOORynf3pQC9qLO+VQYhuNAJxGYCXPsHov1K177cmOJj+guldEZgGjrMHkdNAIGlEyQ9auL+bk7+7G5OkmYvulVV0RZ8YvXnKcOyZO00jUzIoZrasejl1P14lwbGsbiTB5O/RzNQF3I1MI7EncmgjzcO8work3DCsuIY5kK2MolHYU066OMdXHMse+LhGGbtdU2QC9nKBMmekkEf71Qdx7Inn6xtcwxzIVuZINlTMujsR03x0+tulcsgfbWk3/eoKU5woROIzQS49g9E+5Wufbkxxcf0F0rpjMA0dJhdjpriBJZOkPaoyWdNN2krR00UzcdrYFjWxEOxy4oZqAvZGhiSNSWDPuA4jGVNPBS7rDqGuZCtTJCsKRn0AQ+usayJB+8yW3MMcyFbmSBZUzLouUx42058akfWCqGYGHXP2o5PTLdV36u2mCY+vk+ZYFkTD8Uuq45hLmQrEyRrSgad+6hJxE+vf3dfCtLnfeMdQHChE4jNBLj2D0T7la59uTHFx/QXSumMwDR0mD2OmgACSydIetQkfNYknmVNJM1etBh40Zd8YJObk5kohGFG8pGpQuueu3/uyuHHuzQwgWVNIhy7rLzVC3MhVwMTSNaUDPp447DAsiYRjl1WHMNcyFYmSNaUDPp4B9cCy5pEOHZZe5Uk5EK2MkGypmTQxztVJ7CsSYitjmEuZCsTJGtKBp39qCl+et2tchmkz/v+TIDgQicQmwlw7R+I9itd+3Jjio/pL5TSGYFp6DC7HDXFCSydIO1Rk8+abtJWjpoomo/XwLCsSYRjl5V3BGIuZGtgSNaUDPqA4zCWNYlw7LL2KknIhWxlgmRNyaAPeHCNZU0iHLusOIa5kK1MkKwpGfRcJmVR8MoozlTRC+Z2PBPTph6Y1u6DsldtZ9T7lAmWNYlw7LLiGOZCtjJBsqZk0LmPmmT89Pp396Ugfd638QIEFzqB2EyAa/9AtF/p2pcbU3xMf6GUzghMQ4fZ46gJILB0gqRHTdJnTfJZ1kTSfLg5R2JZkwzHLitvHMVcyNXAJJI1JYM+3lGTxLImGY5d1t5fDLmQrUyQrCkZ9PHOwUgsa5Lh2GXFMcyFbGWCZE3JoG8XOIhyKsqK8VYOTHBRsNa43c9Ytn1tjJZtWb9PmWBZkxRbHcNcyFYmSNaUDDr7UVP89Lpb5TJIn/fd3gDBhU4gNhPg2j8Q7Ve69uXGFB/TXyilMwLT0GF2OWqKE1g6QdqjJp813aStHDVRNB9vzsGyJqm2mYG6kK2BIVlTMugDHjVhWZMMxy5rr7mGXMhWJkjWlAz6gOdgsKxJhmOXFccwF7KVCZI1JYM+3jP0JJY1yXDssuIY5kK2MkGypmTQuY+aVPz0+nf3pSD985ej73HUBBBc6ARiMwGu/QPRfqVrX25M8TH9hVI6IzANHWaPoyaAwNIJkh41KZ81qWdZE0nz4eYchWVNKhy7rLwNHXMhVwNTSNaUDPp4B9cKy5pUOHZZcQxzIVuZIFlTMujjhQgKy5pUOHZZcQxzIVuZIFlTMujs43A8QnGrXATp876IByC40AnEZgJc+wei/UrXvtyY4vPXC6V0RmAaOswu43CcwNIJ0o7D4nSXtjIOUzQfr4FJrIHJbWagLmRrYPHoq0kHfcBxGMuaVDh2ob+6KFeZIFlTMujjZU0Ky5pUOHahv7ooV5kgWVMy6AOeg8GyJhWOXeivLspVJkjWlAza/ed/ePAfmV9jquJRilv1oSiF64eX1+979BQnuNAJxGYCXPsHov1K177cqOLj+guldEZgGjrMLkdPcQJLJ0h79GROd2krR08UzV60kUOvyqliQnK3ENKwTrQ16/qOt6pTUpjbDusNGlldQI2sDiUrK2agLuRqZHU8AmvSQR9v3qmxzKkOxS+rjmEuZCsTJHNKBn28g+way5zqUPyy6hjmQrYyQTKnZNDHO8iuscypDsUvq45hLmQrEyRzSgbtj54+a+Vhf7H04vex/+PnX39JYMX5L3/+p8bfftPIonjmgAg5YIqlA0/HXQgDn3i9duu122faLV37ctCFtMOzrpfuRlqn/aefnon3n1PUe/ll9opS39zCuIWu/EL6hXYLU/qF8Iv6Wb3JIDX+vlMIcnO9qW/Wk1lPZj2Z9WTWk1lPZp+RWTrZPtWovvml8UvH5pdyXmq/dOr8UszLdcC5ogmEc8T1SegLN+u5pDp+ft41wtD5eW7yPnAfILjQCcRmAlz7B6L9Stcut2in7wHv40UcpqHD7HEuCSCwdIKk55JqdbpLW9lNUTTPYz0XxWQMZ7oQAxNStawtupHxriqM6AZeT+bH24z1WHZWh2KkFTNQF7KN9Uh2lgz681xS14/txA2TQrgjxVpPrFWFZKLstDsGaAfuH8PzLmWCZWd1KEZadQxzIVuZINlZMujcVxzW8ZjArfLQKXc/KWadc+IEFzpB4jknrv1K177cmOKN9YVSOiMwDR1mlzknTmDpBGnnHJ+Z3aStzDkUzV60Vrrq66FmHa8LJtQ4MdOLjrldXmEm07Z8fJ8wRGOZmQ7fjbRyJg9zIVcD00hmlgz6c84ppCkLPTKl+pGJVipmaiVZbyoxir7odPc+F6ZqLDPT4VuW1uIjyIVsZYJkZsmg57Pc7rdvu3HfVrOe39HxaMiVQDAaMnkfcgsQXOgEaeceQPuVrn25ccUb7QuldEZgGjrMHnMPQGDpBEnnHl2d7tIe5x6SZi+6l+NgCm1YN/rHJ3SjZnroOCumSqu2GrquvVXZOzQ0LLbVwQTz0QzUhWwNDYltk0F/ngacdKGmoWBTVUxM9Mq47xrD+nEUheJTW4g3mnuwx1JqsdUxzIVsZRK/jaxJB537/I6O347kVrkM0PvDqme79l3mnDjBhU6QeM6Ja7/StS83pnhjfaGUzghMQ4fZZc6JE1g6Qdo5xz+W8iZtZc6haD5eA8NuFdRqmxmoC9kaWDx9bdJBH3AcxuJOHUr+Vh3DXMhWJkjcmQz6dg+Y5857Xiee5rlVH07z8j6GGyC40AkSzztx7Ve69uVGFW+wL5TSGYFp6DC7zDtxAksnSDvv6NNd2sq8Q9HsRctSTvUgOONmLJngSrHWDIZV3cgHURa9+6cfb9PIsCei6lC4t2IG6kK2RhZPYZt00Mcbiw0We5rgXXNrjmEu5CoTg8SeyaBzn9cx8TTPrfJgmqefX2e+x5wDEFzoBGnnHED7la59uTHFG+sLpXRGYBo6zB5zDkBg6QRJ5xxTnu7SHucckubjNbAKa2ChMG/FDNSFbA0snro26aCPNw4bLOY0wYeDrjmGuZCtTJCYMxn07byO34tnPa9j4imeW/Ui4AI3eV8UABBc6ASJ55249itd+3KjijfYF0rpjMA0dJhd5p04gaUTpJ13/JNRb9JW5h2KZi+aV1J0ohtZ20vORFsZ1g4VZ6Z2+7Nadn0luh9v08iwJ6Mauc0M1IVsjSyevjbpoI93P5bB4k6jtjqGuZCtTJC4Mxl09vM68RTPrfJwilct6fedc+IEFzpB4jknrv1K177cmOKN9YVSOiMwDR1mlzknTmDpBGnnnPp0l7Yy51A0H6+BYTcUm+BzaR/NQF3I1sDiqWuTDvqA4zAWc5pQ4rfqGOZCtjJBYs5k0J9PHfPoyzpYWgE9Y4jkxPyIKFmU/qFjwi9qtygLv+B+ofzCuEVV+YV/OFml3YKX627JIpz24a8zgZjxfjY/McqDWg9qPaj1oNaDWg9qPaj1oNaDWg9qn4FaOuiy50GgcNv7fICUB/VLMS9rv3SsfsnnpZqX/vFSntcv58efVf7xUs+Q58ejEZjnneGtsH/kPYXpbIlu8N/dl0IbfJH1UnyE4EInEJsJcO0fiPYrXbvcop2+x7z1DgSmocPsMNojBJZOkHK0d6pOd2kruymKZi9am2owkx7YNLU+t/MX2tZDxSpeqVb1Rmh+20Lyz2yygCJb97VtZqAuZJrZHE+0apt00IdL9mUBRbbua1sdw1zIViZAZJsOOvMpTDf4RendKhchep310ZkIwYVOkHjOiWu/0rUvN6Z4Y32hlM4ITEOH2WXOiRNYOkHaOUec7tJW5hyK5uM1MCiqdV/bZgbqQrYGBkS16aAPOA5DUa372lbHMBeylQkQ1aaDzj7nxNMpt8rDSY9Y0u8758QJLnQCsZkA1/6BaL/StS83pnhjfaGUzghMQ4fZZc6JE1g6Qdo5pz7dpa3MORTNx2tgUFTrvrbNDNSFbA0MiGrTQR9wHIaiWve1rY5hLmQrEyCqTQede84p4zdafndfCtJnfVQmQnChE6SdcwDtV7r25cYUb6wvlNIZgWnoMHvMOQCBpRMknXPK4nSX9jjnkDQfroGV0LOf3de2mYG6kKuBlfG0tUkHfbxxuMTizTKY9K05hrmQrUyQeDMZdPY5J57auVUevtEy66OjEIILnSDxnBPXfqVrX25M8cb6QimdEZiGDrPLnBMnsHSCtHMOP92lrcw5FM3Ha2DQs57d17aZgbqQrYHF09YmHfQBx2Es3izlVscwF7KVCRJvJoPOPufEUzu3ylWQPuujFBCCC50g8ZwT136la19uTPHG+kIpnRGYhg6zy5wTJ7B0grRzjjrdpa3MORTNx2tg0LOe3de2mYG6kK2BxdPWJh30AcdhLN4sw0nfimOYC9nKBIk3k0Fnn3PiqZ1b5eHU7vmddLvMOXGCC50g8ZwT136la19uTPHG+kIpnRGYhg6zy5wTJ7B0grRzjjndpa3MORTNh2tgFfSMZ/e1bWagLuRqYFU8bW3SQR9vHK6weLMKJ30rjmEuZCsTJN5MBp17zqniqZ1b5eHU7vlby/eYcwCCC50g7ZwDaL/StS83pnhjfaGUzghMQ4fZY84BCCydIOmcU1Wnu7THOYek+XgNDLthuAqHeCuvKcdcyNbA4mlrkw76gOMwFm/6Xf82xzAXspUJEm8mg84+58RTO7fKZYjePNxVv++cEye40AkSzzlx7Ve69uXGFG+sL5TSGYFp6DC7zDlxAksnSDvnyNNd2sqcQ9F8vAaG3TDsS2mLGagL2RpYPG1t0kEfcBzG4s0qmPStOYa5kK1MkHgzGXT2OSee2rlVHkztTNZXuyEEFzpB4jknrv1K177cmOKN9YVSOiMwDR1mlzknTmDpBGnnHH26S1uZcyiaj9fAsBuGq2CI92gG6kK2BhZPW5t00McbhzkWb/Jg0rfmGOZCrjLhSLyZDDr3nMPjqZ1b5cHUzlRL+l3nHIDgQidIO+cA2q907cuNKd5YXyilMwLT0GH2mHMAAksnSDrncP88ZP7secgkzcdrYBXWwIIh3qMZqAvZGlg8bW3SQR9vHOZYvMmDSd+aY5gL2coEiTeTQf99ftWJZ3/YXyy9gF6HQbLi810n3L/DhPv3mnD/IhPh33Ui/MtNhH//ifAfCP+B9B9I/4H0H0j/gfQfKP86FO0/1U99FCEfC/xwHjID73SfL0Hh/uUm3L/whPs3nAj/EhTh33oi/ItRhP9A+A+k/0D6D6T/QPoPpP9A+fekaP/pEwcs3YFlm4QcgDvl7e0ofH7bCZ/fgsLnd56I+e0oYn4XipjfmiLmT8X8qZw/lfOncv5Uzp/K+VM1v0dFz995Yoj/91AcmS35dMT18CzvTnmye5RBmrzPDufxYO5CJxCbCXDtH4j2K1273KKdvKd9slOkit5l9o/bbukEaWd/n+XepK3sdiiafbf+du/VufY8//ssRTyydHskFQTN+/Q7gOBCJ0i8R4prv9K1yy3ayXuk/z0Gx2EaOswue6o4gaUTpN1T+bulb9JW9lQUzV70xE0rTaWZ++rEynIcmTGFYEOpVNn2RdeZ2zb+Doef2OUEPJisP5qBupDt8BO5nCAZdPbT7PEE1a3ycBqZeaSOE1zoBIkbWFz7la59uTHF95gvlNIZgWnoMLs0sDiBpROkbWD+cgL+7HICkubjNTDscgIeTtZXXjmCuZCtgSGXEySDzt3ARDwl/+6+FKTP+54VgOBCJ0jbwADtV7r25cYU32O+UEpnBKahw+zRwAACSydI2sCEf/64ePb8cZLmwzUwgd2gL8Kh+cq7JDAXcjUwEb+6oUkHnb2BxVNy</t>
  </si>
  <si>
    <t>t8rDKXneU4gAwYVOkLiBxbVf6dqXG1N8j/lCKZ0RmIYOs0sDixNYOkHaBuZv0L9JW2lgFM3Ha2DYFSwifDEH/Wza2jYXhf9P2O6QK1iSQWdvYPH7zt0qF0H6vG9GAAgudILEDSyu/UrXvtyY4nvMF0rpjMA0dJhdGlicwNIJ0jYw/0bvm7SVBkbRfLwGhj3yXshtZqAuZGtg8WtMmnTQ2RtYPLd2q1wF6fM+8h4guNAJEjewuPYrXftyY4rvMV8opTMC09BhdmlgcQJLJ0jbwPxFHDdpKw2Movl4DQy7iEMEr2d4NAN1IVsDQy7iSAadvYHFc2u3ysMZcN5nmQMEFzpB4gYW136la19uTPE95guldEZgGjrMLg0sTmDpBGkbmL+IQzy7iIOk+XgNDLuIQ5htZqAuZGtgyEUcyaBzNzAZz62/uy8F6fM+pBoguNAJ0jYwQPuVrn25McX3mC+U0hmBaegwezQwgMDSCZI2MOkv4pDPLuIgaT5cA5PYRRwyfD3DyoN4MRdyNTCJXMSRDDp7A4vn1m6VhzJgWTw8k3DfBhYnuNAJEjewuPYrXftyY4rvMV8opTMC09BhdmlgcQJLJ0jbwPxFHPLZRRwkzcdrYNhFHDJ0PcOKGagL2RoYchFHMujsDSyeW7tVLoL0eR8rCxBc6ASJG1hc+5WufbkxxfeYL5TSGYFp6DC7NLA4gaUTpG1g/iKOm7SVBkbRfLwGhl3EIeU2M1AXsjUw5CKOZNDZG1g8t3arXAXpq6fb7C4NLE5woRMkbmBx7Ve69uXGFN9jvlBKZwSmocPs0sDiBJZOkLaB+Ys4btJWGhhF8/EaGHYRhwxdz7BiBupCtgaGXMSRDNo/Wsr9sq+CrI+UkvH82q36YBZc5L2cHiC40AkSN7K49itd+3Kjiu85XyilMwLT0GF2aWRxAksnSNvI/MUc8tnFHCTNXnTdGSULPjKptWGi05p19aTcPxZ927ZKVe34420aGXYxhzTbzEBdyNbIkIs5kkF/PsxY9b1oO8MkLxQToitYV1QDq3nfVmLohVTd25SJwl7woYL58ZpjmAu5ykTFg/4mHfRcJgM3queCM1GMPRO8GFmnZMn6SY+6LYupqsX7lAmWrKtgyLzmGOZCtjJBkvVk0J97k5Z3bodl2FiWFRO9Lllr3G/xWkym7qZxat/n6ElVWJmEwrz1DQtyIVuZxFPXJh30XCZla4aqVyXTFZ+YqLhkXWk0G01dlEM31FKM71MmWMypQonfqmOYC9nKBIk5k0F/7k24ngreaVZUQjJRC8XaiXfMiMEIXqui4280m2Avk1diq2OYC9nKJB6BNemg5zIZJ67UoDpWlqVmolQ9a/tezq3K7YzKUVdv1HSwzEnJrY5hLmQrEyRzSgb9OcKWQ1kO0rBOTv6oqC+YNsK/8aUoVVFU3fRGr/hR2Ju9Veg09/o0B7mQrUzieUSTDvqzTEYhdFkUrC3mBjV1rDMFZ1NbDoUWcuSifZ8ywQIAFbyhcdUxyIVsZYIEAMmg5zIpxq7u+qly+xu/5+mGkemRK8b7vhP9ILUu3qjpaKxMNp5rRF3IVibxk8JNOujcFzqo+MlFt8pDJxdl5pcgAQQXOoHYTIBr/0C0X+nalxtTPJB4oZTOCExDh9kjHwIILJ0gaT6kzOku7TEfImk+XAOrsRP/degc+IoZqAu5GliNnPhPBn28cbjGTvzXoXPgq45hLmQrE+TEfzLo2zmYdqh4O7Gp6wZ3+F254iq7mhU9N7qvxMi5ep8ywU7816Fz4KuOYS5kKxPkxH8y6OOdg6mxE/91+FaftQ0LciFbmSAn/pNBH++Mbo2d+Pch6TbHMBeylQly4j8Z9PHyoRo78V/LrY5hLmQrE+TEfzLo412UUGMn/uvQOfB1xyAXspUJcuI/GfTxLnGqsRP/dfgi+LU2DbmQrUyQE//JoI93wWSNnfivQ+fA1zcsyIVsZYKc+E8GfbzLr2vs8ut647lG1IVsZRI/Kdykg77dR+R7Stb7iHT8JON396WAC6LI+1RzgOBCJxCbCXDtH4j2K137cqOKBxMvlNIZgWnoMHvkRACBpRMkzYm0f6aefvZMPZLmuZH1ouRlUbojLdMyIbVwB+RjzZRph6Kchq5t3+eUncYCAB2+CH7lAd+YC7kamUYCgGTQuS900PHz2m6Vh89r532zL0BwoRMkbmBx7Ve69uXGFN9jvlBKZwSmocPs0sDiBJZOkLaB+Wfq3aStNDCKZi9a6rHutZqYqOvOLdzxm9FyYkUrK93xaqp1/+NtGhiWOelw/LLyklvMhWwNDMmckkH7I7G5VIxZFsLSi9/H/o+ff/0lgRXnv/z5nxyj/OYW6pkDIuCAKPD3KUAY+M7Ha7deu32m3dK1L/c5kHZ4t+Ol+72L/OaX6+L9JxT1s/xP9W72ynKU/2T3IUM0ZfF0XewyDMUTowudIPEwFNd+pWuXW7ST90RPdj1U0bsMPXHbLZ0g7dAjT3dpK7sdimbfzdwHN+PfbM+jgkDV05Wwy54nHkJe6ASJ9zxx7Ve6drlF+3/2nocqepc9T9x2SydIu+fxD9C7SVvZ81A0z3P07T9/+vYPf+uf/uuf/rl0f/L/++s+f+nbP/w9X3/y+x//71/H3x37n6Zff/nD/3//619//c3/0P72r53/2/65+mcpdO2OWP70S/s3/y/4l5//Nv7+X/7P8X/+l49f/9b+4v5tv//8v9wHTuuf/uOXYfztrz//4r/3y6/u/9yvtX/9+V9/8ZXp/9p/+/W3n/+X+3e1f3Xf+Os4/eF+/f8ef/vj537+k959bfzN/dn//K39938Z/x/3O3/89h+j+1s6hzj+Nmvtfv3jj1//9vmT/8Ozp/j6F35bQSjm/7jjj29/Gn5u//XXX/y/i/Lbs2DSb/7287/+G/FX//j13ym/6H5z+vmvM6j/f1+h7gu///pXt/p9LQz/7env+sJof/vj8QtfteCL4T/+1o2//fOvv7ky+ywg/9N/+3Xw/5b/Y/xl/M2Z7L7377/9+sfngYT/1l9/7f+v0ZXf1x+PXsvnZuX+8Odf/s3ty/7w4v8/BKtksA==</t>
  </si>
  <si>
    <t>object_element_guid</t>
  </si>
  <si>
    <t>id</t>
  </si>
  <si>
    <t>zeroParent_id</t>
  </si>
  <si>
    <t>material_guid</t>
  </si>
  <si>
    <t>work_guid</t>
  </si>
  <si>
    <t>hwd_guid</t>
  </si>
  <si>
    <t>cost_item_guid</t>
  </si>
  <si>
    <t>Номер п/п</t>
  </si>
  <si>
    <t>Код узла ИСР</t>
  </si>
  <si>
    <t>Наименование затрат</t>
  </si>
  <si>
    <t>Комментарий по ИСР</t>
  </si>
  <si>
    <t>Комментарий подрядчика</t>
  </si>
  <si>
    <t>Ед. изм.</t>
  </si>
  <si>
    <t>Коэф.расхода</t>
  </si>
  <si>
    <t>Кол-во БО</t>
  </si>
  <si>
    <t>Общее кол-во</t>
  </si>
  <si>
    <t>Цена, руб.с НДС 22%</t>
  </si>
  <si>
    <t>Материалы/
оборудование</t>
  </si>
  <si>
    <t>СМР, ПНР</t>
  </si>
  <si>
    <t>Стоимость, руб.с НДС 22%</t>
  </si>
  <si>
    <t>Общая стоимость,
руб.с НДС 22%</t>
  </si>
  <si>
    <t>1. Встроенное и Встроенно-пристроенное СКБ</t>
  </si>
  <si>
    <t>6bc2bba0-e4f5-480f-887f-a430a3541dda</t>
  </si>
  <si>
    <t>1.1</t>
  </si>
  <si>
    <t>6</t>
  </si>
  <si>
    <t>Затраты на строительство</t>
  </si>
  <si>
    <t>1.1.1</t>
  </si>
  <si>
    <t>6.1</t>
  </si>
  <si>
    <t>Подготовка строительства</t>
  </si>
  <si>
    <t>1.1.1.1</t>
  </si>
  <si>
    <t>6.1.2</t>
  </si>
  <si>
    <t>Организация строительной площадки</t>
  </si>
  <si>
    <t>1.1.1.1.1</t>
  </si>
  <si>
    <t>6.1.2.4</t>
  </si>
  <si>
    <t>Временные здания и сооружения</t>
  </si>
  <si>
    <t>1.1.1.1.1.1</t>
  </si>
  <si>
    <t>6.1.2.4.9</t>
  </si>
  <si>
    <t>Монтаж ярусных конструкций для работ на высоте</t>
  </si>
  <si>
    <t>1.1.1.1.1.1.1</t>
  </si>
  <si>
    <t>6.1.2.4.9.1.1</t>
  </si>
  <si>
    <t>Монтаж, демонтаж, аренда строительных лесов</t>
  </si>
  <si>
    <t>м2</t>
  </si>
  <si>
    <t>b834d9d5-d82e-4a35-aecd-d355084311b3</t>
  </si>
  <si>
    <t>eba7ef85-9ce3-49cb-925f-78ecd339c642</t>
  </si>
  <si>
    <t>5d66fcfd-8f62-4681-97b3-5e2f6219863f</t>
  </si>
  <si>
    <t>1.1.2</t>
  </si>
  <si>
    <t>6.2</t>
  </si>
  <si>
    <t>СМР корпуса без отделки</t>
  </si>
  <si>
    <t>1.1.2.1</t>
  </si>
  <si>
    <t>6.2.1</t>
  </si>
  <si>
    <t>СМР подземной части корпуса</t>
  </si>
  <si>
    <t>1.1.2.1.1</t>
  </si>
  <si>
    <t>6.2.1.8</t>
  </si>
  <si>
    <t>Прочие затраты по СМР подземной части</t>
  </si>
  <si>
    <t>1.1.2.1.1.1</t>
  </si>
  <si>
    <t>6.2.1.8.1</t>
  </si>
  <si>
    <t>Внутренние стены и перегородки подземной части</t>
  </si>
  <si>
    <t>1.1.2.1.1.1.1</t>
  </si>
  <si>
    <t>6.2.1.8.1.1</t>
  </si>
  <si>
    <t>Устройство внутренних стен подземной части</t>
  </si>
  <si>
    <t>1.1.2.1.1.1.1.1</t>
  </si>
  <si>
    <t>6.2.1.8.1.1.2.1</t>
  </si>
  <si>
    <t>Кладка внутренних стен из блоков ячеистого бетона без устройства перемычек, включая армирование, устройство примыканий</t>
  </si>
  <si>
    <t>Выгружается из БО по объектам BIM-КЦ</t>
  </si>
  <si>
    <t>Подвал. Форкамеры - 3 шт. Толщина - 200 мм.</t>
  </si>
  <si>
    <t>м3</t>
  </si>
  <si>
    <t>42f73a3a-af27-49c0-a291-1976d4b4bf7d</t>
  </si>
  <si>
    <t>98bffc5c-f354-4083-86f8-ec23e76eecb6</t>
  </si>
  <si>
    <t>0e5f4c39-88b2-40cd-a119-fa1b22a8b635</t>
  </si>
  <si>
    <t>1.1.2.1.1.1.1.1.1</t>
  </si>
  <si>
    <t>Материалы для примыкания / уплотняющий жгут, клей на м3</t>
  </si>
  <si>
    <t>комплект</t>
  </si>
  <si>
    <t>311044274.1125473</t>
  </si>
  <si>
    <t>23307776.1125473</t>
  </si>
  <si>
    <t>045f52b1-f9f4-4ab7-a681-46ae4aa4e5fb</t>
  </si>
  <si>
    <t>1.1.2.1.1.1.1.1.2</t>
  </si>
  <si>
    <t>Прочие материалы для кладки / из газобетона / 200 мм</t>
  </si>
  <si>
    <t>311044274.1125469</t>
  </si>
  <si>
    <t>23307776.1125469</t>
  </si>
  <si>
    <t>d18421ae-3457-4bd1-855f-372515a6055c</t>
  </si>
  <si>
    <t>1.1.2.1.1.1.1.1.3</t>
  </si>
  <si>
    <t>Клей по газобетону, д/тонкошовной кладки_</t>
  </si>
  <si>
    <t>кг</t>
  </si>
  <si>
    <t>311044274.54603</t>
  </si>
  <si>
    <t>23307776.54603</t>
  </si>
  <si>
    <t>406ce6c0-3315-4936-9c3e-728bf7a3dd93</t>
  </si>
  <si>
    <t>1.1.2.1.1.1.1.1.4</t>
  </si>
  <si>
    <t>Блок газобетонный D600 625х250х200мм</t>
  </si>
  <si>
    <t>311044274.7409</t>
  </si>
  <si>
    <t>23307776.7409</t>
  </si>
  <si>
    <t>e47bb9a7-1552-11e8-80d9-005056881952</t>
  </si>
  <si>
    <t>1.1.2.1.1.1.2</t>
  </si>
  <si>
    <t>6.2.1.8.1.2</t>
  </si>
  <si>
    <t>Устройство внутренних перегородок подземной части</t>
  </si>
  <si>
    <t>1.1.2.1.1.1.2.1</t>
  </si>
  <si>
    <t>6.2.1.8.1.2.1.2</t>
  </si>
  <si>
    <t>Кладка перегородок из кирпича без устройства перемычек, включая армирование, крепление к стенам, заделку примыканий, зачеканку швов / толщ. 120 мм</t>
  </si>
  <si>
    <t>Подвал. Толщина стен - 120 мм. Кирпич КР-р-по 250х120х65/1НФ/125/2,0/50/ГОСТ 530-2012</t>
  </si>
  <si>
    <t>8f7d365e-38c4-48f1-99bd-115dc592647b</t>
  </si>
  <si>
    <t>fe3bd3c4-012e-4928-a2aa-ba96794d7cad</t>
  </si>
  <si>
    <t>1.1.2.1.1.1.2.1.1</t>
  </si>
  <si>
    <t xml:space="preserve">Смесь сухая цементно-песчаная </t>
  </si>
  <si>
    <t>311044277.1129228</t>
  </si>
  <si>
    <t>23307775.1129228</t>
  </si>
  <si>
    <t>3f64133f-4d71-4dd3-93b5-4c3bc39ac247</t>
  </si>
  <si>
    <t>1.1.2.1.1.1.2.1.2</t>
  </si>
  <si>
    <t>Материалы для примыкания / уплотняющий жгут, клей на м2</t>
  </si>
  <si>
    <t>311044277.1125465</t>
  </si>
  <si>
    <t>23307775.1125465</t>
  </si>
  <si>
    <t>ba2db4ae-0372-432d-874c-3cbc389cb3d3</t>
  </si>
  <si>
    <t>1.1.2.1.1.1.2.1.3</t>
  </si>
  <si>
    <t>Прочие материалы для кладки /  из кирпича / 65 -120мм</t>
  </si>
  <si>
    <t>311044277.1125487</t>
  </si>
  <si>
    <t>23307775.1125487</t>
  </si>
  <si>
    <t>4f235928-efbf-499b-8de5-b7c597ff96fa</t>
  </si>
  <si>
    <t>1.1.2.1.1.1.2.1.4</t>
  </si>
  <si>
    <t>Сетка эл/св_ / 50*50*4</t>
  </si>
  <si>
    <t>311044277.55158</t>
  </si>
  <si>
    <t>23307775.55158</t>
  </si>
  <si>
    <t>1e965c83-b714-40db-9a09-5fe1d1cf91a6</t>
  </si>
  <si>
    <t>1.1.2.1.1.1.2.1.5</t>
  </si>
  <si>
    <t>Кирпич полнотелый рядовой_ / м-150</t>
  </si>
  <si>
    <t>шт</t>
  </si>
  <si>
    <t>311044277.54588</t>
  </si>
  <si>
    <t>23307775.54588</t>
  </si>
  <si>
    <t>75781f06-c50b-4212-84dd-cadd16dc552b</t>
  </si>
  <si>
    <t>1.1.2.2</t>
  </si>
  <si>
    <t>6.2.2</t>
  </si>
  <si>
    <t>СМР надземной части корпуса (без отделки)</t>
  </si>
  <si>
    <t>1.1.2.2.1</t>
  </si>
  <si>
    <t>6.2.2.4</t>
  </si>
  <si>
    <t>Внутренние стены и перегородки</t>
  </si>
  <si>
    <t>1.1.2.2.1.1</t>
  </si>
  <si>
    <t>6.2.2.4.1</t>
  </si>
  <si>
    <t>Устройство стен</t>
  </si>
  <si>
    <t>1.1.2.2.1.1.1</t>
  </si>
  <si>
    <t>6.2.2.4.1.2.1</t>
  </si>
  <si>
    <t>1-4 этажи. Толщина - 200 мм.</t>
  </si>
  <si>
    <t>b0ff6616-19f1-455e-bf1a-5ea1bc9fd283</t>
  </si>
  <si>
    <t>0ed13e26-7903-4b3b-80e2-92ed86dbdc43</t>
  </si>
  <si>
    <t>1.1.2.2.1.1.1.1</t>
  </si>
  <si>
    <t>311044282.1125473</t>
  </si>
  <si>
    <t>22708549.1125473</t>
  </si>
  <si>
    <t>1.1.2.2.1.1.1.2</t>
  </si>
  <si>
    <t>311044282.1125469</t>
  </si>
  <si>
    <t>22708549.1125469</t>
  </si>
  <si>
    <t>1.1.2.2.1.1.1.3</t>
  </si>
  <si>
    <t>311044282.54603</t>
  </si>
  <si>
    <t>22708549.54603</t>
  </si>
  <si>
    <t>1.1.2.2.1.1.1.4</t>
  </si>
  <si>
    <t>311044282.7409</t>
  </si>
  <si>
    <t>22708549.7409</t>
  </si>
  <si>
    <t>1.1.2.2.1.1.2</t>
  </si>
  <si>
    <t>6.2.2.4.1.5.1</t>
  </si>
  <si>
    <t>Заделка мест прохождения инженерных коммуникаций кладочным материалом</t>
  </si>
  <si>
    <t>b1a74100-3935-4c81-b63a-41329604b870</t>
  </si>
  <si>
    <t>e9936b03-30e4-43dd-83a9-4df81779afa6</t>
  </si>
  <si>
    <t>1.1.2.2.1.1.2.1</t>
  </si>
  <si>
    <t>311044284.1129228</t>
  </si>
  <si>
    <t>22713682.1129228</t>
  </si>
  <si>
    <t>1.1.2.2.1.1.2.2</t>
  </si>
  <si>
    <t>Кирпич Рядовой, полнотелый 250х120х65мм 1НФ М150 F50 класс ср.пл.2 ГОСТ 530-2012</t>
  </si>
  <si>
    <t>311044284.10336</t>
  </si>
  <si>
    <t>22713682.10336</t>
  </si>
  <si>
    <t>e77862f8-44a3-11e8-80da-005056881952</t>
  </si>
  <si>
    <t>1.1.2.2.1.2</t>
  </si>
  <si>
    <t>6.2.2.4.2</t>
  </si>
  <si>
    <t>Устройство перегородок</t>
  </si>
  <si>
    <t>1.1.2.2.1.2.1</t>
  </si>
  <si>
    <t>6.2.2.4.2.1</t>
  </si>
  <si>
    <t>Устройство перегородок из кирпича и блоков</t>
  </si>
  <si>
    <t>1.1.2.2.1.2.1.1</t>
  </si>
  <si>
    <t>6.2.2.4.2.1.1.2</t>
  </si>
  <si>
    <t>1-4 этажи. Толщина стен - 120 мм. Кирпич КР-р-по 250х120х65/1НФ/125/2,0/50/ГОСТ 530-2012</t>
  </si>
  <si>
    <t>6687ec1f-6ef6-434f-b995-cdd898f7c555</t>
  </si>
  <si>
    <t>1.1.2.2.1.2.1.1.1</t>
  </si>
  <si>
    <t>311044288.1129228</t>
  </si>
  <si>
    <t>22713692.1129228</t>
  </si>
  <si>
    <t>1.1.2.2.1.2.1.1.2</t>
  </si>
  <si>
    <t>311044288.1125465</t>
  </si>
  <si>
    <t>22713692.1125465</t>
  </si>
  <si>
    <t>1.1.2.2.1.2.1.1.3</t>
  </si>
  <si>
    <t>311044288.1125487</t>
  </si>
  <si>
    <t>22713692.1125487</t>
  </si>
  <si>
    <t>1.1.2.2.1.2.1.1.4</t>
  </si>
  <si>
    <t>311044288.55158</t>
  </si>
  <si>
    <t>22713692.55158</t>
  </si>
  <si>
    <t>1.1.2.2.1.2.1.1.5</t>
  </si>
  <si>
    <t>311044288.54588</t>
  </si>
  <si>
    <t>22713692.54588</t>
  </si>
  <si>
    <t>1.1.2.2.1.2.2</t>
  </si>
  <si>
    <t>6.2.2.4.2.2</t>
  </si>
  <si>
    <t>Устройство перегородок из пазогребневых плит</t>
  </si>
  <si>
    <t>1.1.2.2.1.2.2.1</t>
  </si>
  <si>
    <t>6.2.2.4.2.2.1.1</t>
  </si>
  <si>
    <t>Устройство перегородок из ПГП без устройства перемычек, включая проклейку углов примыкания армирующей лентой, толщ. до 115 мм</t>
  </si>
  <si>
    <t>1-4 этажи. Пазогребневые плиты ПлГН1-667х500х100, полнотелые, плотностью не более 1200 кг/м3 -ГОСТ 6428-2018</t>
  </si>
  <si>
    <t>b144491f-4d07-417b-8e40-cf60afb65dab</t>
  </si>
  <si>
    <t>78e74334-ad7c-483c-a5ca-4beaa46ba6dd</t>
  </si>
  <si>
    <t>1.1.2.2.1.2.2.1.1</t>
  </si>
  <si>
    <t>Прочий материал для кладки перегородок из ПГП (скоба, шуруп, дюбель, пена, подложка)</t>
  </si>
  <si>
    <t>311044291.1122425</t>
  </si>
  <si>
    <t>22713687.1122425</t>
  </si>
  <si>
    <t>7d9865ba-57d8-4643-8c80-789dcab1b8ff</t>
  </si>
  <si>
    <t>1.1.2.2.1.2.2.1.2</t>
  </si>
  <si>
    <t>Плита гипсовая пазогребневая Влагостойкая, полнотелая 667х500х100мм</t>
  </si>
  <si>
    <t>311044291.7652</t>
  </si>
  <si>
    <t>22713687.7652</t>
  </si>
  <si>
    <t>db642f7e-26d6-11e8-80d9-005056881952</t>
  </si>
  <si>
    <t>1.1.2.2.1.2.2.1.3</t>
  </si>
  <si>
    <t>Материалы для примыкания / мина вата, штукатурная смесь м2</t>
  </si>
  <si>
    <t>311044291.1731537</t>
  </si>
  <si>
    <t>22713687.1731537</t>
  </si>
  <si>
    <t>de0d5983-b561-4d8f-a6e2-cae2204db6ae</t>
  </si>
  <si>
    <t>1.1.2.2.1.2.2.1.4</t>
  </si>
  <si>
    <t>Клей для ПГП_/</t>
  </si>
  <si>
    <t>311044291.54582</t>
  </si>
  <si>
    <t>22713687.54582</t>
  </si>
  <si>
    <t>83df5452-88a6-42c1-844b-d6bbcf1d0471</t>
  </si>
  <si>
    <t>1.1.2.2.1.2.3</t>
  </si>
  <si>
    <t>6.2.2.4.2.4</t>
  </si>
  <si>
    <t>Устройство перегородок и зашивка коммуникаций ГКЛ</t>
  </si>
  <si>
    <t>1.1.2.2.1.2.3.1</t>
  </si>
  <si>
    <t>6.2.2.4.2.4.2.4</t>
  </si>
  <si>
    <t>Облицовка стен по системе Knauf / С-626 / в 2 слоя / А-10, А-27</t>
  </si>
  <si>
    <t>Облицовка поэлементной сборки Кнауф С626, профили оцинкованные ПН 100х40, ПС 100х50 с шагом 600 мм; Плиты из каменной ваты ТЕХНОАКУСТИК - 100 мм; КНАУФ-лист Сапфир (ГСП-DFH3IR), t=12,5 мм - 2 слоя; Тип: ЧН-25</t>
  </si>
  <si>
    <t>b14f4e38-3585-4dc2-957c-30490faf4592</t>
  </si>
  <si>
    <t>efdd910f-d4d5-47d8-bf4c-279f25591fc4</t>
  </si>
  <si>
    <t>1.1.2.2.1.2.3.1.1</t>
  </si>
  <si>
    <t>Прочие материалы для облицовки стен из ГКЛ (лента, шпатлевка, грунтовка, шуруп, дюбель и пр.)_ / 2 слоя ГКЛ / профиль ПН/ПС 75 мм</t>
  </si>
  <si>
    <t>311044294.1571304</t>
  </si>
  <si>
    <t>22726888.1571304</t>
  </si>
  <si>
    <t>03246ec1-2d72-4291-b360-a366560593b9</t>
  </si>
  <si>
    <t>1.1.2.2.1.2.3.1.2</t>
  </si>
  <si>
    <t xml:space="preserve">Мин. плита Техноакустик </t>
  </si>
  <si>
    <t>311044294.707289</t>
  </si>
  <si>
    <t>22726888.707289</t>
  </si>
  <si>
    <t>2aa4233f-c631-436f-a5fb-e3286f3f03b3</t>
  </si>
  <si>
    <t>1.1.2.2.1.2.3.1.3</t>
  </si>
  <si>
    <t>Профиль_/направляющий/75*40*0,60/3м</t>
  </si>
  <si>
    <t>ПН 100х40</t>
  </si>
  <si>
    <t>пог. м</t>
  </si>
  <si>
    <t>311044294.54563</t>
  </si>
  <si>
    <t>22726888.54563</t>
  </si>
  <si>
    <t>da03edcf-b4d9-4058-9973-8a5ff0a070d9</t>
  </si>
  <si>
    <t>1.1.2.2.1.2.3.1.4</t>
  </si>
  <si>
    <t>Профиль_ / стоечный  / 75*50*0,6 / 2415</t>
  </si>
  <si>
    <t>ПС 100х50</t>
  </si>
  <si>
    <t>311044294.720773</t>
  </si>
  <si>
    <t>22726888.720773</t>
  </si>
  <si>
    <t>e595a8de-8a09-41c9-ae01-9e77a27e4e1d</t>
  </si>
  <si>
    <t>1.1.2.2.1.2.3.1.5</t>
  </si>
  <si>
    <t>Лист гипсокартонный_ / ГСП-DF ПЛУК / 12,5 мм</t>
  </si>
  <si>
    <t>311044294.1521733</t>
  </si>
  <si>
    <t>22726888.1521733</t>
  </si>
  <si>
    <t>525ba485-341d-4b67-a708-94503b506fec</t>
  </si>
  <si>
    <t>1.1.2.2.1.2.3.2</t>
  </si>
  <si>
    <t>6.2.2.4.2.4.2.16</t>
  </si>
  <si>
    <t>Облицовка стен по системе Knauf / С-626 / в 2 слоя / А-6, А-9</t>
  </si>
  <si>
    <t xml:space="preserve">Облицовка стен по системе Knauf / С-626 / в 2 слоя ГКЛВ 12,5мм в 2 слоя на каркасе из Knauf-профилей ПС 50х50х3000 и ПН 50х40х3000. Тип: ЗШ-1
</t>
  </si>
  <si>
    <t>3caeaf31-240c-4800-9ddf-ce092caa9a99</t>
  </si>
  <si>
    <t>2b3256bf-fa66-403d-8607-d883a73d917c</t>
  </si>
  <si>
    <t>1.1.2.2.1.2.3.2.1</t>
  </si>
  <si>
    <t>311044295.1571304</t>
  </si>
  <si>
    <t>22728312.1571304</t>
  </si>
  <si>
    <t>1.1.2.2.1.2.3.2.2</t>
  </si>
  <si>
    <t>Профиль_/стоечный/50*50*0,60/3м</t>
  </si>
  <si>
    <t>311044295.54565</t>
  </si>
  <si>
    <t>22728312.54565</t>
  </si>
  <si>
    <t>aadfbe6a-ab19-412b-a4b6-645b6bf99174</t>
  </si>
  <si>
    <t>1.1.2.2.1.2.3.2.3</t>
  </si>
  <si>
    <t>Профиль_/направляющий/50*40*0,60/3м</t>
  </si>
  <si>
    <t>311044295.54570</t>
  </si>
  <si>
    <t>22728312.54570</t>
  </si>
  <si>
    <t>fcc6f7bc-87cc-49c1-b4ac-f6a22abb8878</t>
  </si>
  <si>
    <t>1.1.2.2.1.2.3.2.4</t>
  </si>
  <si>
    <t>311044295.1521733</t>
  </si>
  <si>
    <t>22728312.1521733</t>
  </si>
  <si>
    <t>1.1.2.2.1.2.3.3</t>
  </si>
  <si>
    <t xml:space="preserve">Облицовка стен по системе Knauf / С-626 / в 2 слоя ГКЛ 12,5мм в 2 слоя на каркасе из Knauf-профилей ПС 50х50х3000 и ПН 50х40х3000. Тип: ЗШ-2
</t>
  </si>
  <si>
    <t>1.1.2.2.1.2.3.3.1</t>
  </si>
  <si>
    <t>Лист гипсокартонный_ / ГСП-А ПЛУК / 12,5 мм</t>
  </si>
  <si>
    <t>311044413.1521716</t>
  </si>
  <si>
    <t>22728311.1521716</t>
  </si>
  <si>
    <t>85f69335-7b81-4c3d-b059-fb06ee828287</t>
  </si>
  <si>
    <t>1.1.2.2.1.2.3.3.2</t>
  </si>
  <si>
    <t>311044413.54565</t>
  </si>
  <si>
    <t>22728311.54565</t>
  </si>
  <si>
    <t>1.1.2.2.1.2.3.3.3</t>
  </si>
  <si>
    <t>311044413.54570</t>
  </si>
  <si>
    <t>22728311.54570</t>
  </si>
  <si>
    <t>1.1.2.2.1.2.3.3.4</t>
  </si>
  <si>
    <t>311044413.1571304</t>
  </si>
  <si>
    <t>22728311.1571304</t>
  </si>
  <si>
    <t>1.1.2.2.1.3</t>
  </si>
  <si>
    <t>6.2.2.4.3</t>
  </si>
  <si>
    <t>Устройство перемычек и фахверков</t>
  </si>
  <si>
    <t>1.1.2.2.1.3.1</t>
  </si>
  <si>
    <t>6.2.2.4.3.1.1</t>
  </si>
  <si>
    <t>Устройство перемычек из арматуры с огрунтовкой и окраской</t>
  </si>
  <si>
    <t>подвал-0,025т; 1-4 этажи - 0,041т.</t>
  </si>
  <si>
    <t>т</t>
  </si>
  <si>
    <t>84c12651-3183-437e-9e1c-36498aa28605</t>
  </si>
  <si>
    <t>b9dd5343-4249-436a-86aa-2377de44a7b3</t>
  </si>
  <si>
    <t>1.1.2.2.1.3.1.1</t>
  </si>
  <si>
    <t>Прочий материал для перемычек (клей, грунт) / для арматуры</t>
  </si>
  <si>
    <t>311044298.1125497</t>
  </si>
  <si>
    <t>22708550.1125497</t>
  </si>
  <si>
    <t>7730469c-e412-4994-bc1f-cd8ba817c89d</t>
  </si>
  <si>
    <t>1.1.2.2.1.3.1.2</t>
  </si>
  <si>
    <t>Арматура</t>
  </si>
  <si>
    <t>311044298.50297</t>
  </si>
  <si>
    <t>22708550.50297</t>
  </si>
  <si>
    <t>30cebe8c-99fa-41a1-975f-66d41cad3210</t>
  </si>
  <si>
    <t>1.1.2.2.1.3.2</t>
  </si>
  <si>
    <t>6.2.2.4.3.2.1</t>
  </si>
  <si>
    <t>Устройство перемычек металлических с огрунтовкой и окраской</t>
  </si>
  <si>
    <t>Перемычки для наружных стен необходимо применять из раздела 6.2.2.5 "Наружные стены"
Выгружается из БО по объектам BIM-КЦ</t>
  </si>
  <si>
    <t>Подвал. Ф1 - Ф4</t>
  </si>
  <si>
    <t>96f3ac31-40e6-4822-821a-d3fdf3ec03db</t>
  </si>
  <si>
    <t>fa0903b4-76cb-4cff-8585-505068457eb5</t>
  </si>
  <si>
    <t>1.1.2.2.1.3.2.1</t>
  </si>
  <si>
    <t>Полоса стальная для перемычек</t>
  </si>
  <si>
    <t>Пластина 50х4</t>
  </si>
  <si>
    <t>311044300.1129238</t>
  </si>
  <si>
    <t>22703684.1129238</t>
  </si>
  <si>
    <t>9120ee6f-b48a-4e35-88ce-1ec954bdc614</t>
  </si>
  <si>
    <t>1.1.2.2.1.3.2.2</t>
  </si>
  <si>
    <t>Уголок стальной для перемычек</t>
  </si>
  <si>
    <t xml:space="preserve">Уголок 50х5-197,53 кг
Уголок 63х6-1708,53 кг
Уголок 80х7-3160,32 кг
Уголок 90х7-516,8 кг
Уголок 100х63х6-1656,36 кг
Уголок 125х80х8-48,3 кг
</t>
  </si>
  <si>
    <t>311044300.1129237</t>
  </si>
  <si>
    <t>22703684.1129237</t>
  </si>
  <si>
    <t>f05ccbff-d6f8-4c5b-8671-7aa28e4ef052</t>
  </si>
  <si>
    <t>1.1.2.2.1.3.2.3</t>
  </si>
  <si>
    <t>Прочий материал для перемычек (клей, грунт) / для полосы или уголка</t>
  </si>
  <si>
    <t>311044300.1125500</t>
  </si>
  <si>
    <t>22703684.1125500</t>
  </si>
  <si>
    <t>97930081-487f-4c6f-83bb-314f8c308cc2</t>
  </si>
  <si>
    <t>1.1.2.2.1.3.3</t>
  </si>
  <si>
    <t>Подвал. ПР-1 - ПР-11</t>
  </si>
  <si>
    <t>1.1.2.2.1.3.3.1</t>
  </si>
  <si>
    <t>311044414.1125500</t>
  </si>
  <si>
    <t>22703683.1125500</t>
  </si>
  <si>
    <t>1.1.2.2.1.3.3.2</t>
  </si>
  <si>
    <t>311044414.1129237</t>
  </si>
  <si>
    <t>22703683.1129237</t>
  </si>
  <si>
    <t>1.1.2.2.1.3.3.3</t>
  </si>
  <si>
    <t>311044414.1129238</t>
  </si>
  <si>
    <t>22703683.1129238</t>
  </si>
  <si>
    <t>1.1.2.2.1.3.4</t>
  </si>
  <si>
    <t>1-4 этажи</t>
  </si>
  <si>
    <t>1.1.2.2.1.3.4.1</t>
  </si>
  <si>
    <t>311044415.1129238</t>
  </si>
  <si>
    <t>22713686.1129238</t>
  </si>
  <si>
    <t>1.1.2.2.1.3.4.2</t>
  </si>
  <si>
    <t>311044415.1129237</t>
  </si>
  <si>
    <t>22713686.1129237</t>
  </si>
  <si>
    <t>1.1.2.2.1.3.4.3</t>
  </si>
  <si>
    <t>311044415.1125500</t>
  </si>
  <si>
    <t>22713686.1125500</t>
  </si>
  <si>
    <t>1.1.2.2.1.3.5</t>
  </si>
  <si>
    <t>6.2.2.4.3.3.1</t>
  </si>
  <si>
    <t>Устройство металлоконструкций фахверков, стоек, рам, балок, опорных конструкций и усилений с учетом крепления, огрунтовки и окрашивания</t>
  </si>
  <si>
    <t>Фахверки для наружных стен необходимо применять из раздела 6.2.2.5 "Наружные стены"</t>
  </si>
  <si>
    <t>Ф-1.п-18шт
Ф-1-64шт
Ф-1.1-1шт
Ф-1.2-1шт
Ф-1.3-2шт
Ф-2.п-4шт
Ф-2-21шт
Ф-3.п-5шт
Ф-3-28шт
Ф-3.1-6шт
Ф-3.2-1шт
Ф-4.п-1шт
Ф-4-16шт
Ф-4.1-4шт
Ф-5-2шт
Ф-5.1-2шт
Ф-6-36шт
Ф-7-96шт
Ф-7.1-8шт
Ф-7.2-2шт
Ф-8-69шт
Ф-9-284шт
Ф-10-23шт
Ф-11-5шт
Ф-12-36шт
Ф-13-85шт
Ф-14-16шт
Ф-15-1шт</t>
  </si>
  <si>
    <t>6b9b637d-d6be-418c-90d3-53b81dd155f6</t>
  </si>
  <si>
    <t>d48f862a-e059-4429-92cd-e6274b599c91</t>
  </si>
  <si>
    <t>1.1.2.2.1.3.5.1</t>
  </si>
  <si>
    <t>Металлоконструкции (труба, профиль стальной, прокат квадратный, прокат листовой, уголок, арматура и др.)</t>
  </si>
  <si>
    <t>311044302.46159</t>
  </si>
  <si>
    <t>22708559.46159</t>
  </si>
  <si>
    <t>7a09de81-58ec-47b3-9dc8-ceb591a55800</t>
  </si>
  <si>
    <t>1.1.2.2.1.3.5.2</t>
  </si>
  <si>
    <t>Анкер_ / размер указать в примечании</t>
  </si>
  <si>
    <t>Клиновой анкер MKT B 8-10-19/75-35шт.
Клиновой анкер MKT BZ plus 10-10-30/90-1670шт.
Клиновой анкер MKT BZ plus 12-10-30/105-7566шт.</t>
  </si>
  <si>
    <t>311044302.707481</t>
  </si>
  <si>
    <t>22708559.707481</t>
  </si>
  <si>
    <t>8f902bf4-371b-4eb3-b74d-1a26d1424919</t>
  </si>
  <si>
    <t>1.1.2.2.1.3.6</t>
  </si>
  <si>
    <t>6.2.2.4.3.4.1</t>
  </si>
  <si>
    <t>Усиление простенков и проемов металлопрокатом</t>
  </si>
  <si>
    <t>Крепление кирпичных перегородок.</t>
  </si>
  <si>
    <t>178f129d-e59f-4bc7-b790-b329baf4e5ff</t>
  </si>
  <si>
    <t>31bd5023-c7a0-4469-a745-2801e36e5126</t>
  </si>
  <si>
    <t>1.1.2.2.1.3.6.1</t>
  </si>
  <si>
    <t>Металлоконструкции (уголок, полоса, анкеры, швеллер и пр. с огрунтовкой и окраской)</t>
  </si>
  <si>
    <t>311044304.40654</t>
  </si>
  <si>
    <t>22708555.40654</t>
  </si>
  <si>
    <t>d4d74a1c-26ba-4b6e-9a76-2f6d7d32f450</t>
  </si>
  <si>
    <t>1.1.2.2.1.3.7</t>
  </si>
  <si>
    <t>Крепление перегородок из газобетона.</t>
  </si>
  <si>
    <t>1.1.2.2.1.3.7.1</t>
  </si>
  <si>
    <t>311044416.40654</t>
  </si>
  <si>
    <t>22708556.40654</t>
  </si>
  <si>
    <t>1.1.2.2.1.3.8</t>
  </si>
  <si>
    <t>Обрамление конструкций</t>
  </si>
  <si>
    <t>1.1.2.2.1.3.8.1</t>
  </si>
  <si>
    <t>311044417.40654</t>
  </si>
  <si>
    <t>22713690.40654</t>
  </si>
  <si>
    <t>1.1.2.2.1.4</t>
  </si>
  <si>
    <t>6.2.2.4.99</t>
  </si>
  <si>
    <t>Прочие работы</t>
  </si>
  <si>
    <t>1.1.2.2.1.4.1</t>
  </si>
  <si>
    <t>6.2.2.4.99.3.1</t>
  </si>
  <si>
    <t>Устройство узлов примыкания ограждающих конструкций и проемов</t>
  </si>
  <si>
    <t>Применительно: резка четвертей в газоблоке, для совмещения с фахверкими из гнутого швеллера 220х50х4 и пластин 100х150 с шагом 500 мм с 2х сторон.</t>
  </si>
  <si>
    <t>e869eb3d-2cdb-41be-8dc1-6990495cd320</t>
  </si>
  <si>
    <t>9a00b9ba-8c32-48c8-ba5a-51d9d6d77de8</t>
  </si>
  <si>
    <t>1.1.2.2.2</t>
  </si>
  <si>
    <t>6.2.2.8</t>
  </si>
  <si>
    <t>Кровля</t>
  </si>
  <si>
    <t>1.1.2.2.2.1</t>
  </si>
  <si>
    <t>6.2.2.8.99</t>
  </si>
  <si>
    <t>1.1.2.2.2.1.1</t>
  </si>
  <si>
    <t>6.2.2.8.99.6.1</t>
  </si>
  <si>
    <t>Устройство кирпичной кладки на кровле</t>
  </si>
  <si>
    <t>Кладка вентшахт на кровле. Толщина - 120 мм, Кирпич КР-р-по 250х120х65/1НФ/125/2,0/50/ГОСТ 530-2012</t>
  </si>
  <si>
    <t>253b3985-48a8-41d1-90c8-3bdfd5de94db</t>
  </si>
  <si>
    <t>9b3895f6-fdb6-499b-8ab4-8e689dbc0044</t>
  </si>
  <si>
    <t>aaba817f-d8d1-4a82-af0d-c69a9a6207c1</t>
  </si>
  <si>
    <t>1.1.2.2.2.1.1.1</t>
  </si>
  <si>
    <t>311044311.55158</t>
  </si>
  <si>
    <t>23307771.55158</t>
  </si>
  <si>
    <t>1.1.2.2.2.1.1.2</t>
  </si>
  <si>
    <t>Смесь цементно-песчаная М150</t>
  </si>
  <si>
    <t>311044311.7066</t>
  </si>
  <si>
    <t>23307771.7066</t>
  </si>
  <si>
    <t>288e06c4-9986-11e7-80d8-005056881952</t>
  </si>
  <si>
    <t>1.1.2.2.2.1.1.3</t>
  </si>
  <si>
    <t>311044311.54588</t>
  </si>
  <si>
    <t>23307771.54588</t>
  </si>
  <si>
    <t>1.1.3</t>
  </si>
  <si>
    <t>6.3</t>
  </si>
  <si>
    <t>Отделка, столярные работы, мебель и оборудование</t>
  </si>
  <si>
    <t>1.1.3.1</t>
  </si>
  <si>
    <t>6.3.1</t>
  </si>
  <si>
    <t>Отделка нежилых помещений</t>
  </si>
  <si>
    <t>1.1.3.1.1</t>
  </si>
  <si>
    <t>6.3.1.5</t>
  </si>
  <si>
    <t>Отделка СКБ</t>
  </si>
  <si>
    <t>1.1.3.1.1.1</t>
  </si>
  <si>
    <t>6.3.1.5.1</t>
  </si>
  <si>
    <t>Полы</t>
  </si>
  <si>
    <t>1.1.3.1.1.1.1</t>
  </si>
  <si>
    <t>6.3.1.5.1.1</t>
  </si>
  <si>
    <t xml:space="preserve">Подготовка полов под финишное покрытие </t>
  </si>
  <si>
    <t>1.1.3.1.1.1.1.1</t>
  </si>
  <si>
    <t>6.3.1.5.1.1.2.1</t>
  </si>
  <si>
    <t>Шлифование поверхности полов</t>
  </si>
  <si>
    <t>Шлифовка наливного пола под укладку линолеума и плитки ПВХ. Тип: П-7, П-7.1, П-8, П-8.1, П-11, П-11.1, П-11.2</t>
  </si>
  <si>
    <t>e50b3957-f575-49e1-8cf0-0b7ee81680c4</t>
  </si>
  <si>
    <t>18978ed0-562d-48a1-b2d0-a8ed7d233c9b</t>
  </si>
  <si>
    <t>8a7cac49-151b-40fd-a08b-5e72f8ff4034</t>
  </si>
  <si>
    <t>1.1.3.1.1.1.1.2</t>
  </si>
  <si>
    <t>6.3.1.5.1.1.6.1</t>
  </si>
  <si>
    <t>Устройство разделительного слоя / из геотекстиля / в 1 слой</t>
  </si>
  <si>
    <t>Подвал. Пленка ТЕХНОНИКОЛЬ АЛЬФА БАРЬЕР 1.0</t>
  </si>
  <si>
    <t>277c92c5-c000-4674-9245-d2b5573238c5</t>
  </si>
  <si>
    <t>f7c6840a-212a-4a39-bb44-a629481a331a</t>
  </si>
  <si>
    <t>1.1.3.1.1.1.1.2.1</t>
  </si>
  <si>
    <t>Геотекстиль / БЛ / 300гр/м2</t>
  </si>
  <si>
    <t>Пленка ТЕХНОНИКОЛЬ АЛЬФА БАРЬЕР 1.0</t>
  </si>
  <si>
    <t>311044320.60254</t>
  </si>
  <si>
    <t>22761920.60254</t>
  </si>
  <si>
    <t>3db39a8f-a476-4402-8ee4-e4a6d661a32e</t>
  </si>
  <si>
    <t>1.1.3.1.1.1.1.3</t>
  </si>
  <si>
    <t>6.3.1.5.1.1.6.3</t>
  </si>
  <si>
    <t>Устройство разделительного слоя / из пленки полиэтиленовой / в 1 слой</t>
  </si>
  <si>
    <t>1-4 этажи. Тип: П-2, П-3, П-4, П-4.2, П-7, П-8, П-9, П-9.1</t>
  </si>
  <si>
    <t>672f52f6-b26d-4fee-8a2b-3f641d01bb01</t>
  </si>
  <si>
    <t>91058521-be9a-4628-9277-514b8aa56189</t>
  </si>
  <si>
    <t>1.1.3.1.1.1.1.3.1</t>
  </si>
  <si>
    <t>Пленка полиэтиленовая_ / 200 мкм</t>
  </si>
  <si>
    <t>311044321.36803</t>
  </si>
  <si>
    <t>22761919.36803</t>
  </si>
  <si>
    <t>131fa0ea-c103-43db-82bd-342cc6c0debe</t>
  </si>
  <si>
    <t>1.1.3.1.1.1.1.4</t>
  </si>
  <si>
    <t>6.3.1.5.1.1.9.1</t>
  </si>
  <si>
    <t>Обработка полов гидрофобизирующим составом</t>
  </si>
  <si>
    <t>Применительно: предварительное грунтование Forbo Eurocol 050 Europrimer Mix перед устройством наливных полов. Тип: П-7, П-7.1, П-8, П-8.1, П-11, П-11.1</t>
  </si>
  <si>
    <t>8110adda-1540-4bb8-b3b7-609310f23e25</t>
  </si>
  <si>
    <t>a1d4b7cf-4f07-494c-98d4-9910479c9aa6</t>
  </si>
  <si>
    <t>1.1.3.1.1.1.1.4.1</t>
  </si>
  <si>
    <t>Гидрофобизирующий состав Типром POL_/</t>
  </si>
  <si>
    <t>Forbo Eurocol 050 Europrimer Mix</t>
  </si>
  <si>
    <t>311044323.55058</t>
  </si>
  <si>
    <t>22757330.55058</t>
  </si>
  <si>
    <t>b4d539f4-f723-4060-ac58-bb4b3eb893d7</t>
  </si>
  <si>
    <t>1.1.3.1.1.1.1.5</t>
  </si>
  <si>
    <t>Применительно: Обеспыливание поверхности потолка. Тип: ЧНП-1.</t>
  </si>
  <si>
    <t>1.1.3.1.1.1.1.5.1</t>
  </si>
  <si>
    <t>Пропитка для бетонных поверхностей  / Элакор МБ1</t>
  </si>
  <si>
    <t>311044418.1196509</t>
  </si>
  <si>
    <t>22761921.1196509</t>
  </si>
  <si>
    <t>8ba8c8ef-7da7-49ae-a370-f7919780c284</t>
  </si>
  <si>
    <t>1.1.3.1.1.1.1.6</t>
  </si>
  <si>
    <t>Применительно: Обеспыливание поверхности потолка. Тип: ЧНП-4, ЧНП-8.</t>
  </si>
  <si>
    <t>1.1.3.1.1.1.1.6.1</t>
  </si>
  <si>
    <t>311044419.1196509</t>
  </si>
  <si>
    <t>22761922.1196509</t>
  </si>
  <si>
    <t>1.1.3.1.1.1.1.7</t>
  </si>
  <si>
    <t>Применительно: Обеспыливание поверхности стен. Тип: ЧН-24, ЧН-26.</t>
  </si>
  <si>
    <t>1.1.3.1.1.1.1.7.1</t>
  </si>
  <si>
    <t>311044420.1196509</t>
  </si>
  <si>
    <t>22761923.1196509</t>
  </si>
  <si>
    <t>1.1.3.1.1.1.1.8</t>
  </si>
  <si>
    <t>6.3.1.5.1.1.11.2</t>
  </si>
  <si>
    <t>Устройство стяжки СКБ / армированная сеткой от 21 мм до 40 мм</t>
  </si>
  <si>
    <t>Подвал. Цементно-песчаная стяжка М150, арм. сеткой 5ВР1 с ячейкой 100х100 - 40 мм. Тип: П-6</t>
  </si>
  <si>
    <t>bc0e5f03-2992-4502-aa0b-a36daa7dc9b3</t>
  </si>
  <si>
    <t>21d23a99-5bd4-4d65-bcd9-e1e922edb18b</t>
  </si>
  <si>
    <t>1.1.3.1.1.1.1.8.1</t>
  </si>
  <si>
    <t>Фиксатор арматуры Звездочка_/15/4-16</t>
  </si>
  <si>
    <t>311044325.55160</t>
  </si>
  <si>
    <t>22829011.55160</t>
  </si>
  <si>
    <t>89d26042-545e-4f2c-9700-1029a9f50251</t>
  </si>
  <si>
    <t>1.1.3.1.1.1.1.8.2</t>
  </si>
  <si>
    <t>Смесь цементно-песчаная сухая_/М150</t>
  </si>
  <si>
    <t>311044325.54611</t>
  </si>
  <si>
    <t>22829011.54611</t>
  </si>
  <si>
    <t>a1146549-61c5-4487-b5c7-fb7d0d185669</t>
  </si>
  <si>
    <t>1.1.3.1.1.1.1.8.3</t>
  </si>
  <si>
    <t>Сетка эл/св_/100*100*5</t>
  </si>
  <si>
    <t>311044325.55156</t>
  </si>
  <si>
    <t>22829011.55156</t>
  </si>
  <si>
    <t>bf82eb44-b4c2-419c-ba3f-021582715b59</t>
  </si>
  <si>
    <t>1.1.3.1.1.1.1.8.4</t>
  </si>
  <si>
    <t>Лента кромочная демпферная_/8*100мм/20м</t>
  </si>
  <si>
    <t>311044325.55045</t>
  </si>
  <si>
    <t>22829011.55045</t>
  </si>
  <si>
    <t>41f707b9-71e7-4101-86f2-7af29d65f5fe</t>
  </si>
  <si>
    <t>1.1.3.1.1.1.1.9</t>
  </si>
  <si>
    <t>6.3.1.5.1.1.11.3</t>
  </si>
  <si>
    <t>Устройство стяжки СКБ / армированная сеткой от 41 мм до 60 мм</t>
  </si>
  <si>
    <t>2-4 этажи. Цементно-песчаная стяжка М200, арм. сеткой 5Вр1 с ячейкой 100х100. Толщиной - 41 мм. Тип: П-1.1, П-2.1, П-8.1</t>
  </si>
  <si>
    <t>ab62b66c-87c5-4996-bbcc-d9044c8dc3c3</t>
  </si>
  <si>
    <t>52f6b76b-892a-4180-890e-fe6cef6a41a6</t>
  </si>
  <si>
    <t>1.1.3.1.1.1.1.9.1</t>
  </si>
  <si>
    <t>311044326.55160</t>
  </si>
  <si>
    <t>22765233.55160</t>
  </si>
  <si>
    <t>1.1.3.1.1.1.1.9.2</t>
  </si>
  <si>
    <t>311044326.55156</t>
  </si>
  <si>
    <t>22765233.55156</t>
  </si>
  <si>
    <t>1.1.3.1.1.1.1.9.3</t>
  </si>
  <si>
    <t>Смесь цементно-песчаная сухая_/М200</t>
  </si>
  <si>
    <t>311044326.54612</t>
  </si>
  <si>
    <t>22765233.54612</t>
  </si>
  <si>
    <t>0d69655b-e863-4a40-aa5e-ec8a8fb69e4b</t>
  </si>
  <si>
    <t>1.1.3.1.1.1.1.10</t>
  </si>
  <si>
    <t>2-4 этажи. Цементно-песчаная стяжка М200, арм. сеткой 5Вр1 с ячейкой 100х100. Толщиной - 43 мм. Тип: П-7.1</t>
  </si>
  <si>
    <t>1.1.3.1.1.1.1.10.1</t>
  </si>
  <si>
    <t>311044421.54612</t>
  </si>
  <si>
    <t>22767307.54612</t>
  </si>
  <si>
    <t>1.1.3.1.1.1.1.10.2</t>
  </si>
  <si>
    <t>311044421.55156</t>
  </si>
  <si>
    <t>22767307.55156</t>
  </si>
  <si>
    <t>1.1.3.1.1.1.1.10.3</t>
  </si>
  <si>
    <t>311044421.55160</t>
  </si>
  <si>
    <t>22767307.55160</t>
  </si>
  <si>
    <t>1.1.3.1.1.1.1.11</t>
  </si>
  <si>
    <t>2-4 этажи. Цементно-песчаная стяжка М200, арм. сеткой 5Вр1 с ячейкой 100х100. Толщиной - 56 мм. Тип: П-2.2, П-3.1,  П-4.1</t>
  </si>
  <si>
    <t>1.1.3.1.1.1.1.11.1</t>
  </si>
  <si>
    <t>311044422.55160</t>
  </si>
  <si>
    <t>22767308.55160</t>
  </si>
  <si>
    <t>1.1.3.1.1.1.1.11.2</t>
  </si>
  <si>
    <t>311044422.55156</t>
  </si>
  <si>
    <t>22767308.55156</t>
  </si>
  <si>
    <t>1.1.3.1.1.1.1.11.3</t>
  </si>
  <si>
    <t>311044422.54612</t>
  </si>
  <si>
    <t>22767308.54612</t>
  </si>
  <si>
    <t>1.1.3.1.1.1.1.12</t>
  </si>
  <si>
    <t>Подвал. Цементно-песчаная стяжка М200, арм. сеткой 5Вр1 с ячейкой 100х100. Толщиной - 60 мм. Тип: П-4*</t>
  </si>
  <si>
    <t>1.1.3.1.1.1.1.12.1</t>
  </si>
  <si>
    <t>311044423.54612</t>
  </si>
  <si>
    <t>22767310.54612</t>
  </si>
  <si>
    <t>1.1.3.1.1.1.1.12.2</t>
  </si>
  <si>
    <t>311044423.55156</t>
  </si>
  <si>
    <t>22767310.55156</t>
  </si>
  <si>
    <t>1.1.3.1.1.1.1.12.3</t>
  </si>
  <si>
    <t>311044423.55160</t>
  </si>
  <si>
    <t>22767310.55160</t>
  </si>
  <si>
    <t>1.1.3.1.1.1.1.13</t>
  </si>
  <si>
    <t>2-4 этажи. Цементно-песчаная стяжка М200, арм. сеткой 5Вр1 с ячейкой 100х100. Толщиной - 60 мм. Тип: П-11.1, П-11.2</t>
  </si>
  <si>
    <t>1.1.3.1.1.1.1.13.1</t>
  </si>
  <si>
    <t>311044424.55160</t>
  </si>
  <si>
    <t>22767309.55160</t>
  </si>
  <si>
    <t>1.1.3.1.1.1.1.13.2</t>
  </si>
  <si>
    <t>311044424.55156</t>
  </si>
  <si>
    <t>22767309.55156</t>
  </si>
  <si>
    <t>1.1.3.1.1.1.1.13.3</t>
  </si>
  <si>
    <t>311044424.54612</t>
  </si>
  <si>
    <t>22767309.54612</t>
  </si>
  <si>
    <t>1.1.3.1.1.1.1.14</t>
  </si>
  <si>
    <t>6.3.1.5.1.1.11.4</t>
  </si>
  <si>
    <t>Устройство стяжки СКБ / армированная сеткой от 61мм до 80 мм</t>
  </si>
  <si>
    <t>1-4 этажи. Цементно-песчаная стяжка М200, арм. сеткой 5Вр1 с ячейкой 100х100. Толщиной - 66 мм. Тип: П-2, П-3, П-4, П-4.2, П-8, П-9, П-9.1</t>
  </si>
  <si>
    <t>69309f48-e9fb-4ccc-8a31-9b4745ed871a</t>
  </si>
  <si>
    <t>23adf7dc-e836-4d8a-ab74-26a79242b402</t>
  </si>
  <si>
    <t>1.1.3.1.1.1.1.14.1</t>
  </si>
  <si>
    <t>311044327.55160</t>
  </si>
  <si>
    <t>22767306.55160</t>
  </si>
  <si>
    <t>1.1.3.1.1.1.1.14.2</t>
  </si>
  <si>
    <t>311044327.54612</t>
  </si>
  <si>
    <t>22767306.54612</t>
  </si>
  <si>
    <t>1.1.3.1.1.1.1.14.3</t>
  </si>
  <si>
    <t>311044327.55156</t>
  </si>
  <si>
    <t>22767306.55156</t>
  </si>
  <si>
    <t>1.1.3.1.1.1.1.15</t>
  </si>
  <si>
    <t>1 этаж. Цементно-песчаная стяжка М200, арм. сеткой 5Вр1 с ячейкой 100х100. Толщиной - 68 мм. Тип: П-7</t>
  </si>
  <si>
    <t>1.1.3.1.1.1.1.15.1</t>
  </si>
  <si>
    <t>311044425.55156</t>
  </si>
  <si>
    <t>22767305.55156</t>
  </si>
  <si>
    <t>1.1.3.1.1.1.1.15.2</t>
  </si>
  <si>
    <t>311044425.54612</t>
  </si>
  <si>
    <t>22767305.54612</t>
  </si>
  <si>
    <t>1.1.3.1.1.1.1.15.3</t>
  </si>
  <si>
    <t>311044425.55160</t>
  </si>
  <si>
    <t>22767305.55160</t>
  </si>
  <si>
    <t>1.1.3.1.1.1.1.16</t>
  </si>
  <si>
    <t>Подвал. Цементно-песчаная стяжка М200, арм. сеткой 5Вр1 с ячейкой 100х100. Толщиной - 80 мм. Тип: П-5*</t>
  </si>
  <si>
    <t>1.1.3.1.1.1.1.16.1</t>
  </si>
  <si>
    <t>311044426.55160</t>
  </si>
  <si>
    <t>22767311.55160</t>
  </si>
  <si>
    <t>1.1.3.1.1.1.1.16.2</t>
  </si>
  <si>
    <t>311044426.54612</t>
  </si>
  <si>
    <t>22767311.54612</t>
  </si>
  <si>
    <t>1.1.3.1.1.1.1.16.3</t>
  </si>
  <si>
    <t>311044426.55156</t>
  </si>
  <si>
    <t>22767311.55156</t>
  </si>
  <si>
    <t>1.1.3.1.1.1.1.17</t>
  </si>
  <si>
    <t>6.3.1.5.1.1.11.5</t>
  </si>
  <si>
    <t>Устройство стяжки СКБ /  армированная сеткой свыше 81 мм</t>
  </si>
  <si>
    <t>Подвал. Цементно-песчаная стяжка М200, арм. сеткой 5Вр1 с ячейкой 100х100. Толщиной - 85 мм. Тип: П-1*, П-3*</t>
  </si>
  <si>
    <t>0f365a30-a29c-44cb-8dda-87dec0dfeb67</t>
  </si>
  <si>
    <t>c9e4964d-a11c-403e-855b-19eba11666cb</t>
  </si>
  <si>
    <t>1.1.3.1.1.1.1.17.1</t>
  </si>
  <si>
    <t>311044328.55160</t>
  </si>
  <si>
    <t>22762392.55160</t>
  </si>
  <si>
    <t>1.1.3.1.1.1.1.17.2</t>
  </si>
  <si>
    <t>311044328.54612</t>
  </si>
  <si>
    <t>22762392.54612</t>
  </si>
  <si>
    <t>1.1.3.1.1.1.1.17.3</t>
  </si>
  <si>
    <t>311044328.55156</t>
  </si>
  <si>
    <t>22762392.55156</t>
  </si>
  <si>
    <t>1.1.3.1.1.1.1.18</t>
  </si>
  <si>
    <t>1 этаж. Цементно-песчаная стяжка М200, арм. сеткой 5Вр1 с ячейкой 100х100. Толщиной - 116 мм. Тип: П-1, П-1.2</t>
  </si>
  <si>
    <t>1.1.3.1.1.1.1.18.1</t>
  </si>
  <si>
    <t>311044427.55156</t>
  </si>
  <si>
    <t>22767312.55156</t>
  </si>
  <si>
    <t>1.1.3.1.1.1.1.18.2</t>
  </si>
  <si>
    <t>311044427.54612</t>
  </si>
  <si>
    <t>22767312.54612</t>
  </si>
  <si>
    <t>1.1.3.1.1.1.1.18.3</t>
  </si>
  <si>
    <t>311044427.55160</t>
  </si>
  <si>
    <t>22767312.55160</t>
  </si>
  <si>
    <t>1.1.3.1.1.1.1.19</t>
  </si>
  <si>
    <t>6.3.1.5.1.1.11.6</t>
  </si>
  <si>
    <t>Устройство стяжки СКБ / неармированная с приготовлением раствора до 20 мм</t>
  </si>
  <si>
    <t>Подвал. Цементно-песчаная стяжка М200 выравнивающая. Толщина - 20 мм. Тип: П-4*</t>
  </si>
  <si>
    <t>7f268808-b8e8-401c-abac-c5dc62318dd3</t>
  </si>
  <si>
    <t>ea2a5de3-e846-42a6-8067-5e1006c029e8</t>
  </si>
  <si>
    <t>1.1.3.1.1.1.1.19.1</t>
  </si>
  <si>
    <t>311044329.54612</t>
  </si>
  <si>
    <t>22764279.54612</t>
  </si>
  <si>
    <t>1.1.3.1.1.1.1.19.2</t>
  </si>
  <si>
    <t>311044329.55045</t>
  </si>
  <si>
    <t>22764279.55045</t>
  </si>
  <si>
    <t>1.1.3.1.1.1.1.20</t>
  </si>
  <si>
    <t xml:space="preserve">1-4 этажи. Выравнивающая цементно-песчаная стяжка М150. Толщина - 20 мм. Тип: П-1.1, П-2, П-2.1, П-3, П-4, П-4.2, П-6, П-6.1, П-7, П-7.1, П-8, П-8.1, П-11, П-11.1
</t>
  </si>
  <si>
    <t>1.1.3.1.1.1.1.20.1</t>
  </si>
  <si>
    <t>311044428.55045</t>
  </si>
  <si>
    <t>22764278.55045</t>
  </si>
  <si>
    <t>1.1.3.1.1.1.1.20.2</t>
  </si>
  <si>
    <t>311044428.54611</t>
  </si>
  <si>
    <t>22764278.54611</t>
  </si>
  <si>
    <t>1.1.3.1.1.1.1.21</t>
  </si>
  <si>
    <t>2-4 этажи. Выравнивающая цементно-песчаная стяжка М150. Толщина - 5 мм. Тип: П-2.2, П-3.1, П-4.1</t>
  </si>
  <si>
    <t>1.1.3.1.1.1.1.21.1</t>
  </si>
  <si>
    <t>311044429.54611</t>
  </si>
  <si>
    <t>22817294.54611</t>
  </si>
  <si>
    <t>1.1.3.1.1.1.1.21.2</t>
  </si>
  <si>
    <t>311044429.55045</t>
  </si>
  <si>
    <t>22817294.55045</t>
  </si>
  <si>
    <t>1.1.3.1.1.1.1.22</t>
  </si>
  <si>
    <t>6.3.1.5.1.1.11.9</t>
  </si>
  <si>
    <t>Устройство стяжки СКБ / неармированная с приготовлением раствора от 21 мм до 40 мм</t>
  </si>
  <si>
    <t>1-3 этажи. Выравнивающая цементная смесь Ceresit CN178. Толщина - 26 мм. Тип: П-5.</t>
  </si>
  <si>
    <t>da575ed1-c272-422d-983d-739497fc72b8</t>
  </si>
  <si>
    <t>f7755555-debb-45b8-8188-83a4c4b11754</t>
  </si>
  <si>
    <t>1.1.3.1.1.1.1.22.1</t>
  </si>
  <si>
    <t>Ceresit CN178</t>
  </si>
  <si>
    <t>311044330.54612</t>
  </si>
  <si>
    <t>22765232.54612</t>
  </si>
  <si>
    <t>1.1.3.1.1.1.1.23</t>
  </si>
  <si>
    <t>6.3.1.5.1.1.12.1</t>
  </si>
  <si>
    <t>Устройство наливных полов СКБ / толщ. до 10 мм</t>
  </si>
  <si>
    <t>1-4 этажи. Тип: П-7, П-7.1, П-8, П-8.1, П-11, П-11.1. Толщина - 10 мм</t>
  </si>
  <si>
    <t>b65fecf4-86b0-47e5-a873-50746e1e06fc</t>
  </si>
  <si>
    <t>1c1d8a34-6071-4900-a8e0-abeca2f16e8f</t>
  </si>
  <si>
    <t>1.1.3.1.1.1.1.23.1</t>
  </si>
  <si>
    <t>311044332.55045</t>
  </si>
  <si>
    <t>22757329.55045</t>
  </si>
  <si>
    <t>1.1.3.1.1.1.1.23.2</t>
  </si>
  <si>
    <t>Грунтовка универсальный ЛАСТИМИН_ / УНКОНТ ЛЮКС LP51 А</t>
  </si>
  <si>
    <t>311044332.1139608</t>
  </si>
  <si>
    <t>22757329.1139608</t>
  </si>
  <si>
    <t>bbceaf39-544c-478f-a605-41b8d1bad350</t>
  </si>
  <si>
    <t>1.1.3.1.1.1.1.23.3</t>
  </si>
  <si>
    <t>Наливной пол_ / Унифицированный по ПИК-СТАНДАРТ</t>
  </si>
  <si>
    <t>311044332.1352734</t>
  </si>
  <si>
    <t>22757329.1352734</t>
  </si>
  <si>
    <t>1c2289ef-6763-4a24-83d9-d4567710d066</t>
  </si>
  <si>
    <t>1.1.3.1.1.1.1.24</t>
  </si>
  <si>
    <t>Подвал. Тип: П-3*. Толщина - 10 мм.</t>
  </si>
  <si>
    <t>1.1.3.1.1.1.1.24.1</t>
  </si>
  <si>
    <t>311044430.1352734</t>
  </si>
  <si>
    <t>22829010.1352734</t>
  </si>
  <si>
    <t>1.1.3.1.1.1.1.24.2</t>
  </si>
  <si>
    <t>311044430.1139608</t>
  </si>
  <si>
    <t>22829010.1139608</t>
  </si>
  <si>
    <t>1.1.3.1.1.1.1.24.3</t>
  </si>
  <si>
    <t>311044430.55045</t>
  </si>
  <si>
    <t>22829010.55045</t>
  </si>
  <si>
    <t>1.1.3.1.1.1.1.25</t>
  </si>
  <si>
    <t>6.3.1.5.1.1.12.8</t>
  </si>
  <si>
    <t>Устройство наливных полов СКБ / толщ. свыше 40 мм</t>
  </si>
  <si>
    <t>Подвал. Тип: П-2*. Толщина - 60 мм</t>
  </si>
  <si>
    <t>3b58e471-d1ec-484f-8bc8-38f1facdf3aa</t>
  </si>
  <si>
    <t>f0429c19-1954-429c-a1cb-3a39238f54eb</t>
  </si>
  <si>
    <t>1.1.3.1.1.1.1.25.1</t>
  </si>
  <si>
    <t>311044333.1139608</t>
  </si>
  <si>
    <t>22829009.1139608</t>
  </si>
  <si>
    <t>1.1.3.1.1.1.1.25.2</t>
  </si>
  <si>
    <t>60 мм.</t>
  </si>
  <si>
    <t>311044333.54627</t>
  </si>
  <si>
    <t>22829009.54627</t>
  </si>
  <si>
    <t>e900cffa-abba-44d4-b93e-6eec1d535963</t>
  </si>
  <si>
    <t>1.1.3.1.1.1.1.25.3</t>
  </si>
  <si>
    <t>311044333.55045</t>
  </si>
  <si>
    <t>22829009.55045</t>
  </si>
  <si>
    <t>1.1.3.1.1.1.2</t>
  </si>
  <si>
    <t>6.3.1.5.1.2</t>
  </si>
  <si>
    <t>Гидроизоляция, тепло-звукоизоляция, утепление</t>
  </si>
  <si>
    <t>1.1.3.1.1.1.2.1</t>
  </si>
  <si>
    <t>6.3.1.5.1.2.1.2</t>
  </si>
  <si>
    <t>Устройство обмазочной гидроизоляции с проклеиванием швов армированной лентой из стекловолокна / в 2 слоя</t>
  </si>
  <si>
    <t xml:space="preserve">Подвал. Полимерная гидроизоляционная мастика Vetonit Tec 822 (2 слоя) - 5 мм; Тип: П-4*, П-5*
</t>
  </si>
  <si>
    <t>405b7847-8cb0-4821-ac01-f56e7770b070</t>
  </si>
  <si>
    <t>8a135a98-3599-429e-b287-6354f720abc7</t>
  </si>
  <si>
    <t>1.1.3.1.1.1.2.1.1</t>
  </si>
  <si>
    <t>Полимерная гидроизоляция Ceresit / CL51</t>
  </si>
  <si>
    <t>Vetonit Tec 822</t>
  </si>
  <si>
    <t>311044336.1193512</t>
  </si>
  <si>
    <t>22775411.1193512</t>
  </si>
  <si>
    <t>b2e2508f-bede-4719-a144-308272efce2d</t>
  </si>
  <si>
    <t>1.1.3.1.1.1.2.2</t>
  </si>
  <si>
    <t>1-4 этажи. Обмазочная гидроизоляция с заводом на стену на 300 мм. Тип: П-2.2, П-3,  П-3.1, П-4, П-4.1, П-4.2.</t>
  </si>
  <si>
    <t>1.1.3.1.1.1.2.2.1</t>
  </si>
  <si>
    <t>Мастика Гидроизоляционная, эластичная 1,1 кг/м2 (два слоя), прочность сцепления 0,8 МПа, время высыхания 1,5-2 часа</t>
  </si>
  <si>
    <t>311044431.773284</t>
  </si>
  <si>
    <t>22775410.773284</t>
  </si>
  <si>
    <t>9e4f7862-fc94-11e9-80ec-005056881952</t>
  </si>
  <si>
    <t>1.1.3.1.1.1.2.3</t>
  </si>
  <si>
    <t>1-4 этажи. Гидроизоляция стен полимерной мастикой Knauf Флэхендихт. Тип: ЧН-1, ЧН-2, ЧН-3, ЧН-4, ЧН-15</t>
  </si>
  <si>
    <t>1.1.3.1.1.1.2.3.1</t>
  </si>
  <si>
    <t>Мастика_ / Технониколь / №21</t>
  </si>
  <si>
    <t xml:space="preserve"> Knauf Флэхендихт</t>
  </si>
  <si>
    <t>311044432.57391</t>
  </si>
  <si>
    <t>23304448.57391</t>
  </si>
  <si>
    <t>431b25dc-65e4-45d6-bf7f-7ea34d1a465f</t>
  </si>
  <si>
    <t>1.1.3.1.1.1.2.4</t>
  </si>
  <si>
    <t>6.3.1.5.1.2.2.1</t>
  </si>
  <si>
    <t>Устройство оклеечной гидроизоляции с подготовкой из битумного праймера / в 1 слой</t>
  </si>
  <si>
    <t>1-4 этажи. Звукоизолирующий слой - Техноэласт Акустик Супер А350 - 4-5 мм. Тип: П-1.1, П-1.2, П-2.1, П-2.2, П-3.1, П-4.1, П-7.1, П-8.1, П-11, П-11.1, П-11.2</t>
  </si>
  <si>
    <t>b0e4a360-f0f4-4b32-848c-1316cdd739d6</t>
  </si>
  <si>
    <t>52b98750-a8fa-47b1-96e4-d689159ebbac</t>
  </si>
  <si>
    <t>1.1.3.1.1.1.2.4.1</t>
  </si>
  <si>
    <t>Теплоизоляция_ / Техноэласт Акустик Супер А350</t>
  </si>
  <si>
    <t>311044338.1122418</t>
  </si>
  <si>
    <t>22776848.1122418</t>
  </si>
  <si>
    <t>467d7a56-101c-4767-8ecf-c371e7bedd4f</t>
  </si>
  <si>
    <t>1.1.3.1.1.1.2.5</t>
  </si>
  <si>
    <t>6.3.1.5.1.2.4.1</t>
  </si>
  <si>
    <t>Устройство тепло-звукоизоляции полов / минвата / в 1 слой</t>
  </si>
  <si>
    <t>Подвал, 1-4 этажи. Минераловатный утеплитель ТехноникольТехнофлор Проф, ρ= 155 кг/м³ - 30 мм. Тип: П-2, П-3, П-4, П-4.2, П-7, П-8</t>
  </si>
  <si>
    <t>af86ab82-d73d-4a1e-bbf7-c759e5f4c78d</t>
  </si>
  <si>
    <t>712c77f6-f7c6-46fe-bc4a-fb39db44eb02</t>
  </si>
  <si>
    <t>1.1.3.1.1.1.2.5.1</t>
  </si>
  <si>
    <t>Плита теплоизоляционная минераловатная_ / ТЕХНОФЛОР СТАНДАРТ / 1200х600х120</t>
  </si>
  <si>
    <t>Технониколь Технофлор Стандарт, ρ= 110 кг/м³ - 30 мм</t>
  </si>
  <si>
    <t>311044340.763905</t>
  </si>
  <si>
    <t>22776849.763905</t>
  </si>
  <si>
    <t>8698a21b-97f8-4d0f-ac62-f0d7422f32d5</t>
  </si>
  <si>
    <t>1.1.3.1.1.1.2.6</t>
  </si>
  <si>
    <t>1 этаж. Минераловатный утеплитель ТехноникольТехнофлор Проф, ρ= 155 кг/м³ - 50 мм. Тип: П-9, П-9.1</t>
  </si>
  <si>
    <t>1.1.3.1.1.1.2.6.1</t>
  </si>
  <si>
    <t>Технониколь Технофлор Стандарт, ρ= 110 кг/м³ - 50 мм</t>
  </si>
  <si>
    <t>311044433.763905</t>
  </si>
  <si>
    <t>22776847.763905</t>
  </si>
  <si>
    <t>1.1.3.1.1.1.2.7</t>
  </si>
  <si>
    <t>6.3.1.5.1.2.5.1</t>
  </si>
  <si>
    <t>Утепление полов керамзитом</t>
  </si>
  <si>
    <t>Подвал. Керамзитовый гравий фр. 10-20 мм, П25, М250, 60-120 мм (средняя толщина 90 мм). Тип: П-4*</t>
  </si>
  <si>
    <t>d1874649-5209-4eb5-a757-57b5fb147650</t>
  </si>
  <si>
    <t>62097f98-2dd6-4f79-887b-f40e5ac30e13</t>
  </si>
  <si>
    <t>1.1.3.1.1.1.2.7.1</t>
  </si>
  <si>
    <t>Керамзит_ / фр 10-20</t>
  </si>
  <si>
    <t>311044342.54646</t>
  </si>
  <si>
    <t>22776850.54646</t>
  </si>
  <si>
    <t>131465f1-2749-420a-ba3f-b9a1b118f872</t>
  </si>
  <si>
    <t>1.1.3.1.1.1.2.8</t>
  </si>
  <si>
    <t>3 этаж. Керамзитовый гравий фр. 10-20 мм, П25, М250, толщина 83 мм. Тип: П-11.2</t>
  </si>
  <si>
    <t>1.1.3.1.1.1.2.8.1</t>
  </si>
  <si>
    <t>311044434.54646</t>
  </si>
  <si>
    <t>22779789.54646</t>
  </si>
  <si>
    <t>1.1.3.1.1.1.2.9</t>
  </si>
  <si>
    <t>2 этаж. Керамзитовый гравий фр. 10-20 мм, П25, М250, толщина 183 мм. Тип: П-11.1</t>
  </si>
  <si>
    <t>1.1.3.1.1.1.2.9.1</t>
  </si>
  <si>
    <t>311044435.54646</t>
  </si>
  <si>
    <t>22779788.54646</t>
  </si>
  <si>
    <t>1.1.3.1.1.1.2.10</t>
  </si>
  <si>
    <t>1 этаж. Керамзитовый гравий фр. 10-20 мм, П25, М250, толщина 233 мм. Тип: П-11</t>
  </si>
  <si>
    <t>1.1.3.1.1.1.2.10.1</t>
  </si>
  <si>
    <t>311044436.54646</t>
  </si>
  <si>
    <t>22779787.54646</t>
  </si>
  <si>
    <t>1.1.3.1.1.1.2.11</t>
  </si>
  <si>
    <t>6.3.1.5.1.2.6.1</t>
  </si>
  <si>
    <t>Проливка цементным молочком</t>
  </si>
  <si>
    <t>Тип: П-4*, Тип: П-11.2, Тип: П-11.1, Тип: П-11</t>
  </si>
  <si>
    <t>a1ccc2a2-0506-4d10-ba67-be520d007753</t>
  </si>
  <si>
    <t>ce6a2a40-0a2e-4d3e-b43f-ce57e8bb8ffe</t>
  </si>
  <si>
    <t>1.1.3.1.1.1.2.11.1</t>
  </si>
  <si>
    <t>Портландцемент_/М500</t>
  </si>
  <si>
    <t>311044344.54610</t>
  </si>
  <si>
    <t>22779863.54610</t>
  </si>
  <si>
    <t>4a099601-9ad5-4c20-8e6b-ef3d52a116bd</t>
  </si>
  <si>
    <t>1.1.3.1.1.1.3</t>
  </si>
  <si>
    <t>6.3.1.5.1.3</t>
  </si>
  <si>
    <t>Устройство покрытия полов</t>
  </si>
  <si>
    <t>1.1.3.1.1.1.3.1</t>
  </si>
  <si>
    <t>6.3.1.5.1.3.2.1</t>
  </si>
  <si>
    <t>Устройство покрытия пола из линолеума</t>
  </si>
  <si>
    <t>Включая защиту ДВП</t>
  </si>
  <si>
    <t>Тип: Л-4</t>
  </si>
  <si>
    <t>51b31787-2db2-4031-aade-329f900ef9b7</t>
  </si>
  <si>
    <t>b58ad002-5dea-4a06-b953-f640911ed5b2</t>
  </si>
  <si>
    <t>1.1.3.1.1.1.3.1.1</t>
  </si>
  <si>
    <t>Клей для линолеума</t>
  </si>
  <si>
    <t xml:space="preserve">Клей Forbo Eurocol 599 Eurosafe Super - 5 мм, коэф.расхода = 0,45 кг, 582,87кв.м*0,45 = 1262,29кг"
</t>
  </si>
  <si>
    <t>311044347.702694</t>
  </si>
  <si>
    <t>22895278.702694</t>
  </si>
  <si>
    <t>1a3e3255-5ba6-49e7-bbc8-279e1b1289a0</t>
  </si>
  <si>
    <t>1.1.3.1.1.1.3.1.2</t>
  </si>
  <si>
    <t>Грунтовка _ / универсальная водно-дисперсионная</t>
  </si>
  <si>
    <t>311044347.737422</t>
  </si>
  <si>
    <t>22895278.737422</t>
  </si>
  <si>
    <t>64d77ce3-b188-4652-a3eb-49ad1b6ad85c</t>
  </si>
  <si>
    <t>1.1.3.1.1.1.3.1.3</t>
  </si>
  <si>
    <t>Сварочный шнур для линолеума (для объектов СКБ)_ / Tarkett / Сварочный шнур для спортивного линолеума "цветной" для школы / 94853 или 94854</t>
  </si>
  <si>
    <t>311044347.765921</t>
  </si>
  <si>
    <t>22895278.765921</t>
  </si>
  <si>
    <t>8a356048-b8f8-47ee-8d24-c76a0511040b</t>
  </si>
  <si>
    <t>1.1.3.1.1.1.3.1.4</t>
  </si>
  <si>
    <t>Линолеум (для объектов СКБ)_ / 4 мм  / серый / Omnisports ACTION R40 GREY / Tarkett / - / Спортивный линолеум для школы</t>
  </si>
  <si>
    <t>311044347.1757616</t>
  </si>
  <si>
    <t>22895278.1757616</t>
  </si>
  <si>
    <t>8a051785-3557-4655-9655-cc3c5240c6a9</t>
  </si>
  <si>
    <t>1.1.3.1.1.1.3.2</t>
  </si>
  <si>
    <t>Тип: Л-5</t>
  </si>
  <si>
    <t>1.1.3.1.1.1.3.2.1</t>
  </si>
  <si>
    <t>Линолеум (для объектов СКБ)_ / 4 мм  / Желтый / Omnisports ACTION R40 YELLOW / Tarkett / - / Спортивный линолеум для детского сада</t>
  </si>
  <si>
    <t>Tarkett Оmnisports Action R40 coral</t>
  </si>
  <si>
    <t>311044437.1757615</t>
  </si>
  <si>
    <t>22895279.1757615</t>
  </si>
  <si>
    <t>d4a7a97e-1161-462d-a2ac-3ef8a8ae8cec</t>
  </si>
  <si>
    <t>1.1.3.1.1.1.3.2.2</t>
  </si>
  <si>
    <t>Сварочный шнур для линолеума (для объектов СКБ)_ / Tarkett / Сварочный шнур для линолеума ПВХ светло - серого для школы / 91811</t>
  </si>
  <si>
    <t>311044437.765918</t>
  </si>
  <si>
    <t>22895279.765918</t>
  </si>
  <si>
    <t>fa392f75-1b62-4551-a29d-c555784d88b7</t>
  </si>
  <si>
    <t>1.1.3.1.1.1.3.2.3</t>
  </si>
  <si>
    <t>311044437.737422</t>
  </si>
  <si>
    <t>22895279.737422</t>
  </si>
  <si>
    <t>1.1.3.1.1.1.3.2.4</t>
  </si>
  <si>
    <t>Клей Forbo Eurocol 599 Eurosafe Super - 5 мм, коэф.расхода = 0,45 кг</t>
  </si>
  <si>
    <t>311044437.702694</t>
  </si>
  <si>
    <t>22895279.702694</t>
  </si>
  <si>
    <t>1.1.3.1.1.1.3.3</t>
  </si>
  <si>
    <t>6.3.1.5.1.3.14.1</t>
  </si>
  <si>
    <t>Устройство покрытия пола из кварцвинила / на клею</t>
  </si>
  <si>
    <t>Тип: Л-1.</t>
  </si>
  <si>
    <t>d2a8c4cc-9752-499d-bcd0-96d63d6d3e47</t>
  </si>
  <si>
    <t>0f62f3eb-5d66-4427-b2d6-a309be9c6e5c</t>
  </si>
  <si>
    <t>1.1.3.1.1.1.3.3.1</t>
  </si>
  <si>
    <t>Клей полиуретановый двухкомпонентный Для напольных модульных ПВХ-покрытий(LVT,кварц-винил), жизнеспособность 1-1,5ч, Светло-бежевый, 4,31кг</t>
  </si>
  <si>
    <t>Клей Forbo-Erfurt 528 EUROSTAR RAPID - 5 мм. коэф.расхода = 0,45 кг 8025,66кв.м*0,45= 3611,55кг</t>
  </si>
  <si>
    <t>311044349.1579985</t>
  </si>
  <si>
    <t>22895276.1579985</t>
  </si>
  <si>
    <t>f4eb966a-beb9-11eb-80fb-005056881952</t>
  </si>
  <si>
    <t>1.1.3.1.1.1.3.3.2</t>
  </si>
  <si>
    <t>Кварц-виниловая плитка / SPC VIVA Series с защитным слоем 0,3мм</t>
  </si>
  <si>
    <t>ПВХ дизайн плитка. Производитель: Forbo Артикул: Effekta Professional 8060 T Light
Concrete PRO 500х500. Защитный слой 0.8</t>
  </si>
  <si>
    <t>311044349.1745760</t>
  </si>
  <si>
    <t>22895276.1745760</t>
  </si>
  <si>
    <t>5e97e485-cef1-4bb6-9a4e-50ed5226fbd6</t>
  </si>
  <si>
    <t>1.1.3.1.1.1.3.3.3</t>
  </si>
  <si>
    <t>311044349.737422</t>
  </si>
  <si>
    <t>22895276.737422</t>
  </si>
  <si>
    <t>1.1.3.1.1.1.3.4</t>
  </si>
  <si>
    <t>Тип: Л-2</t>
  </si>
  <si>
    <t>1.1.3.1.1.1.3.4.1</t>
  </si>
  <si>
    <t>311044438.737422</t>
  </si>
  <si>
    <t>22895277.737422</t>
  </si>
  <si>
    <t>1.1.3.1.1.1.3.4.2</t>
  </si>
  <si>
    <t>311044438.1745760</t>
  </si>
  <si>
    <t>22895277.1745760</t>
  </si>
  <si>
    <t>1.1.3.1.1.1.3.4.3</t>
  </si>
  <si>
    <t>Клей Forbo-Erfurt 528 EUROSTAR RAPID - 5 мм. коэф.расхода = 0,45 кг 37,96кв.м*0,45=17,08кг</t>
  </si>
  <si>
    <t>311044438.1579985</t>
  </si>
  <si>
    <t>22895277.1579985</t>
  </si>
  <si>
    <t>1.1.3.1.1.1.3.5</t>
  </si>
  <si>
    <t>6.3.1.5.1.3.16.1</t>
  </si>
  <si>
    <t>Установка напольного плинтуса / гибкого композитного плинтуса</t>
  </si>
  <si>
    <t>Тип: ПЛ-4</t>
  </si>
  <si>
    <t>bf8b2f4e-7702-446a-b121-512b33209d2c</t>
  </si>
  <si>
    <t>0b5f67e3-f627-4baf-9c3d-db9b54eab6f0</t>
  </si>
  <si>
    <t>1.1.3.1.1.1.3.5.1</t>
  </si>
  <si>
    <t>Плинтус напольный Европласт_/6.53.106</t>
  </si>
  <si>
    <t>Плинтус канелюрный. Первый профильный завод. Комбинированный каннелюрный профиль жесткий 10883. RAL 7040</t>
  </si>
  <si>
    <t>311044351.55230</t>
  </si>
  <si>
    <t>22896632.55230</t>
  </si>
  <si>
    <t>8cda3654-26b6-46fa-806e-8c0a08820d7f</t>
  </si>
  <si>
    <t>1.1.3.1.1.1.3.5.2</t>
  </si>
  <si>
    <t>Жидкие гвозди универсальные_/</t>
  </si>
  <si>
    <t>311044351.54854</t>
  </si>
  <si>
    <t>22896632.54854</t>
  </si>
  <si>
    <t>3378c715-1bc1-40f5-8d09-15a912e04c9d</t>
  </si>
  <si>
    <t>1.1.3.1.1.1.3.6</t>
  </si>
  <si>
    <t>6.3.1.5.1.3.16.4</t>
  </si>
  <si>
    <t>Установка напольного плинтуса / полимерного на клею</t>
  </si>
  <si>
    <t>Тип: ПЛ-2.</t>
  </si>
  <si>
    <t>c9eb628d-6a9a-4823-a035-3a8c813e3e45</t>
  </si>
  <si>
    <t>1e8e5096-f9d4-45e8-8fba-752768fac6e1</t>
  </si>
  <si>
    <t>1.1.3.1.1.1.3.6.1</t>
  </si>
  <si>
    <t>Плинтус для линолеума (для объектов СКБ) 100 мм WL 100 Dark Gray 0146 Dollken Плинтус для линолеума для детского сада и школ</t>
  </si>
  <si>
    <t>Плинтус гибкий. Первый профильный завод, Плинтусная лента: JL100 светло-серая 7046</t>
  </si>
  <si>
    <t>311044352.1747273</t>
  </si>
  <si>
    <t>22896631.1747273</t>
  </si>
  <si>
    <t>de126dff-32d0-11ee-a102-d1661ac0bb93</t>
  </si>
  <si>
    <t>1.1.3.1.1.1.3.7</t>
  </si>
  <si>
    <t>6.3.1.5.1.3.18.1</t>
  </si>
  <si>
    <t>Облицовка ступеней СКБ керамогранитной плиткой с затиркой швов</t>
  </si>
  <si>
    <t>Тип: КР-2. Ступени с насечками из керамогранита KERAMA MARAZZI, Коллекция: Про Матрикс
Артикул: DD201820R/GR, Формат: 300х600х9 мм. Цвет: серый светлый. Затирка Ceresit CE33 04 Серебристо-серый</t>
  </si>
  <si>
    <t>ee9b7492-3859-48da-970d-b4cb943f92b7</t>
  </si>
  <si>
    <t>fb6337dc-060b-41bd-b9cb-28c1f9d164ee</t>
  </si>
  <si>
    <t>1.1.3.1.1.1.3.7.1</t>
  </si>
  <si>
    <t>Ступени с насечками из керамического гранита "Викинг"_/SG605600R/ серый/300х600х11мм</t>
  </si>
  <si>
    <t>KERAMA MARAZZI Про Матрикс DD201820R/GR 300х600х9 мм</t>
  </si>
  <si>
    <t>311044354.54659</t>
  </si>
  <si>
    <t>22896620.54659</t>
  </si>
  <si>
    <t>80581ba0-af32-4140-9098-fad58c195b0a</t>
  </si>
  <si>
    <t>1.1.3.1.1.1.3.7.2</t>
  </si>
  <si>
    <t>Клей плиточный/Унифицированный по ПИК-СТАНДАРТ</t>
  </si>
  <si>
    <t>311044354.54630</t>
  </si>
  <si>
    <t>22896620.54630</t>
  </si>
  <si>
    <t>b9d3e1c1-6041-448e-9389-9c537e754b40</t>
  </si>
  <si>
    <t>1.1.3.1.1.1.3.7.3</t>
  </si>
  <si>
    <t>Затирка Цезерит СE33_ /  10 манхетен.</t>
  </si>
  <si>
    <t>311044354.847323</t>
  </si>
  <si>
    <t>22896620.847323</t>
  </si>
  <si>
    <t>2d2305a2-091f-448e-afc7-18ba31664bf8</t>
  </si>
  <si>
    <t>1.1.3.1.1.1.3.7.4</t>
  </si>
  <si>
    <t>311044354.1139608</t>
  </si>
  <si>
    <t>22896620.1139608</t>
  </si>
  <si>
    <t>1.1.3.1.1.1.3.8</t>
  </si>
  <si>
    <t>Тип: КР-3. Подступенки из керамогранита KERAMA MARAZZI Коллеция: Про Матрикс
Артикул: DD602020R\4 серый светлый обрезной подступенок 600х145x9мм. Затирка Ceresit CE33 04 Серебристо-серый.</t>
  </si>
  <si>
    <t>1.1.3.1.1.1.3.8.1</t>
  </si>
  <si>
    <t>311044439.1139608</t>
  </si>
  <si>
    <t>22896621.1139608</t>
  </si>
  <si>
    <t>1.1.3.1.1.1.3.8.2</t>
  </si>
  <si>
    <t>311044439.847323</t>
  </si>
  <si>
    <t>22896621.847323</t>
  </si>
  <si>
    <t>1.1.3.1.1.1.3.8.3</t>
  </si>
  <si>
    <t>311044439.54630</t>
  </si>
  <si>
    <t>22896621.54630</t>
  </si>
  <si>
    <t>1.1.3.1.1.1.3.8.4</t>
  </si>
  <si>
    <t>Подступенки из керамического гранита "Викинг"_/ SG605600R/серый/150х600х11мм</t>
  </si>
  <si>
    <t>KERAMA MARAZZI Про Матрикс DD602020R\4 600х145x9 мм</t>
  </si>
  <si>
    <t>311044439.54660</t>
  </si>
  <si>
    <t>22896621.54660</t>
  </si>
  <si>
    <t>2bd33641-bcf5-4a4a-aa20-c062f7380eca</t>
  </si>
  <si>
    <t>1.1.3.1.1.1.3.9</t>
  </si>
  <si>
    <t>Тип: КР-5. Керамогранит Kerama Marazzi, Артикул: Фрегат медовый SG701700R, Формат: 800х200х11 мм (Затирка: Ceresit СЕ 33, 04 серебристо-серый, Крестик: 2 мм)</t>
  </si>
  <si>
    <t>1.1.3.1.1.1.3.9.1</t>
  </si>
  <si>
    <t>Kerama Marazzi Фрегат медовый SG701700R 800х200х11</t>
  </si>
  <si>
    <t>311044440.54659</t>
  </si>
  <si>
    <t>22896623.54659</t>
  </si>
  <si>
    <t>1.1.3.1.1.1.3.9.2</t>
  </si>
  <si>
    <t>311044440.54630</t>
  </si>
  <si>
    <t>22896623.54630</t>
  </si>
  <si>
    <t>1.1.3.1.1.1.3.9.3</t>
  </si>
  <si>
    <t>311044440.847323</t>
  </si>
  <si>
    <t>22896623.847323</t>
  </si>
  <si>
    <t>1.1.3.1.1.1.3.9.4</t>
  </si>
  <si>
    <t>311044440.1139608</t>
  </si>
  <si>
    <t>22896623.1139608</t>
  </si>
  <si>
    <t>1.1.3.1.1.1.3.10</t>
  </si>
  <si>
    <t>Тип: Л-1. Керамогранит Kerama Marazzi, Артикул: Фрегат медовый SG701700R, Формат: 800х200х11 мм (Затирка: Ceresit СЕ 33, 04 серебристо-серый, Крестик: 2 мм)</t>
  </si>
  <si>
    <t>1.1.3.1.1.1.3.10.1</t>
  </si>
  <si>
    <t>311044441.1139608</t>
  </si>
  <si>
    <t>22896626.1139608</t>
  </si>
  <si>
    <t>1.1.3.1.1.1.3.10.2</t>
  </si>
  <si>
    <t>311044441.847323</t>
  </si>
  <si>
    <t>22896626.847323</t>
  </si>
  <si>
    <t>1.1.3.1.1.1.3.10.3</t>
  </si>
  <si>
    <t>311044441.54630</t>
  </si>
  <si>
    <t>22896626.54630</t>
  </si>
  <si>
    <t>1.1.3.1.1.1.3.10.4</t>
  </si>
  <si>
    <t>311044441.54660</t>
  </si>
  <si>
    <t>22896626.54660</t>
  </si>
  <si>
    <t>1.1.3.1.1.1.3.11</t>
  </si>
  <si>
    <t>6.3.1.5.1.3.19.1</t>
  </si>
  <si>
    <t>Устройство плинтуса из керамогранитной плитки СКБ</t>
  </si>
  <si>
    <t>Тип: ПЛ-1. Плинтус из керамогранита KERAMA MARAZZI, Коллекция: Про Матрикс, Артикул: DD602200R/6BT, Формат: 600х95х9 мм, Цвет светло серый (Крестик 2мм, затирка Ceresit CE33 04 Серебристо-серый).</t>
  </si>
  <si>
    <t>6c81bc23-a5ef-49af-8f1d-c7658256e887</t>
  </si>
  <si>
    <t>934f3c07-302a-412c-a8b5-2116f1199093</t>
  </si>
  <si>
    <t>1.1.3.1.1.1.3.11.1</t>
  </si>
  <si>
    <t>Плинтус из керамического гранита "Викинг"_ / серый / SG612600R/6ВТ / 95х600х11мм</t>
  </si>
  <si>
    <t>311044356.54663</t>
  </si>
  <si>
    <t>22896630.54663</t>
  </si>
  <si>
    <t>14055c75-784d-4af7-a4da-966408465603</t>
  </si>
  <si>
    <t>1.1.3.1.1.1.3.11.2</t>
  </si>
  <si>
    <t>Плиточный клей_ / Унифицированный по ПИК-СТАНДАРТ</t>
  </si>
  <si>
    <t>311044356.1570753</t>
  </si>
  <si>
    <t>22896630.1570753</t>
  </si>
  <si>
    <t>be76b7f0-d821-4213-a0b5-d4d9b08818f1</t>
  </si>
  <si>
    <t>1.1.3.1.1.1.3.11.3</t>
  </si>
  <si>
    <t>311044356.847323</t>
  </si>
  <si>
    <t>22896630.847323</t>
  </si>
  <si>
    <t>1.1.3.1.1.1.3.11.4</t>
  </si>
  <si>
    <t>Грунтовка универсальный ЛАСТИМИН_ / LP-51 А</t>
  </si>
  <si>
    <t>311044356.54634</t>
  </si>
  <si>
    <t>22896630.54634</t>
  </si>
  <si>
    <t>6f806fd0-f20f-4c69-8d99-cee4063fa047</t>
  </si>
  <si>
    <t>1.1.3.1.1.1.3.12</t>
  </si>
  <si>
    <t>Тип: ПЛ-6. Плинтус из керамогранита KERAMA MARAZZI, Коллекция: Колиано, Артикул: SG913000N, Формат: 300х100х8 мм, Цвет светло серый (Крестик 2мм, затирка Ceresit CE33 13 антрацит).</t>
  </si>
  <si>
    <t>1.1.3.1.1.1.3.12.1</t>
  </si>
  <si>
    <t>311044442.54634</t>
  </si>
  <si>
    <t>22896633.54634</t>
  </si>
  <si>
    <t>1.1.3.1.1.1.3.12.2</t>
  </si>
  <si>
    <t>Затирка Цезерит СE33_/13 атрацит</t>
  </si>
  <si>
    <t>311044442.54635</t>
  </si>
  <si>
    <t>22896633.54635</t>
  </si>
  <si>
    <t>255e2be5-9cb1-4b52-84d2-49341281c898</t>
  </si>
  <si>
    <t>1.1.3.1.1.1.3.12.3</t>
  </si>
  <si>
    <t>311044442.1570753</t>
  </si>
  <si>
    <t>22896633.1570753</t>
  </si>
  <si>
    <t>1.1.3.1.1.1.3.12.4</t>
  </si>
  <si>
    <t>Керамическая плитка Коллиано_ / Серый / SG913000N / 300*300*8мм</t>
  </si>
  <si>
    <t>311044442.758696</t>
  </si>
  <si>
    <t>22896633.758696</t>
  </si>
  <si>
    <t>dec587a8-6f4e-4afb-bdfb-9a67018ca72c</t>
  </si>
  <si>
    <t>1.1.3.1.1.1.3.13</t>
  </si>
  <si>
    <t>6.3.1.5.1.3.20.1</t>
  </si>
  <si>
    <t>Устройство покрытия пола СКБ с затиркой и укрытием ДВП / из керамогранитной плитки до 0,2м2/шт</t>
  </si>
  <si>
    <t>Тип: КР-4. Керамогранит KERAMA MARAZZI, Коллекция: Колиано, Артикул: SG913000N, Формат: 300х300х8 мм (Крестик 2мм, затирка Ceresit Ceresit CE 33, 13 антрацит).</t>
  </si>
  <si>
    <t>081b575c-aa66-4b70-9cd0-d5d89da79337</t>
  </si>
  <si>
    <t>65901f49-c07c-422e-a40b-cfafb585dc26</t>
  </si>
  <si>
    <t>1.1.3.1.1.1.3.13.1</t>
  </si>
  <si>
    <t>Клей плиточный/ Унифицированный по ПИК-СТАНДАРТ</t>
  </si>
  <si>
    <t>311044358.54632</t>
  </si>
  <si>
    <t>22895274.54632</t>
  </si>
  <si>
    <t>29ab9003-5b43-49a7-8ba2-846628054d7e</t>
  </si>
  <si>
    <t>1.1.3.1.1.1.3.13.2</t>
  </si>
  <si>
    <t>311044358.758696</t>
  </si>
  <si>
    <t>22895274.758696</t>
  </si>
  <si>
    <t>1.1.3.1.1.1.3.13.3</t>
  </si>
  <si>
    <t>311044358.54635</t>
  </si>
  <si>
    <t>22895274.54635</t>
  </si>
  <si>
    <t>1.1.3.1.1.1.3.13.4</t>
  </si>
  <si>
    <t>311044358.54634</t>
  </si>
  <si>
    <t>22895274.54634</t>
  </si>
  <si>
    <t>1.1.3.1.1.1.3.14</t>
  </si>
  <si>
    <t>6.3.1.5.1.3.20.2</t>
  </si>
  <si>
    <t>Устройство покрытия пола СКБ с затиркой и укрытием ДВП / из керамогранитной плитки от 0,2м2/шт</t>
  </si>
  <si>
    <t>Тип: КР-1. Керамогранит KERAMA MARAZZI, Коллекция: Про Матрикс, Артикул: DD602020R
Формат: 600х600х9мм. Цвет: серый светлый (Крестик 2мм, затирка Ceresit CE33 04 Серебристо-серый).</t>
  </si>
  <si>
    <t>69ce9bf3-5e4c-42a6-9cb7-1bf6547475ea</t>
  </si>
  <si>
    <t>abd27be4-9992-44fb-b098-3b2370fa29b6</t>
  </si>
  <si>
    <t>1.1.3.1.1.1.3.14.1</t>
  </si>
  <si>
    <t>Плиточный клей_ /  Унифицированный по ПИК-СТАНДАРТ</t>
  </si>
  <si>
    <t>311044359.739258</t>
  </si>
  <si>
    <t>22895273.739258</t>
  </si>
  <si>
    <t>b9d5a438-2a19-468f-b5a2-8648dd1dd258</t>
  </si>
  <si>
    <t>1.1.3.1.1.1.3.14.2</t>
  </si>
  <si>
    <t>Керамический гранит Kerama marazzi_ / Серый светлый / SG614800R/Напольный/Королевская дорога / 600*600*11</t>
  </si>
  <si>
    <t>311044359.720769</t>
  </si>
  <si>
    <t>22895273.720769</t>
  </si>
  <si>
    <t>3ac98e36-5cd5-4ac7-9116-897c1cc1bd6a</t>
  </si>
  <si>
    <t>1.1.3.1.1.1.3.14.3</t>
  </si>
  <si>
    <t>Затирка Цезерит СE33_/04 серебристо-серый</t>
  </si>
  <si>
    <t>311044359.54637</t>
  </si>
  <si>
    <t>22895273.54637</t>
  </si>
  <si>
    <t>c293221b-d93c-4424-8200-e1b99b7167e3</t>
  </si>
  <si>
    <t>1.1.3.1.1.1.3.14.4</t>
  </si>
  <si>
    <t>311044359.54634</t>
  </si>
  <si>
    <t>22895273.54634</t>
  </si>
  <si>
    <t>1.1.3.1.1.1.3.15</t>
  </si>
  <si>
    <t>Тип: КР-6. Керамогранит KERAMA MARAZZI, Коллекция: Джиминьяно, Артикул: DD642220R
Формат: 600х600х9мм. Цвет: серый светлый, Класс сопротивления скольжению R11 (Крестик 2мм, затирка Ceresit CE33 04 Серебристо-серый).</t>
  </si>
  <si>
    <t>1.1.3.1.1.1.3.15.1</t>
  </si>
  <si>
    <t>311044443.54634</t>
  </si>
  <si>
    <t>22895275.54634</t>
  </si>
  <si>
    <t>1.1.3.1.1.1.3.15.2</t>
  </si>
  <si>
    <t>311044443.54637</t>
  </si>
  <si>
    <t>22895275.54637</t>
  </si>
  <si>
    <t>1.1.3.1.1.1.3.15.3</t>
  </si>
  <si>
    <t>311044443.720769</t>
  </si>
  <si>
    <t>22895275.720769</t>
  </si>
  <si>
    <t>1.1.3.1.1.1.3.15.4</t>
  </si>
  <si>
    <t>311044443.739258</t>
  </si>
  <si>
    <t>22895275.739258</t>
  </si>
  <si>
    <t>1.1.3.1.1.1.4</t>
  </si>
  <si>
    <t>6.3.1.5.1.4</t>
  </si>
  <si>
    <t>Приямки, системы грязезащиты</t>
  </si>
  <si>
    <t>1.1.3.1.1.1.4.1</t>
  </si>
  <si>
    <t>6.3.1.5.1.4.1.1</t>
  </si>
  <si>
    <t>Укладка систем грязезащиты на пол</t>
  </si>
  <si>
    <t>Тип: ГР-2</t>
  </si>
  <si>
    <t>24d94b44-d345-4644-8c8c-8701a2ebc89e</t>
  </si>
  <si>
    <t>010124f9-1c79-4884-b200-84a0e7f1c696</t>
  </si>
  <si>
    <t>1.1.3.1.1.1.4.1.1</t>
  </si>
  <si>
    <t>Грязезащитная  стальная решетка / Сталь / 80303 / Алсагор</t>
  </si>
  <si>
    <t>311044362.771974</t>
  </si>
  <si>
    <t>22895272.771974</t>
  </si>
  <si>
    <t>f7fbc70d-14ac-46d1-8286-136df2b67a3e</t>
  </si>
  <si>
    <t>1.1.3.1.1.2</t>
  </si>
  <si>
    <t>6.3.1.5.2</t>
  </si>
  <si>
    <t>Стены</t>
  </si>
  <si>
    <t>1.1.3.1.1.2.1</t>
  </si>
  <si>
    <t>6.3.1.5.2.1</t>
  </si>
  <si>
    <t>Черновые работы по поверхности стен</t>
  </si>
  <si>
    <t>1.1.3.1.1.2.1.1</t>
  </si>
  <si>
    <t>6.3.1.5.2.1.1.1</t>
  </si>
  <si>
    <t>Оклейка швов сопряжения бетонных и других поверхностей стен, перегородок (газобетон, ПГП, панели АКОТЕК и др.) стеклохолстом</t>
  </si>
  <si>
    <t>Перед штукатуркой проклеить швы сопряжения разнородных поверхностей (бетон, газобетонный блок, кирпич, ПГП) и углы сеткой стеклотканой, ширина полос проклейки 150+150=300 мм, что составляет 20% от всей площади оштукатуриваемой поверхности.</t>
  </si>
  <si>
    <t>376b0b05-e1f7-4eb4-858c-54cfc94012c5</t>
  </si>
  <si>
    <t>7942ddbf-4120-45ca-9456-f48a3ec42d9b</t>
  </si>
  <si>
    <t>1.1.3.1.1.2.1.1.1</t>
  </si>
  <si>
    <t>Штукатурка гипсовая_ / Унифицированная по ПИК-СТАНДАРТ, 30кг</t>
  </si>
  <si>
    <t>т.к. ширина арм.ленты 300 мм (150+150) объем штукатурки =2181,16*2*0,01=436,232 кг.</t>
  </si>
  <si>
    <t>311044366.54616</t>
  </si>
  <si>
    <t>22781792.54616</t>
  </si>
  <si>
    <t>b059108e-66ce-4a56-9765-c924e4c0b8b7</t>
  </si>
  <si>
    <t>1.1.3.1.1.2.1.1.2</t>
  </si>
  <si>
    <t>Лента армирующая ( серпянка)_/150мм</t>
  </si>
  <si>
    <t>150+150=300 мм</t>
  </si>
  <si>
    <t>311044366.55040</t>
  </si>
  <si>
    <t>22781792.55040</t>
  </si>
  <si>
    <t>eae3db91-694c-4324-837b-5cb2a168407e</t>
  </si>
  <si>
    <t>1.1.3.1.1.2.1.2</t>
  </si>
  <si>
    <t>6.3.1.5.2.1.3.1</t>
  </si>
  <si>
    <t>Штукатурка внутренних стен по утеплителю по стеклотканевой сетке / толщ. до 10мм</t>
  </si>
  <si>
    <t>Тамбуры. Штукатурка штукатурно-клеевой смесью Технониколь-210 (или аналог КАВЕРПЛИКС TC117) по утеплителю и сетке стеклотканевой усиленной щелочестойкой - 10мм; Тип: ЧН-18, ЧН-19</t>
  </si>
  <si>
    <t>6bc17dc5-cada-440f-90ee-407d79abee1b</t>
  </si>
  <si>
    <t>a52e4e4e-64fd-4e11-a9ba-5a48263efcca</t>
  </si>
  <si>
    <t>1.1.3.1.1.2.1.2.1</t>
  </si>
  <si>
    <t>Штукатурно-клеевая смесь_ / ОСНОВИТ КАВЕРПЛИКС TC117</t>
  </si>
  <si>
    <t>311044368.40154</t>
  </si>
  <si>
    <t>22781793.40154</t>
  </si>
  <si>
    <t>b8bd5dee-abe1-449a-86cb-ad78d55bddfd</t>
  </si>
  <si>
    <t>1.1.3.1.1.2.1.2.2</t>
  </si>
  <si>
    <t>Сетка стеклотканевая 130г/м2, ячейка 10х10мм</t>
  </si>
  <si>
    <t>311044368.43669</t>
  </si>
  <si>
    <t>22781793.43669</t>
  </si>
  <si>
    <t>11f7cdf6-1c22-11e9-80e7-005056881952</t>
  </si>
  <si>
    <t>1.1.3.1.1.2.1.2.3</t>
  </si>
  <si>
    <t>Профиль маячковый_/ПМ6</t>
  </si>
  <si>
    <t>311044368.55029</t>
  </si>
  <si>
    <t>22781793.55029</t>
  </si>
  <si>
    <t>b3ba1810-316e-4118-90eb-ce29d5c83076</t>
  </si>
  <si>
    <t>1.1.3.1.1.2.1.3</t>
  </si>
  <si>
    <t>6.3.1.5.2.1.5.1</t>
  </si>
  <si>
    <t>Устройство тепло-звукоизоляции стен / в 1 слой</t>
  </si>
  <si>
    <t>Утепление воздуховодов вентшахт. Минераловатный утеплитель (p=145 кг/м.куб., предел прочности на отрыв ≥15 кПа) ), t=150 мм, ТЕХНОНИКОЛЬ "ТЕХНОФАС".</t>
  </si>
  <si>
    <t>d905b69c-b571-4b66-bcba-d814715a7e4d</t>
  </si>
  <si>
    <t>7fe7d7a7-e0dc-4619-8320-6ce897ce3f8f</t>
  </si>
  <si>
    <t>1.1.3.1.1.2.1.3.1</t>
  </si>
  <si>
    <t>Плита теплоизоляционная минераловатная_ / Техновент Оптима</t>
  </si>
  <si>
    <t>311044370.758694</t>
  </si>
  <si>
    <t>22781796.758694</t>
  </si>
  <si>
    <t>991ae273-a683-4e79-88ed-3b1939bef418</t>
  </si>
  <si>
    <t>1.1.3.1.1.2.1.3.2</t>
  </si>
  <si>
    <t>Дюбель д/изоляции IZL-T с термоголовкой_/10/200</t>
  </si>
  <si>
    <t>311044370.54844</t>
  </si>
  <si>
    <t>22781796.54844</t>
  </si>
  <si>
    <t>38658f75-c683-43ec-a4a4-e12fa90cbfa9</t>
  </si>
  <si>
    <t>1.1.3.1.1.2.1.4</t>
  </si>
  <si>
    <t>мин. плита Технофас Оптима или аналог (ρ=101-10 кг/м3, λ=0,041 Вт/м°) 50мм на клеевой смеси Технониколь-210 (или аналог - КАВЕРПЛИКС AC117) 5мм с креплением грибками, всего 55мм; Тип: ЧН-18</t>
  </si>
  <si>
    <t>1.1.3.1.1.2.1.4.1</t>
  </si>
  <si>
    <t>Дюбель д/изоляции IZL-T с термоголовкой_/10/120</t>
  </si>
  <si>
    <t>311044444.54841</t>
  </si>
  <si>
    <t>22782182.54841</t>
  </si>
  <si>
    <t>6c2f5899-8fc9-44f0-ae0b-8fa922ee7530</t>
  </si>
  <si>
    <t>1.1.3.1.1.2.1.4.2</t>
  </si>
  <si>
    <t>Клеевая смесь_ / ОСНОВИТ КАВЕРПЛИКС AC117</t>
  </si>
  <si>
    <t>311044444.40148</t>
  </si>
  <si>
    <t>22782182.40148</t>
  </si>
  <si>
    <t>cc3eda2f-a927-4a66-842b-e2a8b5009ac1</t>
  </si>
  <si>
    <t>1.1.3.1.1.2.1.4.3</t>
  </si>
  <si>
    <t>311044444.758694</t>
  </si>
  <si>
    <t>22782182.758694</t>
  </si>
  <si>
    <t>1.1.3.1.1.2.1.5</t>
  </si>
  <si>
    <t>мин. плита Технофас Оптима или аналог (ρ=101-10 кг/м3, λ=0,041 Вт/м°) 150мм на клеевой смеси Технониколь-210 (или аналог - КАВЕРПЛИКС AC117) 5мм с креплением грибками, всего 155мм; Тип: ЧН-18</t>
  </si>
  <si>
    <t>1.1.3.1.1.2.1.5.1</t>
  </si>
  <si>
    <t>311044445.758694</t>
  </si>
  <si>
    <t>22782181.758694</t>
  </si>
  <si>
    <t>1.1.3.1.1.2.1.5.2</t>
  </si>
  <si>
    <t>311044445.40148</t>
  </si>
  <si>
    <t>22782181.40148</t>
  </si>
  <si>
    <t>1.1.3.1.1.2.1.5.3</t>
  </si>
  <si>
    <t>Дюбель д/изоляции IZL-T с термоголовкой_/10/220</t>
  </si>
  <si>
    <t>311044445.54845</t>
  </si>
  <si>
    <t>22782181.54845</t>
  </si>
  <si>
    <t>d0e17a04-3cd0-45f0-a6f8-ba76ac846ac7</t>
  </si>
  <si>
    <t>1.1.3.1.1.2.1.6</t>
  </si>
  <si>
    <t>6.3.1.5.2.1.8.4</t>
  </si>
  <si>
    <t>Подготовка поверхности СКБ / стен / ГКЛ, ПГП / 2мм</t>
  </si>
  <si>
    <t xml:space="preserve">Подвал. Шпаклевка Кнауф-Фуген Гидро - базовый слой. Тип: ЧН-25
</t>
  </si>
  <si>
    <t>fa1c67dc-3027-4791-83d8-da340ce63151</t>
  </si>
  <si>
    <t>207d32dd-c8b8-468d-95bb-104bba9e15df</t>
  </si>
  <si>
    <t>1.1.3.1.1.2.1.6.1</t>
  </si>
  <si>
    <t>Шпатлевка цементная</t>
  </si>
  <si>
    <t>Кнауф-Фуген Гидро</t>
  </si>
  <si>
    <t>311044372.1272014</t>
  </si>
  <si>
    <t>22788873.1272014</t>
  </si>
  <si>
    <t>515f7d43-39e1-4366-a9d9-2be3d410ca9d</t>
  </si>
  <si>
    <t>1.1.3.1.1.2.1.6.2</t>
  </si>
  <si>
    <t>Уголок малярный_/перфорированный/25*25*3000мм</t>
  </si>
  <si>
    <t>311044372.55026</t>
  </si>
  <si>
    <t>22788873.55026</t>
  </si>
  <si>
    <t>480f9c46-4853-47e1-ac30-340d72ef0430</t>
  </si>
  <si>
    <t>1.1.3.1.1.2.1.6.3</t>
  </si>
  <si>
    <t>311044372.54634</t>
  </si>
  <si>
    <t>22788873.54634</t>
  </si>
  <si>
    <t>1.1.3.1.1.2.1.7</t>
  </si>
  <si>
    <t xml:space="preserve">1-4 этаж. Шпаклевка гипсовая базовая. Тип: ЧН-14, ЧН-22
</t>
  </si>
  <si>
    <t>1.1.3.1.1.2.1.7.1</t>
  </si>
  <si>
    <t>311044446.54634</t>
  </si>
  <si>
    <t>22788868.54634</t>
  </si>
  <si>
    <t>1.1.3.1.1.2.1.7.2</t>
  </si>
  <si>
    <t>311044446.55026</t>
  </si>
  <si>
    <t>22788868.55026</t>
  </si>
  <si>
    <t>1.1.3.1.1.2.1.7.3</t>
  </si>
  <si>
    <t>Шпатлевка гипсовая_ / белая / Унифицированная по ПИК-СТАНДАРТ, 30кг</t>
  </si>
  <si>
    <t>311044446.54622</t>
  </si>
  <si>
    <t>22788868.54622</t>
  </si>
  <si>
    <t>c5ed9089-be55-4be8-8db3-0f286a2dbba5</t>
  </si>
  <si>
    <t>1.1.3.1.1.2.1.8</t>
  </si>
  <si>
    <t>1-4 этаж. Шпаклевка гипсовая финишная. Тип: ЧН-14, ЧН-22</t>
  </si>
  <si>
    <t>1.1.3.1.1.2.1.8.1</t>
  </si>
  <si>
    <t>311044447.54622</t>
  </si>
  <si>
    <t>22788870.54622</t>
  </si>
  <si>
    <t>1.1.3.1.1.2.1.8.2</t>
  </si>
  <si>
    <t>311044447.54634</t>
  </si>
  <si>
    <t>22788870.54634</t>
  </si>
  <si>
    <t>1.1.3.1.1.2.1.9</t>
  </si>
  <si>
    <t>6.3.1.5.2.1.8.5</t>
  </si>
  <si>
    <t>Подготовка поверхности СКБ / стен / по штукатурке / 2мм</t>
  </si>
  <si>
    <t>1-4 этаж. Шпаклевка гипсовая базовая. Тип: ЧН-5, ЧН-6, ЧН-8, ЧН-11</t>
  </si>
  <si>
    <t>2d82ee91-3b80-41a0-9d47-bde670b317cb</t>
  </si>
  <si>
    <t>235f7698-b192-4ccd-97e9-3a61b0165ad1</t>
  </si>
  <si>
    <t>1.1.3.1.1.2.1.9.1</t>
  </si>
  <si>
    <t>311044373.54621</t>
  </si>
  <si>
    <t>22788869.54621</t>
  </si>
  <si>
    <t>b18a669c-55b9-4a3b-9bec-843efe930f3c</t>
  </si>
  <si>
    <t>1.1.3.1.1.2.1.9.2</t>
  </si>
  <si>
    <t>Уголок малярный_ / L=3м /25х25 мм</t>
  </si>
  <si>
    <t>311044373.18405</t>
  </si>
  <si>
    <t>22788869.18405</t>
  </si>
  <si>
    <t>6aa8b3b9-7634-40f9-a5c9-a021ce35f715</t>
  </si>
  <si>
    <t>1.1.3.1.1.2.1.9.3</t>
  </si>
  <si>
    <t>311044373.54634</t>
  </si>
  <si>
    <t>22788869.54634</t>
  </si>
  <si>
    <t>1.1.3.1.1.2.1.10</t>
  </si>
  <si>
    <t>1-4 этаж. Шпаклевка гипсовая финишная. Тип: ЧН-5, ЧН-6, ЧН-8, ЧН-11</t>
  </si>
  <si>
    <t>1.1.3.1.1.2.1.10.1</t>
  </si>
  <si>
    <t>311044448.54634</t>
  </si>
  <si>
    <t>22788871.54634</t>
  </si>
  <si>
    <t>1.1.3.1.1.2.1.10.2</t>
  </si>
  <si>
    <t>311044448.54621</t>
  </si>
  <si>
    <t>22788871.54621</t>
  </si>
  <si>
    <t>1.1.3.1.1.2.1.11</t>
  </si>
  <si>
    <t>1-4 этаж. Шпаклевка цементная базовая. Тип: ЧН-7, ЧН-16, ЧН-19</t>
  </si>
  <si>
    <t>1.1.3.1.1.2.1.11.1</t>
  </si>
  <si>
    <t>311044449.1272014</t>
  </si>
  <si>
    <t>22789138.1272014</t>
  </si>
  <si>
    <t>1.1.3.1.1.2.1.11.2</t>
  </si>
  <si>
    <t>311044449.18405</t>
  </si>
  <si>
    <t>22789138.18405</t>
  </si>
  <si>
    <t>1.1.3.1.1.2.1.11.3</t>
  </si>
  <si>
    <t>311044449.54634</t>
  </si>
  <si>
    <t>22789138.54634</t>
  </si>
  <si>
    <t>1.1.3.1.1.2.1.12</t>
  </si>
  <si>
    <t>1-4 этаж. Шпаклевка цементная финишная. Тип: ЧН-7, ЧН-16, ЧН-19</t>
  </si>
  <si>
    <t>1.1.3.1.1.2.1.12.1</t>
  </si>
  <si>
    <t>311044450.54634</t>
  </si>
  <si>
    <t>22789139.54634</t>
  </si>
  <si>
    <t>1.1.3.1.1.2.1.12.2</t>
  </si>
  <si>
    <t>311044450.1272014</t>
  </si>
  <si>
    <t>22789139.1272014</t>
  </si>
  <si>
    <t>1.1.3.1.1.2.1.13</t>
  </si>
  <si>
    <t>6.3.1.5.2.1.10.1</t>
  </si>
  <si>
    <t>Штукатурка стен цементным, цементно-песчаным раствором с предварительной огрунтовкой / толщ. до 20 мм / высотой до 4 метров</t>
  </si>
  <si>
    <t>1-4 этажи. Штукатурка по ПГП под облицовку плиткой смесью Knauff-флизен 10 мм с грунтовкой Knauff-тиффенгрунд. Тип: ЧН-2, ЧН-9</t>
  </si>
  <si>
    <t>e388f40d-4345-407c-81b7-1708677a4264</t>
  </si>
  <si>
    <t>717f7355-64c8-4161-814c-7a062cbe592c</t>
  </si>
  <si>
    <t>1.1.3.1.1.2.1.13.1</t>
  </si>
  <si>
    <t>Штукатурка цементная</t>
  </si>
  <si>
    <t>Knauff-флизен</t>
  </si>
  <si>
    <t>311044375.726518</t>
  </si>
  <si>
    <t>22789191.726518</t>
  </si>
  <si>
    <t>6340f993-804d-456a-a0be-3b2094bd37f9</t>
  </si>
  <si>
    <t>1.1.3.1.1.2.1.13.2</t>
  </si>
  <si>
    <t>311044375.55029</t>
  </si>
  <si>
    <t>22789191.55029</t>
  </si>
  <si>
    <t>1.1.3.1.1.2.1.13.3</t>
  </si>
  <si>
    <t xml:space="preserve">Knauff-тиффенгрунд
</t>
  </si>
  <si>
    <t>311044375.54634</t>
  </si>
  <si>
    <t>22789191.54634</t>
  </si>
  <si>
    <t>1.1.3.1.1.2.1.14</t>
  </si>
  <si>
    <t>6.3.1.5.2.1.10.2</t>
  </si>
  <si>
    <t>Штукатурка стен цементным, цементно-песчаным раствором с предварительной огрунтовкой / толщ. от 21 до 40 мм / высотой до 4 метров</t>
  </si>
  <si>
    <t>1-4 этажи. Штукатурка по ж/б. Тип: ЧН-1, ЧН-7, ЧН-10</t>
  </si>
  <si>
    <t>e4f57127-f115-40dc-b6d0-d9a56d151517</t>
  </si>
  <si>
    <t>acc164cf-7b33-4903-b102-0aeda99aeeb4</t>
  </si>
  <si>
    <t>1.1.3.1.1.2.1.14.1</t>
  </si>
  <si>
    <t>РД, Примечания, п.2 - 32,5 мм</t>
  </si>
  <si>
    <t>311044376.726518</t>
  </si>
  <si>
    <t>22789265.726518</t>
  </si>
  <si>
    <t>1.1.3.1.1.2.1.14.2</t>
  </si>
  <si>
    <t>311044376.55029</t>
  </si>
  <si>
    <t>22789265.55029</t>
  </si>
  <si>
    <t>1.1.3.1.1.2.1.14.3</t>
  </si>
  <si>
    <t>Грунтовка БЕТОН-КОНТАКТ_/</t>
  </si>
  <si>
    <t>311044376.54633</t>
  </si>
  <si>
    <t>22789265.54633</t>
  </si>
  <si>
    <t>8682c7d7-b370-46ef-9c4b-39309f9aa3e8</t>
  </si>
  <si>
    <t>1.1.3.1.1.2.1.15</t>
  </si>
  <si>
    <t>1-4 этажи. Штукатурка по блоку и кирпичу. Тип: ЧН-4, ЧН-12, ЧН-13, ЧН-15, ЧН-16, ЧН-20, ЧН-21, ЧН-23</t>
  </si>
  <si>
    <t>1.1.3.1.1.2.1.15.1</t>
  </si>
  <si>
    <t>311044451.54634</t>
  </si>
  <si>
    <t>22789266.54634</t>
  </si>
  <si>
    <t>1.1.3.1.1.2.1.15.2</t>
  </si>
  <si>
    <t>311044451.55029</t>
  </si>
  <si>
    <t>22789266.55029</t>
  </si>
  <si>
    <t>1.1.3.1.1.2.1.15.3</t>
  </si>
  <si>
    <t>311044451.726518</t>
  </si>
  <si>
    <t>22789266.726518</t>
  </si>
  <si>
    <t>1.1.3.1.1.2.1.16</t>
  </si>
  <si>
    <t>Подвал. Штукатурка по кирпичу. Тип: ЧН-26</t>
  </si>
  <si>
    <t>1.1.3.1.1.2.1.16.1</t>
  </si>
  <si>
    <t>311044452.726518</t>
  </si>
  <si>
    <t>22846125.726518</t>
  </si>
  <si>
    <t>1.1.3.1.1.2.1.16.2</t>
  </si>
  <si>
    <t>311044452.55029</t>
  </si>
  <si>
    <t>22846125.55029</t>
  </si>
  <si>
    <t>1.1.3.1.1.2.1.16.3</t>
  </si>
  <si>
    <t>311044452.54634</t>
  </si>
  <si>
    <t>22846125.54634</t>
  </si>
  <si>
    <t>1.1.3.1.1.2.1.17</t>
  </si>
  <si>
    <t>Подвал. Штукатурка по ж/б. Тип: ЧН-7</t>
  </si>
  <si>
    <t>1.1.3.1.1.2.1.17.1</t>
  </si>
  <si>
    <t>311044453.54633</t>
  </si>
  <si>
    <t>22846124.54633</t>
  </si>
  <si>
    <t>1.1.3.1.1.2.1.17.2</t>
  </si>
  <si>
    <t>311044453.55029</t>
  </si>
  <si>
    <t>22846124.55029</t>
  </si>
  <si>
    <t>1.1.3.1.1.2.1.17.3</t>
  </si>
  <si>
    <t>311044453.726518</t>
  </si>
  <si>
    <t>22846124.726518</t>
  </si>
  <si>
    <t>1.1.3.1.1.2.1.18</t>
  </si>
  <si>
    <t>6.3.1.5.2.1.10.5</t>
  </si>
  <si>
    <t>Штукатурка стен цементным, цементно-песчаным раствором с предварительной огрунтовкой / толщ. от 21 до 40 мм / высотой от 4,01 до 8 метров</t>
  </si>
  <si>
    <t>Леса применяются отдельной расценкой.</t>
  </si>
  <si>
    <t>Штукатурка по ж/б зенитных фонарей. Тип: ЧН-7</t>
  </si>
  <si>
    <t>8bf6a8a2-6644-4f01-93be-2d8656ddd398</t>
  </si>
  <si>
    <t>021b202b-78b5-4d45-af3a-c2baaf384e72</t>
  </si>
  <si>
    <t>1.1.3.1.1.2.1.18.1</t>
  </si>
  <si>
    <t>311044377.726518</t>
  </si>
  <si>
    <t>22789960.726518</t>
  </si>
  <si>
    <t>1.1.3.1.1.2.1.18.2</t>
  </si>
  <si>
    <t>311044377.55029</t>
  </si>
  <si>
    <t>22789960.55029</t>
  </si>
  <si>
    <t>1.1.3.1.1.2.1.18.3</t>
  </si>
  <si>
    <t>311044377.54633</t>
  </si>
  <si>
    <t>22789960.54633</t>
  </si>
  <si>
    <t>1.1.3.1.1.2.1.19</t>
  </si>
  <si>
    <t>6.3.1.5.2.1.10.8</t>
  </si>
  <si>
    <t>Штукатурка стен цементным, цементно-песчаным раствором с предварительной огрунтовкой / толщ. от 21 до 40 мм / высотой свыше 8,01 метров</t>
  </si>
  <si>
    <t>Штукатурка по кирпичу лазов на кровлю с ЛК. Тип: ЧН-16</t>
  </si>
  <si>
    <t>7f02f3da-e197-4d81-9a33-eaa236a4461f</t>
  </si>
  <si>
    <t>f2eebc4a-92bd-4780-9269-77a72177cc8a</t>
  </si>
  <si>
    <t>1.1.3.1.1.2.1.19.1</t>
  </si>
  <si>
    <t>311044378.726518</t>
  </si>
  <si>
    <t>22789961.726518</t>
  </si>
  <si>
    <t>1.1.3.1.1.2.1.19.2</t>
  </si>
  <si>
    <t>311044378.54634</t>
  </si>
  <si>
    <t>22789961.54634</t>
  </si>
  <si>
    <t>1.1.3.1.1.2.1.19.3</t>
  </si>
  <si>
    <t>311044378.55029</t>
  </si>
  <si>
    <t>22789961.55029</t>
  </si>
  <si>
    <t>1.1.3.1.1.2.1.20</t>
  </si>
  <si>
    <t>6.3.1.5.2.1.12.1</t>
  </si>
  <si>
    <t>Штукатурка стен гипсовыми смесями с предварительной огрунтовкой СКБ / до 20 мм / высотой от 4,01 до 8 метров</t>
  </si>
  <si>
    <t xml:space="preserve">1-4 этажи. Штукатурка гипсовая по ПГП. Тип: ЧН-8
</t>
  </si>
  <si>
    <t>b330c807-270b-4c90-9e5c-256b5c880e81</t>
  </si>
  <si>
    <t>e8572a2f-0850-44e4-ada6-5da4f90f316c</t>
  </si>
  <si>
    <t>1.1.3.1.1.2.1.20.1</t>
  </si>
  <si>
    <t>10 мм</t>
  </si>
  <si>
    <t>311044380.54616</t>
  </si>
  <si>
    <t>22789959.54616</t>
  </si>
  <si>
    <t>1.1.3.1.1.2.1.20.2</t>
  </si>
  <si>
    <t>311044380.54634</t>
  </si>
  <si>
    <t>22789959.54634</t>
  </si>
  <si>
    <t>1.1.3.1.1.2.1.20.3</t>
  </si>
  <si>
    <t>311044380.55029</t>
  </si>
  <si>
    <t>22789959.55029</t>
  </si>
  <si>
    <t>1.1.3.1.1.2.1.21</t>
  </si>
  <si>
    <t>6.3.1.5.2.1.12.2</t>
  </si>
  <si>
    <t>Штукатурка стен гипсовыми смесями с предварительной огрунтовкой СКБ / толщ. от 21 до 40 мм / высотой от 4,01 до 8 метров</t>
  </si>
  <si>
    <t>1-4 этажи. Штукатурка гипсовая по блоку. Тип: ЧН-6, ЧН-11</t>
  </si>
  <si>
    <t>e97400ea-ba91-4266-8e4d-399c9b83bcf7</t>
  </si>
  <si>
    <t>635cc207-b262-46f6-8a6a-9126054e7be7</t>
  </si>
  <si>
    <t>1.1.3.1.1.2.1.21.1</t>
  </si>
  <si>
    <t>311044381.54616</t>
  </si>
  <si>
    <t>22791072.54616</t>
  </si>
  <si>
    <t>1.1.3.1.1.2.1.21.2</t>
  </si>
  <si>
    <t>311044381.55029</t>
  </si>
  <si>
    <t>22791072.55029</t>
  </si>
  <si>
    <t>1.1.3.1.1.2.1.21.3</t>
  </si>
  <si>
    <t>311044381.54634</t>
  </si>
  <si>
    <t>22791072.54634</t>
  </si>
  <si>
    <t>1.1.3.1.1.2.1.22</t>
  </si>
  <si>
    <t>1-4 этажи. Штукатурка гипсовая по ж/б. Тип: ЧН-5</t>
  </si>
  <si>
    <t>1.1.3.1.1.2.1.22.1</t>
  </si>
  <si>
    <t>311044454.54633</t>
  </si>
  <si>
    <t>22791073.54633</t>
  </si>
  <si>
    <t>1.1.3.1.1.2.1.22.2</t>
  </si>
  <si>
    <t>311044454.55029</t>
  </si>
  <si>
    <t>22791073.55029</t>
  </si>
  <si>
    <t>1.1.3.1.1.2.1.22.3</t>
  </si>
  <si>
    <t>311044454.54616</t>
  </si>
  <si>
    <t>22791073.54616</t>
  </si>
  <si>
    <t>1.1.3.1.1.2.2</t>
  </si>
  <si>
    <t>6.3.1.5.2.2</t>
  </si>
  <si>
    <t>Чистовые работы по поверхности стен</t>
  </si>
  <si>
    <t>1.1.3.1.1.2.2.1</t>
  </si>
  <si>
    <t>6.3.1.5.2.2.5.2</t>
  </si>
  <si>
    <t>Монтаж стеновых панелей / ПВХ</t>
  </si>
  <si>
    <t>Тип: СТ-13.1. Панели перфорированные звукопоглощающие САУНДЛАЙН-Акустика НГ Формат: 600х600х100 мм</t>
  </si>
  <si>
    <t>ceaf9f3c-cc6f-438d-b04a-fee052df879a</t>
  </si>
  <si>
    <t>cc38b2b0-78ba-4425-95a0-d4c1d50bec1c</t>
  </si>
  <si>
    <t>1.1.3.1.1.2.2.1.1</t>
  </si>
  <si>
    <t>Панель ПВХ / 2700x375x5</t>
  </si>
  <si>
    <t>Панели перфорированные звукопоглощающие САУНДЛАЙН-Акустика НГ Формат: 600х600х100 мм (цена указана за кв.м.)</t>
  </si>
  <si>
    <t>311044384.1504881</t>
  </si>
  <si>
    <t>22879050.1504881</t>
  </si>
  <si>
    <t>a14c45c3-3ac5-4910-86d8-36d4d1fb8b3f</t>
  </si>
  <si>
    <t>1.1.3.1.1.2.2.2</t>
  </si>
  <si>
    <t>Тип: СТ-13.2. Панели звукопоглощающие без перфорации САУНДЛАЙН-Акустика НГ б/п Формат: 600х600х100мм</t>
  </si>
  <si>
    <t>1.1.3.1.1.2.2.2.1</t>
  </si>
  <si>
    <t>Панели звукопоглощающие без перфорации САУНДЛАЙН-Акустика НГ б/п Формат: 600х600х100мм (цена указана за кв.м.)</t>
  </si>
  <si>
    <t>311044455.1504881</t>
  </si>
  <si>
    <t>22879051.1504881</t>
  </si>
  <si>
    <t>1.1.3.1.1.2.2.3</t>
  </si>
  <si>
    <t>Тип: СТ-13.3. Панели звукопоглощающие без перфорации САУНДЛАЙН-Акустика НГ б/п Формат: 600х600х50 мм</t>
  </si>
  <si>
    <t>1.1.3.1.1.2.2.3.1</t>
  </si>
  <si>
    <t>Панели звукопоглощающие без перфорации САУНДЛАЙН-Акустика НГ б/п Формат: 600х600х50 мм (цена указана за кв.м.)</t>
  </si>
  <si>
    <t>311044456.1504881</t>
  </si>
  <si>
    <t>22879052.1504881</t>
  </si>
  <si>
    <t>1.1.3.1.1.2.2.4</t>
  </si>
  <si>
    <t>6.3.1.5.2.2.8.1</t>
  </si>
  <si>
    <t>Лакокрасочные работы СКБ / окраска стен / в 2 слоя</t>
  </si>
  <si>
    <t>Подвал, 1-4 этажи. Матовая водно-дисперсионная краска моющаяся ANTEGA СТРОИТЕЛЬ Класс ПБ: KM1, Износостойкость: 2 класс истирания, Цвет: RAL 9003/Белый, Тип: СТ-1.1</t>
  </si>
  <si>
    <t>4c24ca93-b856-4913-a3fe-bc768660074c</t>
  </si>
  <si>
    <t>923030ab-0b8a-4717-9906-e76b6d6d03d6</t>
  </si>
  <si>
    <t>1.1.3.1.1.2.2.4.1</t>
  </si>
  <si>
    <t>Краска негорючая моющаяся Protect Decor_ / RAL 9003</t>
  </si>
  <si>
    <t>RAL 9003/Белый</t>
  </si>
  <si>
    <t>311044386.758336</t>
  </si>
  <si>
    <t>22875080.758336</t>
  </si>
  <si>
    <t>892d9f8d-ffaf-4ce8-87d2-2326a6c94834</t>
  </si>
  <si>
    <t>1.1.3.1.1.2.2.4.2</t>
  </si>
  <si>
    <t>311044386.54634</t>
  </si>
  <si>
    <t>22875080.54634</t>
  </si>
  <si>
    <t>1.1.3.1.1.2.2.5</t>
  </si>
  <si>
    <t>Подвал, 1-4 этажи. Матовая водно-дисперсионная краска моющаяся ANTEGA СТРОИТЕЛЬ Класс ПБ: KM1, Износостойкость: 2 класс истирания, Цвет: NCS S 1070-Y60R, Тип: СТ-1.2</t>
  </si>
  <si>
    <t>1.1.3.1.1.2.2.5.1</t>
  </si>
  <si>
    <t>311044457.54634</t>
  </si>
  <si>
    <t>22875073.54634</t>
  </si>
  <si>
    <t>1.1.3.1.1.2.2.5.2</t>
  </si>
  <si>
    <t>NCS S 1070-Y60R</t>
  </si>
  <si>
    <t>311044457.758336</t>
  </si>
  <si>
    <t>22875073.758336</t>
  </si>
  <si>
    <t>1.1.3.1.1.2.2.6</t>
  </si>
  <si>
    <t>Подвал, 1-4 этажи. Матовая водно-дисперсионная краска моющаяся ANTEGA СТРОИТЕЛЬ Класс ПБ: KM1, Износостойкость: 2 класс истирания, Цвет: NCS S 0570-Y, Тип: СТ-1.5</t>
  </si>
  <si>
    <t>1.1.3.1.1.2.2.6.1</t>
  </si>
  <si>
    <t>NCS S 0570-Y</t>
  </si>
  <si>
    <t>311044458.758336</t>
  </si>
  <si>
    <t>22875072.758336</t>
  </si>
  <si>
    <t>1.1.3.1.1.2.2.6.2</t>
  </si>
  <si>
    <t>311044458.54634</t>
  </si>
  <si>
    <t>22875072.54634</t>
  </si>
  <si>
    <t>1.1.3.1.1.2.2.7</t>
  </si>
  <si>
    <t>Подвал, 1-4 этажи. Матовая водно-дисперсионная краска моющаяся ANTEGA СТРОИТЕЛЬ Класс ПБ: KM1, Износостойкость: 2 класс истирания, Цвет: NCS S 3040-G30Y, Тип: СТ-1.6</t>
  </si>
  <si>
    <t>1.1.3.1.1.2.2.7.1</t>
  </si>
  <si>
    <t>311044459.54634</t>
  </si>
  <si>
    <t>22875076.54634</t>
  </si>
  <si>
    <t>1.1.3.1.1.2.2.7.2</t>
  </si>
  <si>
    <t>NCS S 3040-G30Y</t>
  </si>
  <si>
    <t>311044459.758336</t>
  </si>
  <si>
    <t>22875076.758336</t>
  </si>
  <si>
    <t>1.1.3.1.1.2.2.8</t>
  </si>
  <si>
    <t>Подвал, 1-4 этажи. Матовая водно-дисперсионная краска моющаяся ANTEGA СТРОИТЕЛЬ Класс ПБ: KM1, Износостойкость: 2 класс истирания, Цвет: NCS S 5020-R70B, Тип: СТ-1.9</t>
  </si>
  <si>
    <t>1.1.3.1.1.2.2.8.1</t>
  </si>
  <si>
    <t>NCS S 5020-R70B</t>
  </si>
  <si>
    <t>311044460.758336</t>
  </si>
  <si>
    <t>22875078.758336</t>
  </si>
  <si>
    <t>1.1.3.1.1.2.2.8.2</t>
  </si>
  <si>
    <t>311044460.54634</t>
  </si>
  <si>
    <t>22875078.54634</t>
  </si>
  <si>
    <t>1.1.3.1.1.2.2.9</t>
  </si>
  <si>
    <t>Подвал, 1-4 этажи. Матовая водно-дисперсионная краска моющаяся ANTEGA СТРОИТЕЛЬ Класс ПБ: KM1, Износостойкость: 2 класс истирания, Цвет: NCS S 5030-R90B, Тип: СТ-1.12</t>
  </si>
  <si>
    <t>1.1.3.1.1.2.2.9.1</t>
  </si>
  <si>
    <t>311044461.54634</t>
  </si>
  <si>
    <t>22875079.54634</t>
  </si>
  <si>
    <t>1.1.3.1.1.2.2.9.2</t>
  </si>
  <si>
    <t>NCS S 5030-R90B</t>
  </si>
  <si>
    <t>311044461.758336</t>
  </si>
  <si>
    <t>22875079.758336</t>
  </si>
  <si>
    <t>1.1.3.1.1.2.2.10</t>
  </si>
  <si>
    <t>Подвал, 1-4 этажи. Матовая водно-дисперсионная краска моющаяся ANTEGA СТРОИТЕЛЬ Класс ПБ: KM1, Износостойкость: 2 класс истирания, Цвет: NCS S 4020-R90B, Тип: СТ-1.13</t>
  </si>
  <si>
    <t>1.1.3.1.1.2.2.10.1</t>
  </si>
  <si>
    <t>311044462.758336</t>
  </si>
  <si>
    <t>22875077.758336</t>
  </si>
  <si>
    <t>1.1.3.1.1.2.2.10.2</t>
  </si>
  <si>
    <t>NCS S 4020-R90B</t>
  </si>
  <si>
    <t>311044462.54634</t>
  </si>
  <si>
    <t>22875077.54634</t>
  </si>
  <si>
    <t>1.1.3.1.1.2.2.11</t>
  </si>
  <si>
    <t>Подвал, 1-4 этажи. Матовая водно-дисперсионная краска моющаяся ANTEGA СТРОИТЕЛЬ Класс ПБ: KM1, Износостойкость: 2 класс истирания, Цвет: NCS S 2030-R90B, Тип: СТ-1.14</t>
  </si>
  <si>
    <t>1.1.3.1.1.2.2.11.1</t>
  </si>
  <si>
    <t>311044463.54634</t>
  </si>
  <si>
    <t>22875075.54634</t>
  </si>
  <si>
    <t>1.1.3.1.1.2.2.11.2</t>
  </si>
  <si>
    <t>NCS S 2030-R90B</t>
  </si>
  <si>
    <t>311044463.758336</t>
  </si>
  <si>
    <t>22875075.758336</t>
  </si>
  <si>
    <t>1.1.3.1.1.2.2.12</t>
  </si>
  <si>
    <t>Подвал, 1-4 этажи. Матовая водно-дисперсионная краска моющаяся ANTEGA СТРОИТЕЛЬ Класс ПБ: KM1, Износостойкость: 2 класс истирания, Цвет: RAL 9005, Тип: СТ-1.16</t>
  </si>
  <si>
    <t>1.1.3.1.1.2.2.12.1</t>
  </si>
  <si>
    <t>RAL 9005</t>
  </si>
  <si>
    <t>311044464.758336</t>
  </si>
  <si>
    <t>22875081.758336</t>
  </si>
  <si>
    <t>1.1.3.1.1.2.2.12.2</t>
  </si>
  <si>
    <t>311044464.54634</t>
  </si>
  <si>
    <t>22875081.54634</t>
  </si>
  <si>
    <t>1.1.3.1.1.2.2.13</t>
  </si>
  <si>
    <t>Подвал, 1-4 этажи. Матовая водно-дисперсионная краска моющаяся ANTEGA СТРОИТЕЛЬ Класс ПБ: KM1, Износостойкость: 2 класс истирания, Цвет: NCS S 1502-Y, Тип: СТ-1.20</t>
  </si>
  <si>
    <t>1.1.3.1.1.2.2.13.1</t>
  </si>
  <si>
    <t>311044465.54634</t>
  </si>
  <si>
    <t>22875074.54634</t>
  </si>
  <si>
    <t>1.1.3.1.1.2.2.13.2</t>
  </si>
  <si>
    <t>NCS S 1502-Y</t>
  </si>
  <si>
    <t>311044465.758336</t>
  </si>
  <si>
    <t>22875074.758336</t>
  </si>
  <si>
    <t>1.1.3.1.1.2.2.14</t>
  </si>
  <si>
    <t>Подвал, 1-4 этажи. Матовая водно-дисперсионная краска моющаяся ANTEGA СТРОИТЕЛЬ Класс ПБ: НГ, Износостойкость: 1 класс истирания, Цвет: RAL 9003/Белый, Тип: СТ-2.1</t>
  </si>
  <si>
    <t>1.1.3.1.1.2.2.14.1</t>
  </si>
  <si>
    <t>311044466.758336</t>
  </si>
  <si>
    <t>22875082.758336</t>
  </si>
  <si>
    <t>1.1.3.1.1.2.2.14.2</t>
  </si>
  <si>
    <t>311044466.54634</t>
  </si>
  <si>
    <t>22875082.54634</t>
  </si>
  <si>
    <t>1.1.3.1.1.2.2.15</t>
  </si>
  <si>
    <t>Подвал, 1-4 этажи. Матовая водно-дисперсионная краска моющаяся ANTEGA СТРОИТЕЛЬ Класс ПБ: НГ, Износостойкость: 1 класс истирания, Цвет: NCS S 2060-Y30R, Тип: СТ-2.19</t>
  </si>
  <si>
    <t>1.1.3.1.1.2.2.15.1</t>
  </si>
  <si>
    <t>311044467.54634</t>
  </si>
  <si>
    <t>22875336.54634</t>
  </si>
  <si>
    <t>1.1.3.1.1.2.2.15.2</t>
  </si>
  <si>
    <t>NCS S 2060-Y30R</t>
  </si>
  <si>
    <t>311044467.758336</t>
  </si>
  <si>
    <t>22875336.758336</t>
  </si>
  <si>
    <t>1.1.3.1.1.2.2.16</t>
  </si>
  <si>
    <t>Подвал, 1-4 этажи. Матовая водно-дисперсионная влагостойкая краска ANTEGA СТРОИТЕЛЬ Класс ПБ: КМ1, Износостойкость: 2 класс истирания, Цвет: RAL 9003/Белый, Тип: СТ-3</t>
  </si>
  <si>
    <t>1.1.3.1.1.2.2.16.1</t>
  </si>
  <si>
    <t>311044468.758336</t>
  </si>
  <si>
    <t>22875335.758336</t>
  </si>
  <si>
    <t>1.1.3.1.1.2.2.16.2</t>
  </si>
  <si>
    <t>311044468.54634</t>
  </si>
  <si>
    <t>22875335.54634</t>
  </si>
  <si>
    <t>1.1.3.1.1.2.2.17</t>
  </si>
  <si>
    <t>Подвал, 1-4 этажи. Полуматовая водно-дисперсионная влагостойкая краска ANTEGA СТРОИТЕЛЬ Класс ПБ: КМ1, Износостойкость: 2 класс истирания, Цвет: RAL 9003/Белый, Тип: СТ-5</t>
  </si>
  <si>
    <t>1.1.3.1.1.2.2.17.1</t>
  </si>
  <si>
    <t>311044469.54634</t>
  </si>
  <si>
    <t>22875337.54634</t>
  </si>
  <si>
    <t>1.1.3.1.1.2.2.17.2</t>
  </si>
  <si>
    <t>311044469.758336</t>
  </si>
  <si>
    <t>22875337.758336</t>
  </si>
  <si>
    <t>1.1.3.1.1.2.2.18</t>
  </si>
  <si>
    <t>Подвал, 1-4 этажи. Полуматовая водно-дисперсионная влагостойкая краска ANTEGA СТРОИТЕЛЬ Класс ПБ: НГ, Износостойкость: 1 класс истирания, Цвет: RAL 9003/Белый, Тип: СТ-5*</t>
  </si>
  <si>
    <t>1.1.3.1.1.2.2.18.1</t>
  </si>
  <si>
    <t>311044470.758336</t>
  </si>
  <si>
    <t>22876266.758336</t>
  </si>
  <si>
    <t>1.1.3.1.1.2.2.18.2</t>
  </si>
  <si>
    <t>311044470.54634</t>
  </si>
  <si>
    <t>22876266.54634</t>
  </si>
  <si>
    <t>1.1.3.1.1.2.2.19</t>
  </si>
  <si>
    <t>6.3.1.5.2.2.9.1</t>
  </si>
  <si>
    <t>Облицовка поверхности стен СКБ с затиркой швов / керамической, керамогранитной плиткой до 0,2м2/шт</t>
  </si>
  <si>
    <t>Керамическая плитка KERAMA MARAZZI, Коллекция: Калейдоскоп, Артикул: 5009
Формат: 200х200х6,9 мм RAL 9003/Белый (Крестик 2мм, Затирка Ceresit СE 33, 04 Cеребристо-серая). Тип: СТ-6.1</t>
  </si>
  <si>
    <t>8d513ad3-1fbc-4730-be59-389995ce51d8</t>
  </si>
  <si>
    <t>a0ecae9b-7c0c-412d-a794-953bf76fc42d</t>
  </si>
  <si>
    <t>1.1.3.1.1.2.2.19.1</t>
  </si>
  <si>
    <t>311044388.54637</t>
  </si>
  <si>
    <t>22876261.54637</t>
  </si>
  <si>
    <t>1.1.3.1.1.2.2.19.2</t>
  </si>
  <si>
    <t>311044388.737422</t>
  </si>
  <si>
    <t>22876261.737422</t>
  </si>
  <si>
    <t>1.1.3.1.1.2.2.19.3</t>
  </si>
  <si>
    <t>311044388.739258</t>
  </si>
  <si>
    <t>22876261.739258</t>
  </si>
  <si>
    <t>1.1.3.1.1.2.2.19.4</t>
  </si>
  <si>
    <t>Керамический гранит Kerama marazzi_ / Белый / 5009/ Калейдоскоп / 200х200</t>
  </si>
  <si>
    <t>311044388.758609</t>
  </si>
  <si>
    <t>22876261.758609</t>
  </si>
  <si>
    <t>70f2d54b-ab55-43b4-b130-a5f8f85e7098</t>
  </si>
  <si>
    <t>1.1.3.1.1.2.2.20</t>
  </si>
  <si>
    <t>Керамическая плитка KERAMA MARAZZI, Коллекция: Калейдоскоп, Артикул: 5281
Формат: 200х200х6,9 мм, Аквамарин (Крестик 2мм, Затирка Ceresit СE 33, 04 Cеребристо-серая). Тип: СТ-6.2</t>
  </si>
  <si>
    <t>1.1.3.1.1.2.2.20.1</t>
  </si>
  <si>
    <t>Керамический гранит Kerama marazzi_ / Синий /  SG1547N /  200х200 мм</t>
  </si>
  <si>
    <t>311044471.1570533</t>
  </si>
  <si>
    <t>22876265.1570533</t>
  </si>
  <si>
    <t>a620a03f-7faf-4c11-affe-45d2fae0c5fb</t>
  </si>
  <si>
    <t>1.1.3.1.1.2.2.20.2</t>
  </si>
  <si>
    <t>311044471.739258</t>
  </si>
  <si>
    <t>22876265.739258</t>
  </si>
  <si>
    <t>1.1.3.1.1.2.2.20.3</t>
  </si>
  <si>
    <t>311044471.737422</t>
  </si>
  <si>
    <t>22876265.737422</t>
  </si>
  <si>
    <t>1.1.3.1.1.2.2.20.4</t>
  </si>
  <si>
    <t>311044471.54637</t>
  </si>
  <si>
    <t>22876265.54637</t>
  </si>
  <si>
    <t>1.1.3.1.1.2.2.21</t>
  </si>
  <si>
    <t>Керамическая плитка KERAMA MARAZZI, Коллекция: Калейдоскоп, Артикул: 5187
Формат: 200х200х6,9 мм, Оранжевый (Крестик 2мм, Затирка Ceresit СE 33, 04 Cеребристо-серая). Тип: СТ-6.3</t>
  </si>
  <si>
    <t>1.1.3.1.1.2.2.21.1</t>
  </si>
  <si>
    <t>311044472.54637</t>
  </si>
  <si>
    <t>22876264.54637</t>
  </si>
  <si>
    <t>1.1.3.1.1.2.2.21.2</t>
  </si>
  <si>
    <t>311044472.737422</t>
  </si>
  <si>
    <t>22876264.737422</t>
  </si>
  <si>
    <t>1.1.3.1.1.2.2.21.3</t>
  </si>
  <si>
    <t>311044472.739258</t>
  </si>
  <si>
    <t>22876264.739258</t>
  </si>
  <si>
    <t>1.1.3.1.1.2.2.21.4</t>
  </si>
  <si>
    <t>Керамический гранит Kerama marazzi_ / Рыжий / 5187/ Калейдоскоп / 200х200</t>
  </si>
  <si>
    <t>311044472.758611</t>
  </si>
  <si>
    <t>22876264.758611</t>
  </si>
  <si>
    <t>3aaf3fae-a446-4e8c-ab3f-8a2cc6a0ff3e</t>
  </si>
  <si>
    <t>1.1.3.1.1.2.2.22</t>
  </si>
  <si>
    <t>Керамическая плитка KERAMA MARAZZI, Коллекция: Калейдоскоп, Артикул: 5111
Формат: 200х200х6,9 мм, Зеленый (Крестик 2мм, Затирка Ceresit СE 33, 04 Cеребристо-серая). Тип: СТ-6.4</t>
  </si>
  <si>
    <t>1.1.3.1.1.2.2.22.1</t>
  </si>
  <si>
    <t>Керамический гранит Kerama marazzi_ / Зеленый/ Калейдоскоп / 5111 / 200х200</t>
  </si>
  <si>
    <t>311044473.758612</t>
  </si>
  <si>
    <t>22876263.758612</t>
  </si>
  <si>
    <t>4d30c13d-fb71-4049-953e-6088c3404b1d</t>
  </si>
  <si>
    <t>1.1.3.1.1.2.2.22.2</t>
  </si>
  <si>
    <t>311044473.739258</t>
  </si>
  <si>
    <t>22876263.739258</t>
  </si>
  <si>
    <t>1.1.3.1.1.2.2.22.3</t>
  </si>
  <si>
    <t>311044473.737422</t>
  </si>
  <si>
    <t>22876263.737422</t>
  </si>
  <si>
    <t>1.1.3.1.1.2.2.22.4</t>
  </si>
  <si>
    <t>311044473.54637</t>
  </si>
  <si>
    <t>22876263.54637</t>
  </si>
  <si>
    <t>1.1.3.1.1.2.2.23</t>
  </si>
  <si>
    <t>Керамическая плитка KERAMA MARAZZI, Коллекция: Калейдоскоп, Артикул: 5109
Формат: 200х200х6,9 мм, Ярко-желтый (Крестик 2мм, Затирка Ceresit СE 33, 04 Cеребристо-серая). Тип: СТ-6.5</t>
  </si>
  <si>
    <t>1.1.3.1.1.2.2.23.1</t>
  </si>
  <si>
    <t>311044474.54637</t>
  </si>
  <si>
    <t>22876262.54637</t>
  </si>
  <si>
    <t>1.1.3.1.1.2.2.23.2</t>
  </si>
  <si>
    <t>311044474.737422</t>
  </si>
  <si>
    <t>22876262.737422</t>
  </si>
  <si>
    <t>1.1.3.1.1.2.2.23.3</t>
  </si>
  <si>
    <t>311044474.739258</t>
  </si>
  <si>
    <t>22876262.739258</t>
  </si>
  <si>
    <t>1.1.3.1.1.2.2.23.4</t>
  </si>
  <si>
    <t>Керамический гранит Kerama marazzi_ / Оранжевый / 5108/Калейдоскоп / 200х200</t>
  </si>
  <si>
    <t>KERAMA MARAZZI, Коллекция: Калейдоскоп, Артикул: 5109, Ярко-желтый</t>
  </si>
  <si>
    <t>311044474.1058901</t>
  </si>
  <si>
    <t>22876262.1058901</t>
  </si>
  <si>
    <t>10032963-60c4-424f-897d-880031c6ab96</t>
  </si>
  <si>
    <t>1.1.3.1.1.2.2.24</t>
  </si>
  <si>
    <t>Керамическая плитка Creto, Коллекция: Mono cloud, Артикул: 00-00-5-18-00-00-2430
Формат: 300х600х9 мм, Белый глянцевый (Крестик 2мм, Затирка Ceresit СE 33, 04 Cеребристо-серая). Тип: СТ-7</t>
  </si>
  <si>
    <t>1.1.3.1.1.2.2.24.1</t>
  </si>
  <si>
    <t>311044475.739258</t>
  </si>
  <si>
    <t>22879024.739258</t>
  </si>
  <si>
    <t>1.1.3.1.1.2.2.24.2</t>
  </si>
  <si>
    <t>311044475.737422</t>
  </si>
  <si>
    <t>22879024.737422</t>
  </si>
  <si>
    <t>1.1.3.1.1.2.2.24.3</t>
  </si>
  <si>
    <t>311044475.54637</t>
  </si>
  <si>
    <t>22879024.54637</t>
  </si>
  <si>
    <t>1.1.3.1.1.2.2.24.4</t>
  </si>
  <si>
    <t>Керамическая плитка Pietra Pienza_ / светло-серый Матовый / K909010R0001VTP0/настенная / 300*600*8мм</t>
  </si>
  <si>
    <t>Керамическая плитка Creto, Коллекция: Mono cloud, Артикул: 00-00-5-18-00-00-2430
Формат: 300х600х9 мм, Белый глянцевый</t>
  </si>
  <si>
    <t>311044475.720742</t>
  </si>
  <si>
    <t>22879024.720742</t>
  </si>
  <si>
    <t>4d41f012-3a5d-4340-a98f-e1ac79985a17</t>
  </si>
  <si>
    <t>1.1.3.1.1.2.2.25</t>
  </si>
  <si>
    <t>Керамическая плитка KERAMA MARAZZI, Коллекция: Белое Солнце, Артикул: 8000
Формат: 300х200х6,9 мм, Белое солнце (Крестик 2мм, Затирка Ceresit СE 33, 04 Cеребристо-серая). Тип: СТ-8</t>
  </si>
  <si>
    <t>1.1.3.1.1.2.2.25.1</t>
  </si>
  <si>
    <t>311044476.54637</t>
  </si>
  <si>
    <t>22879025.54637</t>
  </si>
  <si>
    <t>1.1.3.1.1.2.2.25.2</t>
  </si>
  <si>
    <t>311044476.737422</t>
  </si>
  <si>
    <t>22879025.737422</t>
  </si>
  <si>
    <t>1.1.3.1.1.2.2.25.3</t>
  </si>
  <si>
    <t>311044476.739258</t>
  </si>
  <si>
    <t>22879025.739258</t>
  </si>
  <si>
    <t>1.1.3.1.1.2.2.25.4</t>
  </si>
  <si>
    <t>KERAMA MARAZZI, 300х200х6,9 мм Коллекция: Белое Солнце, Артикул: 8000</t>
  </si>
  <si>
    <t>311044476.758609</t>
  </si>
  <si>
    <t>22879025.758609</t>
  </si>
  <si>
    <t>1.1.3.1.1.2.2.26</t>
  </si>
  <si>
    <t>Керамическая плитка с преднарезкой KERAMA MARAZZI, Коллекция: Мечты о Париже, Артикул: OS\C314\11259R Формат: 300х600х9 мм, (Крестик 2мм, Затирка Ceresit СE 33, 04 Cеребристо-серая). Тип: СТ-10</t>
  </si>
  <si>
    <t>1.1.3.1.1.2.2.26.1</t>
  </si>
  <si>
    <t>311044477.739258</t>
  </si>
  <si>
    <t>22879033.739258</t>
  </si>
  <si>
    <t>1.1.3.1.1.2.2.26.2</t>
  </si>
  <si>
    <t>311044477.54637</t>
  </si>
  <si>
    <t>22879033.54637</t>
  </si>
  <si>
    <t>1.1.3.1.1.2.2.26.3</t>
  </si>
  <si>
    <t>Керамическая плитка с преднарезкой KERAMA MARAZZI, Коллекция: Мечты о Париже, Артикул: OS\C314\11259R Формат: 300х600х9 мм</t>
  </si>
  <si>
    <t>311044477.720742</t>
  </si>
  <si>
    <t>22879033.720742</t>
  </si>
  <si>
    <t>1.1.3.1.1.2.2.27</t>
  </si>
  <si>
    <t>Керамическая плитка KERAMA MARAZZI, Коллекция: Мечты о Париже, Артикул: 11259R Формат: 300х600х9 мм, (Крестик 2мм, Затирка Ceresit СE 33, 04 Cеребристо-серая). Тип: СТ-11</t>
  </si>
  <si>
    <t>1.1.3.1.1.2.2.27.1</t>
  </si>
  <si>
    <t>KERAMA MARAZZI, Коллекция: Мечты о Париже, Артикул: 11259R Формат: 300х600х9 мм</t>
  </si>
  <si>
    <t>311044478.720742</t>
  </si>
  <si>
    <t>22879031.720742</t>
  </si>
  <si>
    <t>1.1.3.1.1.2.2.27.2</t>
  </si>
  <si>
    <t>311044478.54637</t>
  </si>
  <si>
    <t>22879031.54637</t>
  </si>
  <si>
    <t>1.1.3.1.1.2.2.27.3</t>
  </si>
  <si>
    <t>311044478.737422</t>
  </si>
  <si>
    <t>22879031.737422</t>
  </si>
  <si>
    <t>1.1.3.1.1.2.2.27.4</t>
  </si>
  <si>
    <t>311044478.739258</t>
  </si>
  <si>
    <t>22879031.739258</t>
  </si>
  <si>
    <t>1.1.3.1.1.2.2.28</t>
  </si>
  <si>
    <t>6.3.1.5.2.2.9.2</t>
  </si>
  <si>
    <t>Облицовка поверхности стен СКБ с затиркой швов / керамической, керамогранитной плиткой от 0,2м2/шт</t>
  </si>
  <si>
    <t>Керамическая плитка KERAMA MARAZZI, Коллекция: Про Матрикс, Артикул: DD602020R Формат: 600х600х9 мм, серый светлый (Крестик 2мм, Затирка Ceresit СE 33, 04 Cеребристо-серая). Тип: СТ-14</t>
  </si>
  <si>
    <t>9000ff2e-4eba-41cc-a074-c46fe92c125a</t>
  </si>
  <si>
    <t>543139c7-05c6-47e9-8a5c-0d2e4272c803</t>
  </si>
  <si>
    <t>1.1.3.1.1.2.2.28.1</t>
  </si>
  <si>
    <t>Керамический гранит Kerama marazzi_ / Светлый серый /  DD600300R, Estima LF01 UnitileVento grey PG  / 600х600х10мм</t>
  </si>
  <si>
    <t>Керамическая плитка KERAMA MARAZZI, Коллекция: Про Матрикс, Артикул: DD602020R Формат: 600х600х9 мм</t>
  </si>
  <si>
    <t>311044389.1275875</t>
  </si>
  <si>
    <t>22879032.1275875</t>
  </si>
  <si>
    <t>95dc61f2-4532-4459-b4a7-bcb3a6b65492</t>
  </si>
  <si>
    <t>1.1.3.1.1.2.2.28.2</t>
  </si>
  <si>
    <t>311044389.739258</t>
  </si>
  <si>
    <t>22879032.739258</t>
  </si>
  <si>
    <t>1.1.3.1.1.2.2.28.3</t>
  </si>
  <si>
    <t>311044389.54637</t>
  </si>
  <si>
    <t>22879032.54637</t>
  </si>
  <si>
    <t>1.1.3.1.1.2.2.28.4</t>
  </si>
  <si>
    <t>311044389.737422</t>
  </si>
  <si>
    <t>22879032.737422</t>
  </si>
  <si>
    <t>1.1.3.1.1.3</t>
  </si>
  <si>
    <t>6.3.1.5.3</t>
  </si>
  <si>
    <t>Потолки</t>
  </si>
  <si>
    <t>1.1.3.1.1.3.1</t>
  </si>
  <si>
    <t>6.3.1.5.3.1</t>
  </si>
  <si>
    <t>Черновые работы по поверхности потолков</t>
  </si>
  <si>
    <t>1.1.3.1.1.3.1.1</t>
  </si>
  <si>
    <t>6.3.1.5.3.1.4.1</t>
  </si>
  <si>
    <t>Простая штукатурка потолка сухими смесями с предварительной огрунтовкой поверхности / толщ. до 6,5 мм</t>
  </si>
  <si>
    <t>Подвал, 1-4 этажи. Выравнивание цементными смесями до 5 мм с грунтом глубокого проникновения. Тип: ЧНП-2</t>
  </si>
  <si>
    <t>4838bce8-f7ba-467c-a2d9-8cae5e7e3f03</t>
  </si>
  <si>
    <t>2082934c-8391-41d1-8ade-5b79f0755895</t>
  </si>
  <si>
    <t>1.1.3.1.1.3.1.1.1</t>
  </si>
  <si>
    <t>311044393.726518</t>
  </si>
  <si>
    <t>22791238.726518</t>
  </si>
  <si>
    <t>1.1.3.1.1.3.1.1.2</t>
  </si>
  <si>
    <t>311044393.1139608</t>
  </si>
  <si>
    <t>22791238.1139608</t>
  </si>
  <si>
    <t>1.1.3.1.1.3.1.2</t>
  </si>
  <si>
    <t>Подвал, 1-4 этажи. Выравнивание гипсовыми смесями до 5 мм с бетоноконтактом. Тип: ЧНП-5</t>
  </si>
  <si>
    <t>1.1.3.1.1.3.1.2.1</t>
  </si>
  <si>
    <t>311044479.54633</t>
  </si>
  <si>
    <t>22791237.54633</t>
  </si>
  <si>
    <t>1.1.3.1.1.3.1.2.2</t>
  </si>
  <si>
    <t>311044479.54616</t>
  </si>
  <si>
    <t>22791237.54616</t>
  </si>
  <si>
    <t>1.1.3.1.1.3.1.3</t>
  </si>
  <si>
    <t>6.3.1.5.3.1.6.4</t>
  </si>
  <si>
    <t xml:space="preserve">1-4 этажи. Шпаклевка гипсовая базовая т.2 мм. Тип: ЧНП-3, ЧНП-6, ЧНП-7 
</t>
  </si>
  <si>
    <t>9715c536-701e-4362-beb4-5db4688b691c</t>
  </si>
  <si>
    <t>1.1.3.1.1.3.1.3.1</t>
  </si>
  <si>
    <t>311044395.54622</t>
  </si>
  <si>
    <t>22791297.54622</t>
  </si>
  <si>
    <t>1.1.3.1.1.3.1.3.2</t>
  </si>
  <si>
    <t>311044395.54634</t>
  </si>
  <si>
    <t>22791297.54634</t>
  </si>
  <si>
    <t>1.1.3.1.1.3.1.4</t>
  </si>
  <si>
    <t xml:space="preserve">1-4 этажи. Шпаклевка гипсовая базовая т.2 мм. Тип: ЧНП-3, ЧНП-6, ЧНП-7 </t>
  </si>
  <si>
    <t>1.1.3.1.1.3.1.4.1</t>
  </si>
  <si>
    <t>311044480.54634</t>
  </si>
  <si>
    <t>22791296.54634</t>
  </si>
  <si>
    <t>1.1.3.1.1.3.1.4.2</t>
  </si>
  <si>
    <t>311044480.54622</t>
  </si>
  <si>
    <t>22791296.54622</t>
  </si>
  <si>
    <t>1.1.3.1.1.3.1.5</t>
  </si>
  <si>
    <t>6.3.1.5.3.1.6.5</t>
  </si>
  <si>
    <t>Подвал, 1-4 этажи. Шпаклевка цементная базовая т.2 мм. Тип: ЧНП-2</t>
  </si>
  <si>
    <t>ffa8d5f2-d21d-4b08-8da6-570adff1ea27</t>
  </si>
  <si>
    <t>1.1.3.1.1.3.1.5.1</t>
  </si>
  <si>
    <t>311044396.1272014</t>
  </si>
  <si>
    <t>22791241.1272014</t>
  </si>
  <si>
    <t>1.1.3.1.1.3.1.5.2</t>
  </si>
  <si>
    <t>311044396.54634</t>
  </si>
  <si>
    <t>22791241.54634</t>
  </si>
  <si>
    <t>1.1.3.1.1.3.1.6</t>
  </si>
  <si>
    <t>Подвал, 1-4 этажи. Шпаклевка цементная финишная т.2 мм. Тип: ЧНП-2</t>
  </si>
  <si>
    <t>1.1.3.1.1.3.1.6.1</t>
  </si>
  <si>
    <t>311044481.54634</t>
  </si>
  <si>
    <t>22791242.54634</t>
  </si>
  <si>
    <t>1.1.3.1.1.3.1.6.2</t>
  </si>
  <si>
    <t>311044481.1272014</t>
  </si>
  <si>
    <t>22791242.1272014</t>
  </si>
  <si>
    <t>1.1.3.1.1.3.1.7</t>
  </si>
  <si>
    <t>6.3.1.5.3.1.6.6</t>
  </si>
  <si>
    <t>Подготовка поверхности СКБ / потолка / по штукатурке / 2мм</t>
  </si>
  <si>
    <t>Подвал, 1-4 этажи. Шпаклевка гипсовая базовая т.2 мм. Тип: ЧНП-5</t>
  </si>
  <si>
    <t>42d08cea-07ba-4dbe-a8b0-b5e7c8673109</t>
  </si>
  <si>
    <t>7a2a024b-7aa6-4bee-9d60-f94b39f3d674</t>
  </si>
  <si>
    <t>1.1.3.1.1.3.1.7.1</t>
  </si>
  <si>
    <t>Шпатлевка гипсовая_ / белая / Унифицированная по ПИК-СТАНДАРТ, 30кг (BIM)</t>
  </si>
  <si>
    <t>311044397.1570750</t>
  </si>
  <si>
    <t>22791239.1570750</t>
  </si>
  <si>
    <t>3254b4be-ac53-4a29-ad23-972be75bc24b</t>
  </si>
  <si>
    <t>1.1.3.1.1.3.1.7.2</t>
  </si>
  <si>
    <t>311044397.1139608</t>
  </si>
  <si>
    <t>22791239.1139608</t>
  </si>
  <si>
    <t>1.1.3.1.1.3.1.8</t>
  </si>
  <si>
    <t>Подвал, 1-4 этажи. Шпаклевка гипсовая финишная т.2 мм. Тип: ЧНП-5</t>
  </si>
  <si>
    <t>1.1.3.1.1.3.1.8.1</t>
  </si>
  <si>
    <t>311044482.1139608</t>
  </si>
  <si>
    <t>22791240.1139608</t>
  </si>
  <si>
    <t>1.1.3.1.1.3.1.8.2</t>
  </si>
  <si>
    <t>311044482.1570750</t>
  </si>
  <si>
    <t>22791240.1570750</t>
  </si>
  <si>
    <t>1.1.3.1.1.3.2</t>
  </si>
  <si>
    <t>6.3.1.5.3.2</t>
  </si>
  <si>
    <t>Чистовые работы по поверхности потолков</t>
  </si>
  <si>
    <t>1.1.3.1.1.3.2.1</t>
  </si>
  <si>
    <t>6.3.1.5.3.2.3.2</t>
  </si>
  <si>
    <t>Лакокрасочные работы СКБ / окраска потолков / в 2 слоя</t>
  </si>
  <si>
    <t>Тип: ПТ-1. Матовая водно-дисперсионная моющаяся краска ANTEGA СТРОИТЕЛЬ, Класс ПБ: KM1, Износостойкость: 2 класс истирания</t>
  </si>
  <si>
    <t>55dcd11a-c570-4894-be4e-3c3874402761</t>
  </si>
  <si>
    <t>3997b616-bcf5-4c13-ae76-75afa96c846f</t>
  </si>
  <si>
    <t>1.1.3.1.1.3.2.1.1</t>
  </si>
  <si>
    <t>311044400.758336</t>
  </si>
  <si>
    <t>22883916.758336</t>
  </si>
  <si>
    <t>1.1.3.1.1.3.2.1.2</t>
  </si>
  <si>
    <t>311044400.54634</t>
  </si>
  <si>
    <t>22883916.54634</t>
  </si>
  <si>
    <t>1.1.3.1.1.3.2.2</t>
  </si>
  <si>
    <t>Тип: ПТ-1.2. Матовая водно-дисперсионная моющаяся краска ANTEGA СТРОИТЕЛЬ, Класс ПБ: KM1, Износостойкость: 2 класс истирания</t>
  </si>
  <si>
    <t>1.1.3.1.1.3.2.2.1</t>
  </si>
  <si>
    <t>311044483.54634</t>
  </si>
  <si>
    <t>22885356.54634</t>
  </si>
  <si>
    <t>1.1.3.1.1.3.2.2.2</t>
  </si>
  <si>
    <t>311044483.758336</t>
  </si>
  <si>
    <t>22885356.758336</t>
  </si>
  <si>
    <t>1.1.3.1.1.3.2.3</t>
  </si>
  <si>
    <t>Тип: ПТ-2. Матовая водно-дисперсионная моющаяся краска ANTEGA СТРОИТЕЛЬ, Класс ПБ: KM1, Износостойкость: 2 класс истирания, Цвет: RAL 7044/серый шелк</t>
  </si>
  <si>
    <t>1.1.3.1.1.3.2.3.1</t>
  </si>
  <si>
    <t>311044484.758336</t>
  </si>
  <si>
    <t>22885357.758336</t>
  </si>
  <si>
    <t>1.1.3.1.1.3.2.3.2</t>
  </si>
  <si>
    <t>311044484.54634</t>
  </si>
  <si>
    <t>22885357.54634</t>
  </si>
  <si>
    <t>1.1.3.1.1.3.2.4</t>
  </si>
  <si>
    <t>Тип: ПТ-2.1. Матовая водно-дисперсионная моющаяся краска ANTEGA СТРОИТЕЛЬ, Класс ПБ: НГ, Износостойкость: 1 класс истирания, Цвет:</t>
  </si>
  <si>
    <t>1.1.3.1.1.3.2.4.1</t>
  </si>
  <si>
    <t>311044485.54634</t>
  </si>
  <si>
    <t>22885358.54634</t>
  </si>
  <si>
    <t>1.1.3.1.1.3.2.4.2</t>
  </si>
  <si>
    <t>311044485.758336</t>
  </si>
  <si>
    <t>22885358.758336</t>
  </si>
  <si>
    <t>1.1.3.1.1.3.2.5</t>
  </si>
  <si>
    <t>Тип: ПТ-2.9. Матовая водно-дисперсионная моющаяся краска ANTEGA СТРОИТЕЛЬ, Класс ПБ: НГ, Износостойкость: 1 класс истирания, Цвет: NCS S 5020-R70B</t>
  </si>
  <si>
    <t>1.1.3.1.1.3.2.5.1</t>
  </si>
  <si>
    <t>311044486.758336</t>
  </si>
  <si>
    <t>22885365.758336</t>
  </si>
  <si>
    <t>1.1.3.1.1.3.2.5.2</t>
  </si>
  <si>
    <t>311044486.54634</t>
  </si>
  <si>
    <t>22885365.54634</t>
  </si>
  <si>
    <t>1.1.3.1.1.3.2.6</t>
  </si>
  <si>
    <t>Тип: ПТ-2.12. Матовая водно-дисперсионная моющаяся краска ANTEGA СТРОИТЕЛЬ, Класс ПБ: НГ, Износостойкость: 1 класс истирания, Цвет: NCS S 5030-R90B</t>
  </si>
  <si>
    <t>1.1.3.1.1.3.2.6.1</t>
  </si>
  <si>
    <t>311044487.54634</t>
  </si>
  <si>
    <t>22885359.54634</t>
  </si>
  <si>
    <t>1.1.3.1.1.3.2.6.2</t>
  </si>
  <si>
    <t>311044487.758336</t>
  </si>
  <si>
    <t>22885359.758336</t>
  </si>
  <si>
    <t>1.1.3.1.1.3.2.7</t>
  </si>
  <si>
    <t>Тип: ПТ-2.13. Матовая водно-дисперсионная моющаяся краска ANTEGA СТРОИТЕЛЬ, Класс ПБ: НГ, Износостойкость: 1 класс истирания, Цвет: NCS S 2030-R80B</t>
  </si>
  <si>
    <t>1.1.3.1.1.3.2.7.1</t>
  </si>
  <si>
    <t>311044488.758336</t>
  </si>
  <si>
    <t>22885360.758336</t>
  </si>
  <si>
    <t>1.1.3.1.1.3.2.7.2</t>
  </si>
  <si>
    <t>311044488.54634</t>
  </si>
  <si>
    <t>22885360.54634</t>
  </si>
  <si>
    <t>1.1.3.1.1.3.2.8</t>
  </si>
  <si>
    <t>Тип: ПТ-2.14. Матовая водно-дисперсионная моющаяся краска ANTEGA СТРОИТЕЛЬ, Класс ПБ: НГ, Износостойкость: 1 класс истирания, Цвет: NCS S 2030-R80B</t>
  </si>
  <si>
    <t>1.1.3.1.1.3.2.8.1</t>
  </si>
  <si>
    <t>311044489.54634</t>
  </si>
  <si>
    <t>22885361.54634</t>
  </si>
  <si>
    <t>1.1.3.1.1.3.2.8.2</t>
  </si>
  <si>
    <t>311044489.758336</t>
  </si>
  <si>
    <t>22885361.758336</t>
  </si>
  <si>
    <t>1.1.3.1.1.3.2.9</t>
  </si>
  <si>
    <t>Тип: ПТ-2.15. Матовая водно-дисперсионная моющаяся краска ANTEGA СТРОИТЕЛЬ, Класс ПБ: НГ, Износостойкость: 1 класс истирания, Цвет: RAL 7016</t>
  </si>
  <si>
    <t>1.1.3.1.1.3.2.9.1</t>
  </si>
  <si>
    <t>311044490.758336</t>
  </si>
  <si>
    <t>22885362.758336</t>
  </si>
  <si>
    <t>1.1.3.1.1.3.2.9.2</t>
  </si>
  <si>
    <t>311044490.54634</t>
  </si>
  <si>
    <t>22885362.54634</t>
  </si>
  <si>
    <t>1.1.3.1.1.3.2.10</t>
  </si>
  <si>
    <t>Тип: ПТ-2.16. Матовая водно-дисперсионная моющаяся краска ANTEGA СТРОИТЕЛЬ, Класс ПБ: НГ, Износостойкость: 1 класс истирания, Цвет: RAL 7044/Серый шелк</t>
  </si>
  <si>
    <t>1.1.3.1.1.3.2.10.1</t>
  </si>
  <si>
    <t>311044491.54634</t>
  </si>
  <si>
    <t>22885363.54634</t>
  </si>
  <si>
    <t>1.1.3.1.1.3.2.10.2</t>
  </si>
  <si>
    <t>311044491.758336</t>
  </si>
  <si>
    <t>22885363.758336</t>
  </si>
  <si>
    <t>1.1.3.1.1.3.2.11</t>
  </si>
  <si>
    <t>Тип: ПТ-5. Огнестойкая краска краска ANTEGA СТРОИТЕЛЬ, Класс ПБ: НГ, Износостойкость: 1 класс истирания, Цвет: RAL 9003/Белый</t>
  </si>
  <si>
    <t>1.1.3.1.1.3.2.11.1</t>
  </si>
  <si>
    <t>311044492.758336</t>
  </si>
  <si>
    <t>22885364.758336</t>
  </si>
  <si>
    <t>1.1.3.1.1.3.2.11.2</t>
  </si>
  <si>
    <t>311044492.54634</t>
  </si>
  <si>
    <t>22885364.54634</t>
  </si>
  <si>
    <t>1.1.3.1.1.4</t>
  </si>
  <si>
    <t>6.3.1.5.4</t>
  </si>
  <si>
    <t>Монтаж потолочных конструкций</t>
  </si>
  <si>
    <t>1.1.3.1.1.4.1</t>
  </si>
  <si>
    <t>6.3.1.5.4.2.1</t>
  </si>
  <si>
    <t>Надбавка за монтаж подвесного потолка при высоте более 3,2 м, включая использование лесов и подмостей</t>
  </si>
  <si>
    <t>11bf38a8-1e54-4d46-8d49-39254e318eaa</t>
  </si>
  <si>
    <t>9ed057e5-7f60-48cb-ae6a-bf5b2768c125</t>
  </si>
  <si>
    <t>1.1.3.1.1.4.2</t>
  </si>
  <si>
    <t>6.3.1.5.4.4.1</t>
  </si>
  <si>
    <t>Монтаж подвесного потолка СКБ / из акустических древесных плит</t>
  </si>
  <si>
    <t>c705c4a9-d32a-459e-a39e-ceba03e1c601</t>
  </si>
  <si>
    <t>4b59e369-024b-4661-bd71-e22473890c37</t>
  </si>
  <si>
    <t>1.1.3.1.1.4.2.1</t>
  </si>
  <si>
    <t>Плита древесноволокнистая ДВП s=25мм SoundBoard SuperFine</t>
  </si>
  <si>
    <t>Тип: ПТ-10. Подвесной акустический потолок из минерального стекловолокна. Производитель: Акустик Групп. В состав входит: BA1200 - Акустическая панель Baffle Acoustic Shell, Прямоугольник 1200*600*20, кромка A (упак/8шт/5,76м2) 3 225,6 м2; 165138 - Европодвес 500мм AR (P) С - 2 300 шт; 119603 - Уголок пристеночный 19х24 (3 м) RAL 9010 - 2 295 пог. м; 042387 - Т-профиль 24х33х3600 Премиум белый - 2 736 пог. м; 042389 Т-профиль 24х26х1200 белый - 5 472 пог. м.</t>
  </si>
  <si>
    <t>311044405.1747145</t>
  </si>
  <si>
    <t>22892007.1747145</t>
  </si>
  <si>
    <t>f39a5928-311f-11ee-9904-d1661ac0bb93</t>
  </si>
  <si>
    <t>1.1.3.1.1.4.3</t>
  </si>
  <si>
    <t>Тип: ПТБ-1.1</t>
  </si>
  <si>
    <t>1.1.3.1.1.4.3.1</t>
  </si>
  <si>
    <t>Шумопоглощающий баффель из минерального стекловолокна. Производитель: АКУФОН ПРОЛАЙН СОЛО Размер: D800 мм Цвет: NCS S 3040-G30Y</t>
  </si>
  <si>
    <t>311044493.1747145</t>
  </si>
  <si>
    <t>22892018.1747145</t>
  </si>
  <si>
    <t>1.1.3.1.1.4.4</t>
  </si>
  <si>
    <t>Тип: ПТБ-1.2</t>
  </si>
  <si>
    <t>1.1.3.1.1.4.4.1</t>
  </si>
  <si>
    <t>Шумопоглощающий баффель из минерального стекловолокна. Производитель: АКУФОН ПРОЛАЙН СОЛО, Размер: D800 мм, Цвет: NCS S 1070-Y60R</t>
  </si>
  <si>
    <t>311044494.1747145</t>
  </si>
  <si>
    <t>22892019.1747145</t>
  </si>
  <si>
    <t>1.1.3.1.1.4.5</t>
  </si>
  <si>
    <t>Тип: ПТБ-1.3</t>
  </si>
  <si>
    <t>1.1.3.1.1.4.5.1</t>
  </si>
  <si>
    <t>311044495.1747145</t>
  </si>
  <si>
    <t>22892020.1747145</t>
  </si>
  <si>
    <t>1.1.3.1.1.4.6</t>
  </si>
  <si>
    <t>Тип: ПТБ-1.4</t>
  </si>
  <si>
    <t>1.1.3.1.1.4.6.1</t>
  </si>
  <si>
    <t>Шумопоглощающий баффель из минерального стекловолокна. Производитель: АКУФОН ПРОЛАЙН СОЛО, Размер: D800 мм, Цвет: NCS S 2060-Y30R</t>
  </si>
  <si>
    <t>311044496.1747145</t>
  </si>
  <si>
    <t>22892021.1747145</t>
  </si>
  <si>
    <t>1.1.3.1.1.4.7</t>
  </si>
  <si>
    <t>Тип: ПТБ-2.1</t>
  </si>
  <si>
    <t>1.1.3.1.1.4.7.1</t>
  </si>
  <si>
    <t>Шумопоглощающий баффель из минерального стекловолокна. Производитель: АКУФОН ПРОЛАЙН СОЛО, Размер: D800 мм, Цвет: NCS S 3040-G30Y</t>
  </si>
  <si>
    <t>311044497.1747145</t>
  </si>
  <si>
    <t>22892022.1747145</t>
  </si>
  <si>
    <t>1.1.3.1.1.4.8</t>
  </si>
  <si>
    <t>Тип: ПТБ-2.2</t>
  </si>
  <si>
    <t>1.1.3.1.1.4.8.1</t>
  </si>
  <si>
    <t>Шумопоглощающий баффель из минерального стекловолокна. Производитель: АКУФОН ПРОЛАЙН СОЛО, Размер: D1200 мм, Цвет: NCS S 1070-Y60R</t>
  </si>
  <si>
    <t>311044498.1747145</t>
  </si>
  <si>
    <t>22892023.1747145</t>
  </si>
  <si>
    <t>1.1.3.1.1.4.9</t>
  </si>
  <si>
    <t>Тип: ПТБ-2.3</t>
  </si>
  <si>
    <t>1.1.3.1.1.4.9.1</t>
  </si>
  <si>
    <t>311044499.1747145</t>
  </si>
  <si>
    <t>22892024.1747145</t>
  </si>
  <si>
    <t>1.1.3.1.1.4.10</t>
  </si>
  <si>
    <t>Тип: ПТБ-2.4</t>
  </si>
  <si>
    <t>1.1.3.1.1.4.10.1</t>
  </si>
  <si>
    <t>Шумопоглощающий баффель из минерального стекловолокна. Производитель: АКУФОН ПРОЛАЙН СОЛО, Размер: D1200 мм, Цвет: NCS S 2060-Y30R</t>
  </si>
  <si>
    <t>311044500.1747145</t>
  </si>
  <si>
    <t>22892025.1747145</t>
  </si>
  <si>
    <t>1.1.3.1.1.4.11</t>
  </si>
  <si>
    <t>Тип: ПТБ-4</t>
  </si>
  <si>
    <t>1.1.3.1.1.4.11.1</t>
  </si>
  <si>
    <t>Акустические подвесные панели из минерального стекловолокна вертикально ориентированные. Производитель: АКУФОН ПРОЛАЙН СОЛО, Размер: 1200х300 мм, Цвет: RAL 9003/Белый</t>
  </si>
  <si>
    <t>311044501.1747145</t>
  </si>
  <si>
    <t>22892287.1747145</t>
  </si>
  <si>
    <t>1.1.3.1.1.4.12</t>
  </si>
  <si>
    <t>Тип: ПТБ-5</t>
  </si>
  <si>
    <t>1.1.3.1.1.4.12.1</t>
  </si>
  <si>
    <t>Акустические подвесные панели из минерального стекловолокна вертикально ориентированные. Производитель: АКУФОН ПРОЛАЙН СОЛО, Размер: 1200х600 мм, Цвет: RAL 9003/Белый</t>
  </si>
  <si>
    <t>311044502.1747145</t>
  </si>
  <si>
    <t>22892288.1747145</t>
  </si>
  <si>
    <t>1.1.3.1.1.4.13</t>
  </si>
  <si>
    <t>6.3.1.5.4.4.3</t>
  </si>
  <si>
    <t>Монтаж подвесного потолка СКБ / из ГКЛ в 2 слоя с применением профиля ПП</t>
  </si>
  <si>
    <t>1 этаж. Зашивка потолков Файербордом с заделкой швов шпаклевкой и серпянкой. Тип: ЧНП-6</t>
  </si>
  <si>
    <t>146567ca-be1b-437d-9804-1227a85b1606</t>
  </si>
  <si>
    <t>39657fe2-8e77-41bd-8d32-3802599ee93b</t>
  </si>
  <si>
    <t>1.1.3.1.1.4.13.1</t>
  </si>
  <si>
    <t>Шпаклевка д/заделки швов, ШОВСИЛК_/Т33</t>
  </si>
  <si>
    <t>311044406.54624</t>
  </si>
  <si>
    <t>22791295.54624</t>
  </si>
  <si>
    <t>7b96503e-5889-4b88-b7f6-580caaa662ae</t>
  </si>
  <si>
    <t>1.1.3.1.1.4.13.2</t>
  </si>
  <si>
    <t>Удлинитель профилей_/потолочный/60*27</t>
  </si>
  <si>
    <t>311044406.54575</t>
  </si>
  <si>
    <t>22791295.54575</t>
  </si>
  <si>
    <t>46cc4ab9-5306-44b0-b02d-73ca24dc456b</t>
  </si>
  <si>
    <t>1.1.3.1.1.4.13.3</t>
  </si>
  <si>
    <t>Соединитель профилей одноуровневый_/потолочный/60*27</t>
  </si>
  <si>
    <t>311044406.54576</t>
  </si>
  <si>
    <t>22791295.54576</t>
  </si>
  <si>
    <t>d396c343-40ec-430e-b651-cf8e8a10f274</t>
  </si>
  <si>
    <t>1.1.3.1.1.4.13.4</t>
  </si>
  <si>
    <t>Шуруп_/3,5*35</t>
  </si>
  <si>
    <t>311044406.54823</t>
  </si>
  <si>
    <t>22791295.54823</t>
  </si>
  <si>
    <t>4a3b5599-e112-4c81-a9ec-374f97bfefa3</t>
  </si>
  <si>
    <t>1.1.3.1.1.4.13.5</t>
  </si>
  <si>
    <t>Плита Кнауф Файерборд_ / 2500х1200х12.5 м</t>
  </si>
  <si>
    <t>311044406.1523192</t>
  </si>
  <si>
    <t>22791295.1523192</t>
  </si>
  <si>
    <t>1a9d2c61-823f-4235-b198-e9701dbd754e</t>
  </si>
  <si>
    <t>1.1.3.1.1.4.13.6</t>
  </si>
  <si>
    <t>Шуруп со сверлом_/3,5*11</t>
  </si>
  <si>
    <t>311044406.54821</t>
  </si>
  <si>
    <t>22791295.54821</t>
  </si>
  <si>
    <t>438f03b8-0245-4746-af3b-94d943760b3b</t>
  </si>
  <si>
    <t>1.1.3.1.1.4.13.7</t>
  </si>
  <si>
    <t>Лента армирующая ( серпянка)_/50мм</t>
  </si>
  <si>
    <t>311044406.55038</t>
  </si>
  <si>
    <t>22791295.55038</t>
  </si>
  <si>
    <t>ef366d6b-1118-416c-acc5-430ee111e823</t>
  </si>
  <si>
    <t>1.1.3.1.1.4.13.8</t>
  </si>
  <si>
    <t>Анкер-клин_/6*40</t>
  </si>
  <si>
    <t>311044406.54828</t>
  </si>
  <si>
    <t>22791295.54828</t>
  </si>
  <si>
    <t>d1d11d59-b5f9-4bc0-894f-4c016002bf47</t>
  </si>
  <si>
    <t>1.1.3.1.1.4.13.9</t>
  </si>
  <si>
    <t>Профиль_/потолочный/60*27*0,40/3м</t>
  </si>
  <si>
    <t>311044406.54568</t>
  </si>
  <si>
    <t>22791295.54568</t>
  </si>
  <si>
    <t>de448100-a03f-42fb-b903-fa1d0845e34a</t>
  </si>
  <si>
    <t>1.1.3.1.1.4.13.10</t>
  </si>
  <si>
    <t>Подвес профиля прямой_/потолочный/60*27</t>
  </si>
  <si>
    <t>311044406.54573</t>
  </si>
  <si>
    <t>22791295.54573</t>
  </si>
  <si>
    <t>0eb7bcf2-ac18-4bde-8e36-3ccb4cd58803</t>
  </si>
  <si>
    <t>1.1.3.1.1.4.14</t>
  </si>
  <si>
    <t>Пдвал. Зашивка потолков ГВЛВ с заделкой швов шпаклевкой и серпянкой. Тип: ЧНП-3</t>
  </si>
  <si>
    <t>1.1.3.1.1.4.14.1</t>
  </si>
  <si>
    <t>311044503.54573</t>
  </si>
  <si>
    <t>22791298.54573</t>
  </si>
  <si>
    <t>1.1.3.1.1.4.14.2</t>
  </si>
  <si>
    <t>311044503.54568</t>
  </si>
  <si>
    <t>22791298.54568</t>
  </si>
  <si>
    <t>1.1.3.1.1.4.14.3</t>
  </si>
  <si>
    <t>Гипсовые строительные плиты_ / влагостойкий / 12,5*1200*2500</t>
  </si>
  <si>
    <t>311044503.54553</t>
  </si>
  <si>
    <t>22791298.54553</t>
  </si>
  <si>
    <t>efad23af-fbbd-4322-a1b7-0c398c24e336</t>
  </si>
  <si>
    <t>1.1.3.1.1.4.14.4</t>
  </si>
  <si>
    <t>311044503.54828</t>
  </si>
  <si>
    <t>22791298.54828</t>
  </si>
  <si>
    <t>1.1.3.1.1.4.14.5</t>
  </si>
  <si>
    <t>311044503.55038</t>
  </si>
  <si>
    <t>22791298.55038</t>
  </si>
  <si>
    <t>1.1.3.1.1.4.14.6</t>
  </si>
  <si>
    <t>311044503.54821</t>
  </si>
  <si>
    <t>22791298.54821</t>
  </si>
  <si>
    <t>1.1.3.1.1.4.14.7</t>
  </si>
  <si>
    <t>311044503.54823</t>
  </si>
  <si>
    <t>22791298.54823</t>
  </si>
  <si>
    <t>1.1.3.1.1.4.14.8</t>
  </si>
  <si>
    <t>311044503.54576</t>
  </si>
  <si>
    <t>22791298.54576</t>
  </si>
  <si>
    <t>1.1.3.1.1.4.14.9</t>
  </si>
  <si>
    <t>311044503.54575</t>
  </si>
  <si>
    <t>22791298.54575</t>
  </si>
  <si>
    <t>1.1.3.1.1.4.14.10</t>
  </si>
  <si>
    <t>311044503.54624</t>
  </si>
  <si>
    <t>22791298.54624</t>
  </si>
  <si>
    <t>1.1.3.1.1.4.15</t>
  </si>
  <si>
    <t>6.3.1.5.4.4.4</t>
  </si>
  <si>
    <t>Монтаж подвесного потолка СКБ / типа Армстронг, Грильято</t>
  </si>
  <si>
    <t>86b87f1a-32b5-4855-8388-b5bf81a42325</t>
  </si>
  <si>
    <t>42e8bac0-98f1-4b1f-8603-9612c710de3f</t>
  </si>
  <si>
    <t>1.1.3.1.1.4.15.1</t>
  </si>
  <si>
    <t>Подвесной потолок ГРИЛЬЯТО_ / белый / 100х100х40мм</t>
  </si>
  <si>
    <t>Производитель: Албес; Размер решетки: 600х600х40 b10; Размер ячейки 100х100х40; Класс ПБ: Г1, В1, Д1, Т1; Цвет: Белый матовый</t>
  </si>
  <si>
    <t>311044407.1196508</t>
  </si>
  <si>
    <t>22892005.1196508</t>
  </si>
  <si>
    <t>7c413101-029a-4584-ace7-69ad01fdbaa7</t>
  </si>
  <si>
    <t>1.1.3.1.1.4.16</t>
  </si>
  <si>
    <t>Тип: ПТ-8. Кассетный металлический потолок. Albes «TEGULAR»</t>
  </si>
  <si>
    <t>1.1.3.1.1.4.16.1</t>
  </si>
  <si>
    <t>Кассетный металический потолок</t>
  </si>
  <si>
    <t>Кассетный потолок металический, Производитель: Albes Артикул: «TEGULAR» Размер плиты: 600x600 мм, кассета AP600A6/90-Т-15, Несущий профиль T 15-38 PRIM; L=3700 поперечный профиль T 15-29 PRIM; L=600 уголок PLL; L=3,0 м подвес АП (L=1,0 м) цвет: RAL 9003/белый, класс ПБ: КМ0/НГ</t>
  </si>
  <si>
    <t>311044504.847703</t>
  </si>
  <si>
    <t>23306497.847703</t>
  </si>
  <si>
    <t>58e7c86f-477b-47b9-985f-0a528b32f78c</t>
  </si>
  <si>
    <t>1.1.3.1.1.5</t>
  </si>
  <si>
    <t>6.3.1.5.99</t>
  </si>
  <si>
    <t>1.1.3.1.1.5.1</t>
  </si>
  <si>
    <t>6.3.1.5.99.2.1</t>
  </si>
  <si>
    <t>Содержание корпуса в период проведения отделки / 1 секция</t>
  </si>
  <si>
    <t>Кол-во месяцев согласно графика производства отделочных работ.</t>
  </si>
  <si>
    <t>мес</t>
  </si>
  <si>
    <t>1b2081c9-3df8-4bfd-8f1a-b1cd857c8003</t>
  </si>
  <si>
    <t>d7da9cf0-0a72-4830-93c7-e0a0f6b4e4bd</t>
  </si>
  <si>
    <t>1.1.3.1.1.5.2</t>
  </si>
  <si>
    <t>6.3.1.5.99.6.1</t>
  </si>
  <si>
    <t>Компенсация затрат под сдачу СКБ</t>
  </si>
  <si>
    <t>5% от СМР на отделочные работы по разделу Отделка СКБ</t>
  </si>
  <si>
    <t>комплекс</t>
  </si>
  <si>
    <t>39042dce-c227-4fa3-8291-0a0e3e2255fb</t>
  </si>
  <si>
    <t>92c3eaa6-7426-4429-a59a-5dd844bf021c</t>
  </si>
  <si>
    <t>Общая стоимость работ, руб.с НДС 22%</t>
  </si>
  <si>
    <t>Квалификационная и контактная информация</t>
  </si>
  <si>
    <t>А</t>
  </si>
  <si>
    <t>Наличие авансирования</t>
  </si>
  <si>
    <t>да (%) /нет</t>
  </si>
  <si>
    <t>Б</t>
  </si>
  <si>
    <t>Готовность приступить к работе по уведомлению</t>
  </si>
  <si>
    <t>да /нет</t>
  </si>
  <si>
    <t>В</t>
  </si>
  <si>
    <t>Готовность предоставить банковскую гарантию (при наличии аванса)</t>
  </si>
  <si>
    <t>да(банк) /нет</t>
  </si>
  <si>
    <t>Г</t>
  </si>
  <si>
    <t>Срок исполнения предмета тендера</t>
  </si>
  <si>
    <t>мес.</t>
  </si>
  <si>
    <t>Д</t>
  </si>
  <si>
    <t>Гарантийный срок 5 лет</t>
  </si>
  <si>
    <t>E</t>
  </si>
  <si>
    <t>Информация о посещении объекта (были/не были), вопросы по результатам посещения</t>
  </si>
  <si>
    <t>были/не были
да/нет</t>
  </si>
  <si>
    <t>Ж</t>
  </si>
  <si>
    <t>Виды работ, планируемые к выполнению субподрядными организациями</t>
  </si>
  <si>
    <t>вид работ-наименование</t>
  </si>
  <si>
    <t>З</t>
  </si>
  <si>
    <t>Готовность подписать договор в редакции Заказчика</t>
  </si>
  <si>
    <t>да/нет</t>
  </si>
  <si>
    <t>И</t>
  </si>
  <si>
    <t>Наличие СРО</t>
  </si>
  <si>
    <t>да (сумма) /нет</t>
  </si>
  <si>
    <t>К</t>
  </si>
  <si>
    <t>Опыт работы с ГК ПИК (при наличии текущих проектов- указать % реализации)</t>
  </si>
  <si>
    <t>объект/ вид работ/% выполнения</t>
  </si>
  <si>
    <t>Л</t>
  </si>
  <si>
    <t>Опыт реализации подобных видов работ за последние 2-3 года (указать не более 5 ключевых объектов и их заказчиков)</t>
  </si>
  <si>
    <t>объект/заказчик/год</t>
  </si>
  <si>
    <t>М</t>
  </si>
  <si>
    <t>Численность работающих всего / численность, планируемая для выполнения предмета тендера</t>
  </si>
  <si>
    <t>кол-во/кол-во</t>
  </si>
  <si>
    <t>Н</t>
  </si>
  <si>
    <t>Дата регистрации компании</t>
  </si>
  <si>
    <t>дд/мм/гг</t>
  </si>
  <si>
    <t>О</t>
  </si>
  <si>
    <t>Оборот за последние 3 года (указать оборот (выручку) по данным бухгалтерской отчетности за 2014/2015/2016 год)</t>
  </si>
  <si>
    <t>год-сумма/год-сумма/год-сумма (руб.без НДС)</t>
  </si>
  <si>
    <t>2015-
2016-
2017-</t>
  </si>
  <si>
    <t>П</t>
  </si>
  <si>
    <t>Сайт компании</t>
  </si>
  <si>
    <t>ссылка</t>
  </si>
  <si>
    <t>Р</t>
  </si>
  <si>
    <t>Генеральный директор : Ф.И.О. полностью, тел., e-mail</t>
  </si>
  <si>
    <t>С</t>
  </si>
  <si>
    <t>Контактное лицо: Ф.И.О. полностью, тел., e-mail</t>
  </si>
  <si>
    <t>Т</t>
  </si>
  <si>
    <t>Примечание к ТКП претендента</t>
  </si>
  <si>
    <r>
      <t>Ф-1.п-18шт
Ф-1-64шт
Ф-1.1-1шт
Ф-1.2-1шт
Ф-1.3-2шт
Ф-2.п-4шт
Ф-2-21шт
Ф-3.п-5шт
Ф-3-28шт
Ф-3.1-6шт</t>
    </r>
    <r>
      <rPr>
        <sz val="14"/>
        <color rgb="FFFF0000"/>
        <rFont val="Times New Roman"/>
        <family val="1"/>
        <charset val="204"/>
      </rPr>
      <t>(8шт)</t>
    </r>
    <r>
      <rPr>
        <sz val="14"/>
        <color rgb="FF000000"/>
        <rFont val="Times New Roman"/>
        <family val="1"/>
        <charset val="204"/>
      </rPr>
      <t xml:space="preserve">
Ф-3.2-1шт
Ф-4.п-1шт
Ф-4-16шт
Ф-4.1-4шт
Ф-5-2шт
Ф-5.1-2шт
Ф-6-36шт
Ф-7-96шт
Ф-7.1-8шт
Ф-7.2-2шт
Ф-8-69шт
Ф-9-284шт
Ф-10-23шт
Ф-11-5шт
Ф-12-36шт</t>
    </r>
    <r>
      <rPr>
        <sz val="14"/>
        <color rgb="FFFF0000"/>
        <rFont val="Times New Roman"/>
        <family val="1"/>
        <charset val="204"/>
      </rPr>
      <t>(48шт)</t>
    </r>
    <r>
      <rPr>
        <sz val="14"/>
        <color rgb="FF000000"/>
        <rFont val="Times New Roman"/>
        <family val="1"/>
        <charset val="204"/>
      </rPr>
      <t xml:space="preserve">
Ф-13-85шт
Ф-14-16шт
Ф-15-1шт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</si>
</sst>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6" x14ac:knownFonts="1">
    <font>
      <sz val="11"/>
      <color rgb="FF000000"/>
      <name val="Calibri"/>
    </font>
    <font>
      <b/>
      <sz val="11"/>
      <color rgb="FFFFFFFF"/>
      <name val="Times New Roman"/>
      <family val="1"/>
      <charset val="204"/>
    </font>
    <font>
      <sz val="12"/>
      <color rgb="FF2F5487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6"/>
      <color rgb="FF000000"/>
      <name val="Times New Roman"/>
      <family val="1"/>
      <charset val="204"/>
    </font>
    <font>
      <b/>
      <sz val="16"/>
      <color rgb="FFFFFFFF"/>
      <name val="Times New Roman"/>
      <family val="1"/>
      <charset val="204"/>
    </font>
    <font>
      <b/>
      <sz val="13"/>
      <color rgb="FF000000"/>
      <name val="Times New Roman"/>
      <family val="1"/>
      <charset val="204"/>
    </font>
    <font>
      <b/>
      <sz val="18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i/>
      <sz val="14"/>
      <color rgb="FF000000"/>
      <name val="Times New Roman"/>
      <family val="1"/>
      <charset val="204"/>
    </font>
    <font>
      <sz val="14"/>
      <color rgb="FF800000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4"/>
      <color rgb="FF00B05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2F5487"/>
        <bgColor rgb="FF000000"/>
      </patternFill>
    </fill>
    <fill>
      <patternFill patternType="solid">
        <fgColor rgb="FFDBE6F1"/>
        <bgColor rgb="FF000000"/>
      </patternFill>
    </fill>
    <fill>
      <patternFill patternType="solid">
        <fgColor rgb="FFD9D9D8"/>
        <bgColor rgb="FF000000"/>
      </patternFill>
    </fill>
    <fill>
      <patternFill patternType="solid">
        <fgColor rgb="FFD8E4BC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0" fillId="2" borderId="0" xfId="0" applyFill="1"/>
    <xf numFmtId="0" fontId="4" fillId="0" borderId="0" xfId="0" applyFont="1" applyAlignment="1">
      <alignment horizontal="left" vertical="center"/>
    </xf>
    <xf numFmtId="0" fontId="4" fillId="0" borderId="7" xfId="0" applyFont="1" applyBorder="1" applyAlignment="1">
      <alignment horizontal="center" vertical="center" wrapText="1"/>
    </xf>
    <xf numFmtId="4" fontId="7" fillId="0" borderId="7" xfId="0" applyNumberFormat="1" applyFont="1" applyBorder="1" applyAlignment="1">
      <alignment horizontal="center" vertical="center"/>
    </xf>
    <xf numFmtId="0" fontId="0" fillId="4" borderId="2" xfId="0" applyFill="1" applyBorder="1"/>
    <xf numFmtId="4" fontId="7" fillId="4" borderId="7" xfId="0" applyNumberFormat="1" applyFont="1" applyFill="1" applyBorder="1" applyAlignment="1">
      <alignment horizontal="center" vertical="center"/>
    </xf>
    <xf numFmtId="4" fontId="4" fillId="0" borderId="0" xfId="0" applyNumberFormat="1" applyFont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 wrapText="1"/>
    </xf>
    <xf numFmtId="164" fontId="9" fillId="0" borderId="7" xfId="0" applyNumberFormat="1" applyFont="1" applyBorder="1" applyAlignment="1">
      <alignment horizontal="center" vertical="center" wrapText="1"/>
    </xf>
    <xf numFmtId="4" fontId="9" fillId="0" borderId="7" xfId="0" applyNumberFormat="1" applyFont="1" applyBorder="1" applyAlignment="1">
      <alignment horizontal="center" vertical="center" wrapText="1"/>
    </xf>
    <xf numFmtId="4" fontId="9" fillId="3" borderId="7" xfId="0" applyNumberFormat="1" applyFont="1" applyFill="1" applyBorder="1" applyAlignment="1">
      <alignment horizontal="center" vertical="center" wrapText="1"/>
    </xf>
    <xf numFmtId="4" fontId="9" fillId="3" borderId="7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7" xfId="0" applyFont="1" applyBorder="1" applyAlignment="1">
      <alignment horizontal="right" vertical="center" wrapText="1"/>
    </xf>
    <xf numFmtId="0" fontId="9" fillId="0" borderId="7" xfId="0" applyFont="1" applyBorder="1" applyAlignment="1">
      <alignment horizontal="center" vertical="center"/>
    </xf>
    <xf numFmtId="164" fontId="9" fillId="0" borderId="7" xfId="0" applyNumberFormat="1" applyFont="1" applyBorder="1" applyAlignment="1">
      <alignment horizontal="center" vertical="center"/>
    </xf>
    <xf numFmtId="4" fontId="9" fillId="3" borderId="7" xfId="0" applyNumberFormat="1" applyFont="1" applyFill="1" applyBorder="1" applyAlignment="1">
      <alignment horizontal="center" vertical="center"/>
    </xf>
    <xf numFmtId="4" fontId="9" fillId="0" borderId="7" xfId="0" applyNumberFormat="1" applyFont="1" applyBorder="1" applyAlignment="1">
      <alignment horizontal="center" vertical="center"/>
    </xf>
    <xf numFmtId="4" fontId="9" fillId="3" borderId="7" xfId="0" applyNumberFormat="1" applyFont="1" applyFill="1" applyBorder="1" applyAlignment="1" applyProtection="1">
      <alignment horizontal="center" vertical="center"/>
      <protection locked="0"/>
    </xf>
    <xf numFmtId="0" fontId="10" fillId="5" borderId="7" xfId="0" applyFont="1" applyFill="1" applyBorder="1" applyAlignment="1">
      <alignment horizontal="right" vertical="center" wrapText="1"/>
    </xf>
    <xf numFmtId="164" fontId="11" fillId="0" borderId="7" xfId="0" applyNumberFormat="1" applyFont="1" applyBorder="1" applyAlignment="1">
      <alignment horizontal="center" vertical="center"/>
    </xf>
    <xf numFmtId="164" fontId="12" fillId="0" borderId="7" xfId="0" applyNumberFormat="1" applyFont="1" applyBorder="1" applyAlignment="1">
      <alignment horizontal="center" vertical="center"/>
    </xf>
    <xf numFmtId="0" fontId="0" fillId="3" borderId="0" xfId="0" applyFill="1"/>
    <xf numFmtId="0" fontId="13" fillId="3" borderId="7" xfId="0" applyFont="1" applyFill="1" applyBorder="1" applyAlignment="1">
      <alignment horizontal="right" vertical="center"/>
    </xf>
    <xf numFmtId="4" fontId="13" fillId="3" borderId="7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wrapText="1"/>
    </xf>
    <xf numFmtId="0" fontId="0" fillId="0" borderId="1" xfId="0" applyBorder="1"/>
    <xf numFmtId="0" fontId="0" fillId="0" borderId="2" xfId="0" applyBorder="1"/>
    <xf numFmtId="0" fontId="14" fillId="0" borderId="7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5" fillId="3" borderId="2" xfId="0" applyFont="1" applyFill="1" applyBorder="1" applyAlignment="1" applyProtection="1">
      <alignment horizontal="center" vertical="center"/>
      <protection locked="0"/>
    </xf>
    <xf numFmtId="0" fontId="5" fillId="3" borderId="3" xfId="0" applyFont="1" applyFill="1" applyBorder="1" applyAlignment="1" applyProtection="1">
      <alignment horizontal="center" vertical="center"/>
      <protection locked="0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06"/>
  <sheetViews>
    <sheetView zoomScale="62" zoomScaleNormal="62" workbookViewId="0">
      <pane xSplit="9" ySplit="7" topLeftCell="J89" activePane="bottomRight" state="frozen"/>
      <selection pane="topRight"/>
      <selection pane="bottomLeft"/>
      <selection pane="bottomRight" sqref="A1:XFD1048576"/>
    </sheetView>
  </sheetViews>
  <sheetFormatPr defaultRowHeight="14.4" x14ac:dyDescent="0.3"/>
  <cols>
    <col min="1" max="1" width="20" customWidth="1"/>
    <col min="2" max="2" width="21.77734375" bestFit="1" customWidth="1"/>
    <col min="3" max="3" width="55.6640625" customWidth="1"/>
    <col min="4" max="5" width="38" customWidth="1"/>
    <col min="6" max="7" width="16.44140625" customWidth="1"/>
    <col min="8" max="8" width="16" customWidth="1"/>
    <col min="9" max="9" width="16.77734375" customWidth="1"/>
    <col min="10" max="10" width="16" customWidth="1"/>
    <col min="11" max="11" width="17" customWidth="1"/>
    <col min="12" max="12" width="17.6640625" customWidth="1"/>
    <col min="13" max="13" width="18" customWidth="1"/>
    <col min="14" max="14" width="18.77734375" customWidth="1"/>
    <col min="15" max="15" width="23.6640625" customWidth="1"/>
    <col min="16" max="16" width="16" customWidth="1"/>
    <col min="17" max="17" width="17" customWidth="1"/>
    <col min="18" max="18" width="17.6640625" customWidth="1"/>
    <col min="19" max="19" width="18" customWidth="1"/>
    <col min="20" max="20" width="18.77734375" customWidth="1"/>
    <col min="21" max="21" width="23.6640625" customWidth="1"/>
    <col min="22" max="35" width="9.109375" hidden="1"/>
  </cols>
  <sheetData>
    <row r="1" spans="1:35" ht="15" customHeight="1" x14ac:dyDescent="0.3">
      <c r="A1" s="1" t="s">
        <v>0</v>
      </c>
      <c r="B1" s="3"/>
      <c r="C1" s="3"/>
      <c r="D1" s="2" t="s">
        <v>1</v>
      </c>
      <c r="E1" s="2" t="s">
        <v>3</v>
      </c>
      <c r="F1" s="2" t="s">
        <v>2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3"/>
      <c r="O1" s="3"/>
      <c r="P1" s="3"/>
      <c r="Q1" s="3"/>
      <c r="R1" s="3"/>
      <c r="S1" s="3"/>
      <c r="T1" s="3"/>
      <c r="U1" s="3"/>
      <c r="AC1" s="4" t="s">
        <v>17</v>
      </c>
      <c r="AD1" s="4" t="s">
        <v>18</v>
      </c>
      <c r="AE1" s="4" t="s">
        <v>19</v>
      </c>
      <c r="AF1" s="4" t="s">
        <v>20</v>
      </c>
      <c r="AG1" s="4" t="s">
        <v>21</v>
      </c>
      <c r="AH1" s="4" t="s">
        <v>22</v>
      </c>
      <c r="AI1" s="4" t="s">
        <v>23</v>
      </c>
    </row>
    <row r="2" spans="1:35" ht="30.75" customHeight="1" x14ac:dyDescent="0.3">
      <c r="A2" s="34" t="s">
        <v>4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1:35" ht="15" customHeight="1" x14ac:dyDescent="0.3">
      <c r="A3" s="35" t="s">
        <v>5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</row>
    <row r="4" spans="1:35" ht="15" customHeight="1" x14ac:dyDescent="0.3">
      <c r="A4" s="36" t="s">
        <v>6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</row>
    <row r="5" spans="1:35" ht="40.799999999999997" customHeight="1" x14ac:dyDescent="0.3">
      <c r="A5" s="43" t="s">
        <v>24</v>
      </c>
      <c r="B5" s="43" t="s">
        <v>25</v>
      </c>
      <c r="C5" s="43" t="s">
        <v>26</v>
      </c>
      <c r="D5" s="43" t="s">
        <v>27</v>
      </c>
      <c r="E5" s="43" t="s">
        <v>28</v>
      </c>
      <c r="F5" s="43" t="s">
        <v>29</v>
      </c>
      <c r="G5" s="43" t="s">
        <v>30</v>
      </c>
      <c r="H5" s="43" t="s">
        <v>31</v>
      </c>
      <c r="I5" s="43" t="s">
        <v>32</v>
      </c>
      <c r="J5" s="37" t="s">
        <v>7</v>
      </c>
      <c r="K5" s="38"/>
      <c r="L5" s="38"/>
      <c r="M5" s="38"/>
      <c r="N5" s="38"/>
      <c r="O5" s="39"/>
      <c r="P5" s="40" t="s">
        <v>8</v>
      </c>
      <c r="Q5" s="41"/>
      <c r="R5" s="42"/>
      <c r="S5" s="40" t="s">
        <v>9</v>
      </c>
      <c r="T5" s="41"/>
      <c r="U5" s="42"/>
    </row>
    <row r="6" spans="1:35" ht="15.75" customHeight="1" x14ac:dyDescent="0.3">
      <c r="A6" s="44"/>
      <c r="B6" s="44"/>
      <c r="C6" s="44"/>
      <c r="D6" s="44"/>
      <c r="E6" s="44"/>
      <c r="F6" s="44"/>
      <c r="G6" s="44"/>
      <c r="H6" s="44"/>
      <c r="I6" s="44"/>
      <c r="J6" s="46" t="s">
        <v>33</v>
      </c>
      <c r="K6" s="47"/>
      <c r="L6" s="43" t="s">
        <v>33</v>
      </c>
      <c r="M6" s="46" t="s">
        <v>36</v>
      </c>
      <c r="N6" s="47"/>
      <c r="O6" s="43" t="s">
        <v>37</v>
      </c>
      <c r="P6" s="46" t="s">
        <v>33</v>
      </c>
      <c r="Q6" s="47"/>
      <c r="R6" s="43" t="s">
        <v>33</v>
      </c>
      <c r="S6" s="46" t="s">
        <v>36</v>
      </c>
      <c r="T6" s="47"/>
      <c r="U6" s="43" t="s">
        <v>37</v>
      </c>
    </row>
    <row r="7" spans="1:35" ht="31.2" customHeight="1" x14ac:dyDescent="0.3">
      <c r="A7" s="45"/>
      <c r="B7" s="45"/>
      <c r="C7" s="45"/>
      <c r="D7" s="45"/>
      <c r="E7" s="45"/>
      <c r="F7" s="45"/>
      <c r="G7" s="45"/>
      <c r="H7" s="45"/>
      <c r="I7" s="45"/>
      <c r="J7" s="5" t="s">
        <v>34</v>
      </c>
      <c r="K7" s="5" t="s">
        <v>35</v>
      </c>
      <c r="L7" s="45"/>
      <c r="M7" s="5" t="s">
        <v>34</v>
      </c>
      <c r="N7" s="5" t="s">
        <v>35</v>
      </c>
      <c r="O7" s="45"/>
      <c r="P7" s="5" t="s">
        <v>34</v>
      </c>
      <c r="Q7" s="5" t="s">
        <v>35</v>
      </c>
      <c r="R7" s="45"/>
      <c r="S7" s="5" t="s">
        <v>34</v>
      </c>
      <c r="T7" s="5" t="s">
        <v>35</v>
      </c>
      <c r="U7" s="45"/>
    </row>
    <row r="8" spans="1:35" ht="30" customHeight="1" x14ac:dyDescent="0.3">
      <c r="A8" s="48" t="s">
        <v>38</v>
      </c>
      <c r="B8" s="49"/>
      <c r="C8" s="49"/>
      <c r="D8" s="49"/>
      <c r="E8" s="49"/>
      <c r="F8" s="49"/>
      <c r="G8" s="49"/>
      <c r="H8" s="49"/>
      <c r="I8" s="50"/>
      <c r="J8" s="7"/>
      <c r="K8" s="7"/>
      <c r="L8" s="7"/>
      <c r="M8" s="8">
        <f>SUM(M9)</f>
        <v>66484118.949999988</v>
      </c>
      <c r="N8" s="8">
        <f>SUM(N9)</f>
        <v>165687544.92999998</v>
      </c>
      <c r="O8" s="8">
        <f>SUM(O9)</f>
        <v>232171663.87999994</v>
      </c>
      <c r="P8" s="7"/>
      <c r="Q8" s="7"/>
      <c r="R8" s="7"/>
      <c r="S8" s="8">
        <f>SUM(S9)</f>
        <v>126561694.37</v>
      </c>
      <c r="T8" s="8">
        <f>SUM(T9)</f>
        <v>248557463.05000004</v>
      </c>
      <c r="U8" s="8">
        <f>SUM(U9)</f>
        <v>375119157.42000002</v>
      </c>
      <c r="Y8" s="9">
        <f>SUM(Y9)</f>
        <v>105468078.77</v>
      </c>
      <c r="Z8" s="9">
        <f>SUM(Z9)</f>
        <v>207131219.36999997</v>
      </c>
      <c r="AA8" s="9">
        <f>SUM(AA9)</f>
        <v>312599298.13999999</v>
      </c>
      <c r="AC8" s="4" t="s">
        <v>39</v>
      </c>
    </row>
    <row r="9" spans="1:35" ht="16.95" customHeight="1" x14ac:dyDescent="0.3">
      <c r="A9" s="10" t="s">
        <v>40</v>
      </c>
      <c r="B9" s="10" t="s">
        <v>41</v>
      </c>
      <c r="C9" s="51" t="s">
        <v>42</v>
      </c>
      <c r="D9" s="52"/>
      <c r="E9" s="52"/>
      <c r="F9" s="52"/>
      <c r="G9" s="52"/>
      <c r="H9" s="52"/>
      <c r="I9" s="53"/>
      <c r="M9" s="6">
        <f>SUM(M10,M15,M107)</f>
        <v>66484118.949999988</v>
      </c>
      <c r="N9" s="6">
        <f>SUM(N10,N15,N107)</f>
        <v>165687544.92999998</v>
      </c>
      <c r="O9" s="6">
        <f>SUM(O10,O15,O107)</f>
        <v>232171663.87999994</v>
      </c>
      <c r="S9" s="6">
        <f>SUM(S10,S15,S107)</f>
        <v>126561694.37</v>
      </c>
      <c r="T9" s="6">
        <f>SUM(T10,T15,T107)</f>
        <v>248557463.05000004</v>
      </c>
      <c r="U9" s="6">
        <f>SUM(U10,U15,U107)</f>
        <v>375119157.42000002</v>
      </c>
      <c r="Y9" s="9">
        <f>SUM(Y10,Y15,Y107)</f>
        <v>105468078.77</v>
      </c>
      <c r="Z9" s="9">
        <f>SUM(Z10,Z15,Z107)</f>
        <v>207131219.36999997</v>
      </c>
      <c r="AA9" s="9">
        <f>SUM(AA10,AA15,AA107)</f>
        <v>312599298.13999999</v>
      </c>
      <c r="AD9" s="4">
        <v>311044261</v>
      </c>
      <c r="AE9" s="4">
        <v>22075130</v>
      </c>
    </row>
    <row r="10" spans="1:35" ht="16.95" customHeight="1" x14ac:dyDescent="0.3">
      <c r="A10" s="10" t="s">
        <v>43</v>
      </c>
      <c r="B10" s="10" t="s">
        <v>44</v>
      </c>
      <c r="C10" s="51" t="s">
        <v>45</v>
      </c>
      <c r="D10" s="52"/>
      <c r="E10" s="52"/>
      <c r="F10" s="52"/>
      <c r="G10" s="52"/>
      <c r="H10" s="52"/>
      <c r="I10" s="53"/>
      <c r="M10" s="6">
        <f t="shared" ref="M10:O13" si="0">SUM(M11)</f>
        <v>0</v>
      </c>
      <c r="N10" s="6">
        <f t="shared" si="0"/>
        <v>70987.5</v>
      </c>
      <c r="O10" s="6">
        <f t="shared" si="0"/>
        <v>70987.5</v>
      </c>
      <c r="S10" s="6">
        <f t="shared" ref="S10:U13" si="1">SUM(S11)</f>
        <v>0</v>
      </c>
      <c r="T10" s="6">
        <f t="shared" si="1"/>
        <v>106481.25</v>
      </c>
      <c r="U10" s="6">
        <f t="shared" si="1"/>
        <v>106481.25</v>
      </c>
      <c r="Y10" s="9">
        <f t="shared" ref="Y10:AA13" si="2">SUM(Y11)</f>
        <v>0</v>
      </c>
      <c r="Z10" s="9">
        <f t="shared" si="2"/>
        <v>88734.38</v>
      </c>
      <c r="AA10" s="9">
        <f t="shared" si="2"/>
        <v>88734.38</v>
      </c>
      <c r="AD10" s="4">
        <v>311044262</v>
      </c>
      <c r="AE10" s="4">
        <v>22075132</v>
      </c>
    </row>
    <row r="11" spans="1:35" ht="16.95" customHeight="1" x14ac:dyDescent="0.3">
      <c r="A11" s="10" t="s">
        <v>46</v>
      </c>
      <c r="B11" s="10" t="s">
        <v>47</v>
      </c>
      <c r="C11" s="51" t="s">
        <v>48</v>
      </c>
      <c r="D11" s="52"/>
      <c r="E11" s="52"/>
      <c r="F11" s="52"/>
      <c r="G11" s="52"/>
      <c r="H11" s="52"/>
      <c r="I11" s="53"/>
      <c r="M11" s="6">
        <f t="shared" si="0"/>
        <v>0</v>
      </c>
      <c r="N11" s="6">
        <f t="shared" si="0"/>
        <v>70987.5</v>
      </c>
      <c r="O11" s="6">
        <f t="shared" si="0"/>
        <v>70987.5</v>
      </c>
      <c r="S11" s="6">
        <f t="shared" si="1"/>
        <v>0</v>
      </c>
      <c r="T11" s="6">
        <f t="shared" si="1"/>
        <v>106481.25</v>
      </c>
      <c r="U11" s="6">
        <f t="shared" si="1"/>
        <v>106481.25</v>
      </c>
      <c r="Y11" s="9">
        <f t="shared" si="2"/>
        <v>0</v>
      </c>
      <c r="Z11" s="9">
        <f t="shared" si="2"/>
        <v>88734.38</v>
      </c>
      <c r="AA11" s="9">
        <f t="shared" si="2"/>
        <v>88734.38</v>
      </c>
      <c r="AD11" s="4">
        <v>311044263</v>
      </c>
      <c r="AE11" s="4">
        <v>22075131</v>
      </c>
    </row>
    <row r="12" spans="1:35" ht="16.95" customHeight="1" x14ac:dyDescent="0.3">
      <c r="A12" s="10" t="s">
        <v>49</v>
      </c>
      <c r="B12" s="10" t="s">
        <v>50</v>
      </c>
      <c r="C12" s="51" t="s">
        <v>51</v>
      </c>
      <c r="D12" s="52"/>
      <c r="E12" s="52"/>
      <c r="F12" s="52"/>
      <c r="G12" s="52"/>
      <c r="H12" s="52"/>
      <c r="I12" s="53"/>
      <c r="M12" s="6">
        <f t="shared" si="0"/>
        <v>0</v>
      </c>
      <c r="N12" s="6">
        <f t="shared" si="0"/>
        <v>70987.5</v>
      </c>
      <c r="O12" s="6">
        <f t="shared" si="0"/>
        <v>70987.5</v>
      </c>
      <c r="S12" s="6">
        <f t="shared" si="1"/>
        <v>0</v>
      </c>
      <c r="T12" s="6">
        <f t="shared" si="1"/>
        <v>106481.25</v>
      </c>
      <c r="U12" s="6">
        <f t="shared" si="1"/>
        <v>106481.25</v>
      </c>
      <c r="Y12" s="9">
        <f t="shared" si="2"/>
        <v>0</v>
      </c>
      <c r="Z12" s="9">
        <f t="shared" si="2"/>
        <v>88734.38</v>
      </c>
      <c r="AA12" s="9">
        <f t="shared" si="2"/>
        <v>88734.38</v>
      </c>
      <c r="AD12" s="4">
        <v>311044264</v>
      </c>
      <c r="AE12" s="4">
        <v>22075134</v>
      </c>
    </row>
    <row r="13" spans="1:35" ht="16.95" customHeight="1" x14ac:dyDescent="0.3">
      <c r="A13" s="10" t="s">
        <v>52</v>
      </c>
      <c r="B13" s="10" t="s">
        <v>53</v>
      </c>
      <c r="C13" s="51" t="s">
        <v>54</v>
      </c>
      <c r="D13" s="52"/>
      <c r="E13" s="52"/>
      <c r="F13" s="52"/>
      <c r="G13" s="52"/>
      <c r="H13" s="52"/>
      <c r="I13" s="53"/>
      <c r="M13" s="6">
        <f t="shared" si="0"/>
        <v>0</v>
      </c>
      <c r="N13" s="6">
        <f t="shared" si="0"/>
        <v>70987.5</v>
      </c>
      <c r="O13" s="6">
        <f t="shared" si="0"/>
        <v>70987.5</v>
      </c>
      <c r="S13" s="6">
        <f t="shared" si="1"/>
        <v>0</v>
      </c>
      <c r="T13" s="6">
        <f t="shared" si="1"/>
        <v>106481.25</v>
      </c>
      <c r="U13" s="6">
        <f t="shared" si="1"/>
        <v>106481.25</v>
      </c>
      <c r="Y13" s="9">
        <f t="shared" si="2"/>
        <v>0</v>
      </c>
      <c r="Z13" s="9">
        <f t="shared" si="2"/>
        <v>88734.38</v>
      </c>
      <c r="AA13" s="9">
        <f t="shared" si="2"/>
        <v>88734.38</v>
      </c>
      <c r="AD13" s="4">
        <v>311044265</v>
      </c>
      <c r="AE13" s="4">
        <v>22713676</v>
      </c>
    </row>
    <row r="14" spans="1:35" ht="18" x14ac:dyDescent="0.3">
      <c r="A14" s="10" t="s">
        <v>55</v>
      </c>
      <c r="B14" s="10" t="s">
        <v>56</v>
      </c>
      <c r="C14" s="11" t="s">
        <v>57</v>
      </c>
      <c r="D14" s="12"/>
      <c r="E14" s="12"/>
      <c r="F14" s="12" t="s">
        <v>58</v>
      </c>
      <c r="G14" s="13">
        <v>1</v>
      </c>
      <c r="H14" s="13"/>
      <c r="I14" s="13">
        <v>189.3</v>
      </c>
      <c r="J14" s="14">
        <v>0</v>
      </c>
      <c r="K14" s="15">
        <v>375</v>
      </c>
      <c r="L14" s="14">
        <f>J14+ROUND(K14, 2)</f>
        <v>375</v>
      </c>
      <c r="M14" s="14">
        <v>0</v>
      </c>
      <c r="N14" s="14">
        <f>ROUND(I14*ROUND(K14, 2), 2)</f>
        <v>70987.5</v>
      </c>
      <c r="O14" s="14">
        <f>M14+N14</f>
        <v>70987.5</v>
      </c>
      <c r="P14" s="14">
        <v>0</v>
      </c>
      <c r="Q14" s="16">
        <v>562.5</v>
      </c>
      <c r="R14" s="14">
        <f>P14+ROUND(Q14, 2)</f>
        <v>562.5</v>
      </c>
      <c r="S14" s="14">
        <v>0</v>
      </c>
      <c r="T14" s="14">
        <f>ROUND(I14*ROUND(Q14, 2), 2)</f>
        <v>106481.25</v>
      </c>
      <c r="U14" s="14">
        <f>S14+T14</f>
        <v>106481.25</v>
      </c>
      <c r="V14" s="9"/>
      <c r="W14" s="9">
        <f>ROUND(Q14 / 1.2, 2)</f>
        <v>468.75</v>
      </c>
      <c r="X14" s="9">
        <f>ROUND(R14 / 1.2, 2)</f>
        <v>468.75</v>
      </c>
      <c r="Y14" s="9"/>
      <c r="Z14" s="9">
        <f>ROUND(T14 / 1.2, 2)</f>
        <v>88734.38</v>
      </c>
      <c r="AA14" s="9">
        <f>Y14+Z14</f>
        <v>88734.38</v>
      </c>
      <c r="AD14" s="4">
        <v>311044267</v>
      </c>
      <c r="AE14" s="4">
        <v>22713683</v>
      </c>
      <c r="AG14" s="4" t="s">
        <v>59</v>
      </c>
      <c r="AH14" s="4" t="s">
        <v>60</v>
      </c>
      <c r="AI14" s="4" t="s">
        <v>61</v>
      </c>
    </row>
    <row r="15" spans="1:35" ht="16.95" customHeight="1" x14ac:dyDescent="0.3">
      <c r="A15" s="10" t="s">
        <v>62</v>
      </c>
      <c r="B15" s="10" t="s">
        <v>63</v>
      </c>
      <c r="C15" s="51" t="s">
        <v>64</v>
      </c>
      <c r="D15" s="52"/>
      <c r="E15" s="52"/>
      <c r="F15" s="52"/>
      <c r="G15" s="52"/>
      <c r="H15" s="52"/>
      <c r="I15" s="53"/>
      <c r="M15" s="6">
        <f>SUM(M16,M32)</f>
        <v>11097791.499999998</v>
      </c>
      <c r="N15" s="6">
        <f>SUM(N16,N32)</f>
        <v>13059652.23</v>
      </c>
      <c r="O15" s="6">
        <f>SUM(O16,O32)</f>
        <v>24157443.730000004</v>
      </c>
      <c r="S15" s="6">
        <f>SUM(S16,S32)</f>
        <v>12053396.630000001</v>
      </c>
      <c r="T15" s="6">
        <f>SUM(T16,T32)</f>
        <v>19615825.409999996</v>
      </c>
      <c r="U15" s="6">
        <f>SUM(U16,U32)</f>
        <v>31669222.040000003</v>
      </c>
      <c r="Y15" s="9">
        <f>SUM(Y16,Y32)</f>
        <v>10044497.200000001</v>
      </c>
      <c r="Z15" s="9">
        <f>SUM(Z16,Z32)</f>
        <v>16346521.210000001</v>
      </c>
      <c r="AA15" s="9">
        <f>SUM(AA16,AA32)</f>
        <v>26391018.41</v>
      </c>
      <c r="AD15" s="4">
        <v>311044268</v>
      </c>
      <c r="AE15" s="4">
        <v>22703682</v>
      </c>
    </row>
    <row r="16" spans="1:35" ht="16.95" customHeight="1" x14ac:dyDescent="0.3">
      <c r="A16" s="10" t="s">
        <v>65</v>
      </c>
      <c r="B16" s="10" t="s">
        <v>66</v>
      </c>
      <c r="C16" s="51" t="s">
        <v>67</v>
      </c>
      <c r="D16" s="52"/>
      <c r="E16" s="52"/>
      <c r="F16" s="52"/>
      <c r="G16" s="52"/>
      <c r="H16" s="52"/>
      <c r="I16" s="53"/>
      <c r="M16" s="6">
        <f t="shared" ref="M16:O17" si="3">SUM(M17)</f>
        <v>1204341.76</v>
      </c>
      <c r="N16" s="6">
        <f t="shared" si="3"/>
        <v>1322460.69</v>
      </c>
      <c r="O16" s="6">
        <f t="shared" si="3"/>
        <v>2526802.4500000002</v>
      </c>
      <c r="S16" s="6">
        <f t="shared" ref="S16:U17" si="4">SUM(S17)</f>
        <v>1204341.76</v>
      </c>
      <c r="T16" s="6">
        <f t="shared" si="4"/>
        <v>1983690.99</v>
      </c>
      <c r="U16" s="6">
        <f t="shared" si="4"/>
        <v>3188032.75</v>
      </c>
      <c r="Y16" s="9">
        <f t="shared" ref="Y16:AA17" si="5">SUM(Y17)</f>
        <v>1003618.13</v>
      </c>
      <c r="Z16" s="9">
        <f t="shared" si="5"/>
        <v>1653075.83</v>
      </c>
      <c r="AA16" s="9">
        <f t="shared" si="5"/>
        <v>2656693.96</v>
      </c>
      <c r="AD16" s="4">
        <v>311044269</v>
      </c>
      <c r="AE16" s="4">
        <v>22775400</v>
      </c>
    </row>
    <row r="17" spans="1:35" ht="16.95" customHeight="1" x14ac:dyDescent="0.3">
      <c r="A17" s="10" t="s">
        <v>68</v>
      </c>
      <c r="B17" s="10" t="s">
        <v>69</v>
      </c>
      <c r="C17" s="51" t="s">
        <v>70</v>
      </c>
      <c r="D17" s="52"/>
      <c r="E17" s="52"/>
      <c r="F17" s="52"/>
      <c r="G17" s="52"/>
      <c r="H17" s="52"/>
      <c r="I17" s="53"/>
      <c r="M17" s="6">
        <f t="shared" si="3"/>
        <v>1204341.76</v>
      </c>
      <c r="N17" s="6">
        <f t="shared" si="3"/>
        <v>1322460.69</v>
      </c>
      <c r="O17" s="6">
        <f t="shared" si="3"/>
        <v>2526802.4500000002</v>
      </c>
      <c r="S17" s="6">
        <f t="shared" si="4"/>
        <v>1204341.76</v>
      </c>
      <c r="T17" s="6">
        <f t="shared" si="4"/>
        <v>1983690.99</v>
      </c>
      <c r="U17" s="6">
        <f t="shared" si="4"/>
        <v>3188032.75</v>
      </c>
      <c r="Y17" s="9">
        <f t="shared" si="5"/>
        <v>1003618.13</v>
      </c>
      <c r="Z17" s="9">
        <f t="shared" si="5"/>
        <v>1653075.83</v>
      </c>
      <c r="AA17" s="9">
        <f t="shared" si="5"/>
        <v>2656693.96</v>
      </c>
      <c r="AD17" s="4">
        <v>311044270</v>
      </c>
      <c r="AE17" s="4">
        <v>23307761</v>
      </c>
    </row>
    <row r="18" spans="1:35" ht="16.95" customHeight="1" x14ac:dyDescent="0.3">
      <c r="A18" s="10" t="s">
        <v>71</v>
      </c>
      <c r="B18" s="10" t="s">
        <v>72</v>
      </c>
      <c r="C18" s="51" t="s">
        <v>73</v>
      </c>
      <c r="D18" s="52"/>
      <c r="E18" s="52"/>
      <c r="F18" s="52"/>
      <c r="G18" s="52"/>
      <c r="H18" s="52"/>
      <c r="I18" s="53"/>
      <c r="M18" s="6">
        <f>SUM(M19,M25)</f>
        <v>1204341.76</v>
      </c>
      <c r="N18" s="6">
        <f>SUM(N19,N25)</f>
        <v>1322460.69</v>
      </c>
      <c r="O18" s="6">
        <f>SUM(O19,O25)</f>
        <v>2526802.4500000002</v>
      </c>
      <c r="S18" s="6">
        <f>SUM(S19,S25)</f>
        <v>1204341.76</v>
      </c>
      <c r="T18" s="6">
        <f>SUM(T19,T25)</f>
        <v>1983690.99</v>
      </c>
      <c r="U18" s="6">
        <f>SUM(U19,U25)</f>
        <v>3188032.75</v>
      </c>
      <c r="Y18" s="9">
        <f>SUM(Y19,Y25)</f>
        <v>1003618.13</v>
      </c>
      <c r="Z18" s="9">
        <f>SUM(Z19,Z25)</f>
        <v>1653075.83</v>
      </c>
      <c r="AA18" s="9">
        <f>SUM(AA19,AA25)</f>
        <v>2656693.96</v>
      </c>
      <c r="AD18" s="4">
        <v>311044271</v>
      </c>
      <c r="AE18" s="4">
        <v>23307752</v>
      </c>
    </row>
    <row r="19" spans="1:35" ht="16.95" customHeight="1" x14ac:dyDescent="0.3">
      <c r="A19" s="10" t="s">
        <v>74</v>
      </c>
      <c r="B19" s="10" t="s">
        <v>75</v>
      </c>
      <c r="C19" s="51" t="s">
        <v>76</v>
      </c>
      <c r="D19" s="52"/>
      <c r="E19" s="52"/>
      <c r="F19" s="52"/>
      <c r="G19" s="52"/>
      <c r="H19" s="52"/>
      <c r="I19" s="53"/>
      <c r="M19" s="6">
        <f>SUM(M20)</f>
        <v>52583.040000000001</v>
      </c>
      <c r="N19" s="6">
        <f>SUM(N20)</f>
        <v>71823.89</v>
      </c>
      <c r="O19" s="6">
        <f>SUM(O20)</f>
        <v>124406.93</v>
      </c>
      <c r="S19" s="6">
        <f>SUM(S20)</f>
        <v>52583.040000000001</v>
      </c>
      <c r="T19" s="6">
        <f>SUM(T20)</f>
        <v>107735.79</v>
      </c>
      <c r="U19" s="6">
        <f>SUM(U20)</f>
        <v>160318.82999999999</v>
      </c>
      <c r="Y19" s="9">
        <f>SUM(Y20)</f>
        <v>43819.199999999997</v>
      </c>
      <c r="Z19" s="9">
        <f>SUM(Z20)</f>
        <v>89779.83</v>
      </c>
      <c r="AA19" s="9">
        <f>SUM(AA20)</f>
        <v>133599.03</v>
      </c>
      <c r="AD19" s="4">
        <v>311044272</v>
      </c>
      <c r="AE19" s="4">
        <v>23307757</v>
      </c>
    </row>
    <row r="20" spans="1:35" ht="54" x14ac:dyDescent="0.3">
      <c r="A20" s="10" t="s">
        <v>77</v>
      </c>
      <c r="B20" s="10" t="s">
        <v>78</v>
      </c>
      <c r="C20" s="11" t="s">
        <v>79</v>
      </c>
      <c r="D20" s="12" t="s">
        <v>80</v>
      </c>
      <c r="E20" s="12" t="s">
        <v>81</v>
      </c>
      <c r="F20" s="12" t="s">
        <v>82</v>
      </c>
      <c r="G20" s="13">
        <v>1</v>
      </c>
      <c r="H20" s="13"/>
      <c r="I20" s="13">
        <v>9.2200000000000006</v>
      </c>
      <c r="J20" s="14">
        <f>IFERROR(ROUND(SUM(M21,M22,M23,M24)/I20, 2),0)</f>
        <v>5703.15</v>
      </c>
      <c r="K20" s="15">
        <v>7790.01</v>
      </c>
      <c r="L20" s="14">
        <f>J20+ROUND(K20, 2)</f>
        <v>13493.16</v>
      </c>
      <c r="M20" s="14">
        <f>ROUND(J20*I20, 2)</f>
        <v>52583.040000000001</v>
      </c>
      <c r="N20" s="14">
        <f>ROUND(I20*ROUND(K20, 2), 2)</f>
        <v>71823.89</v>
      </c>
      <c r="O20" s="14">
        <f>M20+N20</f>
        <v>124406.93</v>
      </c>
      <c r="P20" s="14">
        <f>IFERROR(ROUND(SUM(S21,S22,S23,S24)/I20, 2),0)</f>
        <v>5703.15</v>
      </c>
      <c r="Q20" s="16">
        <v>11685.01</v>
      </c>
      <c r="R20" s="14">
        <f>P20+ROUND(Q20, 2)</f>
        <v>17388.16</v>
      </c>
      <c r="S20" s="14">
        <f>ROUND(P20*I20, 2)</f>
        <v>52583.040000000001</v>
      </c>
      <c r="T20" s="14">
        <f>ROUND(I20*ROUND(Q20, 2), 2)</f>
        <v>107735.79</v>
      </c>
      <c r="U20" s="14">
        <f>S20+T20</f>
        <v>160318.82999999999</v>
      </c>
      <c r="V20" s="9">
        <f>ROUND(P20 / 1.2, 2)</f>
        <v>4752.63</v>
      </c>
      <c r="W20" s="9">
        <f>ROUND(Q20 / 1.2, 2)</f>
        <v>9737.51</v>
      </c>
      <c r="X20" s="9">
        <f>ROUND(R20 / 1.2, 2)</f>
        <v>14490.13</v>
      </c>
      <c r="Y20" s="9">
        <f>ROUND(S20 / 1.2, 2)</f>
        <v>43819.199999999997</v>
      </c>
      <c r="Z20" s="9">
        <f>ROUND(T20 / 1.2, 2)</f>
        <v>89779.83</v>
      </c>
      <c r="AA20" s="9">
        <f>Y20+Z20</f>
        <v>133599.03</v>
      </c>
      <c r="AD20" s="4">
        <v>311044274</v>
      </c>
      <c r="AE20" s="4">
        <v>23307776</v>
      </c>
      <c r="AG20" s="4" t="s">
        <v>83</v>
      </c>
      <c r="AH20" s="4" t="s">
        <v>84</v>
      </c>
      <c r="AI20" s="4" t="s">
        <v>85</v>
      </c>
    </row>
    <row r="21" spans="1:35" ht="36" x14ac:dyDescent="0.3">
      <c r="A21" s="10" t="s">
        <v>86</v>
      </c>
      <c r="B21" s="10"/>
      <c r="C21" s="17" t="s">
        <v>87</v>
      </c>
      <c r="D21" s="12"/>
      <c r="E21" s="12"/>
      <c r="F21" s="18" t="s">
        <v>88</v>
      </c>
      <c r="G21" s="19">
        <v>1</v>
      </c>
      <c r="H21" s="19"/>
      <c r="I21" s="19">
        <v>9.2200000000000006</v>
      </c>
      <c r="J21" s="20">
        <v>178.68</v>
      </c>
      <c r="M21" s="21">
        <f>ROUND(ROUND(J21, 2)*I21, 2)</f>
        <v>1647.43</v>
      </c>
      <c r="P21" s="22">
        <v>178.68</v>
      </c>
      <c r="S21" s="21">
        <f>ROUND(ROUND(P21, 2)*I21, 2)</f>
        <v>1647.43</v>
      </c>
      <c r="V21" s="9">
        <f>ROUND(ROUND(P21, 2)/1.2, 2)</f>
        <v>148.9</v>
      </c>
      <c r="Y21" s="9">
        <f>ROUND(S21 / 1.2, 2)</f>
        <v>1372.86</v>
      </c>
      <c r="AD21" s="4" t="s">
        <v>89</v>
      </c>
      <c r="AE21" s="4" t="s">
        <v>90</v>
      </c>
      <c r="AF21" s="4" t="s">
        <v>91</v>
      </c>
    </row>
    <row r="22" spans="1:35" ht="36" x14ac:dyDescent="0.3">
      <c r="A22" s="10" t="s">
        <v>92</v>
      </c>
      <c r="B22" s="10"/>
      <c r="C22" s="17" t="s">
        <v>93</v>
      </c>
      <c r="D22" s="12"/>
      <c r="E22" s="12"/>
      <c r="F22" s="18" t="s">
        <v>88</v>
      </c>
      <c r="G22" s="19">
        <v>1</v>
      </c>
      <c r="H22" s="19"/>
      <c r="I22" s="19">
        <v>9.2200000000000006</v>
      </c>
      <c r="J22" s="20">
        <v>332.24</v>
      </c>
      <c r="M22" s="21">
        <f>ROUND(ROUND(J22, 2)*I22, 2)</f>
        <v>3063.25</v>
      </c>
      <c r="P22" s="22">
        <v>332.24</v>
      </c>
      <c r="S22" s="21">
        <f>ROUND(ROUND(P22, 2)*I22, 2)</f>
        <v>3063.25</v>
      </c>
      <c r="V22" s="9">
        <f>ROUND(ROUND(P22, 2)/1.2, 2)</f>
        <v>276.87</v>
      </c>
      <c r="Y22" s="9">
        <f>ROUND(S22 / 1.2, 2)</f>
        <v>2552.71</v>
      </c>
      <c r="AD22" s="4" t="s">
        <v>94</v>
      </c>
      <c r="AE22" s="4" t="s">
        <v>95</v>
      </c>
      <c r="AF22" s="4" t="s">
        <v>96</v>
      </c>
    </row>
    <row r="23" spans="1:35" ht="18" x14ac:dyDescent="0.3">
      <c r="A23" s="10" t="s">
        <v>97</v>
      </c>
      <c r="B23" s="10"/>
      <c r="C23" s="17" t="s">
        <v>98</v>
      </c>
      <c r="D23" s="12"/>
      <c r="E23" s="12"/>
      <c r="F23" s="18" t="s">
        <v>99</v>
      </c>
      <c r="G23" s="19">
        <v>25</v>
      </c>
      <c r="H23" s="19"/>
      <c r="I23" s="19">
        <v>230.5</v>
      </c>
      <c r="J23" s="20">
        <v>6.8</v>
      </c>
      <c r="M23" s="21">
        <f>ROUND(ROUND(J23, 2)*I23, 2)</f>
        <v>1567.4</v>
      </c>
      <c r="P23" s="22">
        <v>6.8</v>
      </c>
      <c r="S23" s="21">
        <f>ROUND(ROUND(P23, 2)*I23, 2)</f>
        <v>1567.4</v>
      </c>
      <c r="V23" s="9">
        <f>ROUND(ROUND(P23, 2)/1.2, 2)</f>
        <v>5.67</v>
      </c>
      <c r="Y23" s="9">
        <f>ROUND(S23 / 1.2, 2)</f>
        <v>1306.17</v>
      </c>
      <c r="AD23" s="4" t="s">
        <v>100</v>
      </c>
      <c r="AE23" s="4" t="s">
        <v>101</v>
      </c>
      <c r="AF23" s="4" t="s">
        <v>102</v>
      </c>
    </row>
    <row r="24" spans="1:35" ht="18" x14ac:dyDescent="0.3">
      <c r="A24" s="10" t="s">
        <v>103</v>
      </c>
      <c r="B24" s="10"/>
      <c r="C24" s="23" t="s">
        <v>104</v>
      </c>
      <c r="D24" s="12"/>
      <c r="E24" s="12"/>
      <c r="F24" s="18" t="s">
        <v>82</v>
      </c>
      <c r="G24" s="19">
        <v>1.05</v>
      </c>
      <c r="H24" s="24"/>
      <c r="I24" s="24">
        <v>9.6809999999999992</v>
      </c>
      <c r="J24" s="20">
        <v>4783.08</v>
      </c>
      <c r="M24" s="21">
        <f>ROUND(ROUND(J24, 2)*I24, 2)</f>
        <v>46305</v>
      </c>
      <c r="P24" s="22">
        <v>4783.08</v>
      </c>
      <c r="S24" s="21">
        <f>ROUND(ROUND(P24, 2)*I24, 2)</f>
        <v>46305</v>
      </c>
      <c r="V24" s="9">
        <f>ROUND(ROUND(P24, 2)/1.2, 2)</f>
        <v>3985.9</v>
      </c>
      <c r="Y24" s="9">
        <f>ROUND(S24 / 1.2, 2)</f>
        <v>38587.5</v>
      </c>
      <c r="AD24" s="4" t="s">
        <v>105</v>
      </c>
      <c r="AE24" s="4" t="s">
        <v>106</v>
      </c>
      <c r="AF24" s="4" t="s">
        <v>107</v>
      </c>
    </row>
    <row r="25" spans="1:35" ht="16.95" customHeight="1" x14ac:dyDescent="0.3">
      <c r="A25" s="10" t="s">
        <v>108</v>
      </c>
      <c r="B25" s="10" t="s">
        <v>109</v>
      </c>
      <c r="C25" s="51" t="s">
        <v>110</v>
      </c>
      <c r="D25" s="52"/>
      <c r="E25" s="52"/>
      <c r="F25" s="52"/>
      <c r="G25" s="52"/>
      <c r="H25" s="52"/>
      <c r="I25" s="53"/>
      <c r="M25" s="6">
        <f>SUM(M26)</f>
        <v>1151758.72</v>
      </c>
      <c r="N25" s="6">
        <f>SUM(N26)</f>
        <v>1250636.8</v>
      </c>
      <c r="O25" s="6">
        <f>SUM(O26)</f>
        <v>2402395.52</v>
      </c>
      <c r="S25" s="6">
        <f>SUM(S26)</f>
        <v>1151758.72</v>
      </c>
      <c r="T25" s="6">
        <f>SUM(T26)</f>
        <v>1875955.2</v>
      </c>
      <c r="U25" s="6">
        <f>SUM(U26)</f>
        <v>3027713.92</v>
      </c>
      <c r="Y25" s="9">
        <f>SUM(Y26)</f>
        <v>959798.93</v>
      </c>
      <c r="Z25" s="9">
        <f>SUM(Z26)</f>
        <v>1563296</v>
      </c>
      <c r="AA25" s="9">
        <f>SUM(AA26)</f>
        <v>2523094.9300000002</v>
      </c>
      <c r="AD25" s="4">
        <v>311044275</v>
      </c>
      <c r="AE25" s="4">
        <v>23307759</v>
      </c>
    </row>
    <row r="26" spans="1:35" ht="72" x14ac:dyDescent="0.3">
      <c r="A26" s="10" t="s">
        <v>111</v>
      </c>
      <c r="B26" s="10" t="s">
        <v>112</v>
      </c>
      <c r="C26" s="11" t="s">
        <v>113</v>
      </c>
      <c r="D26" s="12" t="s">
        <v>80</v>
      </c>
      <c r="E26" s="12" t="s">
        <v>114</v>
      </c>
      <c r="F26" s="12" t="s">
        <v>58</v>
      </c>
      <c r="G26" s="13">
        <v>1</v>
      </c>
      <c r="H26" s="13"/>
      <c r="I26" s="13">
        <v>627.20000000000005</v>
      </c>
      <c r="J26" s="14">
        <f>IFERROR(ROUND(SUM(M27,M28,M29,M30,M31)/I26, 2),0)</f>
        <v>1836.35</v>
      </c>
      <c r="K26" s="15">
        <v>1994</v>
      </c>
      <c r="L26" s="14">
        <f>J26+ROUND(K26, 2)</f>
        <v>3830.35</v>
      </c>
      <c r="M26" s="14">
        <f>ROUND(J26*I26, 2)</f>
        <v>1151758.72</v>
      </c>
      <c r="N26" s="14">
        <f>ROUND(I26*ROUND(K26, 2), 2)</f>
        <v>1250636.8</v>
      </c>
      <c r="O26" s="14">
        <f>M26+N26</f>
        <v>2402395.52</v>
      </c>
      <c r="P26" s="14">
        <f>IFERROR(ROUND(SUM(S27,S28,S29,S30,S31)/I26, 2),0)</f>
        <v>1836.35</v>
      </c>
      <c r="Q26" s="16">
        <v>2991</v>
      </c>
      <c r="R26" s="14">
        <f>P26+ROUND(Q26, 2)</f>
        <v>4827.3500000000004</v>
      </c>
      <c r="S26" s="14">
        <f>ROUND(P26*I26, 2)</f>
        <v>1151758.72</v>
      </c>
      <c r="T26" s="14">
        <f>ROUND(I26*ROUND(Q26, 2), 2)</f>
        <v>1875955.2</v>
      </c>
      <c r="U26" s="14">
        <f>S26+T26</f>
        <v>3027713.92</v>
      </c>
      <c r="V26" s="9">
        <f>ROUND(P26 / 1.2, 2)</f>
        <v>1530.29</v>
      </c>
      <c r="W26" s="9">
        <f>ROUND(Q26 / 1.2, 2)</f>
        <v>2492.5</v>
      </c>
      <c r="X26" s="9">
        <f>ROUND(R26 / 1.2, 2)</f>
        <v>4022.79</v>
      </c>
      <c r="Y26" s="9">
        <f>ROUND(S26 / 1.2, 2)</f>
        <v>959798.93</v>
      </c>
      <c r="Z26" s="9">
        <f>ROUND(T26 / 1.2, 2)</f>
        <v>1563296</v>
      </c>
      <c r="AA26" s="9">
        <f>Y26+Z26</f>
        <v>2523094.9300000002</v>
      </c>
      <c r="AD26" s="4">
        <v>311044277</v>
      </c>
      <c r="AE26" s="4">
        <v>23307775</v>
      </c>
      <c r="AG26" s="4" t="s">
        <v>115</v>
      </c>
      <c r="AH26" s="4" t="s">
        <v>116</v>
      </c>
      <c r="AI26" s="4" t="s">
        <v>85</v>
      </c>
    </row>
    <row r="27" spans="1:35" ht="18" x14ac:dyDescent="0.3">
      <c r="A27" s="10" t="s">
        <v>117</v>
      </c>
      <c r="B27" s="10"/>
      <c r="C27" s="17" t="s">
        <v>118</v>
      </c>
      <c r="D27" s="12"/>
      <c r="E27" s="12"/>
      <c r="F27" s="18" t="s">
        <v>99</v>
      </c>
      <c r="G27" s="19">
        <v>44.85</v>
      </c>
      <c r="H27" s="19"/>
      <c r="I27" s="19">
        <v>28129.919999999998</v>
      </c>
      <c r="J27" s="20">
        <v>6.38</v>
      </c>
      <c r="M27" s="21">
        <f>ROUND(ROUND(J27, 2)*I27, 2)</f>
        <v>179468.89</v>
      </c>
      <c r="P27" s="22">
        <v>6.38</v>
      </c>
      <c r="S27" s="21">
        <f>ROUND(ROUND(P27, 2)*I27, 2)</f>
        <v>179468.89</v>
      </c>
      <c r="V27" s="9">
        <f>ROUND(ROUND(P27, 2)/1.2, 2)</f>
        <v>5.32</v>
      </c>
      <c r="Y27" s="9">
        <f>ROUND(S27 / 1.2, 2)</f>
        <v>149557.41</v>
      </c>
      <c r="AD27" s="4" t="s">
        <v>119</v>
      </c>
      <c r="AE27" s="4" t="s">
        <v>120</v>
      </c>
      <c r="AF27" s="4" t="s">
        <v>121</v>
      </c>
    </row>
    <row r="28" spans="1:35" ht="36" x14ac:dyDescent="0.3">
      <c r="A28" s="10" t="s">
        <v>122</v>
      </c>
      <c r="B28" s="10"/>
      <c r="C28" s="17" t="s">
        <v>123</v>
      </c>
      <c r="D28" s="12"/>
      <c r="E28" s="12"/>
      <c r="F28" s="18" t="s">
        <v>88</v>
      </c>
      <c r="G28" s="19">
        <v>1</v>
      </c>
      <c r="H28" s="19"/>
      <c r="I28" s="19">
        <v>627.20000000000005</v>
      </c>
      <c r="J28" s="20">
        <v>65.67</v>
      </c>
      <c r="M28" s="21">
        <f>ROUND(ROUND(J28, 2)*I28, 2)</f>
        <v>41188.22</v>
      </c>
      <c r="P28" s="22">
        <v>65.67</v>
      </c>
      <c r="S28" s="21">
        <f>ROUND(ROUND(P28, 2)*I28, 2)</f>
        <v>41188.22</v>
      </c>
      <c r="V28" s="9">
        <f>ROUND(ROUND(P28, 2)/1.2, 2)</f>
        <v>54.73</v>
      </c>
      <c r="Y28" s="9">
        <f>ROUND(S28 / 1.2, 2)</f>
        <v>34323.519999999997</v>
      </c>
      <c r="AD28" s="4" t="s">
        <v>124</v>
      </c>
      <c r="AE28" s="4" t="s">
        <v>125</v>
      </c>
      <c r="AF28" s="4" t="s">
        <v>126</v>
      </c>
    </row>
    <row r="29" spans="1:35" ht="36" x14ac:dyDescent="0.3">
      <c r="A29" s="10" t="s">
        <v>127</v>
      </c>
      <c r="B29" s="10"/>
      <c r="C29" s="17" t="s">
        <v>128</v>
      </c>
      <c r="D29" s="12"/>
      <c r="E29" s="12"/>
      <c r="F29" s="18" t="s">
        <v>88</v>
      </c>
      <c r="G29" s="19">
        <v>1</v>
      </c>
      <c r="H29" s="19"/>
      <c r="I29" s="19">
        <v>627.20000000000005</v>
      </c>
      <c r="J29" s="20">
        <v>118.99</v>
      </c>
      <c r="M29" s="21">
        <f>ROUND(ROUND(J29, 2)*I29, 2)</f>
        <v>74630.53</v>
      </c>
      <c r="P29" s="22">
        <v>118.99</v>
      </c>
      <c r="S29" s="21">
        <f>ROUND(ROUND(P29, 2)*I29, 2)</f>
        <v>74630.53</v>
      </c>
      <c r="V29" s="9">
        <f>ROUND(ROUND(P29, 2)/1.2, 2)</f>
        <v>99.16</v>
      </c>
      <c r="Y29" s="9">
        <f>ROUND(S29 / 1.2, 2)</f>
        <v>62192.11</v>
      </c>
      <c r="AD29" s="4" t="s">
        <v>129</v>
      </c>
      <c r="AE29" s="4" t="s">
        <v>130</v>
      </c>
      <c r="AF29" s="4" t="s">
        <v>131</v>
      </c>
    </row>
    <row r="30" spans="1:35" ht="18" x14ac:dyDescent="0.3">
      <c r="A30" s="10" t="s">
        <v>132</v>
      </c>
      <c r="B30" s="10"/>
      <c r="C30" s="17" t="s">
        <v>133</v>
      </c>
      <c r="D30" s="12"/>
      <c r="E30" s="12"/>
      <c r="F30" s="18" t="s">
        <v>58</v>
      </c>
      <c r="G30" s="19">
        <v>0.504</v>
      </c>
      <c r="H30" s="19"/>
      <c r="I30" s="19">
        <v>316.10899999999998</v>
      </c>
      <c r="J30" s="20">
        <v>269.41000000000003</v>
      </c>
      <c r="M30" s="21">
        <f>ROUND(ROUND(J30, 2)*I30, 2)</f>
        <v>85162.93</v>
      </c>
      <c r="P30" s="22">
        <v>269.41000000000003</v>
      </c>
      <c r="S30" s="21">
        <f>ROUND(ROUND(P30, 2)*I30, 2)</f>
        <v>85162.93</v>
      </c>
      <c r="V30" s="9">
        <f>ROUND(ROUND(P30, 2)/1.2, 2)</f>
        <v>224.51</v>
      </c>
      <c r="Y30" s="9">
        <f>ROUND(S30 / 1.2, 2)</f>
        <v>70969.11</v>
      </c>
      <c r="AD30" s="4" t="s">
        <v>134</v>
      </c>
      <c r="AE30" s="4" t="s">
        <v>135</v>
      </c>
      <c r="AF30" s="4" t="s">
        <v>136</v>
      </c>
    </row>
    <row r="31" spans="1:35" ht="18" x14ac:dyDescent="0.3">
      <c r="A31" s="10" t="s">
        <v>137</v>
      </c>
      <c r="B31" s="10"/>
      <c r="C31" s="17" t="s">
        <v>138</v>
      </c>
      <c r="D31" s="12"/>
      <c r="E31" s="12"/>
      <c r="F31" s="18" t="s">
        <v>139</v>
      </c>
      <c r="G31" s="19">
        <v>50.4</v>
      </c>
      <c r="H31" s="19"/>
      <c r="I31" s="19">
        <v>31610.880000000001</v>
      </c>
      <c r="J31" s="20">
        <v>24.4</v>
      </c>
      <c r="M31" s="21">
        <f>ROUND(ROUND(J31, 2)*I31, 2)</f>
        <v>771305.47</v>
      </c>
      <c r="P31" s="22">
        <v>24.4</v>
      </c>
      <c r="S31" s="21">
        <f>ROUND(ROUND(P31, 2)*I31, 2)</f>
        <v>771305.47</v>
      </c>
      <c r="V31" s="9">
        <f>ROUND(ROUND(P31, 2)/1.2, 2)</f>
        <v>20.329999999999998</v>
      </c>
      <c r="Y31" s="9">
        <f>ROUND(S31 / 1.2, 2)</f>
        <v>642754.56000000006</v>
      </c>
      <c r="AD31" s="4" t="s">
        <v>140</v>
      </c>
      <c r="AE31" s="4" t="s">
        <v>141</v>
      </c>
      <c r="AF31" s="4" t="s">
        <v>142</v>
      </c>
    </row>
    <row r="32" spans="1:35" ht="16.95" customHeight="1" x14ac:dyDescent="0.3">
      <c r="A32" s="10" t="s">
        <v>143</v>
      </c>
      <c r="B32" s="10" t="s">
        <v>144</v>
      </c>
      <c r="C32" s="51" t="s">
        <v>145</v>
      </c>
      <c r="D32" s="52"/>
      <c r="E32" s="52"/>
      <c r="F32" s="52"/>
      <c r="G32" s="52"/>
      <c r="H32" s="52"/>
      <c r="I32" s="53"/>
      <c r="M32" s="6">
        <f>SUM(M33,M101)</f>
        <v>9893449.7399999984</v>
      </c>
      <c r="N32" s="6">
        <f>SUM(N33,N101)</f>
        <v>11737191.540000001</v>
      </c>
      <c r="O32" s="6">
        <f>SUM(O33,O101)</f>
        <v>21630641.280000005</v>
      </c>
      <c r="S32" s="6">
        <f>SUM(S33,S101)</f>
        <v>10849054.870000001</v>
      </c>
      <c r="T32" s="6">
        <f>SUM(T33,T101)</f>
        <v>17632134.419999998</v>
      </c>
      <c r="U32" s="6">
        <f>SUM(U33,U101)</f>
        <v>28481189.290000003</v>
      </c>
      <c r="Y32" s="9">
        <f>SUM(Y33,Y101)</f>
        <v>9040879.0700000003</v>
      </c>
      <c r="Z32" s="9">
        <f>SUM(Z33,Z101)</f>
        <v>14693445.380000001</v>
      </c>
      <c r="AA32" s="9">
        <f>SUM(AA33,AA101)</f>
        <v>23734324.449999999</v>
      </c>
      <c r="AD32" s="4">
        <v>311044278</v>
      </c>
      <c r="AE32" s="4">
        <v>22703680</v>
      </c>
    </row>
    <row r="33" spans="1:35" ht="16.95" customHeight="1" x14ac:dyDescent="0.3">
      <c r="A33" s="10" t="s">
        <v>146</v>
      </c>
      <c r="B33" s="10" t="s">
        <v>147</v>
      </c>
      <c r="C33" s="51" t="s">
        <v>148</v>
      </c>
      <c r="D33" s="52"/>
      <c r="E33" s="52"/>
      <c r="F33" s="52"/>
      <c r="G33" s="52"/>
      <c r="H33" s="52"/>
      <c r="I33" s="53"/>
      <c r="M33" s="6">
        <f>SUM(M34,M43,M74,M99)</f>
        <v>8634298.7799999993</v>
      </c>
      <c r="N33" s="6">
        <f>SUM(N34,N43,N74,N99)</f>
        <v>11167959.74</v>
      </c>
      <c r="O33" s="6">
        <f>SUM(O34,O43,O74,O99)</f>
        <v>19802258.520000003</v>
      </c>
      <c r="S33" s="6">
        <f>SUM(S34,S43,S74,S99)</f>
        <v>9589903.9100000001</v>
      </c>
      <c r="T33" s="6">
        <f>SUM(T34,T43,T74,T99)</f>
        <v>16778286.719999999</v>
      </c>
      <c r="U33" s="6">
        <f>SUM(U34,U43,U74,U99)</f>
        <v>26368190.630000003</v>
      </c>
      <c r="Y33" s="9">
        <f>SUM(Y34,Y43,Y74,Y99)</f>
        <v>7991586.5999999996</v>
      </c>
      <c r="Z33" s="9">
        <f>SUM(Z34,Z43,Z74,Z99)</f>
        <v>13981905.630000001</v>
      </c>
      <c r="AA33" s="9">
        <f>SUM(AA34,AA43,AA74,AA99)</f>
        <v>21973492.23</v>
      </c>
      <c r="AD33" s="4">
        <v>311044279</v>
      </c>
      <c r="AE33" s="4">
        <v>22703674</v>
      </c>
    </row>
    <row r="34" spans="1:35" ht="16.95" customHeight="1" x14ac:dyDescent="0.3">
      <c r="A34" s="10" t="s">
        <v>149</v>
      </c>
      <c r="B34" s="10" t="s">
        <v>150</v>
      </c>
      <c r="C34" s="51" t="s">
        <v>151</v>
      </c>
      <c r="D34" s="52"/>
      <c r="E34" s="52"/>
      <c r="F34" s="52"/>
      <c r="G34" s="52"/>
      <c r="H34" s="52"/>
      <c r="I34" s="53"/>
      <c r="M34" s="6">
        <f>SUM(M35,M40)</f>
        <v>1545864.76</v>
      </c>
      <c r="N34" s="6">
        <f>SUM(N35,N40)</f>
        <v>2078829.51</v>
      </c>
      <c r="O34" s="6">
        <f>SUM(O35,O40)</f>
        <v>3624694.27</v>
      </c>
      <c r="S34" s="6">
        <f>SUM(S35,S40)</f>
        <v>1545864.76</v>
      </c>
      <c r="T34" s="6">
        <f>SUM(T35,T40)</f>
        <v>3118242.96</v>
      </c>
      <c r="U34" s="6">
        <f>SUM(U35,U40)</f>
        <v>4664107.7200000007</v>
      </c>
      <c r="Y34" s="9">
        <f>SUM(Y35,Y40)</f>
        <v>1288220.6300000001</v>
      </c>
      <c r="Z34" s="9">
        <f>SUM(Z35,Z40)</f>
        <v>2598535.7999999998</v>
      </c>
      <c r="AA34" s="9">
        <f>SUM(AA35,AA40)</f>
        <v>3886756.4299999997</v>
      </c>
      <c r="AD34" s="4">
        <v>311044280</v>
      </c>
      <c r="AE34" s="4">
        <v>22708547</v>
      </c>
    </row>
    <row r="35" spans="1:35" ht="54" x14ac:dyDescent="0.3">
      <c r="A35" s="10" t="s">
        <v>152</v>
      </c>
      <c r="B35" s="10" t="s">
        <v>153</v>
      </c>
      <c r="C35" s="11" t="s">
        <v>79</v>
      </c>
      <c r="D35" s="12" t="s">
        <v>80</v>
      </c>
      <c r="E35" s="12" t="s">
        <v>154</v>
      </c>
      <c r="F35" s="12" t="s">
        <v>82</v>
      </c>
      <c r="G35" s="13">
        <v>1</v>
      </c>
      <c r="H35" s="13"/>
      <c r="I35" s="13">
        <v>261.11</v>
      </c>
      <c r="J35" s="14">
        <f>IFERROR(ROUND(SUM(M36,M37,M38,M39)/I35, 2),0)</f>
        <v>5703.16</v>
      </c>
      <c r="K35" s="15">
        <v>7790.01</v>
      </c>
      <c r="L35" s="14">
        <f>J35+ROUND(K35, 2)</f>
        <v>13493.17</v>
      </c>
      <c r="M35" s="14">
        <f>ROUND(J35*I35, 2)</f>
        <v>1489152.11</v>
      </c>
      <c r="N35" s="14">
        <f>ROUND(I35*ROUND(K35, 2), 2)</f>
        <v>2034049.51</v>
      </c>
      <c r="O35" s="14">
        <f>M35+N35</f>
        <v>3523201.62</v>
      </c>
      <c r="P35" s="14">
        <f>IFERROR(ROUND(SUM(S36,S37,S38,S39)/I35, 2),0)</f>
        <v>5703.16</v>
      </c>
      <c r="Q35" s="16">
        <v>11685.01</v>
      </c>
      <c r="R35" s="14">
        <f>P35+ROUND(Q35, 2)</f>
        <v>17388.169999999998</v>
      </c>
      <c r="S35" s="14">
        <f>ROUND(P35*I35, 2)</f>
        <v>1489152.11</v>
      </c>
      <c r="T35" s="14">
        <f>ROUND(I35*ROUND(Q35, 2), 2)</f>
        <v>3051072.96</v>
      </c>
      <c r="U35" s="14">
        <f>S35+T35</f>
        <v>4540225.07</v>
      </c>
      <c r="V35" s="9">
        <f>ROUND(P35 / 1.2, 2)</f>
        <v>4752.63</v>
      </c>
      <c r="W35" s="9">
        <f>ROUND(Q35 / 1.2, 2)</f>
        <v>9737.51</v>
      </c>
      <c r="X35" s="9">
        <f>ROUND(R35 / 1.2, 2)</f>
        <v>14490.14</v>
      </c>
      <c r="Y35" s="9">
        <f>ROUND(S35 / 1.2, 2)</f>
        <v>1240960.0900000001</v>
      </c>
      <c r="Z35" s="9">
        <f>ROUND(T35 / 1.2, 2)</f>
        <v>2542560.7999999998</v>
      </c>
      <c r="AA35" s="9">
        <f>Y35+Z35</f>
        <v>3783520.8899999997</v>
      </c>
      <c r="AD35" s="4">
        <v>311044282</v>
      </c>
      <c r="AE35" s="4">
        <v>22708549</v>
      </c>
      <c r="AG35" s="4" t="s">
        <v>83</v>
      </c>
      <c r="AH35" s="4" t="s">
        <v>155</v>
      </c>
      <c r="AI35" s="4" t="s">
        <v>156</v>
      </c>
    </row>
    <row r="36" spans="1:35" ht="36" x14ac:dyDescent="0.3">
      <c r="A36" s="10" t="s">
        <v>157</v>
      </c>
      <c r="B36" s="10"/>
      <c r="C36" s="17" t="s">
        <v>87</v>
      </c>
      <c r="D36" s="12"/>
      <c r="E36" s="12"/>
      <c r="F36" s="18" t="s">
        <v>88</v>
      </c>
      <c r="G36" s="19">
        <v>1</v>
      </c>
      <c r="H36" s="19"/>
      <c r="I36" s="19">
        <v>261.11</v>
      </c>
      <c r="J36" s="20">
        <v>178.68</v>
      </c>
      <c r="M36" s="21">
        <f>ROUND(ROUND(J36, 2)*I36, 2)</f>
        <v>46655.13</v>
      </c>
      <c r="P36" s="22">
        <v>178.68</v>
      </c>
      <c r="S36" s="21">
        <f>ROUND(ROUND(P36, 2)*I36, 2)</f>
        <v>46655.13</v>
      </c>
      <c r="V36" s="9">
        <f>ROUND(ROUND(P36, 2)/1.2, 2)</f>
        <v>148.9</v>
      </c>
      <c r="Y36" s="9">
        <f t="shared" ref="Y36:Y42" si="6">ROUND(S36 / 1.2, 2)</f>
        <v>38879.279999999999</v>
      </c>
      <c r="AD36" s="4" t="s">
        <v>158</v>
      </c>
      <c r="AE36" s="4" t="s">
        <v>159</v>
      </c>
      <c r="AF36" s="4" t="s">
        <v>91</v>
      </c>
    </row>
    <row r="37" spans="1:35" ht="36" x14ac:dyDescent="0.3">
      <c r="A37" s="10" t="s">
        <v>160</v>
      </c>
      <c r="B37" s="10"/>
      <c r="C37" s="17" t="s">
        <v>93</v>
      </c>
      <c r="D37" s="12"/>
      <c r="E37" s="12"/>
      <c r="F37" s="18" t="s">
        <v>88</v>
      </c>
      <c r="G37" s="19">
        <v>1</v>
      </c>
      <c r="H37" s="19"/>
      <c r="I37" s="19">
        <v>261.11</v>
      </c>
      <c r="J37" s="20">
        <v>332.24</v>
      </c>
      <c r="M37" s="21">
        <f>ROUND(ROUND(J37, 2)*I37, 2)</f>
        <v>86751.19</v>
      </c>
      <c r="P37" s="22">
        <v>332.24</v>
      </c>
      <c r="S37" s="21">
        <f>ROUND(ROUND(P37, 2)*I37, 2)</f>
        <v>86751.19</v>
      </c>
      <c r="V37" s="9">
        <f>ROUND(ROUND(P37, 2)/1.2, 2)</f>
        <v>276.87</v>
      </c>
      <c r="Y37" s="9">
        <f t="shared" si="6"/>
        <v>72292.66</v>
      </c>
      <c r="AD37" s="4" t="s">
        <v>161</v>
      </c>
      <c r="AE37" s="4" t="s">
        <v>162</v>
      </c>
      <c r="AF37" s="4" t="s">
        <v>96</v>
      </c>
    </row>
    <row r="38" spans="1:35" ht="18" x14ac:dyDescent="0.3">
      <c r="A38" s="10" t="s">
        <v>163</v>
      </c>
      <c r="B38" s="10"/>
      <c r="C38" s="17" t="s">
        <v>98</v>
      </c>
      <c r="D38" s="12"/>
      <c r="E38" s="12"/>
      <c r="F38" s="18" t="s">
        <v>99</v>
      </c>
      <c r="G38" s="19">
        <v>25</v>
      </c>
      <c r="H38" s="19"/>
      <c r="I38" s="19">
        <v>6527.75</v>
      </c>
      <c r="J38" s="20">
        <v>6.8</v>
      </c>
      <c r="M38" s="21">
        <f>ROUND(ROUND(J38, 2)*I38, 2)</f>
        <v>44388.7</v>
      </c>
      <c r="P38" s="22">
        <v>6.8</v>
      </c>
      <c r="S38" s="21">
        <f>ROUND(ROUND(P38, 2)*I38, 2)</f>
        <v>44388.7</v>
      </c>
      <c r="V38" s="9">
        <f>ROUND(ROUND(P38, 2)/1.2, 2)</f>
        <v>5.67</v>
      </c>
      <c r="Y38" s="9">
        <f t="shared" si="6"/>
        <v>36990.58</v>
      </c>
      <c r="AD38" s="4" t="s">
        <v>164</v>
      </c>
      <c r="AE38" s="4" t="s">
        <v>165</v>
      </c>
      <c r="AF38" s="4" t="s">
        <v>102</v>
      </c>
    </row>
    <row r="39" spans="1:35" ht="18" x14ac:dyDescent="0.3">
      <c r="A39" s="10" t="s">
        <v>166</v>
      </c>
      <c r="B39" s="10"/>
      <c r="C39" s="23" t="s">
        <v>104</v>
      </c>
      <c r="D39" s="12"/>
      <c r="E39" s="12"/>
      <c r="F39" s="18" t="s">
        <v>82</v>
      </c>
      <c r="G39" s="19">
        <v>1.05</v>
      </c>
      <c r="H39" s="24"/>
      <c r="I39" s="24">
        <v>274.166</v>
      </c>
      <c r="J39" s="20">
        <v>4783.08</v>
      </c>
      <c r="M39" s="21">
        <f>ROUND(ROUND(J39, 2)*I39, 2)</f>
        <v>1311357.9099999999</v>
      </c>
      <c r="P39" s="22">
        <v>4783.08</v>
      </c>
      <c r="S39" s="21">
        <f>ROUND(ROUND(P39, 2)*I39, 2)</f>
        <v>1311357.9099999999</v>
      </c>
      <c r="V39" s="9">
        <f>ROUND(ROUND(P39, 2)/1.2, 2)</f>
        <v>3985.9</v>
      </c>
      <c r="Y39" s="9">
        <f t="shared" si="6"/>
        <v>1092798.26</v>
      </c>
      <c r="AD39" s="4" t="s">
        <v>167</v>
      </c>
      <c r="AE39" s="4" t="s">
        <v>168</v>
      </c>
      <c r="AF39" s="4" t="s">
        <v>107</v>
      </c>
    </row>
    <row r="40" spans="1:35" ht="36" x14ac:dyDescent="0.3">
      <c r="A40" s="10" t="s">
        <v>169</v>
      </c>
      <c r="B40" s="10" t="s">
        <v>170</v>
      </c>
      <c r="C40" s="11" t="s">
        <v>171</v>
      </c>
      <c r="D40" s="12"/>
      <c r="E40" s="12"/>
      <c r="F40" s="12" t="s">
        <v>82</v>
      </c>
      <c r="G40" s="13">
        <v>1</v>
      </c>
      <c r="H40" s="13"/>
      <c r="I40" s="13">
        <v>5</v>
      </c>
      <c r="J40" s="14">
        <f>IFERROR(ROUND(SUM(M41,M42)/I40, 2),0)</f>
        <v>11342.53</v>
      </c>
      <c r="K40" s="15">
        <v>8956</v>
      </c>
      <c r="L40" s="14">
        <f>J40+ROUND(K40, 2)</f>
        <v>20298.53</v>
      </c>
      <c r="M40" s="14">
        <f>ROUND(J40*I40, 2)</f>
        <v>56712.65</v>
      </c>
      <c r="N40" s="14">
        <f>ROUND(I40*ROUND(K40, 2), 2)</f>
        <v>44780</v>
      </c>
      <c r="O40" s="14">
        <f>M40+N40</f>
        <v>101492.65</v>
      </c>
      <c r="P40" s="14">
        <f>IFERROR(ROUND(SUM(S41,S42)/I40, 2),0)</f>
        <v>11342.53</v>
      </c>
      <c r="Q40" s="16">
        <v>13434</v>
      </c>
      <c r="R40" s="14">
        <f>P40+ROUND(Q40, 2)</f>
        <v>24776.53</v>
      </c>
      <c r="S40" s="14">
        <f>ROUND(P40*I40, 2)</f>
        <v>56712.65</v>
      </c>
      <c r="T40" s="14">
        <f>ROUND(I40*ROUND(Q40, 2), 2)</f>
        <v>67170</v>
      </c>
      <c r="U40" s="14">
        <f>S40+T40</f>
        <v>123882.65</v>
      </c>
      <c r="V40" s="9">
        <f>ROUND(P40 / 1.2, 2)</f>
        <v>9452.11</v>
      </c>
      <c r="W40" s="9">
        <f>ROUND(Q40 / 1.2, 2)</f>
        <v>11195</v>
      </c>
      <c r="X40" s="9">
        <f>ROUND(R40 / 1.2, 2)</f>
        <v>20647.11</v>
      </c>
      <c r="Y40" s="9">
        <f t="shared" si="6"/>
        <v>47260.54</v>
      </c>
      <c r="Z40" s="9">
        <f>ROUND(T40 / 1.2, 2)</f>
        <v>55975</v>
      </c>
      <c r="AA40" s="9">
        <f>Y40+Z40</f>
        <v>103235.54000000001</v>
      </c>
      <c r="AD40" s="4">
        <v>311044284</v>
      </c>
      <c r="AE40" s="4">
        <v>22713682</v>
      </c>
      <c r="AG40" s="4" t="s">
        <v>172</v>
      </c>
      <c r="AH40" s="4" t="s">
        <v>173</v>
      </c>
      <c r="AI40" s="4" t="s">
        <v>156</v>
      </c>
    </row>
    <row r="41" spans="1:35" ht="18" x14ac:dyDescent="0.3">
      <c r="A41" s="10" t="s">
        <v>174</v>
      </c>
      <c r="B41" s="10"/>
      <c r="C41" s="17" t="s">
        <v>118</v>
      </c>
      <c r="D41" s="12"/>
      <c r="E41" s="12"/>
      <c r="F41" s="18" t="s">
        <v>99</v>
      </c>
      <c r="G41" s="19">
        <v>456</v>
      </c>
      <c r="H41" s="19"/>
      <c r="I41" s="19">
        <v>2280</v>
      </c>
      <c r="J41" s="20">
        <v>6.38</v>
      </c>
      <c r="M41" s="21">
        <f>ROUND(ROUND(J41, 2)*I41, 2)</f>
        <v>14546.4</v>
      </c>
      <c r="P41" s="22">
        <v>6.38</v>
      </c>
      <c r="S41" s="21">
        <f>ROUND(ROUND(P41, 2)*I41, 2)</f>
        <v>14546.4</v>
      </c>
      <c r="V41" s="9">
        <f>ROUND(ROUND(P41, 2)/1.2, 2)</f>
        <v>5.32</v>
      </c>
      <c r="Y41" s="9">
        <f t="shared" si="6"/>
        <v>12122</v>
      </c>
      <c r="AD41" s="4" t="s">
        <v>175</v>
      </c>
      <c r="AE41" s="4" t="s">
        <v>176</v>
      </c>
      <c r="AF41" s="4" t="s">
        <v>121</v>
      </c>
    </row>
    <row r="42" spans="1:35" ht="36" x14ac:dyDescent="0.3">
      <c r="A42" s="10" t="s">
        <v>177</v>
      </c>
      <c r="B42" s="10"/>
      <c r="C42" s="17" t="s">
        <v>178</v>
      </c>
      <c r="D42" s="12"/>
      <c r="E42" s="12"/>
      <c r="F42" s="18" t="s">
        <v>139</v>
      </c>
      <c r="G42" s="19">
        <v>395</v>
      </c>
      <c r="H42" s="19"/>
      <c r="I42" s="19">
        <v>1975</v>
      </c>
      <c r="J42" s="20">
        <v>21.35</v>
      </c>
      <c r="M42" s="21">
        <f>ROUND(ROUND(J42, 2)*I42, 2)</f>
        <v>42166.25</v>
      </c>
      <c r="P42" s="22">
        <v>21.35</v>
      </c>
      <c r="S42" s="21">
        <f>ROUND(ROUND(P42, 2)*I42, 2)</f>
        <v>42166.25</v>
      </c>
      <c r="V42" s="9">
        <f>ROUND(ROUND(P42, 2)/1.2, 2)</f>
        <v>17.79</v>
      </c>
      <c r="Y42" s="9">
        <f t="shared" si="6"/>
        <v>35138.54</v>
      </c>
      <c r="AD42" s="4" t="s">
        <v>179</v>
      </c>
      <c r="AE42" s="4" t="s">
        <v>180</v>
      </c>
      <c r="AF42" s="4" t="s">
        <v>181</v>
      </c>
    </row>
    <row r="43" spans="1:35" ht="16.95" customHeight="1" x14ac:dyDescent="0.3">
      <c r="A43" s="10" t="s">
        <v>182</v>
      </c>
      <c r="B43" s="10" t="s">
        <v>183</v>
      </c>
      <c r="C43" s="51" t="s">
        <v>184</v>
      </c>
      <c r="D43" s="52"/>
      <c r="E43" s="52"/>
      <c r="F43" s="52"/>
      <c r="G43" s="52"/>
      <c r="H43" s="52"/>
      <c r="I43" s="53"/>
      <c r="M43" s="6">
        <f>SUM(M44,M51,M57)</f>
        <v>6276181.4199999999</v>
      </c>
      <c r="N43" s="6">
        <f>SUM(N44,N51,N57)</f>
        <v>7788762.2999999998</v>
      </c>
      <c r="O43" s="6">
        <f>SUM(O44,O51,O57)</f>
        <v>14064943.720000001</v>
      </c>
      <c r="S43" s="6">
        <f>SUM(S44,S51,S57)</f>
        <v>6276181.4199999999</v>
      </c>
      <c r="T43" s="6">
        <f>SUM(T44,T51,T57)</f>
        <v>11683143.449999999</v>
      </c>
      <c r="U43" s="6">
        <f>SUM(U44,U51,U57)</f>
        <v>17959324.870000001</v>
      </c>
      <c r="Y43" s="9">
        <f>SUM(Y44,Y51,Y57)</f>
        <v>5230151.18</v>
      </c>
      <c r="Z43" s="9">
        <f>SUM(Z44,Z51,Z57)</f>
        <v>9735952.8900000006</v>
      </c>
      <c r="AA43" s="9">
        <f>SUM(AA44,AA51,AA57)</f>
        <v>14966104.07</v>
      </c>
      <c r="AD43" s="4">
        <v>311044285</v>
      </c>
      <c r="AE43" s="4">
        <v>22713673</v>
      </c>
    </row>
    <row r="44" spans="1:35" ht="16.95" customHeight="1" x14ac:dyDescent="0.3">
      <c r="A44" s="10" t="s">
        <v>185</v>
      </c>
      <c r="B44" s="10" t="s">
        <v>186</v>
      </c>
      <c r="C44" s="51" t="s">
        <v>187</v>
      </c>
      <c r="D44" s="52"/>
      <c r="E44" s="52"/>
      <c r="F44" s="52"/>
      <c r="G44" s="52"/>
      <c r="H44" s="52"/>
      <c r="I44" s="53"/>
      <c r="M44" s="6">
        <f>SUM(M45)</f>
        <v>3607968.66</v>
      </c>
      <c r="N44" s="6">
        <f>SUM(N45)</f>
        <v>3917711.5</v>
      </c>
      <c r="O44" s="6">
        <f>SUM(O45)</f>
        <v>7525680.1600000001</v>
      </c>
      <c r="S44" s="6">
        <f>SUM(S45)</f>
        <v>3607968.66</v>
      </c>
      <c r="T44" s="6">
        <f>SUM(T45)</f>
        <v>5876567.25</v>
      </c>
      <c r="U44" s="6">
        <f>SUM(U45)</f>
        <v>9484535.9100000001</v>
      </c>
      <c r="Y44" s="9">
        <f>SUM(Y45)</f>
        <v>3006640.55</v>
      </c>
      <c r="Z44" s="9">
        <f>SUM(Z45)</f>
        <v>4897139.38</v>
      </c>
      <c r="AA44" s="9">
        <f>SUM(AA45)</f>
        <v>7903779.9299999997</v>
      </c>
      <c r="AD44" s="4">
        <v>311044286</v>
      </c>
      <c r="AE44" s="4">
        <v>22713677</v>
      </c>
    </row>
    <row r="45" spans="1:35" ht="72" x14ac:dyDescent="0.3">
      <c r="A45" s="10" t="s">
        <v>188</v>
      </c>
      <c r="B45" s="10" t="s">
        <v>189</v>
      </c>
      <c r="C45" s="11" t="s">
        <v>113</v>
      </c>
      <c r="D45" s="12" t="s">
        <v>80</v>
      </c>
      <c r="E45" s="12" t="s">
        <v>190</v>
      </c>
      <c r="F45" s="12" t="s">
        <v>58</v>
      </c>
      <c r="G45" s="13">
        <v>1</v>
      </c>
      <c r="H45" s="13"/>
      <c r="I45" s="13">
        <v>1964.75</v>
      </c>
      <c r="J45" s="14">
        <f>IFERROR(ROUND(SUM(M46,M47,M48,M49,M50)/I45, 2),0)</f>
        <v>1836.35</v>
      </c>
      <c r="K45" s="15">
        <v>1994</v>
      </c>
      <c r="L45" s="14">
        <f>J45+ROUND(K45, 2)</f>
        <v>3830.35</v>
      </c>
      <c r="M45" s="14">
        <f>ROUND(J45*I45, 2)</f>
        <v>3607968.66</v>
      </c>
      <c r="N45" s="14">
        <f>ROUND(I45*ROUND(K45, 2), 2)</f>
        <v>3917711.5</v>
      </c>
      <c r="O45" s="14">
        <f>M45+N45</f>
        <v>7525680.1600000001</v>
      </c>
      <c r="P45" s="14">
        <f>IFERROR(ROUND(SUM(S46,S47,S48,S49,S50)/I45, 2),0)</f>
        <v>1836.35</v>
      </c>
      <c r="Q45" s="16">
        <v>2991</v>
      </c>
      <c r="R45" s="14">
        <f>P45+ROUND(Q45, 2)</f>
        <v>4827.3500000000004</v>
      </c>
      <c r="S45" s="14">
        <f>ROUND(P45*I45, 2)</f>
        <v>3607968.66</v>
      </c>
      <c r="T45" s="14">
        <f>ROUND(I45*ROUND(Q45, 2), 2)</f>
        <v>5876567.25</v>
      </c>
      <c r="U45" s="14">
        <f>S45+T45</f>
        <v>9484535.9100000001</v>
      </c>
      <c r="V45" s="9">
        <f>ROUND(P45 / 1.2, 2)</f>
        <v>1530.29</v>
      </c>
      <c r="W45" s="9">
        <f>ROUND(Q45 / 1.2, 2)</f>
        <v>2492.5</v>
      </c>
      <c r="X45" s="9">
        <f>ROUND(R45 / 1.2, 2)</f>
        <v>4022.79</v>
      </c>
      <c r="Y45" s="9">
        <f>ROUND(S45 / 1.2, 2)</f>
        <v>3006640.55</v>
      </c>
      <c r="Z45" s="9">
        <f>ROUND(T45 / 1.2, 2)</f>
        <v>4897139.38</v>
      </c>
      <c r="AA45" s="9">
        <f>Y45+Z45</f>
        <v>7903779.9299999997</v>
      </c>
      <c r="AD45" s="4">
        <v>311044288</v>
      </c>
      <c r="AE45" s="4">
        <v>22713692</v>
      </c>
      <c r="AG45" s="4" t="s">
        <v>115</v>
      </c>
      <c r="AH45" s="4" t="s">
        <v>191</v>
      </c>
      <c r="AI45" s="4" t="s">
        <v>156</v>
      </c>
    </row>
    <row r="46" spans="1:35" ht="18" x14ac:dyDescent="0.3">
      <c r="A46" s="10" t="s">
        <v>192</v>
      </c>
      <c r="B46" s="10"/>
      <c r="C46" s="17" t="s">
        <v>118</v>
      </c>
      <c r="D46" s="12"/>
      <c r="E46" s="12"/>
      <c r="F46" s="18" t="s">
        <v>99</v>
      </c>
      <c r="G46" s="19">
        <v>44.85</v>
      </c>
      <c r="H46" s="19"/>
      <c r="I46" s="19">
        <v>88119.038</v>
      </c>
      <c r="J46" s="20">
        <v>6.38</v>
      </c>
      <c r="M46" s="21">
        <f>ROUND(ROUND(J46, 2)*I46, 2)</f>
        <v>562199.46</v>
      </c>
      <c r="P46" s="22">
        <v>6.38</v>
      </c>
      <c r="S46" s="21">
        <f>ROUND(ROUND(P46, 2)*I46, 2)</f>
        <v>562199.46</v>
      </c>
      <c r="V46" s="9">
        <f>ROUND(ROUND(P46, 2)/1.2, 2)</f>
        <v>5.32</v>
      </c>
      <c r="Y46" s="9">
        <f>ROUND(S46 / 1.2, 2)</f>
        <v>468499.55</v>
      </c>
      <c r="AD46" s="4" t="s">
        <v>193</v>
      </c>
      <c r="AE46" s="4" t="s">
        <v>194</v>
      </c>
      <c r="AF46" s="4" t="s">
        <v>121</v>
      </c>
    </row>
    <row r="47" spans="1:35" ht="36" x14ac:dyDescent="0.3">
      <c r="A47" s="10" t="s">
        <v>195</v>
      </c>
      <c r="B47" s="10"/>
      <c r="C47" s="17" t="s">
        <v>123</v>
      </c>
      <c r="D47" s="12"/>
      <c r="E47" s="12"/>
      <c r="F47" s="18" t="s">
        <v>88</v>
      </c>
      <c r="G47" s="19">
        <v>1</v>
      </c>
      <c r="H47" s="19"/>
      <c r="I47" s="19">
        <v>1964.75</v>
      </c>
      <c r="J47" s="20">
        <v>65.67</v>
      </c>
      <c r="M47" s="21">
        <f>ROUND(ROUND(J47, 2)*I47, 2)</f>
        <v>129025.13</v>
      </c>
      <c r="P47" s="22">
        <v>65.67</v>
      </c>
      <c r="S47" s="21">
        <f>ROUND(ROUND(P47, 2)*I47, 2)</f>
        <v>129025.13</v>
      </c>
      <c r="V47" s="9">
        <f>ROUND(ROUND(P47, 2)/1.2, 2)</f>
        <v>54.73</v>
      </c>
      <c r="Y47" s="9">
        <f>ROUND(S47 / 1.2, 2)</f>
        <v>107520.94</v>
      </c>
      <c r="AD47" s="4" t="s">
        <v>196</v>
      </c>
      <c r="AE47" s="4" t="s">
        <v>197</v>
      </c>
      <c r="AF47" s="4" t="s">
        <v>126</v>
      </c>
    </row>
    <row r="48" spans="1:35" ht="36" x14ac:dyDescent="0.3">
      <c r="A48" s="10" t="s">
        <v>198</v>
      </c>
      <c r="B48" s="10"/>
      <c r="C48" s="17" t="s">
        <v>128</v>
      </c>
      <c r="D48" s="12"/>
      <c r="E48" s="12"/>
      <c r="F48" s="18" t="s">
        <v>88</v>
      </c>
      <c r="G48" s="19">
        <v>1</v>
      </c>
      <c r="H48" s="19"/>
      <c r="I48" s="19">
        <v>1964.75</v>
      </c>
      <c r="J48" s="20">
        <v>118.99</v>
      </c>
      <c r="M48" s="21">
        <f>ROUND(ROUND(J48, 2)*I48, 2)</f>
        <v>233785.60000000001</v>
      </c>
      <c r="P48" s="22">
        <v>118.99</v>
      </c>
      <c r="S48" s="21">
        <f>ROUND(ROUND(P48, 2)*I48, 2)</f>
        <v>233785.60000000001</v>
      </c>
      <c r="V48" s="9">
        <f>ROUND(ROUND(P48, 2)/1.2, 2)</f>
        <v>99.16</v>
      </c>
      <c r="Y48" s="9">
        <f>ROUND(S48 / 1.2, 2)</f>
        <v>194821.33</v>
      </c>
      <c r="AD48" s="4" t="s">
        <v>199</v>
      </c>
      <c r="AE48" s="4" t="s">
        <v>200</v>
      </c>
      <c r="AF48" s="4" t="s">
        <v>131</v>
      </c>
    </row>
    <row r="49" spans="1:35" ht="18" x14ac:dyDescent="0.3">
      <c r="A49" s="10" t="s">
        <v>201</v>
      </c>
      <c r="B49" s="10"/>
      <c r="C49" s="17" t="s">
        <v>133</v>
      </c>
      <c r="D49" s="12"/>
      <c r="E49" s="12"/>
      <c r="F49" s="18" t="s">
        <v>58</v>
      </c>
      <c r="G49" s="19">
        <v>0.504</v>
      </c>
      <c r="H49" s="19"/>
      <c r="I49" s="19">
        <v>990.23400000000004</v>
      </c>
      <c r="J49" s="20">
        <v>269.41000000000003</v>
      </c>
      <c r="M49" s="21">
        <f>ROUND(ROUND(J49, 2)*I49, 2)</f>
        <v>266778.94</v>
      </c>
      <c r="P49" s="22">
        <v>269.41000000000003</v>
      </c>
      <c r="S49" s="21">
        <f>ROUND(ROUND(P49, 2)*I49, 2)</f>
        <v>266778.94</v>
      </c>
      <c r="V49" s="9">
        <f>ROUND(ROUND(P49, 2)/1.2, 2)</f>
        <v>224.51</v>
      </c>
      <c r="Y49" s="9">
        <f>ROUND(S49 / 1.2, 2)</f>
        <v>222315.78</v>
      </c>
      <c r="AD49" s="4" t="s">
        <v>202</v>
      </c>
      <c r="AE49" s="4" t="s">
        <v>203</v>
      </c>
      <c r="AF49" s="4" t="s">
        <v>136</v>
      </c>
    </row>
    <row r="50" spans="1:35" ht="18" x14ac:dyDescent="0.3">
      <c r="A50" s="10" t="s">
        <v>204</v>
      </c>
      <c r="B50" s="10"/>
      <c r="C50" s="17" t="s">
        <v>138</v>
      </c>
      <c r="D50" s="12"/>
      <c r="E50" s="12"/>
      <c r="F50" s="18" t="s">
        <v>139</v>
      </c>
      <c r="G50" s="19">
        <v>50.4</v>
      </c>
      <c r="H50" s="19"/>
      <c r="I50" s="19">
        <v>99023.4</v>
      </c>
      <c r="J50" s="20">
        <v>24.4</v>
      </c>
      <c r="M50" s="21">
        <f>ROUND(ROUND(J50, 2)*I50, 2)</f>
        <v>2416170.96</v>
      </c>
      <c r="P50" s="22">
        <v>24.4</v>
      </c>
      <c r="S50" s="21">
        <f>ROUND(ROUND(P50, 2)*I50, 2)</f>
        <v>2416170.96</v>
      </c>
      <c r="V50" s="9">
        <f>ROUND(ROUND(P50, 2)/1.2, 2)</f>
        <v>20.329999999999998</v>
      </c>
      <c r="Y50" s="9">
        <f>ROUND(S50 / 1.2, 2)</f>
        <v>2013475.8</v>
      </c>
      <c r="AD50" s="4" t="s">
        <v>205</v>
      </c>
      <c r="AE50" s="4" t="s">
        <v>206</v>
      </c>
      <c r="AF50" s="4" t="s">
        <v>142</v>
      </c>
    </row>
    <row r="51" spans="1:35" ht="16.95" customHeight="1" x14ac:dyDescent="0.3">
      <c r="A51" s="10" t="s">
        <v>207</v>
      </c>
      <c r="B51" s="10" t="s">
        <v>208</v>
      </c>
      <c r="C51" s="51" t="s">
        <v>209</v>
      </c>
      <c r="D51" s="52"/>
      <c r="E51" s="52"/>
      <c r="F51" s="52"/>
      <c r="G51" s="52"/>
      <c r="H51" s="52"/>
      <c r="I51" s="53"/>
      <c r="M51" s="6">
        <f>SUM(M52)</f>
        <v>1936269.3</v>
      </c>
      <c r="N51" s="6">
        <f>SUM(N52)</f>
        <v>2503312</v>
      </c>
      <c r="O51" s="6">
        <f>SUM(O52)</f>
        <v>4439581.3</v>
      </c>
      <c r="S51" s="6">
        <f>SUM(S52)</f>
        <v>1936269.3</v>
      </c>
      <c r="T51" s="6">
        <f>SUM(T52)</f>
        <v>3754968</v>
      </c>
      <c r="U51" s="6">
        <f>SUM(U52)</f>
        <v>5691237.2999999998</v>
      </c>
      <c r="Y51" s="9">
        <f>SUM(Y52)</f>
        <v>1613557.75</v>
      </c>
      <c r="Z51" s="9">
        <f>SUM(Z52)</f>
        <v>3129140</v>
      </c>
      <c r="AA51" s="9">
        <f>SUM(AA52)</f>
        <v>4742697.75</v>
      </c>
      <c r="AD51" s="4">
        <v>311044289</v>
      </c>
      <c r="AE51" s="4">
        <v>22713662</v>
      </c>
    </row>
    <row r="52" spans="1:35" ht="90" x14ac:dyDescent="0.3">
      <c r="A52" s="10" t="s">
        <v>210</v>
      </c>
      <c r="B52" s="10" t="s">
        <v>211</v>
      </c>
      <c r="C52" s="11" t="s">
        <v>212</v>
      </c>
      <c r="D52" s="12" t="s">
        <v>80</v>
      </c>
      <c r="E52" s="12" t="s">
        <v>213</v>
      </c>
      <c r="F52" s="12" t="s">
        <v>58</v>
      </c>
      <c r="G52" s="13">
        <v>1</v>
      </c>
      <c r="H52" s="13"/>
      <c r="I52" s="13">
        <v>1519</v>
      </c>
      <c r="J52" s="14">
        <f>IFERROR(ROUND(SUM(M53,M54,M55,M56)/I52, 2),0)</f>
        <v>1274.7</v>
      </c>
      <c r="K52" s="15">
        <v>1648</v>
      </c>
      <c r="L52" s="14">
        <f>J52+ROUND(K52, 2)</f>
        <v>2922.7</v>
      </c>
      <c r="M52" s="14">
        <f>ROUND(J52*I52, 2)</f>
        <v>1936269.3</v>
      </c>
      <c r="N52" s="14">
        <f>ROUND(I52*ROUND(K52, 2), 2)</f>
        <v>2503312</v>
      </c>
      <c r="O52" s="14">
        <f>M52+N52</f>
        <v>4439581.3</v>
      </c>
      <c r="P52" s="14">
        <f>IFERROR(ROUND(SUM(S53,S54,S55,S56)/I52, 2),0)</f>
        <v>1274.7</v>
      </c>
      <c r="Q52" s="16">
        <v>2472</v>
      </c>
      <c r="R52" s="14">
        <f>P52+ROUND(Q52, 2)</f>
        <v>3746.7</v>
      </c>
      <c r="S52" s="14">
        <f>ROUND(P52*I52, 2)</f>
        <v>1936269.3</v>
      </c>
      <c r="T52" s="14">
        <f>ROUND(I52*ROUND(Q52, 2), 2)</f>
        <v>3754968</v>
      </c>
      <c r="U52" s="14">
        <f>S52+T52</f>
        <v>5691237.2999999998</v>
      </c>
      <c r="V52" s="9">
        <f>ROUND(P52 / 1.2, 2)</f>
        <v>1062.25</v>
      </c>
      <c r="W52" s="9">
        <f>ROUND(Q52 / 1.2, 2)</f>
        <v>2060</v>
      </c>
      <c r="X52" s="9">
        <f>ROUND(R52 / 1.2, 2)</f>
        <v>3122.25</v>
      </c>
      <c r="Y52" s="9">
        <f>ROUND(S52 / 1.2, 2)</f>
        <v>1613557.75</v>
      </c>
      <c r="Z52" s="9">
        <f>ROUND(T52 / 1.2, 2)</f>
        <v>3129140</v>
      </c>
      <c r="AA52" s="9">
        <f>Y52+Z52</f>
        <v>4742697.75</v>
      </c>
      <c r="AD52" s="4">
        <v>311044291</v>
      </c>
      <c r="AE52" s="4">
        <v>22713687</v>
      </c>
      <c r="AG52" s="4" t="s">
        <v>214</v>
      </c>
      <c r="AH52" s="4" t="s">
        <v>215</v>
      </c>
      <c r="AI52" s="4" t="s">
        <v>156</v>
      </c>
    </row>
    <row r="53" spans="1:35" ht="36" x14ac:dyDescent="0.3">
      <c r="A53" s="10" t="s">
        <v>216</v>
      </c>
      <c r="B53" s="10"/>
      <c r="C53" s="17" t="s">
        <v>217</v>
      </c>
      <c r="D53" s="12"/>
      <c r="E53" s="12"/>
      <c r="F53" s="18" t="s">
        <v>88</v>
      </c>
      <c r="G53" s="19">
        <v>1</v>
      </c>
      <c r="H53" s="19"/>
      <c r="I53" s="19">
        <v>1519</v>
      </c>
      <c r="J53" s="20">
        <v>171.81</v>
      </c>
      <c r="M53" s="21">
        <f>ROUND(ROUND(J53, 2)*I53, 2)</f>
        <v>260979.39</v>
      </c>
      <c r="P53" s="22">
        <v>171.81</v>
      </c>
      <c r="S53" s="21">
        <f>ROUND(ROUND(P53, 2)*I53, 2)</f>
        <v>260979.39</v>
      </c>
      <c r="V53" s="9">
        <f>ROUND(ROUND(P53, 2)/1.2, 2)</f>
        <v>143.18</v>
      </c>
      <c r="Y53" s="9">
        <f>ROUND(S53 / 1.2, 2)</f>
        <v>217482.83</v>
      </c>
      <c r="AD53" s="4" t="s">
        <v>218</v>
      </c>
      <c r="AE53" s="4" t="s">
        <v>219</v>
      </c>
      <c r="AF53" s="4" t="s">
        <v>220</v>
      </c>
    </row>
    <row r="54" spans="1:35" ht="36" x14ac:dyDescent="0.3">
      <c r="A54" s="10" t="s">
        <v>221</v>
      </c>
      <c r="B54" s="10"/>
      <c r="C54" s="23" t="s">
        <v>222</v>
      </c>
      <c r="D54" s="12"/>
      <c r="E54" s="12"/>
      <c r="F54" s="18" t="s">
        <v>58</v>
      </c>
      <c r="G54" s="19">
        <v>1.02</v>
      </c>
      <c r="H54" s="19"/>
      <c r="I54" s="19">
        <v>1549.38</v>
      </c>
      <c r="J54" s="20">
        <v>1052.6500000000001</v>
      </c>
      <c r="M54" s="21">
        <f>ROUND(ROUND(J54, 2)*I54, 2)</f>
        <v>1630954.86</v>
      </c>
      <c r="P54" s="22">
        <v>1052.6500000000001</v>
      </c>
      <c r="S54" s="21">
        <f>ROUND(ROUND(P54, 2)*I54, 2)</f>
        <v>1630954.86</v>
      </c>
      <c r="V54" s="9">
        <f>ROUND(ROUND(P54, 2)/1.2, 2)</f>
        <v>877.21</v>
      </c>
      <c r="Y54" s="9">
        <f>ROUND(S54 / 1.2, 2)</f>
        <v>1359129.05</v>
      </c>
      <c r="AD54" s="4" t="s">
        <v>223</v>
      </c>
      <c r="AE54" s="4" t="s">
        <v>224</v>
      </c>
      <c r="AF54" s="4" t="s">
        <v>225</v>
      </c>
    </row>
    <row r="55" spans="1:35" ht="36" x14ac:dyDescent="0.3">
      <c r="A55" s="10" t="s">
        <v>226</v>
      </c>
      <c r="B55" s="10"/>
      <c r="C55" s="17" t="s">
        <v>227</v>
      </c>
      <c r="D55" s="12"/>
      <c r="E55" s="12"/>
      <c r="F55" s="18" t="s">
        <v>88</v>
      </c>
      <c r="G55" s="19">
        <v>1</v>
      </c>
      <c r="H55" s="19"/>
      <c r="I55" s="19">
        <v>1519</v>
      </c>
      <c r="J55" s="20">
        <v>11.19</v>
      </c>
      <c r="M55" s="21">
        <f>ROUND(ROUND(J55, 2)*I55, 2)</f>
        <v>16997.61</v>
      </c>
      <c r="P55" s="22">
        <v>11.19</v>
      </c>
      <c r="S55" s="21">
        <f>ROUND(ROUND(P55, 2)*I55, 2)</f>
        <v>16997.61</v>
      </c>
      <c r="V55" s="9">
        <f>ROUND(ROUND(P55, 2)/1.2, 2)</f>
        <v>9.33</v>
      </c>
      <c r="Y55" s="9">
        <f>ROUND(S55 / 1.2, 2)</f>
        <v>14164.68</v>
      </c>
      <c r="AD55" s="4" t="s">
        <v>228</v>
      </c>
      <c r="AE55" s="4" t="s">
        <v>229</v>
      </c>
      <c r="AF55" s="4" t="s">
        <v>230</v>
      </c>
    </row>
    <row r="56" spans="1:35" ht="18" x14ac:dyDescent="0.3">
      <c r="A56" s="10" t="s">
        <v>231</v>
      </c>
      <c r="B56" s="10"/>
      <c r="C56" s="23" t="s">
        <v>232</v>
      </c>
      <c r="D56" s="12"/>
      <c r="E56" s="12"/>
      <c r="F56" s="18" t="s">
        <v>99</v>
      </c>
      <c r="G56" s="19">
        <v>2</v>
      </c>
      <c r="H56" s="19"/>
      <c r="I56" s="19">
        <v>3038</v>
      </c>
      <c r="J56" s="20">
        <v>9</v>
      </c>
      <c r="M56" s="21">
        <f>ROUND(ROUND(J56, 2)*I56, 2)</f>
        <v>27342</v>
      </c>
      <c r="P56" s="22">
        <v>9</v>
      </c>
      <c r="S56" s="21">
        <f>ROUND(ROUND(P56, 2)*I56, 2)</f>
        <v>27342</v>
      </c>
      <c r="V56" s="9">
        <f>ROUND(ROUND(P56, 2)/1.2, 2)</f>
        <v>7.5</v>
      </c>
      <c r="Y56" s="9">
        <f>ROUND(S56 / 1.2, 2)</f>
        <v>22785</v>
      </c>
      <c r="AD56" s="4" t="s">
        <v>233</v>
      </c>
      <c r="AE56" s="4" t="s">
        <v>234</v>
      </c>
      <c r="AF56" s="4" t="s">
        <v>235</v>
      </c>
    </row>
    <row r="57" spans="1:35" ht="16.95" customHeight="1" x14ac:dyDescent="0.3">
      <c r="A57" s="10" t="s">
        <v>236</v>
      </c>
      <c r="B57" s="10" t="s">
        <v>237</v>
      </c>
      <c r="C57" s="51" t="s">
        <v>238</v>
      </c>
      <c r="D57" s="52"/>
      <c r="E57" s="52"/>
      <c r="F57" s="52"/>
      <c r="G57" s="52"/>
      <c r="H57" s="52"/>
      <c r="I57" s="53"/>
      <c r="M57" s="6">
        <f>SUM(M58,M64,M69)</f>
        <v>731943.46</v>
      </c>
      <c r="N57" s="6">
        <f>SUM(N58,N64,N69)</f>
        <v>1367738.8</v>
      </c>
      <c r="O57" s="6">
        <f>SUM(O58,O64,O69)</f>
        <v>2099682.2599999998</v>
      </c>
      <c r="S57" s="6">
        <f>SUM(S58,S64,S69)</f>
        <v>731943.46</v>
      </c>
      <c r="T57" s="6">
        <f>SUM(T58,T64,T69)</f>
        <v>2051608.2000000002</v>
      </c>
      <c r="U57" s="6">
        <f>SUM(U58,U64,U69)</f>
        <v>2783551.66</v>
      </c>
      <c r="Y57" s="9">
        <f>SUM(Y58,Y64,Y69)</f>
        <v>609952.88</v>
      </c>
      <c r="Z57" s="9">
        <f>SUM(Z58,Z64,Z69)</f>
        <v>1709673.5099999998</v>
      </c>
      <c r="AA57" s="9">
        <f>SUM(AA58,AA64,AA69)</f>
        <v>2319626.39</v>
      </c>
      <c r="AD57" s="4">
        <v>311044292</v>
      </c>
      <c r="AE57" s="4">
        <v>22726875</v>
      </c>
    </row>
    <row r="58" spans="1:35" ht="162" x14ac:dyDescent="0.3">
      <c r="A58" s="10" t="s">
        <v>239</v>
      </c>
      <c r="B58" s="10" t="s">
        <v>240</v>
      </c>
      <c r="C58" s="11" t="s">
        <v>241</v>
      </c>
      <c r="D58" s="12" t="s">
        <v>80</v>
      </c>
      <c r="E58" s="12" t="s">
        <v>242</v>
      </c>
      <c r="F58" s="12" t="s">
        <v>58</v>
      </c>
      <c r="G58" s="13">
        <v>1</v>
      </c>
      <c r="H58" s="13"/>
      <c r="I58" s="13">
        <v>601</v>
      </c>
      <c r="J58" s="14">
        <f>IFERROR(ROUND(SUM(M59,M60,M61,M62,M63)/I58, 2),0)</f>
        <v>821.26</v>
      </c>
      <c r="K58" s="15">
        <v>1225</v>
      </c>
      <c r="L58" s="14">
        <f>J58+ROUND(K58, 2)</f>
        <v>2046.26</v>
      </c>
      <c r="M58" s="14">
        <f>ROUND(J58*I58, 2)</f>
        <v>493577.26</v>
      </c>
      <c r="N58" s="14">
        <f>ROUND(I58*ROUND(K58, 2), 2)</f>
        <v>736225</v>
      </c>
      <c r="O58" s="14">
        <f>M58+N58</f>
        <v>1229802.26</v>
      </c>
      <c r="P58" s="14">
        <f>IFERROR(ROUND(SUM(S59,S60,S61,S62,S63)/I58, 2),0)</f>
        <v>821.26</v>
      </c>
      <c r="Q58" s="16">
        <v>1837.5</v>
      </c>
      <c r="R58" s="14">
        <f>P58+ROUND(Q58, 2)</f>
        <v>2658.76</v>
      </c>
      <c r="S58" s="14">
        <f>ROUND(P58*I58, 2)</f>
        <v>493577.26</v>
      </c>
      <c r="T58" s="14">
        <f>ROUND(I58*ROUND(Q58, 2), 2)</f>
        <v>1104337.5</v>
      </c>
      <c r="U58" s="14">
        <f>S58+T58</f>
        <v>1597914.76</v>
      </c>
      <c r="V58" s="9">
        <f>ROUND(P58 / 1.2, 2)</f>
        <v>684.38</v>
      </c>
      <c r="W58" s="9">
        <f>ROUND(Q58 / 1.2, 2)</f>
        <v>1531.25</v>
      </c>
      <c r="X58" s="9">
        <f>ROUND(R58 / 1.2, 2)</f>
        <v>2215.63</v>
      </c>
      <c r="Y58" s="9">
        <f>ROUND(S58 / 1.2, 2)</f>
        <v>411314.38</v>
      </c>
      <c r="Z58" s="9">
        <f>ROUND(T58 / 1.2, 2)</f>
        <v>920281.25</v>
      </c>
      <c r="AA58" s="9">
        <f>Y58+Z58</f>
        <v>1331595.6299999999</v>
      </c>
      <c r="AD58" s="4">
        <v>311044294</v>
      </c>
      <c r="AE58" s="4">
        <v>22726888</v>
      </c>
      <c r="AG58" s="4" t="s">
        <v>243</v>
      </c>
      <c r="AH58" s="4" t="s">
        <v>244</v>
      </c>
      <c r="AI58" s="4" t="s">
        <v>156</v>
      </c>
    </row>
    <row r="59" spans="1:35" ht="72" x14ac:dyDescent="0.3">
      <c r="A59" s="10" t="s">
        <v>245</v>
      </c>
      <c r="B59" s="10"/>
      <c r="C59" s="17" t="s">
        <v>246</v>
      </c>
      <c r="D59" s="12"/>
      <c r="E59" s="12"/>
      <c r="F59" s="18" t="s">
        <v>88</v>
      </c>
      <c r="G59" s="19">
        <v>1</v>
      </c>
      <c r="H59" s="19"/>
      <c r="I59" s="19">
        <v>601</v>
      </c>
      <c r="J59" s="20">
        <v>113.01</v>
      </c>
      <c r="M59" s="21">
        <f>ROUND(ROUND(J59, 2)*I59, 2)</f>
        <v>67919.009999999995</v>
      </c>
      <c r="P59" s="22">
        <v>113.01</v>
      </c>
      <c r="S59" s="21">
        <f>ROUND(ROUND(P59, 2)*I59, 2)</f>
        <v>67919.009999999995</v>
      </c>
      <c r="V59" s="9">
        <f>ROUND(ROUND(P59, 2)/1.2, 2)</f>
        <v>94.18</v>
      </c>
      <c r="Y59" s="9">
        <f t="shared" ref="Y59:Y73" si="7">ROUND(S59 / 1.2, 2)</f>
        <v>56599.18</v>
      </c>
      <c r="AD59" s="4" t="s">
        <v>247</v>
      </c>
      <c r="AE59" s="4" t="s">
        <v>248</v>
      </c>
      <c r="AF59" s="4" t="s">
        <v>249</v>
      </c>
    </row>
    <row r="60" spans="1:35" ht="18" x14ac:dyDescent="0.3">
      <c r="A60" s="10" t="s">
        <v>250</v>
      </c>
      <c r="B60" s="10"/>
      <c r="C60" s="23" t="s">
        <v>251</v>
      </c>
      <c r="D60" s="12"/>
      <c r="E60" s="12"/>
      <c r="F60" s="18" t="s">
        <v>82</v>
      </c>
      <c r="G60" s="19">
        <v>5.1999999999999998E-2</v>
      </c>
      <c r="H60" s="19"/>
      <c r="I60" s="19">
        <v>31.251999999999999</v>
      </c>
      <c r="J60" s="20">
        <v>4093.92</v>
      </c>
      <c r="M60" s="21">
        <f>ROUND(ROUND(J60, 2)*I60, 2)</f>
        <v>127943.19</v>
      </c>
      <c r="P60" s="22">
        <v>4093.92</v>
      </c>
      <c r="S60" s="21">
        <f>ROUND(ROUND(P60, 2)*I60, 2)</f>
        <v>127943.19</v>
      </c>
      <c r="V60" s="9">
        <f>ROUND(ROUND(P60, 2)/1.2, 2)</f>
        <v>3411.6</v>
      </c>
      <c r="Y60" s="9">
        <f t="shared" si="7"/>
        <v>106619.33</v>
      </c>
      <c r="AD60" s="4" t="s">
        <v>252</v>
      </c>
      <c r="AE60" s="4" t="s">
        <v>253</v>
      </c>
      <c r="AF60" s="4" t="s">
        <v>254</v>
      </c>
    </row>
    <row r="61" spans="1:35" ht="18" x14ac:dyDescent="0.3">
      <c r="A61" s="10" t="s">
        <v>255</v>
      </c>
      <c r="B61" s="10"/>
      <c r="C61" s="23" t="s">
        <v>256</v>
      </c>
      <c r="D61" s="12"/>
      <c r="E61" s="12" t="s">
        <v>257</v>
      </c>
      <c r="F61" s="18" t="s">
        <v>258</v>
      </c>
      <c r="G61" s="19">
        <v>0.86</v>
      </c>
      <c r="H61" s="24"/>
      <c r="I61" s="24">
        <v>516.86</v>
      </c>
      <c r="J61" s="20">
        <v>66</v>
      </c>
      <c r="M61" s="21">
        <f>ROUND(ROUND(J61, 2)*I61, 2)</f>
        <v>34112.76</v>
      </c>
      <c r="P61" s="22">
        <v>66</v>
      </c>
      <c r="S61" s="21">
        <f>ROUND(ROUND(P61, 2)*I61, 2)</f>
        <v>34112.76</v>
      </c>
      <c r="V61" s="9">
        <f>ROUND(ROUND(P61, 2)/1.2, 2)</f>
        <v>55</v>
      </c>
      <c r="Y61" s="9">
        <f t="shared" si="7"/>
        <v>28427.3</v>
      </c>
      <c r="AD61" s="4" t="s">
        <v>259</v>
      </c>
      <c r="AE61" s="4" t="s">
        <v>260</v>
      </c>
      <c r="AF61" s="4" t="s">
        <v>261</v>
      </c>
    </row>
    <row r="62" spans="1:35" ht="18" x14ac:dyDescent="0.3">
      <c r="A62" s="10" t="s">
        <v>262</v>
      </c>
      <c r="B62" s="10"/>
      <c r="C62" s="23" t="s">
        <v>263</v>
      </c>
      <c r="D62" s="12"/>
      <c r="E62" s="12" t="s">
        <v>264</v>
      </c>
      <c r="F62" s="18" t="s">
        <v>258</v>
      </c>
      <c r="G62" s="19">
        <v>2.1</v>
      </c>
      <c r="H62" s="24"/>
      <c r="I62" s="24">
        <v>1262.0999999999999</v>
      </c>
      <c r="J62" s="20">
        <v>96.66</v>
      </c>
      <c r="M62" s="21">
        <f>ROUND(ROUND(J62, 2)*I62, 2)</f>
        <v>121994.59</v>
      </c>
      <c r="P62" s="22">
        <v>96.66</v>
      </c>
      <c r="S62" s="21">
        <f>ROUND(ROUND(P62, 2)*I62, 2)</f>
        <v>121994.59</v>
      </c>
      <c r="V62" s="9">
        <f>ROUND(ROUND(P62, 2)/1.2, 2)</f>
        <v>80.55</v>
      </c>
      <c r="Y62" s="9">
        <f t="shared" si="7"/>
        <v>101662.16</v>
      </c>
      <c r="AD62" s="4" t="s">
        <v>265</v>
      </c>
      <c r="AE62" s="4" t="s">
        <v>266</v>
      </c>
      <c r="AF62" s="4" t="s">
        <v>267</v>
      </c>
    </row>
    <row r="63" spans="1:35" ht="36" x14ac:dyDescent="0.3">
      <c r="A63" s="10" t="s">
        <v>268</v>
      </c>
      <c r="B63" s="10"/>
      <c r="C63" s="23" t="s">
        <v>269</v>
      </c>
      <c r="D63" s="12"/>
      <c r="E63" s="12"/>
      <c r="F63" s="18" t="s">
        <v>58</v>
      </c>
      <c r="G63" s="19">
        <v>2.2000000000000002</v>
      </c>
      <c r="H63" s="19"/>
      <c r="I63" s="19">
        <v>1322.2</v>
      </c>
      <c r="J63" s="20">
        <v>107.1</v>
      </c>
      <c r="M63" s="21">
        <f>ROUND(ROUND(J63, 2)*I63, 2)</f>
        <v>141607.62</v>
      </c>
      <c r="P63" s="22">
        <v>107.1</v>
      </c>
      <c r="S63" s="21">
        <f>ROUND(ROUND(P63, 2)*I63, 2)</f>
        <v>141607.62</v>
      </c>
      <c r="V63" s="9">
        <f>ROUND(ROUND(P63, 2)/1.2, 2)</f>
        <v>89.25</v>
      </c>
      <c r="Y63" s="9">
        <f t="shared" si="7"/>
        <v>118006.35</v>
      </c>
      <c r="AD63" s="4" t="s">
        <v>270</v>
      </c>
      <c r="AE63" s="4" t="s">
        <v>271</v>
      </c>
      <c r="AF63" s="4" t="s">
        <v>272</v>
      </c>
    </row>
    <row r="64" spans="1:35" ht="108" x14ac:dyDescent="0.3">
      <c r="A64" s="10" t="s">
        <v>273</v>
      </c>
      <c r="B64" s="10" t="s">
        <v>274</v>
      </c>
      <c r="C64" s="11" t="s">
        <v>275</v>
      </c>
      <c r="D64" s="12" t="s">
        <v>80</v>
      </c>
      <c r="E64" s="12" t="s">
        <v>276</v>
      </c>
      <c r="F64" s="12" t="s">
        <v>58</v>
      </c>
      <c r="G64" s="13">
        <v>1</v>
      </c>
      <c r="H64" s="13"/>
      <c r="I64" s="13">
        <v>79.099999999999994</v>
      </c>
      <c r="J64" s="14">
        <f>IFERROR(ROUND(SUM(M65,M66,M67,M68)/I64, 2),0)</f>
        <v>531.83000000000004</v>
      </c>
      <c r="K64" s="15">
        <v>1409</v>
      </c>
      <c r="L64" s="14">
        <f>J64+ROUND(K64, 2)</f>
        <v>1940.83</v>
      </c>
      <c r="M64" s="14">
        <f>ROUND(J64*I64, 2)</f>
        <v>42067.75</v>
      </c>
      <c r="N64" s="14">
        <f>ROUND(I64*ROUND(K64, 2), 2)</f>
        <v>111451.9</v>
      </c>
      <c r="O64" s="14">
        <f>M64+N64</f>
        <v>153519.65</v>
      </c>
      <c r="P64" s="14">
        <f>IFERROR(ROUND(SUM(S65,S66,S67,S68)/I64, 2),0)</f>
        <v>531.83000000000004</v>
      </c>
      <c r="Q64" s="16">
        <v>2113.5</v>
      </c>
      <c r="R64" s="14">
        <f>P64+ROUND(Q64, 2)</f>
        <v>2645.33</v>
      </c>
      <c r="S64" s="14">
        <f>ROUND(P64*I64, 2)</f>
        <v>42067.75</v>
      </c>
      <c r="T64" s="14">
        <f>ROUND(I64*ROUND(Q64, 2), 2)</f>
        <v>167177.85</v>
      </c>
      <c r="U64" s="14">
        <f>S64+T64</f>
        <v>209245.6</v>
      </c>
      <c r="V64" s="9">
        <f>ROUND(P64 / 1.2, 2)</f>
        <v>443.19</v>
      </c>
      <c r="W64" s="9">
        <f>ROUND(Q64 / 1.2, 2)</f>
        <v>1761.25</v>
      </c>
      <c r="X64" s="9">
        <f>ROUND(R64 / 1.2, 2)</f>
        <v>2204.44</v>
      </c>
      <c r="Y64" s="9">
        <f t="shared" si="7"/>
        <v>35056.46</v>
      </c>
      <c r="Z64" s="9">
        <f>ROUND(T64 / 1.2, 2)</f>
        <v>139314.88</v>
      </c>
      <c r="AA64" s="9">
        <f>Y64+Z64</f>
        <v>174371.34</v>
      </c>
      <c r="AD64" s="4">
        <v>311044295</v>
      </c>
      <c r="AE64" s="4">
        <v>22728312</v>
      </c>
      <c r="AG64" s="4" t="s">
        <v>277</v>
      </c>
      <c r="AH64" s="4" t="s">
        <v>278</v>
      </c>
      <c r="AI64" s="4" t="s">
        <v>156</v>
      </c>
    </row>
    <row r="65" spans="1:35" ht="72" x14ac:dyDescent="0.3">
      <c r="A65" s="10" t="s">
        <v>279</v>
      </c>
      <c r="B65" s="10"/>
      <c r="C65" s="17" t="s">
        <v>246</v>
      </c>
      <c r="D65" s="12"/>
      <c r="E65" s="12"/>
      <c r="F65" s="18" t="s">
        <v>88</v>
      </c>
      <c r="G65" s="19">
        <v>1</v>
      </c>
      <c r="H65" s="19"/>
      <c r="I65" s="19">
        <v>79.099999999999994</v>
      </c>
      <c r="J65" s="20">
        <v>113.01</v>
      </c>
      <c r="M65" s="21">
        <f>ROUND(ROUND(J65, 2)*I65, 2)</f>
        <v>8939.09</v>
      </c>
      <c r="P65" s="22">
        <v>113.01</v>
      </c>
      <c r="S65" s="21">
        <f>ROUND(ROUND(P65, 2)*I65, 2)</f>
        <v>8939.09</v>
      </c>
      <c r="V65" s="9">
        <f>ROUND(ROUND(P65, 2)/1.2, 2)</f>
        <v>94.18</v>
      </c>
      <c r="Y65" s="9">
        <f t="shared" si="7"/>
        <v>7449.24</v>
      </c>
      <c r="AD65" s="4" t="s">
        <v>280</v>
      </c>
      <c r="AE65" s="4" t="s">
        <v>281</v>
      </c>
      <c r="AF65" s="4" t="s">
        <v>249</v>
      </c>
    </row>
    <row r="66" spans="1:35" ht="18" x14ac:dyDescent="0.3">
      <c r="A66" s="10" t="s">
        <v>282</v>
      </c>
      <c r="B66" s="10"/>
      <c r="C66" s="23" t="s">
        <v>283</v>
      </c>
      <c r="D66" s="12"/>
      <c r="E66" s="12"/>
      <c r="F66" s="18" t="s">
        <v>258</v>
      </c>
      <c r="G66" s="25">
        <v>2.1</v>
      </c>
      <c r="H66" s="19"/>
      <c r="I66" s="19">
        <v>166.11</v>
      </c>
      <c r="J66" s="20">
        <v>66.87</v>
      </c>
      <c r="M66" s="21">
        <f>ROUND(ROUND(J66, 2)*I66, 2)</f>
        <v>11107.78</v>
      </c>
      <c r="P66" s="22">
        <v>66.87</v>
      </c>
      <c r="S66" s="21">
        <f>ROUND(ROUND(P66, 2)*I66, 2)</f>
        <v>11107.78</v>
      </c>
      <c r="V66" s="9">
        <f>ROUND(ROUND(P66, 2)/1.2, 2)</f>
        <v>55.73</v>
      </c>
      <c r="Y66" s="9">
        <f t="shared" si="7"/>
        <v>9256.48</v>
      </c>
      <c r="AD66" s="4" t="s">
        <v>284</v>
      </c>
      <c r="AE66" s="4" t="s">
        <v>285</v>
      </c>
      <c r="AF66" s="4" t="s">
        <v>286</v>
      </c>
    </row>
    <row r="67" spans="1:35" ht="18" x14ac:dyDescent="0.3">
      <c r="A67" s="10" t="s">
        <v>287</v>
      </c>
      <c r="B67" s="10"/>
      <c r="C67" s="23" t="s">
        <v>288</v>
      </c>
      <c r="D67" s="12"/>
      <c r="E67" s="12"/>
      <c r="F67" s="18" t="s">
        <v>258</v>
      </c>
      <c r="G67" s="25">
        <v>0.8</v>
      </c>
      <c r="H67" s="19"/>
      <c r="I67" s="19">
        <v>63.28</v>
      </c>
      <c r="J67" s="20">
        <v>53.47</v>
      </c>
      <c r="M67" s="21">
        <f>ROUND(ROUND(J67, 2)*I67, 2)</f>
        <v>3383.58</v>
      </c>
      <c r="P67" s="22">
        <v>53.47</v>
      </c>
      <c r="S67" s="21">
        <f>ROUND(ROUND(P67, 2)*I67, 2)</f>
        <v>3383.58</v>
      </c>
      <c r="V67" s="9">
        <f>ROUND(ROUND(P67, 2)/1.2, 2)</f>
        <v>44.56</v>
      </c>
      <c r="Y67" s="9">
        <f t="shared" si="7"/>
        <v>2819.65</v>
      </c>
      <c r="AD67" s="4" t="s">
        <v>289</v>
      </c>
      <c r="AE67" s="4" t="s">
        <v>290</v>
      </c>
      <c r="AF67" s="4" t="s">
        <v>291</v>
      </c>
    </row>
    <row r="68" spans="1:35" ht="36" x14ac:dyDescent="0.3">
      <c r="A68" s="10" t="s">
        <v>292</v>
      </c>
      <c r="B68" s="10"/>
      <c r="C68" s="23" t="s">
        <v>269</v>
      </c>
      <c r="D68" s="12"/>
      <c r="E68" s="12"/>
      <c r="F68" s="18" t="s">
        <v>58</v>
      </c>
      <c r="G68" s="19">
        <v>2.2000000000000002</v>
      </c>
      <c r="H68" s="19"/>
      <c r="I68" s="19">
        <v>174.02</v>
      </c>
      <c r="J68" s="20">
        <v>107.1</v>
      </c>
      <c r="M68" s="21">
        <f>ROUND(ROUND(J68, 2)*I68, 2)</f>
        <v>18637.54</v>
      </c>
      <c r="P68" s="22">
        <v>107.1</v>
      </c>
      <c r="S68" s="21">
        <f>ROUND(ROUND(P68, 2)*I68, 2)</f>
        <v>18637.54</v>
      </c>
      <c r="V68" s="9">
        <f>ROUND(ROUND(P68, 2)/1.2, 2)</f>
        <v>89.25</v>
      </c>
      <c r="Y68" s="9">
        <f t="shared" si="7"/>
        <v>15531.28</v>
      </c>
      <c r="AD68" s="4" t="s">
        <v>293</v>
      </c>
      <c r="AE68" s="4" t="s">
        <v>294</v>
      </c>
      <c r="AF68" s="4" t="s">
        <v>272</v>
      </c>
    </row>
    <row r="69" spans="1:35" ht="108" x14ac:dyDescent="0.3">
      <c r="A69" s="10" t="s">
        <v>295</v>
      </c>
      <c r="B69" s="10" t="s">
        <v>274</v>
      </c>
      <c r="C69" s="11" t="s">
        <v>275</v>
      </c>
      <c r="D69" s="12" t="s">
        <v>80</v>
      </c>
      <c r="E69" s="12" t="s">
        <v>296</v>
      </c>
      <c r="F69" s="12" t="s">
        <v>58</v>
      </c>
      <c r="G69" s="13">
        <v>1</v>
      </c>
      <c r="H69" s="13"/>
      <c r="I69" s="13">
        <v>369.1</v>
      </c>
      <c r="J69" s="14">
        <f>IFERROR(ROUND(SUM(M70,M71,M72,M73)/I69, 2),0)</f>
        <v>531.83000000000004</v>
      </c>
      <c r="K69" s="15">
        <v>1409</v>
      </c>
      <c r="L69" s="14">
        <f>J69+ROUND(K69, 2)</f>
        <v>1940.83</v>
      </c>
      <c r="M69" s="14">
        <f>ROUND(J69*I69, 2)</f>
        <v>196298.45</v>
      </c>
      <c r="N69" s="14">
        <f>ROUND(I69*ROUND(K69, 2), 2)</f>
        <v>520061.9</v>
      </c>
      <c r="O69" s="14">
        <f>M69+N69</f>
        <v>716360.35000000009</v>
      </c>
      <c r="P69" s="14">
        <f>IFERROR(ROUND(SUM(S70,S71,S72,S73)/I69, 2),0)</f>
        <v>531.83000000000004</v>
      </c>
      <c r="Q69" s="16">
        <v>2113.5</v>
      </c>
      <c r="R69" s="14">
        <f>P69+ROUND(Q69, 2)</f>
        <v>2645.33</v>
      </c>
      <c r="S69" s="14">
        <f>ROUND(P69*I69, 2)</f>
        <v>196298.45</v>
      </c>
      <c r="T69" s="14">
        <f>ROUND(I69*ROUND(Q69, 2), 2)</f>
        <v>780092.85</v>
      </c>
      <c r="U69" s="14">
        <f>S69+T69</f>
        <v>976391.3</v>
      </c>
      <c r="V69" s="9">
        <f>ROUND(P69 / 1.2, 2)</f>
        <v>443.19</v>
      </c>
      <c r="W69" s="9">
        <f>ROUND(Q69 / 1.2, 2)</f>
        <v>1761.25</v>
      </c>
      <c r="X69" s="9">
        <f>ROUND(R69 / 1.2, 2)</f>
        <v>2204.44</v>
      </c>
      <c r="Y69" s="9">
        <f t="shared" si="7"/>
        <v>163582.04</v>
      </c>
      <c r="Z69" s="9">
        <f>ROUND(T69 / 1.2, 2)</f>
        <v>650077.38</v>
      </c>
      <c r="AA69" s="9">
        <f>Y69+Z69</f>
        <v>813659.42</v>
      </c>
      <c r="AD69" s="4">
        <v>311044413</v>
      </c>
      <c r="AE69" s="4">
        <v>22728311</v>
      </c>
      <c r="AG69" s="4" t="s">
        <v>277</v>
      </c>
      <c r="AH69" s="4" t="s">
        <v>278</v>
      </c>
      <c r="AI69" s="4" t="s">
        <v>156</v>
      </c>
    </row>
    <row r="70" spans="1:35" ht="36" x14ac:dyDescent="0.3">
      <c r="A70" s="10" t="s">
        <v>297</v>
      </c>
      <c r="B70" s="10"/>
      <c r="C70" s="23" t="s">
        <v>298</v>
      </c>
      <c r="D70" s="12"/>
      <c r="E70" s="12"/>
      <c r="F70" s="18" t="s">
        <v>58</v>
      </c>
      <c r="G70" s="19">
        <v>2.2000000000000002</v>
      </c>
      <c r="H70" s="19"/>
      <c r="I70" s="19">
        <v>812.02</v>
      </c>
      <c r="J70" s="20">
        <v>107.1</v>
      </c>
      <c r="M70" s="21">
        <f>ROUND(ROUND(J70, 2)*I70, 2)</f>
        <v>86967.34</v>
      </c>
      <c r="P70" s="22">
        <v>107.1</v>
      </c>
      <c r="S70" s="21">
        <f>ROUND(ROUND(P70, 2)*I70, 2)</f>
        <v>86967.34</v>
      </c>
      <c r="V70" s="9">
        <f>ROUND(ROUND(P70, 2)/1.2, 2)</f>
        <v>89.25</v>
      </c>
      <c r="Y70" s="9">
        <f t="shared" si="7"/>
        <v>72472.78</v>
      </c>
      <c r="AD70" s="4" t="s">
        <v>299</v>
      </c>
      <c r="AE70" s="4" t="s">
        <v>300</v>
      </c>
      <c r="AF70" s="4" t="s">
        <v>301</v>
      </c>
    </row>
    <row r="71" spans="1:35" ht="18" x14ac:dyDescent="0.3">
      <c r="A71" s="10" t="s">
        <v>302</v>
      </c>
      <c r="B71" s="10"/>
      <c r="C71" s="23" t="s">
        <v>283</v>
      </c>
      <c r="D71" s="12"/>
      <c r="E71" s="12"/>
      <c r="F71" s="18" t="s">
        <v>258</v>
      </c>
      <c r="G71" s="25">
        <v>2.1</v>
      </c>
      <c r="H71" s="19"/>
      <c r="I71" s="19">
        <v>775.11</v>
      </c>
      <c r="J71" s="20">
        <v>66.87</v>
      </c>
      <c r="M71" s="21">
        <f>ROUND(ROUND(J71, 2)*I71, 2)</f>
        <v>51831.61</v>
      </c>
      <c r="P71" s="22">
        <v>66.87</v>
      </c>
      <c r="S71" s="21">
        <f>ROUND(ROUND(P71, 2)*I71, 2)</f>
        <v>51831.61</v>
      </c>
      <c r="V71" s="9">
        <f>ROUND(ROUND(P71, 2)/1.2, 2)</f>
        <v>55.73</v>
      </c>
      <c r="Y71" s="9">
        <f t="shared" si="7"/>
        <v>43193.01</v>
      </c>
      <c r="AD71" s="4" t="s">
        <v>303</v>
      </c>
      <c r="AE71" s="4" t="s">
        <v>304</v>
      </c>
      <c r="AF71" s="4" t="s">
        <v>286</v>
      </c>
    </row>
    <row r="72" spans="1:35" ht="18" x14ac:dyDescent="0.3">
      <c r="A72" s="10" t="s">
        <v>305</v>
      </c>
      <c r="B72" s="10"/>
      <c r="C72" s="23" t="s">
        <v>288</v>
      </c>
      <c r="D72" s="12"/>
      <c r="E72" s="12"/>
      <c r="F72" s="18" t="s">
        <v>258</v>
      </c>
      <c r="G72" s="25">
        <v>0.8</v>
      </c>
      <c r="H72" s="19"/>
      <c r="I72" s="19">
        <v>295.27999999999997</v>
      </c>
      <c r="J72" s="20">
        <v>53.47</v>
      </c>
      <c r="M72" s="21">
        <f>ROUND(ROUND(J72, 2)*I72, 2)</f>
        <v>15788.62</v>
      </c>
      <c r="P72" s="22">
        <v>53.47</v>
      </c>
      <c r="S72" s="21">
        <f>ROUND(ROUND(P72, 2)*I72, 2)</f>
        <v>15788.62</v>
      </c>
      <c r="V72" s="9">
        <f>ROUND(ROUND(P72, 2)/1.2, 2)</f>
        <v>44.56</v>
      </c>
      <c r="Y72" s="9">
        <f t="shared" si="7"/>
        <v>13157.18</v>
      </c>
      <c r="AD72" s="4" t="s">
        <v>306</v>
      </c>
      <c r="AE72" s="4" t="s">
        <v>307</v>
      </c>
      <c r="AF72" s="4" t="s">
        <v>291</v>
      </c>
    </row>
    <row r="73" spans="1:35" ht="72" x14ac:dyDescent="0.3">
      <c r="A73" s="10" t="s">
        <v>308</v>
      </c>
      <c r="B73" s="10"/>
      <c r="C73" s="17" t="s">
        <v>246</v>
      </c>
      <c r="D73" s="12"/>
      <c r="E73" s="12"/>
      <c r="F73" s="18" t="s">
        <v>88</v>
      </c>
      <c r="G73" s="19">
        <v>1</v>
      </c>
      <c r="H73" s="19"/>
      <c r="I73" s="19">
        <v>369.1</v>
      </c>
      <c r="J73" s="20">
        <v>113.01</v>
      </c>
      <c r="M73" s="21">
        <f>ROUND(ROUND(J73, 2)*I73, 2)</f>
        <v>41711.99</v>
      </c>
      <c r="P73" s="22">
        <v>113.01</v>
      </c>
      <c r="S73" s="21">
        <f>ROUND(ROUND(P73, 2)*I73, 2)</f>
        <v>41711.99</v>
      </c>
      <c r="V73" s="9">
        <f>ROUND(ROUND(P73, 2)/1.2, 2)</f>
        <v>94.18</v>
      </c>
      <c r="Y73" s="9">
        <f t="shared" si="7"/>
        <v>34759.99</v>
      </c>
      <c r="AD73" s="4" t="s">
        <v>309</v>
      </c>
      <c r="AE73" s="4" t="s">
        <v>310</v>
      </c>
      <c r="AF73" s="4" t="s">
        <v>249</v>
      </c>
    </row>
    <row r="74" spans="1:35" ht="16.95" customHeight="1" x14ac:dyDescent="0.3">
      <c r="A74" s="10" t="s">
        <v>311</v>
      </c>
      <c r="B74" s="10" t="s">
        <v>312</v>
      </c>
      <c r="C74" s="51" t="s">
        <v>313</v>
      </c>
      <c r="D74" s="52"/>
      <c r="E74" s="52"/>
      <c r="F74" s="52"/>
      <c r="G74" s="52"/>
      <c r="H74" s="52"/>
      <c r="I74" s="53"/>
      <c r="M74" s="6">
        <f>SUM(M75,M78,M82,M86,M90,M93,M95,M97)</f>
        <v>812252.6</v>
      </c>
      <c r="N74" s="6">
        <f>SUM(N75,N78,N82,N86,N90,N93,N95,N97)</f>
        <v>1300367.9300000002</v>
      </c>
      <c r="O74" s="6">
        <f>SUM(O75,O78,O82,O86,O90,O93,O95,O97)</f>
        <v>2112620.5299999998</v>
      </c>
      <c r="S74" s="6">
        <f>SUM(S75,S78,S82,S86,S90,S93,S95,S97)</f>
        <v>1767857.7299999997</v>
      </c>
      <c r="T74" s="6">
        <f>SUM(T75,T78,T82,T86,T90,T93,T95,T97)</f>
        <v>1950551.9100000001</v>
      </c>
      <c r="U74" s="6">
        <f>SUM(U75,U78,U82,U86,U90,U93,U95,U97)</f>
        <v>3718409.6399999997</v>
      </c>
      <c r="Y74" s="9">
        <f>SUM(Y75,Y78,Y82,Y86,Y90,Y93,Y95,Y97)</f>
        <v>1473214.79</v>
      </c>
      <c r="Z74" s="9">
        <f>SUM(Z75,Z78,Z82,Z86,Z90,Z93,Z95,Z97)</f>
        <v>1625459.94</v>
      </c>
      <c r="AA74" s="9">
        <f>SUM(AA75,AA78,AA82,AA86,AA90,AA93,AA95,AA97)</f>
        <v>3098674.73</v>
      </c>
      <c r="AD74" s="4">
        <v>311044296</v>
      </c>
      <c r="AE74" s="4">
        <v>22703681</v>
      </c>
    </row>
    <row r="75" spans="1:35" ht="36" x14ac:dyDescent="0.3">
      <c r="A75" s="10" t="s">
        <v>314</v>
      </c>
      <c r="B75" s="10" t="s">
        <v>315</v>
      </c>
      <c r="C75" s="11" t="s">
        <v>316</v>
      </c>
      <c r="D75" s="12" t="s">
        <v>80</v>
      </c>
      <c r="E75" s="12" t="s">
        <v>317</v>
      </c>
      <c r="F75" s="12" t="s">
        <v>318</v>
      </c>
      <c r="G75" s="13">
        <v>1</v>
      </c>
      <c r="H75" s="13"/>
      <c r="I75" s="13">
        <v>2.5000000000000001E-2</v>
      </c>
      <c r="J75" s="14">
        <f>IFERROR(ROUND(SUM(M76,M77)/I75, 2),0)</f>
        <v>48972.800000000003</v>
      </c>
      <c r="K75" s="15">
        <v>42040</v>
      </c>
      <c r="L75" s="14">
        <f>J75+ROUND(K75, 2)</f>
        <v>91012.800000000003</v>
      </c>
      <c r="M75" s="14">
        <f>ROUND(J75*I75, 2)</f>
        <v>1224.32</v>
      </c>
      <c r="N75" s="14">
        <f>ROUND(I75*ROUND(K75, 2), 2)</f>
        <v>1051</v>
      </c>
      <c r="O75" s="14">
        <f>M75+N75</f>
        <v>2275.3199999999997</v>
      </c>
      <c r="P75" s="14">
        <f>IFERROR(ROUND(SUM(S76,S77)/I75, 2),0)</f>
        <v>48972.800000000003</v>
      </c>
      <c r="Q75" s="16">
        <v>63060</v>
      </c>
      <c r="R75" s="14">
        <f>P75+ROUND(Q75, 2)</f>
        <v>112032.8</v>
      </c>
      <c r="S75" s="14">
        <f>ROUND(P75*I75, 2)</f>
        <v>1224.32</v>
      </c>
      <c r="T75" s="14">
        <f>ROUND(I75*ROUND(Q75, 2), 2)</f>
        <v>1576.5</v>
      </c>
      <c r="U75" s="14">
        <f>S75+T75</f>
        <v>2800.8199999999997</v>
      </c>
      <c r="V75" s="9">
        <f>ROUND(P75 / 1.2, 2)</f>
        <v>40810.67</v>
      </c>
      <c r="W75" s="9">
        <f>ROUND(Q75 / 1.2, 2)</f>
        <v>52550</v>
      </c>
      <c r="X75" s="9">
        <f>ROUND(R75 / 1.2, 2)</f>
        <v>93360.67</v>
      </c>
      <c r="Y75" s="9">
        <f>ROUND(S75 / 1.2, 2)</f>
        <v>1020.27</v>
      </c>
      <c r="Z75" s="9">
        <f>ROUND(T75 / 1.2, 2)</f>
        <v>1313.75</v>
      </c>
      <c r="AA75" s="9">
        <f>Y75+Z75</f>
        <v>2334.02</v>
      </c>
      <c r="AD75" s="4">
        <v>311044298</v>
      </c>
      <c r="AE75" s="4">
        <v>22708550</v>
      </c>
      <c r="AG75" s="4" t="s">
        <v>319</v>
      </c>
      <c r="AH75" s="4" t="s">
        <v>320</v>
      </c>
      <c r="AI75" s="4" t="s">
        <v>156</v>
      </c>
    </row>
    <row r="76" spans="1:35" ht="36" x14ac:dyDescent="0.3">
      <c r="A76" s="10" t="s">
        <v>321</v>
      </c>
      <c r="B76" s="10"/>
      <c r="C76" s="17" t="s">
        <v>322</v>
      </c>
      <c r="D76" s="12"/>
      <c r="E76" s="12"/>
      <c r="F76" s="18" t="s">
        <v>88</v>
      </c>
      <c r="G76" s="19">
        <v>1</v>
      </c>
      <c r="H76" s="19"/>
      <c r="I76" s="19">
        <v>2.5000000000000001E-2</v>
      </c>
      <c r="J76" s="20">
        <v>8712.84</v>
      </c>
      <c r="M76" s="21">
        <f>ROUND(ROUND(J76, 2)*I76, 2)</f>
        <v>217.82</v>
      </c>
      <c r="P76" s="22">
        <v>8712.84</v>
      </c>
      <c r="S76" s="21">
        <f>ROUND(ROUND(P76, 2)*I76, 2)</f>
        <v>217.82</v>
      </c>
      <c r="V76" s="9">
        <f>ROUND(ROUND(P76, 2)/1.2, 2)</f>
        <v>7260.7</v>
      </c>
      <c r="Y76" s="9">
        <f t="shared" ref="Y76:Y98" si="8">ROUND(S76 / 1.2, 2)</f>
        <v>181.52</v>
      </c>
      <c r="AD76" s="4" t="s">
        <v>323</v>
      </c>
      <c r="AE76" s="4" t="s">
        <v>324</v>
      </c>
      <c r="AF76" s="4" t="s">
        <v>325</v>
      </c>
    </row>
    <row r="77" spans="1:35" ht="18" x14ac:dyDescent="0.3">
      <c r="A77" s="10" t="s">
        <v>326</v>
      </c>
      <c r="B77" s="10"/>
      <c r="C77" s="23" t="s">
        <v>327</v>
      </c>
      <c r="D77" s="12"/>
      <c r="E77" s="12"/>
      <c r="F77" s="18" t="s">
        <v>318</v>
      </c>
      <c r="G77" s="19">
        <v>1</v>
      </c>
      <c r="H77" s="24"/>
      <c r="I77" s="24">
        <v>2.5000000000000001E-2</v>
      </c>
      <c r="J77" s="20">
        <v>40260</v>
      </c>
      <c r="M77" s="21">
        <f>ROUND(ROUND(J77, 2)*I77, 2)</f>
        <v>1006.5</v>
      </c>
      <c r="P77" s="22">
        <v>40260</v>
      </c>
      <c r="S77" s="21">
        <f>ROUND(ROUND(P77, 2)*I77, 2)</f>
        <v>1006.5</v>
      </c>
      <c r="V77" s="9">
        <f>ROUND(ROUND(P77, 2)/1.2, 2)</f>
        <v>33550</v>
      </c>
      <c r="Y77" s="9">
        <f t="shared" si="8"/>
        <v>838.75</v>
      </c>
      <c r="AD77" s="4" t="s">
        <v>328</v>
      </c>
      <c r="AE77" s="4" t="s">
        <v>329</v>
      </c>
      <c r="AF77" s="4" t="s">
        <v>330</v>
      </c>
    </row>
    <row r="78" spans="1:35" ht="108" x14ac:dyDescent="0.3">
      <c r="A78" s="10" t="s">
        <v>331</v>
      </c>
      <c r="B78" s="10" t="s">
        <v>332</v>
      </c>
      <c r="C78" s="11" t="s">
        <v>333</v>
      </c>
      <c r="D78" s="12" t="s">
        <v>334</v>
      </c>
      <c r="E78" s="12" t="s">
        <v>335</v>
      </c>
      <c r="F78" s="12" t="s">
        <v>318</v>
      </c>
      <c r="G78" s="13">
        <v>1</v>
      </c>
      <c r="H78" s="13"/>
      <c r="I78" s="13">
        <v>0.33400000000000002</v>
      </c>
      <c r="J78" s="14">
        <f>IFERROR(ROUND(SUM(M79,M80,M81)/I78, 2),0)</f>
        <v>90894.34</v>
      </c>
      <c r="K78" s="15">
        <v>60058</v>
      </c>
      <c r="L78" s="14">
        <f>J78+ROUND(K78, 2)</f>
        <v>150952.34</v>
      </c>
      <c r="M78" s="14">
        <f>ROUND(J78*I78, 2)</f>
        <v>30358.71</v>
      </c>
      <c r="N78" s="14">
        <f>ROUND(I78*ROUND(K78, 2), 2)</f>
        <v>20059.37</v>
      </c>
      <c r="O78" s="14">
        <f>M78+N78</f>
        <v>50418.080000000002</v>
      </c>
      <c r="P78" s="14">
        <f>IFERROR(ROUND(SUM(S79,S80,S81)/I78, 2),0)</f>
        <v>90894.34</v>
      </c>
      <c r="Q78" s="16">
        <v>90087</v>
      </c>
      <c r="R78" s="14">
        <f>P78+ROUND(Q78, 2)</f>
        <v>180981.34</v>
      </c>
      <c r="S78" s="14">
        <f>ROUND(P78*I78, 2)</f>
        <v>30358.71</v>
      </c>
      <c r="T78" s="14">
        <f>ROUND(I78*ROUND(Q78, 2), 2)</f>
        <v>30089.06</v>
      </c>
      <c r="U78" s="14">
        <f>S78+T78</f>
        <v>60447.770000000004</v>
      </c>
      <c r="V78" s="9">
        <f>ROUND(P78 / 1.2, 2)</f>
        <v>75745.279999999999</v>
      </c>
      <c r="W78" s="9">
        <f>ROUND(Q78 / 1.2, 2)</f>
        <v>75072.5</v>
      </c>
      <c r="X78" s="9">
        <f>ROUND(R78 / 1.2, 2)</f>
        <v>150817.78</v>
      </c>
      <c r="Y78" s="9">
        <f t="shared" si="8"/>
        <v>25298.93</v>
      </c>
      <c r="Z78" s="9">
        <f>ROUND(T78 / 1.2, 2)</f>
        <v>25074.22</v>
      </c>
      <c r="AA78" s="9">
        <f>Y78+Z78</f>
        <v>50373.15</v>
      </c>
      <c r="AD78" s="4">
        <v>311044300</v>
      </c>
      <c r="AE78" s="4">
        <v>22703684</v>
      </c>
      <c r="AG78" s="4" t="s">
        <v>336</v>
      </c>
      <c r="AH78" s="4" t="s">
        <v>337</v>
      </c>
      <c r="AI78" s="4" t="s">
        <v>156</v>
      </c>
    </row>
    <row r="79" spans="1:35" ht="18" x14ac:dyDescent="0.3">
      <c r="A79" s="10" t="s">
        <v>338</v>
      </c>
      <c r="B79" s="10"/>
      <c r="C79" s="17" t="s">
        <v>339</v>
      </c>
      <c r="D79" s="12"/>
      <c r="E79" s="12" t="s">
        <v>340</v>
      </c>
      <c r="F79" s="18" t="s">
        <v>318</v>
      </c>
      <c r="G79" s="19">
        <v>1.03</v>
      </c>
      <c r="H79" s="24"/>
      <c r="I79" s="24">
        <v>4.4999999999999998E-2</v>
      </c>
      <c r="J79" s="20">
        <v>90475.16</v>
      </c>
      <c r="M79" s="21">
        <f>ROUND(ROUND(J79, 2)*I79, 2)</f>
        <v>4071.38</v>
      </c>
      <c r="P79" s="22">
        <v>90475.16</v>
      </c>
      <c r="S79" s="21">
        <f>ROUND(ROUND(P79, 2)*I79, 2)</f>
        <v>4071.38</v>
      </c>
      <c r="V79" s="9">
        <f>ROUND(ROUND(P79, 2)/1.2, 2)</f>
        <v>75395.97</v>
      </c>
      <c r="Y79" s="9">
        <f t="shared" si="8"/>
        <v>3392.82</v>
      </c>
      <c r="AD79" s="4" t="s">
        <v>341</v>
      </c>
      <c r="AE79" s="4" t="s">
        <v>342</v>
      </c>
      <c r="AF79" s="4" t="s">
        <v>343</v>
      </c>
    </row>
    <row r="80" spans="1:35" ht="126" x14ac:dyDescent="0.3">
      <c r="A80" s="10" t="s">
        <v>344</v>
      </c>
      <c r="B80" s="10"/>
      <c r="C80" s="17" t="s">
        <v>345</v>
      </c>
      <c r="D80" s="12"/>
      <c r="E80" s="12" t="s">
        <v>346</v>
      </c>
      <c r="F80" s="18" t="s">
        <v>318</v>
      </c>
      <c r="G80" s="19">
        <v>1.03</v>
      </c>
      <c r="H80" s="24"/>
      <c r="I80" s="24">
        <v>0.29899999999999999</v>
      </c>
      <c r="J80" s="20">
        <v>84640.9</v>
      </c>
      <c r="M80" s="21">
        <f>ROUND(ROUND(J80, 2)*I80, 2)</f>
        <v>25307.63</v>
      </c>
      <c r="P80" s="22">
        <v>84640.9</v>
      </c>
      <c r="S80" s="21">
        <f>ROUND(ROUND(P80, 2)*I80, 2)</f>
        <v>25307.63</v>
      </c>
      <c r="V80" s="9">
        <f>ROUND(ROUND(P80, 2)/1.2, 2)</f>
        <v>70534.080000000002</v>
      </c>
      <c r="Y80" s="9">
        <f t="shared" si="8"/>
        <v>21089.69</v>
      </c>
      <c r="AD80" s="4" t="s">
        <v>347</v>
      </c>
      <c r="AE80" s="4" t="s">
        <v>348</v>
      </c>
      <c r="AF80" s="4" t="s">
        <v>349</v>
      </c>
    </row>
    <row r="81" spans="1:35" ht="36" x14ac:dyDescent="0.3">
      <c r="A81" s="10" t="s">
        <v>350</v>
      </c>
      <c r="B81" s="10"/>
      <c r="C81" s="17" t="s">
        <v>351</v>
      </c>
      <c r="D81" s="12"/>
      <c r="E81" s="12"/>
      <c r="F81" s="18" t="s">
        <v>88</v>
      </c>
      <c r="G81" s="19">
        <v>1</v>
      </c>
      <c r="H81" s="19"/>
      <c r="I81" s="19">
        <v>0.33400000000000002</v>
      </c>
      <c r="J81" s="20">
        <v>2933.23</v>
      </c>
      <c r="M81" s="21">
        <f>ROUND(ROUND(J81, 2)*I81, 2)</f>
        <v>979.7</v>
      </c>
      <c r="P81" s="22">
        <v>2933.23</v>
      </c>
      <c r="S81" s="21">
        <f>ROUND(ROUND(P81, 2)*I81, 2)</f>
        <v>979.7</v>
      </c>
      <c r="V81" s="9">
        <f>ROUND(ROUND(P81, 2)/1.2, 2)</f>
        <v>2444.36</v>
      </c>
      <c r="Y81" s="9">
        <f t="shared" si="8"/>
        <v>816.42</v>
      </c>
      <c r="AD81" s="4" t="s">
        <v>352</v>
      </c>
      <c r="AE81" s="4" t="s">
        <v>353</v>
      </c>
      <c r="AF81" s="4" t="s">
        <v>354</v>
      </c>
    </row>
    <row r="82" spans="1:35" ht="108" x14ac:dyDescent="0.3">
      <c r="A82" s="10" t="s">
        <v>355</v>
      </c>
      <c r="B82" s="10" t="s">
        <v>332</v>
      </c>
      <c r="C82" s="11" t="s">
        <v>333</v>
      </c>
      <c r="D82" s="12" t="s">
        <v>334</v>
      </c>
      <c r="E82" s="12" t="s">
        <v>356</v>
      </c>
      <c r="F82" s="12" t="s">
        <v>318</v>
      </c>
      <c r="G82" s="13">
        <v>1</v>
      </c>
      <c r="H82" s="13"/>
      <c r="I82" s="13">
        <v>0.36499999999999999</v>
      </c>
      <c r="J82" s="14">
        <f>IFERROR(ROUND(SUM(M83,M84,M85)/I82, 2),0)</f>
        <v>91659.45</v>
      </c>
      <c r="K82" s="15">
        <v>60058</v>
      </c>
      <c r="L82" s="14">
        <f>J82+ROUND(K82, 2)</f>
        <v>151717.45000000001</v>
      </c>
      <c r="M82" s="14">
        <f>ROUND(J82*I82, 2)</f>
        <v>33455.699999999997</v>
      </c>
      <c r="N82" s="14">
        <f>ROUND(I82*ROUND(K82, 2), 2)</f>
        <v>21921.17</v>
      </c>
      <c r="O82" s="14">
        <f>M82+N82</f>
        <v>55376.869999999995</v>
      </c>
      <c r="P82" s="14">
        <f>IFERROR(ROUND(SUM(S83,S84,S85)/I82, 2),0)</f>
        <v>91659.45</v>
      </c>
      <c r="Q82" s="16">
        <v>90087</v>
      </c>
      <c r="R82" s="14">
        <f>P82+ROUND(Q82, 2)</f>
        <v>181746.45</v>
      </c>
      <c r="S82" s="14">
        <f>ROUND(P82*I82, 2)</f>
        <v>33455.699999999997</v>
      </c>
      <c r="T82" s="14">
        <f>ROUND(I82*ROUND(Q82, 2), 2)</f>
        <v>32881.760000000002</v>
      </c>
      <c r="U82" s="14">
        <f>S82+T82</f>
        <v>66337.459999999992</v>
      </c>
      <c r="V82" s="9">
        <f>ROUND(P82 / 1.2, 2)</f>
        <v>76382.880000000005</v>
      </c>
      <c r="W82" s="9">
        <f>ROUND(Q82 / 1.2, 2)</f>
        <v>75072.5</v>
      </c>
      <c r="X82" s="9">
        <f>ROUND(R82 / 1.2, 2)</f>
        <v>151455.38</v>
      </c>
      <c r="Y82" s="9">
        <f t="shared" si="8"/>
        <v>27879.75</v>
      </c>
      <c r="Z82" s="9">
        <f>ROUND(T82 / 1.2, 2)</f>
        <v>27401.47</v>
      </c>
      <c r="AA82" s="9">
        <f>Y82+Z82</f>
        <v>55281.22</v>
      </c>
      <c r="AD82" s="4">
        <v>311044414</v>
      </c>
      <c r="AE82" s="4">
        <v>22703683</v>
      </c>
      <c r="AG82" s="4" t="s">
        <v>336</v>
      </c>
      <c r="AH82" s="4" t="s">
        <v>337</v>
      </c>
      <c r="AI82" s="4" t="s">
        <v>156</v>
      </c>
    </row>
    <row r="83" spans="1:35" ht="36" x14ac:dyDescent="0.3">
      <c r="A83" s="10" t="s">
        <v>357</v>
      </c>
      <c r="B83" s="10"/>
      <c r="C83" s="17" t="s">
        <v>351</v>
      </c>
      <c r="D83" s="12"/>
      <c r="E83" s="12"/>
      <c r="F83" s="18" t="s">
        <v>88</v>
      </c>
      <c r="G83" s="19">
        <v>1</v>
      </c>
      <c r="H83" s="19"/>
      <c r="I83" s="19">
        <v>0.36499999999999999</v>
      </c>
      <c r="J83" s="20">
        <v>2933.23</v>
      </c>
      <c r="M83" s="21">
        <f>ROUND(ROUND(J83, 2)*I83, 2)</f>
        <v>1070.6300000000001</v>
      </c>
      <c r="P83" s="22">
        <v>2933.23</v>
      </c>
      <c r="S83" s="21">
        <f>ROUND(ROUND(P83, 2)*I83, 2)</f>
        <v>1070.6300000000001</v>
      </c>
      <c r="V83" s="9">
        <f>ROUND(ROUND(P83, 2)/1.2, 2)</f>
        <v>2444.36</v>
      </c>
      <c r="Y83" s="9">
        <f t="shared" si="8"/>
        <v>892.19</v>
      </c>
      <c r="AD83" s="4" t="s">
        <v>358</v>
      </c>
      <c r="AE83" s="4" t="s">
        <v>359</v>
      </c>
      <c r="AF83" s="4" t="s">
        <v>354</v>
      </c>
    </row>
    <row r="84" spans="1:35" ht="18" x14ac:dyDescent="0.3">
      <c r="A84" s="10" t="s">
        <v>360</v>
      </c>
      <c r="B84" s="10"/>
      <c r="C84" s="17" t="s">
        <v>345</v>
      </c>
      <c r="D84" s="12"/>
      <c r="E84" s="12"/>
      <c r="F84" s="18" t="s">
        <v>318</v>
      </c>
      <c r="G84" s="19">
        <v>1.03</v>
      </c>
      <c r="H84" s="24"/>
      <c r="I84" s="24">
        <v>0.28000000000000003</v>
      </c>
      <c r="J84" s="20">
        <v>84640.9</v>
      </c>
      <c r="M84" s="21">
        <f>ROUND(ROUND(J84, 2)*I84, 2)</f>
        <v>23699.45</v>
      </c>
      <c r="P84" s="22">
        <v>84640.9</v>
      </c>
      <c r="S84" s="21">
        <f>ROUND(ROUND(P84, 2)*I84, 2)</f>
        <v>23699.45</v>
      </c>
      <c r="V84" s="9">
        <f>ROUND(ROUND(P84, 2)/1.2, 2)</f>
        <v>70534.080000000002</v>
      </c>
      <c r="Y84" s="9">
        <f t="shared" si="8"/>
        <v>19749.54</v>
      </c>
      <c r="AD84" s="4" t="s">
        <v>361</v>
      </c>
      <c r="AE84" s="4" t="s">
        <v>362</v>
      </c>
      <c r="AF84" s="4" t="s">
        <v>349</v>
      </c>
    </row>
    <row r="85" spans="1:35" ht="18" x14ac:dyDescent="0.3">
      <c r="A85" s="10" t="s">
        <v>363</v>
      </c>
      <c r="B85" s="10"/>
      <c r="C85" s="17" t="s">
        <v>339</v>
      </c>
      <c r="D85" s="12"/>
      <c r="E85" s="12"/>
      <c r="F85" s="18" t="s">
        <v>318</v>
      </c>
      <c r="G85" s="19">
        <v>1.03</v>
      </c>
      <c r="H85" s="24"/>
      <c r="I85" s="24">
        <v>9.6000000000000002E-2</v>
      </c>
      <c r="J85" s="20">
        <v>90475.16</v>
      </c>
      <c r="M85" s="21">
        <f>ROUND(ROUND(J85, 2)*I85, 2)</f>
        <v>8685.6200000000008</v>
      </c>
      <c r="P85" s="22">
        <v>90475.16</v>
      </c>
      <c r="S85" s="21">
        <f>ROUND(ROUND(P85, 2)*I85, 2)</f>
        <v>8685.6200000000008</v>
      </c>
      <c r="V85" s="9">
        <f>ROUND(ROUND(P85, 2)/1.2, 2)</f>
        <v>75395.97</v>
      </c>
      <c r="Y85" s="9">
        <f t="shared" si="8"/>
        <v>7238.02</v>
      </c>
      <c r="AD85" s="4" t="s">
        <v>364</v>
      </c>
      <c r="AE85" s="4" t="s">
        <v>365</v>
      </c>
      <c r="AF85" s="4" t="s">
        <v>343</v>
      </c>
    </row>
    <row r="86" spans="1:35" ht="108" x14ac:dyDescent="0.3">
      <c r="A86" s="10" t="s">
        <v>366</v>
      </c>
      <c r="B86" s="10" t="s">
        <v>332</v>
      </c>
      <c r="C86" s="11" t="s">
        <v>333</v>
      </c>
      <c r="D86" s="12" t="s">
        <v>334</v>
      </c>
      <c r="E86" s="12" t="s">
        <v>367</v>
      </c>
      <c r="F86" s="12" t="s">
        <v>318</v>
      </c>
      <c r="G86" s="13">
        <v>1</v>
      </c>
      <c r="H86" s="13"/>
      <c r="I86" s="13">
        <v>2.0030000000000001</v>
      </c>
      <c r="J86" s="14">
        <f>IFERROR(ROUND(SUM(M87,M88,M89)/I86, 2),0)</f>
        <v>91638.8</v>
      </c>
      <c r="K86" s="15">
        <v>60058</v>
      </c>
      <c r="L86" s="14">
        <f>J86+ROUND(K86, 2)</f>
        <v>151696.79999999999</v>
      </c>
      <c r="M86" s="14">
        <f>ROUND(J86*I86, 2)</f>
        <v>183552.52</v>
      </c>
      <c r="N86" s="14">
        <f>ROUND(I86*ROUND(K86, 2), 2)</f>
        <v>120296.17</v>
      </c>
      <c r="O86" s="14">
        <f>M86+N86</f>
        <v>303848.69</v>
      </c>
      <c r="P86" s="14">
        <f>IFERROR(ROUND(SUM(S87,S88,S89)/I86, 2),0)</f>
        <v>91638.8</v>
      </c>
      <c r="Q86" s="16">
        <v>90087</v>
      </c>
      <c r="R86" s="14">
        <f>P86+ROUND(Q86, 2)</f>
        <v>181725.8</v>
      </c>
      <c r="S86" s="14">
        <f>ROUND(P86*I86, 2)</f>
        <v>183552.52</v>
      </c>
      <c r="T86" s="14">
        <f>ROUND(I86*ROUND(Q86, 2), 2)</f>
        <v>180444.26</v>
      </c>
      <c r="U86" s="14">
        <f>S86+T86</f>
        <v>363996.78</v>
      </c>
      <c r="V86" s="9">
        <f>ROUND(P86 / 1.2, 2)</f>
        <v>76365.67</v>
      </c>
      <c r="W86" s="9">
        <f>ROUND(Q86 / 1.2, 2)</f>
        <v>75072.5</v>
      </c>
      <c r="X86" s="9">
        <f>ROUND(R86 / 1.2, 2)</f>
        <v>151438.17000000001</v>
      </c>
      <c r="Y86" s="9">
        <f t="shared" si="8"/>
        <v>152960.43</v>
      </c>
      <c r="Z86" s="9">
        <f>ROUND(T86 / 1.2, 2)</f>
        <v>150370.22</v>
      </c>
      <c r="AA86" s="9">
        <f>Y86+Z86</f>
        <v>303330.65000000002</v>
      </c>
      <c r="AD86" s="4">
        <v>311044415</v>
      </c>
      <c r="AE86" s="4">
        <v>22713686</v>
      </c>
      <c r="AG86" s="4" t="s">
        <v>336</v>
      </c>
      <c r="AH86" s="4" t="s">
        <v>337</v>
      </c>
      <c r="AI86" s="4" t="s">
        <v>156</v>
      </c>
    </row>
    <row r="87" spans="1:35" ht="18" x14ac:dyDescent="0.3">
      <c r="A87" s="10" t="s">
        <v>368</v>
      </c>
      <c r="B87" s="10"/>
      <c r="C87" s="17" t="s">
        <v>339</v>
      </c>
      <c r="D87" s="12"/>
      <c r="E87" s="12"/>
      <c r="F87" s="18" t="s">
        <v>318</v>
      </c>
      <c r="G87" s="19">
        <v>1.03</v>
      </c>
      <c r="H87" s="24"/>
      <c r="I87" s="24">
        <v>0.496</v>
      </c>
      <c r="J87" s="20">
        <v>90475.16</v>
      </c>
      <c r="M87" s="21">
        <f>ROUND(ROUND(J87, 2)*I87, 2)</f>
        <v>44875.68</v>
      </c>
      <c r="P87" s="22">
        <v>90475.16</v>
      </c>
      <c r="S87" s="21">
        <f>ROUND(ROUND(P87, 2)*I87, 2)</f>
        <v>44875.68</v>
      </c>
      <c r="V87" s="9">
        <f>ROUND(ROUND(P87, 2)/1.2, 2)</f>
        <v>75395.97</v>
      </c>
      <c r="Y87" s="9">
        <f t="shared" si="8"/>
        <v>37396.400000000001</v>
      </c>
      <c r="AD87" s="4" t="s">
        <v>369</v>
      </c>
      <c r="AE87" s="4" t="s">
        <v>370</v>
      </c>
      <c r="AF87" s="4" t="s">
        <v>343</v>
      </c>
    </row>
    <row r="88" spans="1:35" ht="18" x14ac:dyDescent="0.3">
      <c r="A88" s="10" t="s">
        <v>371</v>
      </c>
      <c r="B88" s="10"/>
      <c r="C88" s="17" t="s">
        <v>345</v>
      </c>
      <c r="D88" s="12"/>
      <c r="E88" s="12"/>
      <c r="F88" s="18" t="s">
        <v>318</v>
      </c>
      <c r="G88" s="19">
        <v>1.03</v>
      </c>
      <c r="H88" s="24"/>
      <c r="I88" s="24">
        <v>1.569</v>
      </c>
      <c r="J88" s="20">
        <v>84640.9</v>
      </c>
      <c r="M88" s="21">
        <f>ROUND(ROUND(J88, 2)*I88, 2)</f>
        <v>132801.57</v>
      </c>
      <c r="P88" s="22">
        <v>84640.9</v>
      </c>
      <c r="S88" s="21">
        <f>ROUND(ROUND(P88, 2)*I88, 2)</f>
        <v>132801.57</v>
      </c>
      <c r="V88" s="9">
        <f>ROUND(ROUND(P88, 2)/1.2, 2)</f>
        <v>70534.080000000002</v>
      </c>
      <c r="Y88" s="9">
        <f t="shared" si="8"/>
        <v>110667.98</v>
      </c>
      <c r="AD88" s="4" t="s">
        <v>372</v>
      </c>
      <c r="AE88" s="4" t="s">
        <v>373</v>
      </c>
      <c r="AF88" s="4" t="s">
        <v>349</v>
      </c>
    </row>
    <row r="89" spans="1:35" ht="36" x14ac:dyDescent="0.3">
      <c r="A89" s="10" t="s">
        <v>374</v>
      </c>
      <c r="B89" s="10"/>
      <c r="C89" s="17" t="s">
        <v>351</v>
      </c>
      <c r="D89" s="12"/>
      <c r="E89" s="12"/>
      <c r="F89" s="18" t="s">
        <v>88</v>
      </c>
      <c r="G89" s="19">
        <v>1</v>
      </c>
      <c r="H89" s="19"/>
      <c r="I89" s="19">
        <v>2.0030000000000001</v>
      </c>
      <c r="J89" s="20">
        <v>2933.23</v>
      </c>
      <c r="M89" s="21">
        <f>ROUND(ROUND(J89, 2)*I89, 2)</f>
        <v>5875.26</v>
      </c>
      <c r="P89" s="22">
        <v>2933.23</v>
      </c>
      <c r="S89" s="21">
        <f>ROUND(ROUND(P89, 2)*I89, 2)</f>
        <v>5875.26</v>
      </c>
      <c r="V89" s="9">
        <f>ROUND(ROUND(P89, 2)/1.2, 2)</f>
        <v>2444.36</v>
      </c>
      <c r="Y89" s="9">
        <f t="shared" si="8"/>
        <v>4896.05</v>
      </c>
      <c r="AD89" s="4" t="s">
        <v>375</v>
      </c>
      <c r="AE89" s="4" t="s">
        <v>376</v>
      </c>
      <c r="AF89" s="4" t="s">
        <v>354</v>
      </c>
    </row>
    <row r="90" spans="1:35" ht="409.6" x14ac:dyDescent="0.3">
      <c r="A90" s="10" t="s">
        <v>377</v>
      </c>
      <c r="B90" s="10" t="s">
        <v>378</v>
      </c>
      <c r="C90" s="11" t="s">
        <v>379</v>
      </c>
      <c r="D90" s="12" t="s">
        <v>380</v>
      </c>
      <c r="E90" s="12" t="s">
        <v>381</v>
      </c>
      <c r="F90" s="12" t="s">
        <v>318</v>
      </c>
      <c r="G90" s="13">
        <v>1</v>
      </c>
      <c r="H90" s="13"/>
      <c r="I90" s="13">
        <v>7.7649999999999997</v>
      </c>
      <c r="J90" s="14">
        <f>IFERROR(ROUND(SUM(M91,M92)/I90, 2),0)</f>
        <v>72590</v>
      </c>
      <c r="K90" s="15">
        <v>108112</v>
      </c>
      <c r="L90" s="14">
        <f>J90+ROUND(K90, 2)</f>
        <v>180702</v>
      </c>
      <c r="M90" s="14">
        <f>ROUND(J90*I90, 2)</f>
        <v>563661.35</v>
      </c>
      <c r="N90" s="14">
        <f>ROUND(I90*ROUND(K90, 2), 2)</f>
        <v>839489.68</v>
      </c>
      <c r="O90" s="14">
        <f>M90+N90</f>
        <v>1403151.03</v>
      </c>
      <c r="P90" s="14">
        <f>IFERROR(ROUND(SUM(S91,S92)/I90, 2),0)</f>
        <v>146421.04</v>
      </c>
      <c r="Q90" s="16">
        <v>162168</v>
      </c>
      <c r="R90" s="14">
        <f>P90+ROUND(Q90, 2)</f>
        <v>308589.04000000004</v>
      </c>
      <c r="S90" s="14">
        <f>ROUND(P90*I90, 2)</f>
        <v>1136959.3799999999</v>
      </c>
      <c r="T90" s="14">
        <f>ROUND(I90*ROUND(Q90, 2), 2)</f>
        <v>1259234.52</v>
      </c>
      <c r="U90" s="14">
        <f>S90+T90</f>
        <v>2396193.9</v>
      </c>
      <c r="V90" s="9">
        <f>ROUND(P90 / 1.2, 2)</f>
        <v>122017.53</v>
      </c>
      <c r="W90" s="9">
        <f>ROUND(Q90 / 1.2, 2)</f>
        <v>135140</v>
      </c>
      <c r="X90" s="9">
        <f>ROUND(R90 / 1.2, 2)</f>
        <v>257157.53</v>
      </c>
      <c r="Y90" s="9">
        <f t="shared" si="8"/>
        <v>947466.15</v>
      </c>
      <c r="Z90" s="9">
        <f>ROUND(T90 / 1.2, 2)</f>
        <v>1049362.1000000001</v>
      </c>
      <c r="AA90" s="9">
        <f>Y90+Z90</f>
        <v>1996828.25</v>
      </c>
      <c r="AD90" s="4">
        <v>311044302</v>
      </c>
      <c r="AE90" s="4">
        <v>22708559</v>
      </c>
      <c r="AG90" s="4" t="s">
        <v>382</v>
      </c>
      <c r="AH90" s="4" t="s">
        <v>383</v>
      </c>
      <c r="AI90" s="4" t="s">
        <v>156</v>
      </c>
    </row>
    <row r="91" spans="1:35" ht="54" x14ac:dyDescent="0.3">
      <c r="A91" s="10" t="s">
        <v>384</v>
      </c>
      <c r="B91" s="10"/>
      <c r="C91" s="17" t="s">
        <v>385</v>
      </c>
      <c r="D91" s="12"/>
      <c r="E91" s="12"/>
      <c r="F91" s="18" t="s">
        <v>318</v>
      </c>
      <c r="G91" s="19">
        <v>1</v>
      </c>
      <c r="H91" s="19"/>
      <c r="I91" s="19">
        <v>7.7649999999999997</v>
      </c>
      <c r="J91" s="20">
        <v>72590</v>
      </c>
      <c r="M91" s="21">
        <f>ROUND(ROUND(J91, 2)*I91, 2)</f>
        <v>563661.35</v>
      </c>
      <c r="P91" s="22">
        <v>72590</v>
      </c>
      <c r="S91" s="21">
        <f>ROUND(ROUND(P91, 2)*I91, 2)</f>
        <v>563661.35</v>
      </c>
      <c r="V91" s="9">
        <f>ROUND(ROUND(P91, 2)/1.2, 2)</f>
        <v>60491.67</v>
      </c>
      <c r="Y91" s="9">
        <f t="shared" si="8"/>
        <v>469717.79</v>
      </c>
      <c r="AD91" s="4" t="s">
        <v>386</v>
      </c>
      <c r="AE91" s="4" t="s">
        <v>387</v>
      </c>
      <c r="AF91" s="4" t="s">
        <v>388</v>
      </c>
    </row>
    <row r="92" spans="1:35" ht="108" x14ac:dyDescent="0.3">
      <c r="A92" s="10" t="s">
        <v>389</v>
      </c>
      <c r="B92" s="10"/>
      <c r="C92" s="17" t="s">
        <v>390</v>
      </c>
      <c r="D92" s="12"/>
      <c r="E92" s="12" t="s">
        <v>391</v>
      </c>
      <c r="F92" s="18" t="s">
        <v>139</v>
      </c>
      <c r="G92" s="19">
        <v>1</v>
      </c>
      <c r="H92" s="24"/>
      <c r="I92" s="24">
        <v>2266</v>
      </c>
      <c r="J92" s="20">
        <v>0</v>
      </c>
      <c r="M92" s="21">
        <f>ROUND(ROUND(J92, 2)*I92, 2)</f>
        <v>0</v>
      </c>
      <c r="P92" s="22">
        <v>253</v>
      </c>
      <c r="S92" s="21">
        <f>ROUND(ROUND(P92, 2)*I92, 2)</f>
        <v>573298</v>
      </c>
      <c r="V92" s="9">
        <f>ROUND(ROUND(P92, 2)/1.2, 2)</f>
        <v>210.83</v>
      </c>
      <c r="Y92" s="9">
        <f t="shared" si="8"/>
        <v>477748.33</v>
      </c>
      <c r="AD92" s="4" t="s">
        <v>392</v>
      </c>
      <c r="AE92" s="4" t="s">
        <v>393</v>
      </c>
      <c r="AF92" s="4" t="s">
        <v>394</v>
      </c>
    </row>
    <row r="93" spans="1:35" ht="36" x14ac:dyDescent="0.3">
      <c r="A93" s="10" t="s">
        <v>395</v>
      </c>
      <c r="B93" s="10" t="s">
        <v>396</v>
      </c>
      <c r="C93" s="11" t="s">
        <v>397</v>
      </c>
      <c r="D93" s="12"/>
      <c r="E93" s="12" t="s">
        <v>398</v>
      </c>
      <c r="F93" s="12" t="s">
        <v>318</v>
      </c>
      <c r="G93" s="13">
        <v>1</v>
      </c>
      <c r="H93" s="13"/>
      <c r="I93" s="13">
        <v>1.59</v>
      </c>
      <c r="J93" s="14">
        <f>IFERROR(ROUND(SUM(M94)/I93, 2),0)</f>
        <v>0</v>
      </c>
      <c r="K93" s="15">
        <v>96922</v>
      </c>
      <c r="L93" s="14">
        <f>J93+ROUND(K93, 2)</f>
        <v>96922</v>
      </c>
      <c r="M93" s="14">
        <f>ROUND(J93*I93, 2)</f>
        <v>0</v>
      </c>
      <c r="N93" s="14">
        <f>ROUND(I93*ROUND(K93, 2), 2)</f>
        <v>154105.98000000001</v>
      </c>
      <c r="O93" s="14">
        <f>M93+N93</f>
        <v>154105.98000000001</v>
      </c>
      <c r="P93" s="14">
        <f>IFERROR(ROUND(SUM(S94)/I93, 2),0)</f>
        <v>124530</v>
      </c>
      <c r="Q93" s="16">
        <v>145383</v>
      </c>
      <c r="R93" s="14">
        <f>P93+ROUND(Q93, 2)</f>
        <v>269913</v>
      </c>
      <c r="S93" s="14">
        <f>ROUND(P93*I93, 2)</f>
        <v>198002.7</v>
      </c>
      <c r="T93" s="14">
        <f>ROUND(I93*ROUND(Q93, 2), 2)</f>
        <v>231158.97</v>
      </c>
      <c r="U93" s="14">
        <f>S93+T93</f>
        <v>429161.67000000004</v>
      </c>
      <c r="V93" s="9">
        <f>ROUND(P93 / 1.2, 2)</f>
        <v>103775</v>
      </c>
      <c r="W93" s="9">
        <f>ROUND(Q93 / 1.2, 2)</f>
        <v>121152.5</v>
      </c>
      <c r="X93" s="9">
        <f>ROUND(R93 / 1.2, 2)</f>
        <v>224927.5</v>
      </c>
      <c r="Y93" s="9">
        <f t="shared" si="8"/>
        <v>165002.25</v>
      </c>
      <c r="Z93" s="9">
        <f>ROUND(T93 / 1.2, 2)</f>
        <v>192632.48</v>
      </c>
      <c r="AA93" s="9">
        <f>Y93+Z93</f>
        <v>357634.73</v>
      </c>
      <c r="AD93" s="4">
        <v>311044304</v>
      </c>
      <c r="AE93" s="4">
        <v>22708555</v>
      </c>
      <c r="AG93" s="4" t="s">
        <v>399</v>
      </c>
      <c r="AH93" s="4" t="s">
        <v>400</v>
      </c>
      <c r="AI93" s="4" t="s">
        <v>156</v>
      </c>
    </row>
    <row r="94" spans="1:35" ht="36" x14ac:dyDescent="0.3">
      <c r="A94" s="10" t="s">
        <v>401</v>
      </c>
      <c r="B94" s="10"/>
      <c r="C94" s="17" t="s">
        <v>402</v>
      </c>
      <c r="D94" s="12"/>
      <c r="E94" s="12"/>
      <c r="F94" s="18" t="s">
        <v>318</v>
      </c>
      <c r="G94" s="19">
        <v>1</v>
      </c>
      <c r="H94" s="19"/>
      <c r="I94" s="19">
        <v>1.59</v>
      </c>
      <c r="J94" s="20">
        <v>0</v>
      </c>
      <c r="M94" s="21">
        <f>ROUND(ROUND(J94, 2)*I94, 2)</f>
        <v>0</v>
      </c>
      <c r="P94" s="22">
        <v>124530</v>
      </c>
      <c r="S94" s="21">
        <f>ROUND(ROUND(P94, 2)*I94, 2)</f>
        <v>198002.7</v>
      </c>
      <c r="V94" s="9">
        <f>ROUND(ROUND(P94, 2)/1.2, 2)</f>
        <v>103775</v>
      </c>
      <c r="Y94" s="9">
        <f t="shared" si="8"/>
        <v>165002.25</v>
      </c>
      <c r="AD94" s="4" t="s">
        <v>403</v>
      </c>
      <c r="AE94" s="4" t="s">
        <v>404</v>
      </c>
      <c r="AF94" s="4" t="s">
        <v>405</v>
      </c>
    </row>
    <row r="95" spans="1:35" ht="36" x14ac:dyDescent="0.3">
      <c r="A95" s="10" t="s">
        <v>406</v>
      </c>
      <c r="B95" s="10" t="s">
        <v>396</v>
      </c>
      <c r="C95" s="11" t="s">
        <v>397</v>
      </c>
      <c r="D95" s="12"/>
      <c r="E95" s="12" t="s">
        <v>407</v>
      </c>
      <c r="F95" s="12" t="s">
        <v>318</v>
      </c>
      <c r="G95" s="13">
        <v>1</v>
      </c>
      <c r="H95" s="13"/>
      <c r="I95" s="13">
        <v>1.113</v>
      </c>
      <c r="J95" s="14">
        <f>IFERROR(ROUND(SUM(M96)/I95, 2),0)</f>
        <v>0</v>
      </c>
      <c r="K95" s="15">
        <v>96922</v>
      </c>
      <c r="L95" s="14">
        <f>J95+ROUND(K95, 2)</f>
        <v>96922</v>
      </c>
      <c r="M95" s="14">
        <f>ROUND(J95*I95, 2)</f>
        <v>0</v>
      </c>
      <c r="N95" s="14">
        <f>ROUND(I95*ROUND(K95, 2), 2)</f>
        <v>107874.19</v>
      </c>
      <c r="O95" s="14">
        <f>M95+N95</f>
        <v>107874.19</v>
      </c>
      <c r="P95" s="14">
        <f>IFERROR(ROUND(SUM(S96)/I95, 2),0)</f>
        <v>124530</v>
      </c>
      <c r="Q95" s="16">
        <v>145383</v>
      </c>
      <c r="R95" s="14">
        <f>P95+ROUND(Q95, 2)</f>
        <v>269913</v>
      </c>
      <c r="S95" s="14">
        <f>ROUND(P95*I95, 2)</f>
        <v>138601.89000000001</v>
      </c>
      <c r="T95" s="14">
        <f>ROUND(I95*ROUND(Q95, 2), 2)</f>
        <v>161811.28</v>
      </c>
      <c r="U95" s="14">
        <f>S95+T95</f>
        <v>300413.17000000004</v>
      </c>
      <c r="V95" s="9">
        <f>ROUND(P95 / 1.2, 2)</f>
        <v>103775</v>
      </c>
      <c r="W95" s="9">
        <f>ROUND(Q95 / 1.2, 2)</f>
        <v>121152.5</v>
      </c>
      <c r="X95" s="9">
        <f>ROUND(R95 / 1.2, 2)</f>
        <v>224927.5</v>
      </c>
      <c r="Y95" s="9">
        <f t="shared" si="8"/>
        <v>115501.58</v>
      </c>
      <c r="Z95" s="9">
        <f>ROUND(T95 / 1.2, 2)</f>
        <v>134842.73000000001</v>
      </c>
      <c r="AA95" s="9">
        <f>Y95+Z95</f>
        <v>250344.31</v>
      </c>
      <c r="AD95" s="4">
        <v>311044416</v>
      </c>
      <c r="AE95" s="4">
        <v>22708556</v>
      </c>
      <c r="AG95" s="4" t="s">
        <v>399</v>
      </c>
      <c r="AH95" s="4" t="s">
        <v>400</v>
      </c>
      <c r="AI95" s="4" t="s">
        <v>156</v>
      </c>
    </row>
    <row r="96" spans="1:35" ht="36" x14ac:dyDescent="0.3">
      <c r="A96" s="10" t="s">
        <v>408</v>
      </c>
      <c r="B96" s="10"/>
      <c r="C96" s="17" t="s">
        <v>402</v>
      </c>
      <c r="D96" s="12"/>
      <c r="E96" s="12"/>
      <c r="F96" s="18" t="s">
        <v>318</v>
      </c>
      <c r="G96" s="19">
        <v>1</v>
      </c>
      <c r="H96" s="19"/>
      <c r="I96" s="19">
        <v>1.113</v>
      </c>
      <c r="J96" s="20">
        <v>0</v>
      </c>
      <c r="M96" s="21">
        <f>ROUND(ROUND(J96, 2)*I96, 2)</f>
        <v>0</v>
      </c>
      <c r="P96" s="22">
        <v>124530</v>
      </c>
      <c r="S96" s="21">
        <f>ROUND(ROUND(P96, 2)*I96, 2)</f>
        <v>138601.89000000001</v>
      </c>
      <c r="V96" s="9">
        <f>ROUND(ROUND(P96, 2)/1.2, 2)</f>
        <v>103775</v>
      </c>
      <c r="Y96" s="9">
        <f t="shared" si="8"/>
        <v>115501.58</v>
      </c>
      <c r="AD96" s="4" t="s">
        <v>409</v>
      </c>
      <c r="AE96" s="4" t="s">
        <v>410</v>
      </c>
      <c r="AF96" s="4" t="s">
        <v>405</v>
      </c>
    </row>
    <row r="97" spans="1:35" ht="36" x14ac:dyDescent="0.3">
      <c r="A97" s="10" t="s">
        <v>411</v>
      </c>
      <c r="B97" s="10" t="s">
        <v>396</v>
      </c>
      <c r="C97" s="11" t="s">
        <v>397</v>
      </c>
      <c r="D97" s="12"/>
      <c r="E97" s="12" t="s">
        <v>412</v>
      </c>
      <c r="F97" s="12" t="s">
        <v>318</v>
      </c>
      <c r="G97" s="13">
        <v>1</v>
      </c>
      <c r="H97" s="13"/>
      <c r="I97" s="13">
        <v>0.36699999999999999</v>
      </c>
      <c r="J97" s="14">
        <f>IFERROR(ROUND(SUM(M98)/I97, 2),0)</f>
        <v>0</v>
      </c>
      <c r="K97" s="15">
        <v>96922</v>
      </c>
      <c r="L97" s="14">
        <f>J97+ROUND(K97, 2)</f>
        <v>96922</v>
      </c>
      <c r="M97" s="14">
        <f>ROUND(J97*I97, 2)</f>
        <v>0</v>
      </c>
      <c r="N97" s="14">
        <f>ROUND(I97*ROUND(K97, 2), 2)</f>
        <v>35570.370000000003</v>
      </c>
      <c r="O97" s="14">
        <f>M97+N97</f>
        <v>35570.370000000003</v>
      </c>
      <c r="P97" s="14">
        <f>IFERROR(ROUND(SUM(S98)/I97, 2),0)</f>
        <v>124530</v>
      </c>
      <c r="Q97" s="16">
        <v>145383</v>
      </c>
      <c r="R97" s="14">
        <f>P97+ROUND(Q97, 2)</f>
        <v>269913</v>
      </c>
      <c r="S97" s="14">
        <f>ROUND(P97*I97, 2)</f>
        <v>45702.51</v>
      </c>
      <c r="T97" s="14">
        <f>ROUND(I97*ROUND(Q97, 2), 2)</f>
        <v>53355.56</v>
      </c>
      <c r="U97" s="14">
        <f>S97+T97</f>
        <v>99058.07</v>
      </c>
      <c r="V97" s="9">
        <f>ROUND(P97 / 1.2, 2)</f>
        <v>103775</v>
      </c>
      <c r="W97" s="9">
        <f>ROUND(Q97 / 1.2, 2)</f>
        <v>121152.5</v>
      </c>
      <c r="X97" s="9">
        <f>ROUND(R97 / 1.2, 2)</f>
        <v>224927.5</v>
      </c>
      <c r="Y97" s="9">
        <f t="shared" si="8"/>
        <v>38085.43</v>
      </c>
      <c r="Z97" s="9">
        <f>ROUND(T97 / 1.2, 2)</f>
        <v>44462.97</v>
      </c>
      <c r="AA97" s="9">
        <f>Y97+Z97</f>
        <v>82548.399999999994</v>
      </c>
      <c r="AD97" s="4">
        <v>311044417</v>
      </c>
      <c r="AE97" s="4">
        <v>22713690</v>
      </c>
      <c r="AG97" s="4" t="s">
        <v>399</v>
      </c>
      <c r="AH97" s="4" t="s">
        <v>400</v>
      </c>
      <c r="AI97" s="4" t="s">
        <v>156</v>
      </c>
    </row>
    <row r="98" spans="1:35" ht="54" x14ac:dyDescent="0.3">
      <c r="A98" s="10" t="s">
        <v>413</v>
      </c>
      <c r="B98" s="10"/>
      <c r="C98" s="17" t="s">
        <v>402</v>
      </c>
      <c r="D98" s="12"/>
      <c r="E98" s="12"/>
      <c r="F98" s="18" t="s">
        <v>318</v>
      </c>
      <c r="G98" s="19">
        <v>1</v>
      </c>
      <c r="H98" s="19"/>
      <c r="I98" s="19">
        <v>0.36699999999999999</v>
      </c>
      <c r="J98" s="20">
        <v>0</v>
      </c>
      <c r="M98" s="21">
        <f>ROUND(ROUND(J98, 2)*I98, 2)</f>
        <v>0</v>
      </c>
      <c r="P98" s="22">
        <v>124530</v>
      </c>
      <c r="S98" s="21">
        <f>ROUND(ROUND(P98, 2)*I98, 2)</f>
        <v>45702.51</v>
      </c>
      <c r="V98" s="9">
        <f>ROUND(ROUND(P98, 2)/1.2, 2)</f>
        <v>103775</v>
      </c>
      <c r="Y98" s="9">
        <f t="shared" si="8"/>
        <v>38085.43</v>
      </c>
      <c r="AD98" s="4" t="s">
        <v>414</v>
      </c>
      <c r="AE98" s="4" t="s">
        <v>415</v>
      </c>
      <c r="AF98" s="4" t="s">
        <v>405</v>
      </c>
    </row>
    <row r="99" spans="1:35" ht="16.95" customHeight="1" x14ac:dyDescent="0.3">
      <c r="A99" s="10" t="s">
        <v>416</v>
      </c>
      <c r="B99" s="10" t="s">
        <v>417</v>
      </c>
      <c r="C99" s="51" t="s">
        <v>418</v>
      </c>
      <c r="D99" s="52"/>
      <c r="E99" s="52"/>
      <c r="F99" s="52"/>
      <c r="G99" s="52"/>
      <c r="H99" s="52"/>
      <c r="I99" s="53"/>
      <c r="M99" s="6">
        <f>SUM(M100)</f>
        <v>0</v>
      </c>
      <c r="N99" s="6">
        <f>SUM(N100)</f>
        <v>0</v>
      </c>
      <c r="O99" s="6">
        <f>SUM(O100)</f>
        <v>0</v>
      </c>
      <c r="S99" s="6">
        <f>SUM(S100)</f>
        <v>0</v>
      </c>
      <c r="T99" s="6">
        <f>SUM(T100)</f>
        <v>26348.400000000001</v>
      </c>
      <c r="U99" s="6">
        <f>SUM(U100)</f>
        <v>26348.400000000001</v>
      </c>
      <c r="Y99" s="9">
        <f>SUM(Y100)</f>
        <v>0</v>
      </c>
      <c r="Z99" s="9">
        <f>SUM(Z100)</f>
        <v>21957</v>
      </c>
      <c r="AA99" s="9">
        <f>SUM(AA100)</f>
        <v>21957</v>
      </c>
      <c r="AD99" s="4">
        <v>311044305</v>
      </c>
      <c r="AE99" s="4">
        <v>22724001</v>
      </c>
    </row>
    <row r="100" spans="1:35" ht="108" x14ac:dyDescent="0.3">
      <c r="A100" s="10" t="s">
        <v>419</v>
      </c>
      <c r="B100" s="10" t="s">
        <v>420</v>
      </c>
      <c r="C100" s="11" t="s">
        <v>421</v>
      </c>
      <c r="D100" s="12"/>
      <c r="E100" s="12" t="s">
        <v>422</v>
      </c>
      <c r="F100" s="12" t="s">
        <v>258</v>
      </c>
      <c r="G100" s="13">
        <v>1</v>
      </c>
      <c r="H100" s="13"/>
      <c r="I100" s="13">
        <v>58.552</v>
      </c>
      <c r="J100" s="14">
        <v>0</v>
      </c>
      <c r="K100" s="15">
        <v>0</v>
      </c>
      <c r="L100" s="14">
        <f>J100+ROUND(K100, 2)</f>
        <v>0</v>
      </c>
      <c r="M100" s="14">
        <v>0</v>
      </c>
      <c r="N100" s="14">
        <f>ROUND(I100*ROUND(K100, 2), 2)</f>
        <v>0</v>
      </c>
      <c r="O100" s="14">
        <f>M100+N100</f>
        <v>0</v>
      </c>
      <c r="P100" s="14">
        <v>0</v>
      </c>
      <c r="Q100" s="16">
        <v>450</v>
      </c>
      <c r="R100" s="14">
        <f>P100+ROUND(Q100, 2)</f>
        <v>450</v>
      </c>
      <c r="S100" s="14">
        <v>0</v>
      </c>
      <c r="T100" s="14">
        <f>ROUND(I100*ROUND(Q100, 2), 2)</f>
        <v>26348.400000000001</v>
      </c>
      <c r="U100" s="14">
        <f>S100+T100</f>
        <v>26348.400000000001</v>
      </c>
      <c r="V100" s="9"/>
      <c r="W100" s="9">
        <f>ROUND(Q100 / 1.2, 2)</f>
        <v>375</v>
      </c>
      <c r="X100" s="9">
        <f>ROUND(R100 / 1.2, 2)</f>
        <v>375</v>
      </c>
      <c r="Y100" s="9"/>
      <c r="Z100" s="9">
        <f>ROUND(T100 / 1.2, 2)</f>
        <v>21957</v>
      </c>
      <c r="AA100" s="9">
        <f>Y100+Z100</f>
        <v>21957</v>
      </c>
      <c r="AD100" s="4">
        <v>311044307</v>
      </c>
      <c r="AE100" s="4">
        <v>22724005</v>
      </c>
      <c r="AG100" s="4" t="s">
        <v>423</v>
      </c>
      <c r="AH100" s="4" t="s">
        <v>424</v>
      </c>
      <c r="AI100" s="4" t="s">
        <v>156</v>
      </c>
    </row>
    <row r="101" spans="1:35" ht="16.95" customHeight="1" x14ac:dyDescent="0.3">
      <c r="A101" s="10" t="s">
        <v>425</v>
      </c>
      <c r="B101" s="10" t="s">
        <v>426</v>
      </c>
      <c r="C101" s="51" t="s">
        <v>427</v>
      </c>
      <c r="D101" s="52"/>
      <c r="E101" s="52"/>
      <c r="F101" s="52"/>
      <c r="G101" s="52"/>
      <c r="H101" s="52"/>
      <c r="I101" s="53"/>
      <c r="M101" s="6">
        <f t="shared" ref="M101:O102" si="9">SUM(M102)</f>
        <v>1259150.96</v>
      </c>
      <c r="N101" s="6">
        <f t="shared" si="9"/>
        <v>569231.80000000005</v>
      </c>
      <c r="O101" s="6">
        <f t="shared" si="9"/>
        <v>1828382.76</v>
      </c>
      <c r="S101" s="6">
        <f t="shared" ref="S101:U102" si="10">SUM(S102)</f>
        <v>1259150.96</v>
      </c>
      <c r="T101" s="6">
        <f t="shared" si="10"/>
        <v>853847.7</v>
      </c>
      <c r="U101" s="6">
        <f t="shared" si="10"/>
        <v>2112998.66</v>
      </c>
      <c r="Y101" s="9">
        <f t="shared" ref="Y101:AA102" si="11">SUM(Y102)</f>
        <v>1049292.47</v>
      </c>
      <c r="Z101" s="9">
        <f t="shared" si="11"/>
        <v>711539.75</v>
      </c>
      <c r="AA101" s="9">
        <f t="shared" si="11"/>
        <v>1760832.22</v>
      </c>
      <c r="AD101" s="4">
        <v>311044308</v>
      </c>
      <c r="AE101" s="4">
        <v>23307749</v>
      </c>
    </row>
    <row r="102" spans="1:35" ht="16.95" customHeight="1" x14ac:dyDescent="0.3">
      <c r="A102" s="10" t="s">
        <v>428</v>
      </c>
      <c r="B102" s="10" t="s">
        <v>429</v>
      </c>
      <c r="C102" s="51" t="s">
        <v>418</v>
      </c>
      <c r="D102" s="52"/>
      <c r="E102" s="52"/>
      <c r="F102" s="52"/>
      <c r="G102" s="52"/>
      <c r="H102" s="52"/>
      <c r="I102" s="53"/>
      <c r="M102" s="6">
        <f t="shared" si="9"/>
        <v>1259150.96</v>
      </c>
      <c r="N102" s="6">
        <f t="shared" si="9"/>
        <v>569231.80000000005</v>
      </c>
      <c r="O102" s="6">
        <f t="shared" si="9"/>
        <v>1828382.76</v>
      </c>
      <c r="S102" s="6">
        <f t="shared" si="10"/>
        <v>1259150.96</v>
      </c>
      <c r="T102" s="6">
        <f t="shared" si="10"/>
        <v>853847.7</v>
      </c>
      <c r="U102" s="6">
        <f t="shared" si="10"/>
        <v>2112998.66</v>
      </c>
      <c r="Y102" s="9">
        <f t="shared" si="11"/>
        <v>1049292.47</v>
      </c>
      <c r="Z102" s="9">
        <f t="shared" si="11"/>
        <v>711539.75</v>
      </c>
      <c r="AA102" s="9">
        <f t="shared" si="11"/>
        <v>1760832.22</v>
      </c>
      <c r="AD102" s="4">
        <v>311044309</v>
      </c>
      <c r="AE102" s="4">
        <v>23307747</v>
      </c>
    </row>
    <row r="103" spans="1:35" ht="90" x14ac:dyDescent="0.3">
      <c r="A103" s="10" t="s">
        <v>430</v>
      </c>
      <c r="B103" s="10" t="s">
        <v>431</v>
      </c>
      <c r="C103" s="11" t="s">
        <v>432</v>
      </c>
      <c r="D103" s="12" t="s">
        <v>80</v>
      </c>
      <c r="E103" s="12" t="s">
        <v>433</v>
      </c>
      <c r="F103" s="12" t="s">
        <v>82</v>
      </c>
      <c r="G103" s="13">
        <v>1</v>
      </c>
      <c r="H103" s="13"/>
      <c r="I103" s="13">
        <v>92.86</v>
      </c>
      <c r="J103" s="14">
        <f>IFERROR(ROUND(SUM(M104,M105,M106)/I103, 2),0)</f>
        <v>13559.67</v>
      </c>
      <c r="K103" s="15">
        <v>6130</v>
      </c>
      <c r="L103" s="14">
        <f>J103+ROUND(K103, 2)</f>
        <v>19689.669999999998</v>
      </c>
      <c r="M103" s="14">
        <f>ROUND(J103*I103, 2)</f>
        <v>1259150.96</v>
      </c>
      <c r="N103" s="14">
        <f>ROUND(I103*ROUND(K103, 2), 2)</f>
        <v>569231.80000000005</v>
      </c>
      <c r="O103" s="14">
        <f>M103+N103</f>
        <v>1828382.76</v>
      </c>
      <c r="P103" s="14">
        <f>IFERROR(ROUND(SUM(S104,S105,S106)/I103, 2),0)</f>
        <v>13559.67</v>
      </c>
      <c r="Q103" s="16">
        <v>9195</v>
      </c>
      <c r="R103" s="14">
        <f>P103+ROUND(Q103, 2)</f>
        <v>22754.67</v>
      </c>
      <c r="S103" s="14">
        <f>ROUND(P103*I103, 2)</f>
        <v>1259150.96</v>
      </c>
      <c r="T103" s="14">
        <f>ROUND(I103*ROUND(Q103, 2), 2)</f>
        <v>853847.7</v>
      </c>
      <c r="U103" s="14">
        <f>S103+T103</f>
        <v>2112998.66</v>
      </c>
      <c r="V103" s="9">
        <f>ROUND(P103 / 1.2, 2)</f>
        <v>11299.73</v>
      </c>
      <c r="W103" s="9">
        <f>ROUND(Q103 / 1.2, 2)</f>
        <v>7662.5</v>
      </c>
      <c r="X103" s="9">
        <f>ROUND(R103 / 1.2, 2)</f>
        <v>18962.23</v>
      </c>
      <c r="Y103" s="9">
        <f>ROUND(S103 / 1.2, 2)</f>
        <v>1049292.47</v>
      </c>
      <c r="Z103" s="9">
        <f>ROUND(T103 / 1.2, 2)</f>
        <v>711539.75</v>
      </c>
      <c r="AA103" s="9">
        <f>Y103+Z103</f>
        <v>1760832.22</v>
      </c>
      <c r="AD103" s="4">
        <v>311044311</v>
      </c>
      <c r="AE103" s="4">
        <v>23307771</v>
      </c>
      <c r="AG103" s="4" t="s">
        <v>434</v>
      </c>
      <c r="AH103" s="4" t="s">
        <v>435</v>
      </c>
      <c r="AI103" s="4" t="s">
        <v>436</v>
      </c>
    </row>
    <row r="104" spans="1:35" ht="18" x14ac:dyDescent="0.3">
      <c r="A104" s="10" t="s">
        <v>437</v>
      </c>
      <c r="B104" s="10"/>
      <c r="C104" s="17" t="s">
        <v>133</v>
      </c>
      <c r="D104" s="12"/>
      <c r="E104" s="12"/>
      <c r="F104" s="18" t="s">
        <v>58</v>
      </c>
      <c r="G104" s="19">
        <v>4.2</v>
      </c>
      <c r="H104" s="19"/>
      <c r="I104" s="19">
        <v>390.012</v>
      </c>
      <c r="J104" s="20">
        <v>269.41000000000003</v>
      </c>
      <c r="M104" s="21">
        <f>ROUND(ROUND(J104, 2)*I104, 2)</f>
        <v>105073.13</v>
      </c>
      <c r="P104" s="22">
        <v>269.41000000000003</v>
      </c>
      <c r="S104" s="21">
        <f>ROUND(ROUND(P104, 2)*I104, 2)</f>
        <v>105073.13</v>
      </c>
      <c r="V104" s="9">
        <f>ROUND(ROUND(P104, 2)/1.2, 2)</f>
        <v>224.51</v>
      </c>
      <c r="Y104" s="9">
        <f>ROUND(S104 / 1.2, 2)</f>
        <v>87560.94</v>
      </c>
      <c r="AD104" s="4" t="s">
        <v>438</v>
      </c>
      <c r="AE104" s="4" t="s">
        <v>439</v>
      </c>
      <c r="AF104" s="4" t="s">
        <v>136</v>
      </c>
    </row>
    <row r="105" spans="1:35" ht="18" x14ac:dyDescent="0.3">
      <c r="A105" s="10" t="s">
        <v>440</v>
      </c>
      <c r="B105" s="10"/>
      <c r="C105" s="17" t="s">
        <v>441</v>
      </c>
      <c r="D105" s="12"/>
      <c r="E105" s="12"/>
      <c r="F105" s="18" t="s">
        <v>99</v>
      </c>
      <c r="G105" s="19">
        <v>445</v>
      </c>
      <c r="H105" s="19"/>
      <c r="I105" s="19">
        <v>41322.699999999997</v>
      </c>
      <c r="J105" s="20">
        <v>6.27</v>
      </c>
      <c r="M105" s="21">
        <f>ROUND(ROUND(J105, 2)*I105, 2)</f>
        <v>259093.33</v>
      </c>
      <c r="P105" s="22">
        <v>6.27</v>
      </c>
      <c r="S105" s="21">
        <f>ROUND(ROUND(P105, 2)*I105, 2)</f>
        <v>259093.33</v>
      </c>
      <c r="V105" s="9">
        <f>ROUND(ROUND(P105, 2)/1.2, 2)</f>
        <v>5.23</v>
      </c>
      <c r="Y105" s="9">
        <f>ROUND(S105 / 1.2, 2)</f>
        <v>215911.11</v>
      </c>
      <c r="AD105" s="4" t="s">
        <v>442</v>
      </c>
      <c r="AE105" s="4" t="s">
        <v>443</v>
      </c>
      <c r="AF105" s="4" t="s">
        <v>444</v>
      </c>
    </row>
    <row r="106" spans="1:35" ht="18" x14ac:dyDescent="0.3">
      <c r="A106" s="10" t="s">
        <v>445</v>
      </c>
      <c r="B106" s="10"/>
      <c r="C106" s="17" t="s">
        <v>138</v>
      </c>
      <c r="D106" s="12"/>
      <c r="E106" s="12"/>
      <c r="F106" s="18" t="s">
        <v>139</v>
      </c>
      <c r="G106" s="19">
        <v>395</v>
      </c>
      <c r="H106" s="19"/>
      <c r="I106" s="19">
        <v>36679.699999999997</v>
      </c>
      <c r="J106" s="20">
        <v>24.4</v>
      </c>
      <c r="M106" s="21">
        <f>ROUND(ROUND(J106, 2)*I106, 2)</f>
        <v>894984.68</v>
      </c>
      <c r="P106" s="22">
        <v>24.4</v>
      </c>
      <c r="S106" s="21">
        <f>ROUND(ROUND(P106, 2)*I106, 2)</f>
        <v>894984.68</v>
      </c>
      <c r="V106" s="9">
        <f>ROUND(ROUND(P106, 2)/1.2, 2)</f>
        <v>20.329999999999998</v>
      </c>
      <c r="Y106" s="9">
        <f>ROUND(S106 / 1.2, 2)</f>
        <v>745820.57</v>
      </c>
      <c r="AD106" s="4" t="s">
        <v>446</v>
      </c>
      <c r="AE106" s="4" t="s">
        <v>447</v>
      </c>
      <c r="AF106" s="4" t="s">
        <v>142</v>
      </c>
    </row>
    <row r="107" spans="1:35" ht="16.95" customHeight="1" x14ac:dyDescent="0.3">
      <c r="A107" s="10" t="s">
        <v>448</v>
      </c>
      <c r="B107" s="10" t="s">
        <v>449</v>
      </c>
      <c r="C107" s="51" t="s">
        <v>450</v>
      </c>
      <c r="D107" s="52"/>
      <c r="E107" s="52"/>
      <c r="F107" s="52"/>
      <c r="G107" s="52"/>
      <c r="H107" s="52"/>
      <c r="I107" s="53"/>
      <c r="M107" s="6">
        <f t="shared" ref="M107:O108" si="12">SUM(M108)</f>
        <v>55386327.449999988</v>
      </c>
      <c r="N107" s="6">
        <f t="shared" si="12"/>
        <v>152556905.19999999</v>
      </c>
      <c r="O107" s="6">
        <f t="shared" si="12"/>
        <v>207943232.64999995</v>
      </c>
      <c r="S107" s="6">
        <f t="shared" ref="S107:U108" si="13">SUM(S108)</f>
        <v>114508297.74000001</v>
      </c>
      <c r="T107" s="6">
        <f t="shared" si="13"/>
        <v>228835156.39000005</v>
      </c>
      <c r="U107" s="6">
        <f t="shared" si="13"/>
        <v>343343454.13</v>
      </c>
      <c r="Y107" s="9">
        <f t="shared" ref="Y107:AA108" si="14">SUM(Y108)</f>
        <v>95423581.569999993</v>
      </c>
      <c r="Z107" s="9">
        <f t="shared" si="14"/>
        <v>190695963.77999997</v>
      </c>
      <c r="AA107" s="9">
        <f t="shared" si="14"/>
        <v>286119545.34999996</v>
      </c>
      <c r="AD107" s="4">
        <v>311044312</v>
      </c>
      <c r="AE107" s="4">
        <v>22726877</v>
      </c>
    </row>
    <row r="108" spans="1:35" ht="16.95" customHeight="1" x14ac:dyDescent="0.3">
      <c r="A108" s="10" t="s">
        <v>451</v>
      </c>
      <c r="B108" s="10" t="s">
        <v>452</v>
      </c>
      <c r="C108" s="51" t="s">
        <v>453</v>
      </c>
      <c r="D108" s="52"/>
      <c r="E108" s="52"/>
      <c r="F108" s="52"/>
      <c r="G108" s="52"/>
      <c r="H108" s="52"/>
      <c r="I108" s="53"/>
      <c r="M108" s="6">
        <f t="shared" si="12"/>
        <v>55386327.449999988</v>
      </c>
      <c r="N108" s="6">
        <f t="shared" si="12"/>
        <v>152556905.19999999</v>
      </c>
      <c r="O108" s="6">
        <f t="shared" si="12"/>
        <v>207943232.64999995</v>
      </c>
      <c r="S108" s="6">
        <f t="shared" si="13"/>
        <v>114508297.74000001</v>
      </c>
      <c r="T108" s="6">
        <f t="shared" si="13"/>
        <v>228835156.39000005</v>
      </c>
      <c r="U108" s="6">
        <f t="shared" si="13"/>
        <v>343343454.13</v>
      </c>
      <c r="Y108" s="9">
        <f t="shared" si="14"/>
        <v>95423581.569999993</v>
      </c>
      <c r="Z108" s="9">
        <f t="shared" si="14"/>
        <v>190695963.77999997</v>
      </c>
      <c r="AA108" s="9">
        <f t="shared" si="14"/>
        <v>286119545.34999996</v>
      </c>
      <c r="AD108" s="4">
        <v>311044313</v>
      </c>
      <c r="AE108" s="4">
        <v>22726881</v>
      </c>
    </row>
    <row r="109" spans="1:35" ht="16.95" customHeight="1" x14ac:dyDescent="0.3">
      <c r="A109" s="10" t="s">
        <v>454</v>
      </c>
      <c r="B109" s="10" t="s">
        <v>455</v>
      </c>
      <c r="C109" s="51" t="s">
        <v>456</v>
      </c>
      <c r="D109" s="52"/>
      <c r="E109" s="52"/>
      <c r="F109" s="52"/>
      <c r="G109" s="52"/>
      <c r="H109" s="52"/>
      <c r="I109" s="53"/>
      <c r="M109" s="6">
        <f>SUM(M110,M288,M474,M534,M584)</f>
        <v>55386327.449999988</v>
      </c>
      <c r="N109" s="6">
        <f>SUM(N110,N288,N474,N534,N584)</f>
        <v>152556905.19999999</v>
      </c>
      <c r="O109" s="6">
        <f>SUM(O110,O288,O474,O534,O584)</f>
        <v>207943232.64999995</v>
      </c>
      <c r="S109" s="6">
        <f>SUM(S110,S288,S474,S534,S584)</f>
        <v>114508297.74000001</v>
      </c>
      <c r="T109" s="6">
        <f>SUM(T110,T288,T474,T534,T584)</f>
        <v>228835156.39000005</v>
      </c>
      <c r="U109" s="6">
        <f>SUM(U110,U288,U474,U534,U584)</f>
        <v>343343454.13</v>
      </c>
      <c r="Y109" s="9">
        <f>SUM(Y110,Y288,Y474,Y534,Y584)</f>
        <v>95423581.569999993</v>
      </c>
      <c r="Z109" s="9">
        <f>SUM(Z110,Z288,Z474,Z534,Z584)</f>
        <v>190695963.77999997</v>
      </c>
      <c r="AA109" s="9">
        <f>SUM(AA110,AA288,AA474,AA534,AA584)</f>
        <v>286119545.34999996</v>
      </c>
      <c r="AD109" s="4">
        <v>311044314</v>
      </c>
      <c r="AE109" s="4">
        <v>22726883</v>
      </c>
    </row>
    <row r="110" spans="1:35" ht="16.95" customHeight="1" x14ac:dyDescent="0.3">
      <c r="A110" s="10" t="s">
        <v>457</v>
      </c>
      <c r="B110" s="10" t="s">
        <v>458</v>
      </c>
      <c r="C110" s="51" t="s">
        <v>459</v>
      </c>
      <c r="D110" s="52"/>
      <c r="E110" s="52"/>
      <c r="F110" s="52"/>
      <c r="G110" s="52"/>
      <c r="H110" s="52"/>
      <c r="I110" s="53"/>
      <c r="M110" s="6">
        <f>SUM(M111,M193,M216,M285)</f>
        <v>37464354.159999996</v>
      </c>
      <c r="N110" s="6">
        <f>SUM(N111,N193,N216,N285)</f>
        <v>58813810.260000005</v>
      </c>
      <c r="O110" s="6">
        <f>SUM(O111,O193,O216,O285)</f>
        <v>96278164.420000002</v>
      </c>
      <c r="S110" s="6">
        <f>SUM(S111,S193,S216,S285)</f>
        <v>55076413.910000004</v>
      </c>
      <c r="T110" s="6">
        <f>SUM(T111,T193,T216,T285)</f>
        <v>84019580.810000002</v>
      </c>
      <c r="U110" s="6">
        <f>SUM(U111,U193,U216,U285)</f>
        <v>139095994.72</v>
      </c>
      <c r="Y110" s="9">
        <f>SUM(Y111,Y193,Y216,Y285)</f>
        <v>45897011.629999995</v>
      </c>
      <c r="Z110" s="9">
        <f>SUM(Z111,Z193,Z216,Z285)</f>
        <v>70016317.37999998</v>
      </c>
      <c r="AA110" s="9">
        <f>SUM(AA111,AA193,AA216,AA285)</f>
        <v>115913329.00999999</v>
      </c>
      <c r="AD110" s="4">
        <v>311044315</v>
      </c>
      <c r="AE110" s="4">
        <v>22757328</v>
      </c>
    </row>
    <row r="111" spans="1:35" ht="16.95" customHeight="1" x14ac:dyDescent="0.3">
      <c r="A111" s="10" t="s">
        <v>460</v>
      </c>
      <c r="B111" s="10" t="s">
        <v>461</v>
      </c>
      <c r="C111" s="51" t="s">
        <v>462</v>
      </c>
      <c r="D111" s="52"/>
      <c r="E111" s="52"/>
      <c r="F111" s="52"/>
      <c r="G111" s="52"/>
      <c r="H111" s="52"/>
      <c r="I111" s="53"/>
      <c r="M111" s="6">
        <f>SUM(M112,M113,M115,M117,M119,M121,M123,M125,M130,M134,M138,M142,M146,M150,M154,M158,M162,M166,M170,M173,M176,M179,M181,M185,M189)</f>
        <v>19710886.109999999</v>
      </c>
      <c r="N111" s="6">
        <f>SUM(N112,N113,N115,N117,N119,N121,N123,N125,N130,N134,N138,N142,N146,N150,N154,N158,N162,N166,N170,N173,N176,N179,N181,N185,N189)</f>
        <v>32606052.52</v>
      </c>
      <c r="O111" s="6">
        <f>SUM(O112,O113,O115,O117,O119,O121,O123,O125,O130,O134,O138,O142,O146,O150,O154,O158,O162,O166,O170,O173,O176,O179,O181,O185,O189)</f>
        <v>52316938.629999995</v>
      </c>
      <c r="S111" s="6">
        <f>SUM(S112,S113,S115,S117,S119,S121,S123,S125,S130,S134,S138,S142,S146,S150,S154,S158,S162,S166,S170,S173,S176,S179,S181,S185,S189)</f>
        <v>21525775.169999998</v>
      </c>
      <c r="T111" s="6">
        <f>SUM(T112,T113,T115,T117,T119,T121,T123,T125,T130,T134,T138,T142,T146,T150,T154,T158,T162,T166,T170,T173,T176,T179,T181,T185,T189)</f>
        <v>46579903.619999997</v>
      </c>
      <c r="U111" s="6">
        <f>SUM(U112,U113,U115,U117,U119,U121,U123,U125,U130,U134,U138,U142,U146,U150,U154,U158,U162,U166,U170,U173,U176,U179,U181,U185,U189)</f>
        <v>68105678.789999992</v>
      </c>
      <c r="Y111" s="9">
        <f>SUM(Y112,Y113,Y115,Y117,Y119,Y121,Y123,Y125,Y130,Y134,Y138,Y142,Y146,Y150,Y154,Y158,Y162,Y166,Y170,Y173,Y176,Y179,Y181,Y185,Y189)</f>
        <v>17938145.989999998</v>
      </c>
      <c r="Z111" s="9">
        <f>SUM(Z112,Z113,Z115,Z117,Z119,Z121,Z123,Z125,Z130,Z134,Z138,Z142,Z146,Z150,Z154,Z158,Z162,Z166,Z170,Z173,Z176,Z179,Z181,Z185,Z189)</f>
        <v>38816586.36999999</v>
      </c>
      <c r="AA111" s="9">
        <f>SUM(AA112,AA113,AA115,AA117,AA119,AA121,AA123,AA125,AA130,AA134,AA138,AA142,AA146,AA150,AA154,AA158,AA162,AA166,AA170,AA173,AA176,AA179,AA181,AA185,AA189)</f>
        <v>56754732.359999992</v>
      </c>
      <c r="AD111" s="4">
        <v>311044316</v>
      </c>
      <c r="AE111" s="4">
        <v>22757326</v>
      </c>
    </row>
    <row r="112" spans="1:35" ht="72" x14ac:dyDescent="0.3">
      <c r="A112" s="10" t="s">
        <v>463</v>
      </c>
      <c r="B112" s="10" t="s">
        <v>464</v>
      </c>
      <c r="C112" s="11" t="s">
        <v>465</v>
      </c>
      <c r="D112" s="12"/>
      <c r="E112" s="12" t="s">
        <v>466</v>
      </c>
      <c r="F112" s="12" t="s">
        <v>58</v>
      </c>
      <c r="G112" s="13">
        <v>1</v>
      </c>
      <c r="H112" s="13"/>
      <c r="I112" s="13">
        <v>8367.2999999999993</v>
      </c>
      <c r="J112" s="14">
        <v>0</v>
      </c>
      <c r="K112" s="15">
        <v>270</v>
      </c>
      <c r="L112" s="14">
        <f>J112+ROUND(K112, 2)</f>
        <v>270</v>
      </c>
      <c r="M112" s="14">
        <v>0</v>
      </c>
      <c r="N112" s="14">
        <f>ROUND(I112*ROUND(K112, 2), 2)</f>
        <v>2259171</v>
      </c>
      <c r="O112" s="14">
        <f>M112+N112</f>
        <v>2259171</v>
      </c>
      <c r="P112" s="14">
        <v>0</v>
      </c>
      <c r="Q112" s="16">
        <v>385.71</v>
      </c>
      <c r="R112" s="14">
        <f>P112+ROUND(Q112, 2)</f>
        <v>385.71</v>
      </c>
      <c r="S112" s="14">
        <v>0</v>
      </c>
      <c r="T112" s="14">
        <f>ROUND(I112*ROUND(Q112, 2), 2)</f>
        <v>3227351.28</v>
      </c>
      <c r="U112" s="14">
        <f>S112+T112</f>
        <v>3227351.28</v>
      </c>
      <c r="V112" s="9"/>
      <c r="W112" s="9">
        <f>ROUND(Q112 / 1.2, 2)</f>
        <v>321.43</v>
      </c>
      <c r="X112" s="9">
        <f>ROUND(R112 / 1.2, 2)</f>
        <v>321.43</v>
      </c>
      <c r="Y112" s="9"/>
      <c r="Z112" s="9">
        <f>ROUND(T112 / 1.2, 2)</f>
        <v>2689459.4</v>
      </c>
      <c r="AA112" s="9">
        <f>Y112+Z112</f>
        <v>2689459.4</v>
      </c>
      <c r="AD112" s="4">
        <v>311044318</v>
      </c>
      <c r="AE112" s="4">
        <v>23306498</v>
      </c>
      <c r="AG112" s="4" t="s">
        <v>467</v>
      </c>
      <c r="AH112" s="4" t="s">
        <v>468</v>
      </c>
      <c r="AI112" s="4" t="s">
        <v>469</v>
      </c>
    </row>
    <row r="113" spans="1:35" ht="54" x14ac:dyDescent="0.3">
      <c r="A113" s="10" t="s">
        <v>470</v>
      </c>
      <c r="B113" s="10" t="s">
        <v>471</v>
      </c>
      <c r="C113" s="11" t="s">
        <v>472</v>
      </c>
      <c r="D113" s="12"/>
      <c r="E113" s="12" t="s">
        <v>473</v>
      </c>
      <c r="F113" s="12" t="s">
        <v>58</v>
      </c>
      <c r="G113" s="13">
        <v>1</v>
      </c>
      <c r="H113" s="13"/>
      <c r="I113" s="13">
        <v>585.70000000000005</v>
      </c>
      <c r="J113" s="14">
        <f>IFERROR(ROUND(SUM(M114)/I113, 2),0)</f>
        <v>60.35</v>
      </c>
      <c r="K113" s="15">
        <v>39</v>
      </c>
      <c r="L113" s="14">
        <f>J113+ROUND(K113, 2)</f>
        <v>99.35</v>
      </c>
      <c r="M113" s="14">
        <f>ROUND(J113*I113, 2)</f>
        <v>35347</v>
      </c>
      <c r="N113" s="14">
        <f>ROUND(I113*ROUND(K113, 2), 2)</f>
        <v>22842.3</v>
      </c>
      <c r="O113" s="14">
        <f>M113+N113</f>
        <v>58189.3</v>
      </c>
      <c r="P113" s="14">
        <f>IFERROR(ROUND(SUM(S114)/I113, 2),0)</f>
        <v>60.35</v>
      </c>
      <c r="Q113" s="16">
        <v>55.71</v>
      </c>
      <c r="R113" s="14">
        <f>P113+ROUND(Q113, 2)</f>
        <v>116.06</v>
      </c>
      <c r="S113" s="14">
        <f>ROUND(P113*I113, 2)</f>
        <v>35347</v>
      </c>
      <c r="T113" s="14">
        <f>ROUND(I113*ROUND(Q113, 2), 2)</f>
        <v>32629.35</v>
      </c>
      <c r="U113" s="14">
        <f>S113+T113</f>
        <v>67976.350000000006</v>
      </c>
      <c r="V113" s="9">
        <f>ROUND(P113 / 1.2, 2)</f>
        <v>50.29</v>
      </c>
      <c r="W113" s="9">
        <f>ROUND(Q113 / 1.2, 2)</f>
        <v>46.43</v>
      </c>
      <c r="X113" s="9">
        <f>ROUND(R113 / 1.2, 2)</f>
        <v>96.72</v>
      </c>
      <c r="Y113" s="9">
        <f t="shared" ref="Y113:Y144" si="15">ROUND(S113 / 1.2, 2)</f>
        <v>29455.83</v>
      </c>
      <c r="Z113" s="9">
        <f>ROUND(T113 / 1.2, 2)</f>
        <v>27191.13</v>
      </c>
      <c r="AA113" s="9">
        <f>Y113+Z113</f>
        <v>56646.960000000006</v>
      </c>
      <c r="AD113" s="4">
        <v>311044320</v>
      </c>
      <c r="AE113" s="4">
        <v>22761920</v>
      </c>
      <c r="AG113" s="4" t="s">
        <v>474</v>
      </c>
      <c r="AH113" s="4" t="s">
        <v>475</v>
      </c>
      <c r="AI113" s="4" t="s">
        <v>469</v>
      </c>
    </row>
    <row r="114" spans="1:35" ht="36" x14ac:dyDescent="0.3">
      <c r="A114" s="10" t="s">
        <v>476</v>
      </c>
      <c r="B114" s="10"/>
      <c r="C114" s="23" t="s">
        <v>477</v>
      </c>
      <c r="D114" s="12"/>
      <c r="E114" s="12" t="s">
        <v>478</v>
      </c>
      <c r="F114" s="18" t="s">
        <v>58</v>
      </c>
      <c r="G114" s="19">
        <v>1.1000000000000001</v>
      </c>
      <c r="H114" s="19"/>
      <c r="I114" s="19">
        <v>644.27</v>
      </c>
      <c r="J114" s="20">
        <v>54.86</v>
      </c>
      <c r="M114" s="21">
        <f>ROUND(ROUND(J114, 2)*I114, 2)</f>
        <v>35344.65</v>
      </c>
      <c r="P114" s="22">
        <v>54.86</v>
      </c>
      <c r="S114" s="21">
        <f>ROUND(ROUND(P114, 2)*I114, 2)</f>
        <v>35344.65</v>
      </c>
      <c r="V114" s="9">
        <f>ROUND(ROUND(P114, 2)/1.2, 2)</f>
        <v>45.72</v>
      </c>
      <c r="Y114" s="9">
        <f t="shared" si="15"/>
        <v>29453.88</v>
      </c>
      <c r="AD114" s="4" t="s">
        <v>479</v>
      </c>
      <c r="AE114" s="4" t="s">
        <v>480</v>
      </c>
      <c r="AF114" s="4" t="s">
        <v>481</v>
      </c>
    </row>
    <row r="115" spans="1:35" ht="36" x14ac:dyDescent="0.3">
      <c r="A115" s="10" t="s">
        <v>482</v>
      </c>
      <c r="B115" s="10" t="s">
        <v>483</v>
      </c>
      <c r="C115" s="11" t="s">
        <v>484</v>
      </c>
      <c r="D115" s="12"/>
      <c r="E115" s="12" t="s">
        <v>485</v>
      </c>
      <c r="F115" s="12" t="s">
        <v>58</v>
      </c>
      <c r="G115" s="13">
        <v>1</v>
      </c>
      <c r="H115" s="13"/>
      <c r="I115" s="13">
        <v>3908.5</v>
      </c>
      <c r="J115" s="14">
        <f>IFERROR(ROUND(SUM(M116)/I115, 2),0)</f>
        <v>52.29</v>
      </c>
      <c r="K115" s="15">
        <v>40</v>
      </c>
      <c r="L115" s="14">
        <f>J115+ROUND(K115, 2)</f>
        <v>92.289999999999992</v>
      </c>
      <c r="M115" s="14">
        <f>ROUND(J115*I115, 2)</f>
        <v>204375.47</v>
      </c>
      <c r="N115" s="14">
        <f>ROUND(I115*ROUND(K115, 2), 2)</f>
        <v>156340</v>
      </c>
      <c r="O115" s="14">
        <f>M115+N115</f>
        <v>360715.47</v>
      </c>
      <c r="P115" s="14">
        <f>IFERROR(ROUND(SUM(S116)/I115, 2),0)</f>
        <v>52.29</v>
      </c>
      <c r="Q115" s="16">
        <v>57.14</v>
      </c>
      <c r="R115" s="14">
        <f>P115+ROUND(Q115, 2)</f>
        <v>109.43</v>
      </c>
      <c r="S115" s="14">
        <f>ROUND(P115*I115, 2)</f>
        <v>204375.47</v>
      </c>
      <c r="T115" s="14">
        <f>ROUND(I115*ROUND(Q115, 2), 2)</f>
        <v>223331.69</v>
      </c>
      <c r="U115" s="14">
        <f>S115+T115</f>
        <v>427707.16000000003</v>
      </c>
      <c r="V115" s="9">
        <f>ROUND(P115 / 1.2, 2)</f>
        <v>43.58</v>
      </c>
      <c r="W115" s="9">
        <f>ROUND(Q115 / 1.2, 2)</f>
        <v>47.62</v>
      </c>
      <c r="X115" s="9">
        <f>ROUND(R115 / 1.2, 2)</f>
        <v>91.19</v>
      </c>
      <c r="Y115" s="9">
        <f t="shared" si="15"/>
        <v>170312.89</v>
      </c>
      <c r="Z115" s="9">
        <f>ROUND(T115 / 1.2, 2)</f>
        <v>186109.74</v>
      </c>
      <c r="AA115" s="9">
        <f>Y115+Z115</f>
        <v>356422.63</v>
      </c>
      <c r="AD115" s="4">
        <v>311044321</v>
      </c>
      <c r="AE115" s="4">
        <v>22761919</v>
      </c>
      <c r="AG115" s="4" t="s">
        <v>486</v>
      </c>
      <c r="AH115" s="4" t="s">
        <v>487</v>
      </c>
      <c r="AI115" s="4" t="s">
        <v>469</v>
      </c>
    </row>
    <row r="116" spans="1:35" ht="18" x14ac:dyDescent="0.3">
      <c r="A116" s="10" t="s">
        <v>488</v>
      </c>
      <c r="B116" s="10"/>
      <c r="C116" s="17" t="s">
        <v>489</v>
      </c>
      <c r="D116" s="12"/>
      <c r="E116" s="12"/>
      <c r="F116" s="18" t="s">
        <v>58</v>
      </c>
      <c r="G116" s="19">
        <v>1.1000000000000001</v>
      </c>
      <c r="H116" s="19"/>
      <c r="I116" s="19">
        <v>4299.3500000000004</v>
      </c>
      <c r="J116" s="20">
        <v>47.54</v>
      </c>
      <c r="M116" s="21">
        <f>ROUND(ROUND(J116, 2)*I116, 2)</f>
        <v>204391.1</v>
      </c>
      <c r="P116" s="22">
        <v>47.54</v>
      </c>
      <c r="S116" s="21">
        <f>ROUND(ROUND(P116, 2)*I116, 2)</f>
        <v>204391.1</v>
      </c>
      <c r="V116" s="9">
        <f>ROUND(ROUND(P116, 2)/1.2, 2)</f>
        <v>39.619999999999997</v>
      </c>
      <c r="Y116" s="9">
        <f t="shared" si="15"/>
        <v>170325.92</v>
      </c>
      <c r="AD116" s="4" t="s">
        <v>490</v>
      </c>
      <c r="AE116" s="4" t="s">
        <v>491</v>
      </c>
      <c r="AF116" s="4" t="s">
        <v>492</v>
      </c>
    </row>
    <row r="117" spans="1:35" ht="108" x14ac:dyDescent="0.3">
      <c r="A117" s="10" t="s">
        <v>493</v>
      </c>
      <c r="B117" s="10" t="s">
        <v>494</v>
      </c>
      <c r="C117" s="11" t="s">
        <v>495</v>
      </c>
      <c r="D117" s="12"/>
      <c r="E117" s="12" t="s">
        <v>496</v>
      </c>
      <c r="F117" s="12" t="s">
        <v>58</v>
      </c>
      <c r="G117" s="13">
        <v>1</v>
      </c>
      <c r="H117" s="13"/>
      <c r="I117" s="13">
        <v>8367.4</v>
      </c>
      <c r="J117" s="14">
        <f>IFERROR(ROUND(SUM(M118)/I117, 2),0)</f>
        <v>0</v>
      </c>
      <c r="K117" s="15">
        <v>117</v>
      </c>
      <c r="L117" s="14">
        <f>J117+ROUND(K117, 2)</f>
        <v>117</v>
      </c>
      <c r="M117" s="14">
        <f>ROUND(J117*I117, 2)</f>
        <v>0</v>
      </c>
      <c r="N117" s="14">
        <f>ROUND(I117*ROUND(K117, 2), 2)</f>
        <v>978985.8</v>
      </c>
      <c r="O117" s="14">
        <f>M117+N117</f>
        <v>978985.8</v>
      </c>
      <c r="P117" s="14">
        <f>IFERROR(ROUND(SUM(S118)/I117, 2),0)</f>
        <v>216.9</v>
      </c>
      <c r="Q117" s="16">
        <v>167.14</v>
      </c>
      <c r="R117" s="14">
        <f>P117+ROUND(Q117, 2)</f>
        <v>384.03999999999996</v>
      </c>
      <c r="S117" s="14">
        <f>ROUND(P117*I117, 2)</f>
        <v>1814889.06</v>
      </c>
      <c r="T117" s="14">
        <f>ROUND(I117*ROUND(Q117, 2), 2)</f>
        <v>1398527.24</v>
      </c>
      <c r="U117" s="14">
        <f>S117+T117</f>
        <v>3213416.3</v>
      </c>
      <c r="V117" s="9">
        <f>ROUND(P117 / 1.2, 2)</f>
        <v>180.75</v>
      </c>
      <c r="W117" s="9">
        <f>ROUND(Q117 / 1.2, 2)</f>
        <v>139.28</v>
      </c>
      <c r="X117" s="9">
        <f>ROUND(R117 / 1.2, 2)</f>
        <v>320.02999999999997</v>
      </c>
      <c r="Y117" s="9">
        <f t="shared" si="15"/>
        <v>1512407.55</v>
      </c>
      <c r="Z117" s="9">
        <f>ROUND(T117 / 1.2, 2)</f>
        <v>1165439.3700000001</v>
      </c>
      <c r="AA117" s="9">
        <f>Y117+Z117</f>
        <v>2677846.92</v>
      </c>
      <c r="AD117" s="4">
        <v>311044323</v>
      </c>
      <c r="AE117" s="4">
        <v>22757330</v>
      </c>
      <c r="AG117" s="4" t="s">
        <v>497</v>
      </c>
      <c r="AH117" s="4" t="s">
        <v>498</v>
      </c>
      <c r="AI117" s="4" t="s">
        <v>469</v>
      </c>
    </row>
    <row r="118" spans="1:35" ht="36" x14ac:dyDescent="0.3">
      <c r="A118" s="10" t="s">
        <v>499</v>
      </c>
      <c r="B118" s="10"/>
      <c r="C118" s="17" t="s">
        <v>500</v>
      </c>
      <c r="D118" s="12"/>
      <c r="E118" s="12" t="s">
        <v>501</v>
      </c>
      <c r="F118" s="18" t="s">
        <v>99</v>
      </c>
      <c r="G118" s="19">
        <v>0.3</v>
      </c>
      <c r="H118" s="19"/>
      <c r="I118" s="19">
        <v>2510.2199999999998</v>
      </c>
      <c r="J118" s="20">
        <v>0</v>
      </c>
      <c r="M118" s="21">
        <f>ROUND(ROUND(J118, 2)*I118, 2)</f>
        <v>0</v>
      </c>
      <c r="P118" s="22">
        <v>723</v>
      </c>
      <c r="S118" s="21">
        <f>ROUND(ROUND(P118, 2)*I118, 2)</f>
        <v>1814889.06</v>
      </c>
      <c r="V118" s="9">
        <f>ROUND(ROUND(P118, 2)/1.2, 2)</f>
        <v>602.5</v>
      </c>
      <c r="Y118" s="9">
        <f t="shared" si="15"/>
        <v>1512407.55</v>
      </c>
      <c r="AD118" s="4" t="s">
        <v>502</v>
      </c>
      <c r="AE118" s="4" t="s">
        <v>503</v>
      </c>
      <c r="AF118" s="4" t="s">
        <v>504</v>
      </c>
    </row>
    <row r="119" spans="1:35" ht="54" x14ac:dyDescent="0.3">
      <c r="A119" s="10" t="s">
        <v>505</v>
      </c>
      <c r="B119" s="10" t="s">
        <v>494</v>
      </c>
      <c r="C119" s="11" t="s">
        <v>495</v>
      </c>
      <c r="D119" s="12"/>
      <c r="E119" s="12" t="s">
        <v>506</v>
      </c>
      <c r="F119" s="12" t="s">
        <v>58</v>
      </c>
      <c r="G119" s="13">
        <v>1</v>
      </c>
      <c r="H119" s="13"/>
      <c r="I119" s="13">
        <v>3291.4</v>
      </c>
      <c r="J119" s="14">
        <f>IFERROR(ROUND(SUM(M120)/I119, 2),0)</f>
        <v>54.68</v>
      </c>
      <c r="K119" s="15">
        <v>117</v>
      </c>
      <c r="L119" s="14">
        <f>J119+ROUND(K119, 2)</f>
        <v>171.68</v>
      </c>
      <c r="M119" s="14">
        <f>ROUND(J119*I119, 2)</f>
        <v>179973.75</v>
      </c>
      <c r="N119" s="14">
        <f>ROUND(I119*ROUND(K119, 2), 2)</f>
        <v>385093.8</v>
      </c>
      <c r="O119" s="14">
        <f>M119+N119</f>
        <v>565067.55000000005</v>
      </c>
      <c r="P119" s="14">
        <f>IFERROR(ROUND(SUM(S120)/I119, 2),0)</f>
        <v>54.68</v>
      </c>
      <c r="Q119" s="16">
        <v>167.14</v>
      </c>
      <c r="R119" s="14">
        <f>P119+ROUND(Q119, 2)</f>
        <v>221.82</v>
      </c>
      <c r="S119" s="14">
        <f>ROUND(P119*I119, 2)</f>
        <v>179973.75</v>
      </c>
      <c r="T119" s="14">
        <f>ROUND(I119*ROUND(Q119, 2), 2)</f>
        <v>550124.6</v>
      </c>
      <c r="U119" s="14">
        <f>S119+T119</f>
        <v>730098.35</v>
      </c>
      <c r="V119" s="9">
        <f>ROUND(P119 / 1.2, 2)</f>
        <v>45.57</v>
      </c>
      <c r="W119" s="9">
        <f>ROUND(Q119 / 1.2, 2)</f>
        <v>139.28</v>
      </c>
      <c r="X119" s="9">
        <f>ROUND(R119 / 1.2, 2)</f>
        <v>184.85</v>
      </c>
      <c r="Y119" s="9">
        <f t="shared" si="15"/>
        <v>149978.13</v>
      </c>
      <c r="Z119" s="9">
        <f>ROUND(T119 / 1.2, 2)</f>
        <v>458437.17</v>
      </c>
      <c r="AA119" s="9">
        <f>Y119+Z119</f>
        <v>608415.30000000005</v>
      </c>
      <c r="AD119" s="4">
        <v>311044418</v>
      </c>
      <c r="AE119" s="4">
        <v>22761921</v>
      </c>
      <c r="AG119" s="4" t="s">
        <v>497</v>
      </c>
      <c r="AH119" s="4" t="s">
        <v>498</v>
      </c>
      <c r="AI119" s="4" t="s">
        <v>469</v>
      </c>
    </row>
    <row r="120" spans="1:35" ht="36" x14ac:dyDescent="0.3">
      <c r="A120" s="10" t="s">
        <v>507</v>
      </c>
      <c r="B120" s="10"/>
      <c r="C120" s="17" t="s">
        <v>508</v>
      </c>
      <c r="D120" s="12"/>
      <c r="E120" s="12"/>
      <c r="F120" s="18" t="s">
        <v>99</v>
      </c>
      <c r="G120" s="19">
        <v>0.3</v>
      </c>
      <c r="H120" s="19"/>
      <c r="I120" s="19">
        <v>987.42</v>
      </c>
      <c r="J120" s="20">
        <v>182.26</v>
      </c>
      <c r="M120" s="21">
        <f>ROUND(ROUND(J120, 2)*I120, 2)</f>
        <v>179967.17</v>
      </c>
      <c r="P120" s="22">
        <v>182.26</v>
      </c>
      <c r="S120" s="21">
        <f>ROUND(ROUND(P120, 2)*I120, 2)</f>
        <v>179967.17</v>
      </c>
      <c r="V120" s="9">
        <f>ROUND(ROUND(P120, 2)/1.2, 2)</f>
        <v>151.88</v>
      </c>
      <c r="Y120" s="9">
        <f t="shared" si="15"/>
        <v>149972.64000000001</v>
      </c>
      <c r="AD120" s="4" t="s">
        <v>509</v>
      </c>
      <c r="AE120" s="4" t="s">
        <v>510</v>
      </c>
      <c r="AF120" s="4" t="s">
        <v>511</v>
      </c>
    </row>
    <row r="121" spans="1:35" ht="54" x14ac:dyDescent="0.3">
      <c r="A121" s="10" t="s">
        <v>512</v>
      </c>
      <c r="B121" s="10" t="s">
        <v>494</v>
      </c>
      <c r="C121" s="11" t="s">
        <v>495</v>
      </c>
      <c r="D121" s="12"/>
      <c r="E121" s="12" t="s">
        <v>513</v>
      </c>
      <c r="F121" s="12" t="s">
        <v>58</v>
      </c>
      <c r="G121" s="13">
        <v>1</v>
      </c>
      <c r="H121" s="13"/>
      <c r="I121" s="13">
        <v>4021.4</v>
      </c>
      <c r="J121" s="14">
        <f>IFERROR(ROUND(SUM(M122)/I121, 2),0)</f>
        <v>54.68</v>
      </c>
      <c r="K121" s="15">
        <v>117</v>
      </c>
      <c r="L121" s="14">
        <f>J121+ROUND(K121, 2)</f>
        <v>171.68</v>
      </c>
      <c r="M121" s="14">
        <f>ROUND(J121*I121, 2)</f>
        <v>219890.15</v>
      </c>
      <c r="N121" s="14">
        <f>ROUND(I121*ROUND(K121, 2), 2)</f>
        <v>470503.8</v>
      </c>
      <c r="O121" s="14">
        <f>M121+N121</f>
        <v>690393.95</v>
      </c>
      <c r="P121" s="14">
        <f>IFERROR(ROUND(SUM(S122)/I121, 2),0)</f>
        <v>54.68</v>
      </c>
      <c r="Q121" s="16">
        <v>167.14</v>
      </c>
      <c r="R121" s="14">
        <f>P121+ROUND(Q121, 2)</f>
        <v>221.82</v>
      </c>
      <c r="S121" s="14">
        <f>ROUND(P121*I121, 2)</f>
        <v>219890.15</v>
      </c>
      <c r="T121" s="14">
        <f>ROUND(I121*ROUND(Q121, 2), 2)</f>
        <v>672136.8</v>
      </c>
      <c r="U121" s="14">
        <f>S121+T121</f>
        <v>892026.95000000007</v>
      </c>
      <c r="V121" s="9">
        <f>ROUND(P121 / 1.2, 2)</f>
        <v>45.57</v>
      </c>
      <c r="W121" s="9">
        <f>ROUND(Q121 / 1.2, 2)</f>
        <v>139.28</v>
      </c>
      <c r="X121" s="9">
        <f>ROUND(R121 / 1.2, 2)</f>
        <v>184.85</v>
      </c>
      <c r="Y121" s="9">
        <f t="shared" si="15"/>
        <v>183241.79</v>
      </c>
      <c r="Z121" s="9">
        <f>ROUND(T121 / 1.2, 2)</f>
        <v>560114</v>
      </c>
      <c r="AA121" s="9">
        <f>Y121+Z121</f>
        <v>743355.79</v>
      </c>
      <c r="AD121" s="4">
        <v>311044419</v>
      </c>
      <c r="AE121" s="4">
        <v>22761922</v>
      </c>
      <c r="AG121" s="4" t="s">
        <v>497</v>
      </c>
      <c r="AH121" s="4" t="s">
        <v>498</v>
      </c>
      <c r="AI121" s="4" t="s">
        <v>469</v>
      </c>
    </row>
    <row r="122" spans="1:35" ht="36" x14ac:dyDescent="0.3">
      <c r="A122" s="10" t="s">
        <v>514</v>
      </c>
      <c r="B122" s="10"/>
      <c r="C122" s="17" t="s">
        <v>508</v>
      </c>
      <c r="D122" s="12"/>
      <c r="E122" s="12"/>
      <c r="F122" s="18" t="s">
        <v>99</v>
      </c>
      <c r="G122" s="19">
        <v>0.3</v>
      </c>
      <c r="H122" s="19"/>
      <c r="I122" s="19">
        <v>1206.42</v>
      </c>
      <c r="J122" s="20">
        <v>182.26</v>
      </c>
      <c r="M122" s="21">
        <f>ROUND(ROUND(J122, 2)*I122, 2)</f>
        <v>219882.11</v>
      </c>
      <c r="P122" s="22">
        <v>182.26</v>
      </c>
      <c r="S122" s="21">
        <f>ROUND(ROUND(P122, 2)*I122, 2)</f>
        <v>219882.11</v>
      </c>
      <c r="V122" s="9">
        <f>ROUND(ROUND(P122, 2)/1.2, 2)</f>
        <v>151.88</v>
      </c>
      <c r="Y122" s="9">
        <f t="shared" si="15"/>
        <v>183235.09</v>
      </c>
      <c r="AD122" s="4" t="s">
        <v>515</v>
      </c>
      <c r="AE122" s="4" t="s">
        <v>516</v>
      </c>
      <c r="AF122" s="4" t="s">
        <v>511</v>
      </c>
    </row>
    <row r="123" spans="1:35" ht="54" x14ac:dyDescent="0.3">
      <c r="A123" s="10" t="s">
        <v>517</v>
      </c>
      <c r="B123" s="10" t="s">
        <v>494</v>
      </c>
      <c r="C123" s="11" t="s">
        <v>495</v>
      </c>
      <c r="D123" s="12"/>
      <c r="E123" s="12" t="s">
        <v>518</v>
      </c>
      <c r="F123" s="12" t="s">
        <v>58</v>
      </c>
      <c r="G123" s="13">
        <v>1</v>
      </c>
      <c r="H123" s="13"/>
      <c r="I123" s="13">
        <v>2991</v>
      </c>
      <c r="J123" s="14">
        <f>IFERROR(ROUND(SUM(M124)/I123, 2),0)</f>
        <v>54.68</v>
      </c>
      <c r="K123" s="15">
        <v>117</v>
      </c>
      <c r="L123" s="14">
        <f>J123+ROUND(K123, 2)</f>
        <v>171.68</v>
      </c>
      <c r="M123" s="14">
        <f>ROUND(J123*I123, 2)</f>
        <v>163547.88</v>
      </c>
      <c r="N123" s="14">
        <f>ROUND(I123*ROUND(K123, 2), 2)</f>
        <v>349947</v>
      </c>
      <c r="O123" s="14">
        <f>M123+N123</f>
        <v>513494.88</v>
      </c>
      <c r="P123" s="14">
        <f>IFERROR(ROUND(SUM(S124)/I123, 2),0)</f>
        <v>54.68</v>
      </c>
      <c r="Q123" s="16">
        <v>167.14</v>
      </c>
      <c r="R123" s="14">
        <f>P123+ROUND(Q123, 2)</f>
        <v>221.82</v>
      </c>
      <c r="S123" s="14">
        <f>ROUND(P123*I123, 2)</f>
        <v>163547.88</v>
      </c>
      <c r="T123" s="14">
        <f>ROUND(I123*ROUND(Q123, 2), 2)</f>
        <v>499915.74</v>
      </c>
      <c r="U123" s="14">
        <f>S123+T123</f>
        <v>663463.62</v>
      </c>
      <c r="V123" s="9">
        <f>ROUND(P123 / 1.2, 2)</f>
        <v>45.57</v>
      </c>
      <c r="W123" s="9">
        <f>ROUND(Q123 / 1.2, 2)</f>
        <v>139.28</v>
      </c>
      <c r="X123" s="9">
        <f>ROUND(R123 / 1.2, 2)</f>
        <v>184.85</v>
      </c>
      <c r="Y123" s="9">
        <f t="shared" si="15"/>
        <v>136289.9</v>
      </c>
      <c r="Z123" s="9">
        <f>ROUND(T123 / 1.2, 2)</f>
        <v>416596.45</v>
      </c>
      <c r="AA123" s="9">
        <f>Y123+Z123</f>
        <v>552886.35</v>
      </c>
      <c r="AD123" s="4">
        <v>311044420</v>
      </c>
      <c r="AE123" s="4">
        <v>22761923</v>
      </c>
      <c r="AG123" s="4" t="s">
        <v>497</v>
      </c>
      <c r="AH123" s="4" t="s">
        <v>498</v>
      </c>
      <c r="AI123" s="4" t="s">
        <v>469</v>
      </c>
    </row>
    <row r="124" spans="1:35" ht="36" x14ac:dyDescent="0.3">
      <c r="A124" s="10" t="s">
        <v>519</v>
      </c>
      <c r="B124" s="10"/>
      <c r="C124" s="17" t="s">
        <v>508</v>
      </c>
      <c r="D124" s="12"/>
      <c r="E124" s="12"/>
      <c r="F124" s="18" t="s">
        <v>99</v>
      </c>
      <c r="G124" s="19">
        <v>0.3</v>
      </c>
      <c r="H124" s="19"/>
      <c r="I124" s="19">
        <v>897.3</v>
      </c>
      <c r="J124" s="20">
        <v>182.26</v>
      </c>
      <c r="M124" s="21">
        <f>ROUND(ROUND(J124, 2)*I124, 2)</f>
        <v>163541.9</v>
      </c>
      <c r="P124" s="22">
        <v>182.26</v>
      </c>
      <c r="S124" s="21">
        <f>ROUND(ROUND(P124, 2)*I124, 2)</f>
        <v>163541.9</v>
      </c>
      <c r="V124" s="9">
        <f>ROUND(ROUND(P124, 2)/1.2, 2)</f>
        <v>151.88</v>
      </c>
      <c r="Y124" s="9">
        <f t="shared" si="15"/>
        <v>136284.92000000001</v>
      </c>
      <c r="AD124" s="4" t="s">
        <v>520</v>
      </c>
      <c r="AE124" s="4" t="s">
        <v>521</v>
      </c>
      <c r="AF124" s="4" t="s">
        <v>511</v>
      </c>
    </row>
    <row r="125" spans="1:35" ht="72" x14ac:dyDescent="0.3">
      <c r="A125" s="10" t="s">
        <v>522</v>
      </c>
      <c r="B125" s="10" t="s">
        <v>523</v>
      </c>
      <c r="C125" s="11" t="s">
        <v>524</v>
      </c>
      <c r="D125" s="12"/>
      <c r="E125" s="12" t="s">
        <v>525</v>
      </c>
      <c r="F125" s="12" t="s">
        <v>58</v>
      </c>
      <c r="G125" s="13">
        <v>1</v>
      </c>
      <c r="H125" s="13"/>
      <c r="I125" s="13">
        <v>12.3</v>
      </c>
      <c r="J125" s="14">
        <f>IFERROR(ROUND(SUM(M126,M127,M128,M129)/I125, 2),0)</f>
        <v>652.16999999999996</v>
      </c>
      <c r="K125" s="15">
        <v>868.01</v>
      </c>
      <c r="L125" s="14">
        <f>J125+ROUND(K125, 2)</f>
        <v>1520.1799999999998</v>
      </c>
      <c r="M125" s="14">
        <f>ROUND(J125*I125, 2)</f>
        <v>8021.69</v>
      </c>
      <c r="N125" s="14">
        <f>ROUND(I125*ROUND(K125, 2), 2)</f>
        <v>10676.52</v>
      </c>
      <c r="O125" s="14">
        <f>M125+N125</f>
        <v>18698.21</v>
      </c>
      <c r="P125" s="14">
        <f>IFERROR(ROUND(SUM(S126,S127,S128,S129)/I125, 2),0)</f>
        <v>652.16999999999996</v>
      </c>
      <c r="Q125" s="16">
        <v>1240.01</v>
      </c>
      <c r="R125" s="14">
        <f>P125+ROUND(Q125, 2)</f>
        <v>1892.1799999999998</v>
      </c>
      <c r="S125" s="14">
        <f>ROUND(P125*I125, 2)</f>
        <v>8021.69</v>
      </c>
      <c r="T125" s="14">
        <f>ROUND(I125*ROUND(Q125, 2), 2)</f>
        <v>15252.12</v>
      </c>
      <c r="U125" s="14">
        <f>S125+T125</f>
        <v>23273.81</v>
      </c>
      <c r="V125" s="9">
        <f>ROUND(P125 / 1.2, 2)</f>
        <v>543.48</v>
      </c>
      <c r="W125" s="9">
        <f>ROUND(Q125 / 1.2, 2)</f>
        <v>1033.3399999999999</v>
      </c>
      <c r="X125" s="9">
        <f>ROUND(R125 / 1.2, 2)</f>
        <v>1576.82</v>
      </c>
      <c r="Y125" s="9">
        <f t="shared" si="15"/>
        <v>6684.74</v>
      </c>
      <c r="Z125" s="9">
        <f>ROUND(T125 / 1.2, 2)</f>
        <v>12710.1</v>
      </c>
      <c r="AA125" s="9">
        <f>Y125+Z125</f>
        <v>19394.84</v>
      </c>
      <c r="AD125" s="4">
        <v>311044325</v>
      </c>
      <c r="AE125" s="4">
        <v>22829011</v>
      </c>
      <c r="AG125" s="4" t="s">
        <v>526</v>
      </c>
      <c r="AH125" s="4" t="s">
        <v>527</v>
      </c>
      <c r="AI125" s="4" t="s">
        <v>469</v>
      </c>
    </row>
    <row r="126" spans="1:35" ht="18" x14ac:dyDescent="0.3">
      <c r="A126" s="10" t="s">
        <v>528</v>
      </c>
      <c r="B126" s="10"/>
      <c r="C126" s="17" t="s">
        <v>529</v>
      </c>
      <c r="D126" s="12"/>
      <c r="E126" s="12"/>
      <c r="F126" s="18" t="s">
        <v>139</v>
      </c>
      <c r="G126" s="19">
        <v>8</v>
      </c>
      <c r="H126" s="24"/>
      <c r="I126" s="24">
        <v>98.4</v>
      </c>
      <c r="J126" s="20">
        <v>2.54</v>
      </c>
      <c r="M126" s="21">
        <f>ROUND(ROUND(J126, 2)*I126, 2)</f>
        <v>249.94</v>
      </c>
      <c r="P126" s="22">
        <v>2.54</v>
      </c>
      <c r="S126" s="21">
        <f>ROUND(ROUND(P126, 2)*I126, 2)</f>
        <v>249.94</v>
      </c>
      <c r="V126" s="9">
        <f>ROUND(ROUND(P126, 2)/1.2, 2)</f>
        <v>2.12</v>
      </c>
      <c r="Y126" s="9">
        <f t="shared" si="15"/>
        <v>208.28</v>
      </c>
      <c r="AD126" s="4" t="s">
        <v>530</v>
      </c>
      <c r="AE126" s="4" t="s">
        <v>531</v>
      </c>
      <c r="AF126" s="4" t="s">
        <v>532</v>
      </c>
    </row>
    <row r="127" spans="1:35" ht="18" x14ac:dyDescent="0.3">
      <c r="A127" s="10" t="s">
        <v>533</v>
      </c>
      <c r="B127" s="10"/>
      <c r="C127" s="17" t="s">
        <v>534</v>
      </c>
      <c r="D127" s="12"/>
      <c r="E127" s="12"/>
      <c r="F127" s="18" t="s">
        <v>99</v>
      </c>
      <c r="G127" s="19">
        <v>1.8</v>
      </c>
      <c r="H127" s="24"/>
      <c r="I127" s="24">
        <v>885.6</v>
      </c>
      <c r="J127" s="20">
        <v>6.27</v>
      </c>
      <c r="M127" s="21">
        <f>ROUND(ROUND(J127, 2)*I127, 2)</f>
        <v>5552.71</v>
      </c>
      <c r="P127" s="22">
        <v>6.27</v>
      </c>
      <c r="S127" s="21">
        <f>ROUND(ROUND(P127, 2)*I127, 2)</f>
        <v>5552.71</v>
      </c>
      <c r="V127" s="9">
        <f>ROUND(ROUND(P127, 2)/1.2, 2)</f>
        <v>5.23</v>
      </c>
      <c r="Y127" s="9">
        <f t="shared" si="15"/>
        <v>4627.26</v>
      </c>
      <c r="AD127" s="4" t="s">
        <v>535</v>
      </c>
      <c r="AE127" s="4" t="s">
        <v>536</v>
      </c>
      <c r="AF127" s="4" t="s">
        <v>537</v>
      </c>
    </row>
    <row r="128" spans="1:35" ht="18" x14ac:dyDescent="0.3">
      <c r="A128" s="10" t="s">
        <v>538</v>
      </c>
      <c r="B128" s="10"/>
      <c r="C128" s="17" t="s">
        <v>539</v>
      </c>
      <c r="D128" s="12"/>
      <c r="E128" s="12"/>
      <c r="F128" s="18" t="s">
        <v>58</v>
      </c>
      <c r="G128" s="19">
        <v>1.1000000000000001</v>
      </c>
      <c r="H128" s="24"/>
      <c r="I128" s="24">
        <v>13.53</v>
      </c>
      <c r="J128" s="20">
        <v>157.6</v>
      </c>
      <c r="M128" s="21">
        <f>ROUND(ROUND(J128, 2)*I128, 2)</f>
        <v>2132.33</v>
      </c>
      <c r="P128" s="22">
        <v>157.6</v>
      </c>
      <c r="S128" s="21">
        <f>ROUND(ROUND(P128, 2)*I128, 2)</f>
        <v>2132.33</v>
      </c>
      <c r="V128" s="9">
        <f>ROUND(ROUND(P128, 2)/1.2, 2)</f>
        <v>131.33000000000001</v>
      </c>
      <c r="Y128" s="9">
        <f t="shared" si="15"/>
        <v>1776.94</v>
      </c>
      <c r="AD128" s="4" t="s">
        <v>540</v>
      </c>
      <c r="AE128" s="4" t="s">
        <v>541</v>
      </c>
      <c r="AF128" s="4" t="s">
        <v>542</v>
      </c>
    </row>
    <row r="129" spans="1:35" ht="18" x14ac:dyDescent="0.3">
      <c r="A129" s="10" t="s">
        <v>543</v>
      </c>
      <c r="B129" s="10"/>
      <c r="C129" s="17" t="s">
        <v>544</v>
      </c>
      <c r="D129" s="12"/>
      <c r="E129" s="12"/>
      <c r="F129" s="18" t="s">
        <v>258</v>
      </c>
      <c r="G129" s="19">
        <v>1</v>
      </c>
      <c r="H129" s="24"/>
      <c r="I129" s="24">
        <v>8.1999999999999993</v>
      </c>
      <c r="J129" s="20">
        <v>10.58</v>
      </c>
      <c r="M129" s="21">
        <f>ROUND(ROUND(J129, 2)*I129, 2)</f>
        <v>86.76</v>
      </c>
      <c r="P129" s="22">
        <v>10.58</v>
      </c>
      <c r="S129" s="21">
        <f>ROUND(ROUND(P129, 2)*I129, 2)</f>
        <v>86.76</v>
      </c>
      <c r="V129" s="9">
        <f>ROUND(ROUND(P129, 2)/1.2, 2)</f>
        <v>8.82</v>
      </c>
      <c r="Y129" s="9">
        <f t="shared" si="15"/>
        <v>72.3</v>
      </c>
      <c r="AD129" s="4" t="s">
        <v>545</v>
      </c>
      <c r="AE129" s="4" t="s">
        <v>546</v>
      </c>
      <c r="AF129" s="4" t="s">
        <v>547</v>
      </c>
    </row>
    <row r="130" spans="1:35" ht="72" x14ac:dyDescent="0.3">
      <c r="A130" s="10" t="s">
        <v>548</v>
      </c>
      <c r="B130" s="10" t="s">
        <v>549</v>
      </c>
      <c r="C130" s="11" t="s">
        <v>550</v>
      </c>
      <c r="D130" s="12"/>
      <c r="E130" s="12" t="s">
        <v>551</v>
      </c>
      <c r="F130" s="12" t="s">
        <v>58</v>
      </c>
      <c r="G130" s="13">
        <v>1</v>
      </c>
      <c r="H130" s="13"/>
      <c r="I130" s="13">
        <v>968</v>
      </c>
      <c r="J130" s="14">
        <f>IFERROR(ROUND(SUM(M131,M132,M133)/I130, 2),0)</f>
        <v>750.13</v>
      </c>
      <c r="K130" s="15">
        <v>941</v>
      </c>
      <c r="L130" s="14">
        <f>J130+ROUND(K130, 2)</f>
        <v>1691.13</v>
      </c>
      <c r="M130" s="14">
        <f>ROUND(J130*I130, 2)</f>
        <v>726125.84</v>
      </c>
      <c r="N130" s="14">
        <f>ROUND(I130*ROUND(K130, 2), 2)</f>
        <v>910888</v>
      </c>
      <c r="O130" s="14">
        <f>M130+N130</f>
        <v>1637013.8399999999</v>
      </c>
      <c r="P130" s="14">
        <f>IFERROR(ROUND(SUM(S131,S132,S133)/I130, 2),0)</f>
        <v>750.13</v>
      </c>
      <c r="Q130" s="16">
        <v>1344.29</v>
      </c>
      <c r="R130" s="14">
        <f>P130+ROUND(Q130, 2)</f>
        <v>2094.42</v>
      </c>
      <c r="S130" s="14">
        <f>ROUND(P130*I130, 2)</f>
        <v>726125.84</v>
      </c>
      <c r="T130" s="14">
        <f>ROUND(I130*ROUND(Q130, 2), 2)</f>
        <v>1301272.72</v>
      </c>
      <c r="U130" s="14">
        <f>S130+T130</f>
        <v>2027398.56</v>
      </c>
      <c r="V130" s="9">
        <f>ROUND(P130 / 1.2, 2)</f>
        <v>625.11</v>
      </c>
      <c r="W130" s="9">
        <f>ROUND(Q130 / 1.2, 2)</f>
        <v>1120.24</v>
      </c>
      <c r="X130" s="9">
        <f>ROUND(R130 / 1.2, 2)</f>
        <v>1745.35</v>
      </c>
      <c r="Y130" s="9">
        <f t="shared" si="15"/>
        <v>605104.87</v>
      </c>
      <c r="Z130" s="9">
        <f>ROUND(T130 / 1.2, 2)</f>
        <v>1084393.93</v>
      </c>
      <c r="AA130" s="9">
        <f>Y130+Z130</f>
        <v>1689498.7999999998</v>
      </c>
      <c r="AD130" s="4">
        <v>311044326</v>
      </c>
      <c r="AE130" s="4">
        <v>22765233</v>
      </c>
      <c r="AG130" s="4" t="s">
        <v>552</v>
      </c>
      <c r="AH130" s="4" t="s">
        <v>553</v>
      </c>
      <c r="AI130" s="4" t="s">
        <v>469</v>
      </c>
    </row>
    <row r="131" spans="1:35" ht="18" x14ac:dyDescent="0.3">
      <c r="A131" s="10" t="s">
        <v>554</v>
      </c>
      <c r="B131" s="10"/>
      <c r="C131" s="17" t="s">
        <v>529</v>
      </c>
      <c r="D131" s="12"/>
      <c r="E131" s="12"/>
      <c r="F131" s="18" t="s">
        <v>139</v>
      </c>
      <c r="G131" s="19">
        <v>8</v>
      </c>
      <c r="H131" s="24"/>
      <c r="I131" s="24">
        <v>7744</v>
      </c>
      <c r="J131" s="20">
        <v>2.54</v>
      </c>
      <c r="M131" s="21">
        <f>ROUND(ROUND(J131, 2)*I131, 2)</f>
        <v>19669.759999999998</v>
      </c>
      <c r="P131" s="22">
        <v>2.54</v>
      </c>
      <c r="S131" s="21">
        <f>ROUND(ROUND(P131, 2)*I131, 2)</f>
        <v>19669.759999999998</v>
      </c>
      <c r="V131" s="9">
        <f>ROUND(ROUND(P131, 2)/1.2, 2)</f>
        <v>2.12</v>
      </c>
      <c r="Y131" s="9">
        <f t="shared" si="15"/>
        <v>16391.47</v>
      </c>
      <c r="AD131" s="4" t="s">
        <v>555</v>
      </c>
      <c r="AE131" s="4" t="s">
        <v>556</v>
      </c>
      <c r="AF131" s="4" t="s">
        <v>532</v>
      </c>
    </row>
    <row r="132" spans="1:35" ht="18" x14ac:dyDescent="0.3">
      <c r="A132" s="10" t="s">
        <v>557</v>
      </c>
      <c r="B132" s="10"/>
      <c r="C132" s="17" t="s">
        <v>539</v>
      </c>
      <c r="D132" s="12"/>
      <c r="E132" s="12"/>
      <c r="F132" s="18" t="s">
        <v>58</v>
      </c>
      <c r="G132" s="19">
        <v>1.1000000000000001</v>
      </c>
      <c r="H132" s="24"/>
      <c r="I132" s="24">
        <v>1064.8</v>
      </c>
      <c r="J132" s="20">
        <v>157.6</v>
      </c>
      <c r="M132" s="21">
        <f>ROUND(ROUND(J132, 2)*I132, 2)</f>
        <v>167812.48000000001</v>
      </c>
      <c r="P132" s="22">
        <v>157.6</v>
      </c>
      <c r="S132" s="21">
        <f>ROUND(ROUND(P132, 2)*I132, 2)</f>
        <v>167812.48000000001</v>
      </c>
      <c r="V132" s="9">
        <f>ROUND(ROUND(P132, 2)/1.2, 2)</f>
        <v>131.33000000000001</v>
      </c>
      <c r="Y132" s="9">
        <f t="shared" si="15"/>
        <v>139843.73000000001</v>
      </c>
      <c r="AD132" s="4" t="s">
        <v>558</v>
      </c>
      <c r="AE132" s="4" t="s">
        <v>559</v>
      </c>
      <c r="AF132" s="4" t="s">
        <v>542</v>
      </c>
    </row>
    <row r="133" spans="1:35" ht="18" x14ac:dyDescent="0.3">
      <c r="A133" s="10" t="s">
        <v>560</v>
      </c>
      <c r="B133" s="10"/>
      <c r="C133" s="17" t="s">
        <v>561</v>
      </c>
      <c r="D133" s="12"/>
      <c r="E133" s="12"/>
      <c r="F133" s="18" t="s">
        <v>99</v>
      </c>
      <c r="G133" s="19">
        <v>1.8</v>
      </c>
      <c r="H133" s="24"/>
      <c r="I133" s="24">
        <v>71438.399999999994</v>
      </c>
      <c r="J133" s="20">
        <v>7.54</v>
      </c>
      <c r="M133" s="21">
        <f>ROUND(ROUND(J133, 2)*I133, 2)</f>
        <v>538645.54</v>
      </c>
      <c r="P133" s="22">
        <v>7.54</v>
      </c>
      <c r="S133" s="21">
        <f>ROUND(ROUND(P133, 2)*I133, 2)</f>
        <v>538645.54</v>
      </c>
      <c r="V133" s="9">
        <f>ROUND(ROUND(P133, 2)/1.2, 2)</f>
        <v>6.28</v>
      </c>
      <c r="Y133" s="9">
        <f t="shared" si="15"/>
        <v>448871.28</v>
      </c>
      <c r="AD133" s="4" t="s">
        <v>562</v>
      </c>
      <c r="AE133" s="4" t="s">
        <v>563</v>
      </c>
      <c r="AF133" s="4" t="s">
        <v>564</v>
      </c>
    </row>
    <row r="134" spans="1:35" ht="72" x14ac:dyDescent="0.3">
      <c r="A134" s="10" t="s">
        <v>565</v>
      </c>
      <c r="B134" s="10" t="s">
        <v>549</v>
      </c>
      <c r="C134" s="11" t="s">
        <v>550</v>
      </c>
      <c r="D134" s="12"/>
      <c r="E134" s="12" t="s">
        <v>566</v>
      </c>
      <c r="F134" s="12" t="s">
        <v>58</v>
      </c>
      <c r="G134" s="13">
        <v>1</v>
      </c>
      <c r="H134" s="13"/>
      <c r="I134" s="13">
        <v>6382.4</v>
      </c>
      <c r="J134" s="14">
        <f>IFERROR(ROUND(SUM(M135,M136,M137)/I134, 2),0)</f>
        <v>777.28</v>
      </c>
      <c r="K134" s="15">
        <v>941</v>
      </c>
      <c r="L134" s="14">
        <f>J134+ROUND(K134, 2)</f>
        <v>1718.28</v>
      </c>
      <c r="M134" s="14">
        <f>ROUND(J134*I134, 2)</f>
        <v>4960911.87</v>
      </c>
      <c r="N134" s="14">
        <f>ROUND(I134*ROUND(K134, 2), 2)</f>
        <v>6005838.4000000004</v>
      </c>
      <c r="O134" s="14">
        <f>M134+N134</f>
        <v>10966750.27</v>
      </c>
      <c r="P134" s="14">
        <f>IFERROR(ROUND(SUM(S135,S136,S137)/I134, 2),0)</f>
        <v>777.28</v>
      </c>
      <c r="Q134" s="16">
        <v>1344.29</v>
      </c>
      <c r="R134" s="14">
        <f>P134+ROUND(Q134, 2)</f>
        <v>2121.5699999999997</v>
      </c>
      <c r="S134" s="14">
        <f>ROUND(P134*I134, 2)</f>
        <v>4960911.87</v>
      </c>
      <c r="T134" s="14">
        <f>ROUND(I134*ROUND(Q134, 2), 2)</f>
        <v>8579796.5</v>
      </c>
      <c r="U134" s="14">
        <f>S134+T134</f>
        <v>13540708.370000001</v>
      </c>
      <c r="V134" s="9">
        <f>ROUND(P134 / 1.2, 2)</f>
        <v>647.73</v>
      </c>
      <c r="W134" s="9">
        <f>ROUND(Q134 / 1.2, 2)</f>
        <v>1120.24</v>
      </c>
      <c r="X134" s="9">
        <f>ROUND(R134 / 1.2, 2)</f>
        <v>1767.98</v>
      </c>
      <c r="Y134" s="9">
        <f t="shared" si="15"/>
        <v>4134093.23</v>
      </c>
      <c r="Z134" s="9">
        <f>ROUND(T134 / 1.2, 2)</f>
        <v>7149830.4199999999</v>
      </c>
      <c r="AA134" s="9">
        <f>Y134+Z134</f>
        <v>11283923.65</v>
      </c>
      <c r="AD134" s="4">
        <v>311044421</v>
      </c>
      <c r="AE134" s="4">
        <v>22767307</v>
      </c>
      <c r="AG134" s="4" t="s">
        <v>552</v>
      </c>
      <c r="AH134" s="4" t="s">
        <v>553</v>
      </c>
      <c r="AI134" s="4" t="s">
        <v>469</v>
      </c>
    </row>
    <row r="135" spans="1:35" ht="18" x14ac:dyDescent="0.3">
      <c r="A135" s="10" t="s">
        <v>567</v>
      </c>
      <c r="B135" s="10"/>
      <c r="C135" s="17" t="s">
        <v>561</v>
      </c>
      <c r="D135" s="12"/>
      <c r="E135" s="12"/>
      <c r="F135" s="18" t="s">
        <v>99</v>
      </c>
      <c r="G135" s="19">
        <v>1.8</v>
      </c>
      <c r="H135" s="24"/>
      <c r="I135" s="24">
        <v>493997.76</v>
      </c>
      <c r="J135" s="20">
        <v>7.54</v>
      </c>
      <c r="M135" s="21">
        <f>ROUND(ROUND(J135, 2)*I135, 2)</f>
        <v>3724743.11</v>
      </c>
      <c r="P135" s="22">
        <v>7.54</v>
      </c>
      <c r="S135" s="21">
        <f>ROUND(ROUND(P135, 2)*I135, 2)</f>
        <v>3724743.11</v>
      </c>
      <c r="V135" s="9">
        <f>ROUND(ROUND(P135, 2)/1.2, 2)</f>
        <v>6.28</v>
      </c>
      <c r="Y135" s="9">
        <f t="shared" si="15"/>
        <v>3103952.59</v>
      </c>
      <c r="AD135" s="4" t="s">
        <v>568</v>
      </c>
      <c r="AE135" s="4" t="s">
        <v>569</v>
      </c>
      <c r="AF135" s="4" t="s">
        <v>564</v>
      </c>
    </row>
    <row r="136" spans="1:35" ht="18" x14ac:dyDescent="0.3">
      <c r="A136" s="10" t="s">
        <v>570</v>
      </c>
      <c r="B136" s="10"/>
      <c r="C136" s="17" t="s">
        <v>539</v>
      </c>
      <c r="D136" s="12"/>
      <c r="E136" s="12"/>
      <c r="F136" s="18" t="s">
        <v>58</v>
      </c>
      <c r="G136" s="19">
        <v>1.1000000000000001</v>
      </c>
      <c r="H136" s="24"/>
      <c r="I136" s="24">
        <v>7020.64</v>
      </c>
      <c r="J136" s="20">
        <v>157.6</v>
      </c>
      <c r="M136" s="21">
        <f>ROUND(ROUND(J136, 2)*I136, 2)</f>
        <v>1106452.8600000001</v>
      </c>
      <c r="P136" s="22">
        <v>157.6</v>
      </c>
      <c r="S136" s="21">
        <f>ROUND(ROUND(P136, 2)*I136, 2)</f>
        <v>1106452.8600000001</v>
      </c>
      <c r="V136" s="9">
        <f>ROUND(ROUND(P136, 2)/1.2, 2)</f>
        <v>131.33000000000001</v>
      </c>
      <c r="Y136" s="9">
        <f t="shared" si="15"/>
        <v>922044.05</v>
      </c>
      <c r="AD136" s="4" t="s">
        <v>571</v>
      </c>
      <c r="AE136" s="4" t="s">
        <v>572</v>
      </c>
      <c r="AF136" s="4" t="s">
        <v>542</v>
      </c>
    </row>
    <row r="137" spans="1:35" ht="18" x14ac:dyDescent="0.3">
      <c r="A137" s="10" t="s">
        <v>573</v>
      </c>
      <c r="B137" s="10"/>
      <c r="C137" s="17" t="s">
        <v>529</v>
      </c>
      <c r="D137" s="12"/>
      <c r="E137" s="12"/>
      <c r="F137" s="18" t="s">
        <v>139</v>
      </c>
      <c r="G137" s="19">
        <v>8</v>
      </c>
      <c r="H137" s="24"/>
      <c r="I137" s="24">
        <v>51059.199999999997</v>
      </c>
      <c r="J137" s="20">
        <v>2.54</v>
      </c>
      <c r="M137" s="21">
        <f>ROUND(ROUND(J137, 2)*I137, 2)</f>
        <v>129690.37</v>
      </c>
      <c r="P137" s="22">
        <v>2.54</v>
      </c>
      <c r="S137" s="21">
        <f>ROUND(ROUND(P137, 2)*I137, 2)</f>
        <v>129690.37</v>
      </c>
      <c r="V137" s="9">
        <f>ROUND(ROUND(P137, 2)/1.2, 2)</f>
        <v>2.12</v>
      </c>
      <c r="Y137" s="9">
        <f t="shared" si="15"/>
        <v>108075.31</v>
      </c>
      <c r="AD137" s="4" t="s">
        <v>574</v>
      </c>
      <c r="AE137" s="4" t="s">
        <v>575</v>
      </c>
      <c r="AF137" s="4" t="s">
        <v>532</v>
      </c>
    </row>
    <row r="138" spans="1:35" ht="72" x14ac:dyDescent="0.3">
      <c r="A138" s="10" t="s">
        <v>576</v>
      </c>
      <c r="B138" s="10" t="s">
        <v>549</v>
      </c>
      <c r="C138" s="11" t="s">
        <v>550</v>
      </c>
      <c r="D138" s="12"/>
      <c r="E138" s="12" t="s">
        <v>577</v>
      </c>
      <c r="F138" s="12" t="s">
        <v>58</v>
      </c>
      <c r="G138" s="13">
        <v>1</v>
      </c>
      <c r="H138" s="13"/>
      <c r="I138" s="13">
        <v>428.4</v>
      </c>
      <c r="J138" s="14">
        <f>IFERROR(ROUND(SUM(M139,M140,M141)/I138, 2),0)</f>
        <v>953.71</v>
      </c>
      <c r="K138" s="15">
        <v>941</v>
      </c>
      <c r="L138" s="14">
        <f>J138+ROUND(K138, 2)</f>
        <v>1894.71</v>
      </c>
      <c r="M138" s="14">
        <f>ROUND(J138*I138, 2)</f>
        <v>408569.36</v>
      </c>
      <c r="N138" s="14">
        <f>ROUND(I138*ROUND(K138, 2), 2)</f>
        <v>403124.4</v>
      </c>
      <c r="O138" s="14">
        <f>M138+N138</f>
        <v>811693.76</v>
      </c>
      <c r="P138" s="14">
        <f>IFERROR(ROUND(SUM(S139,S140,S141)/I138, 2),0)</f>
        <v>953.71</v>
      </c>
      <c r="Q138" s="16">
        <v>1344.29</v>
      </c>
      <c r="R138" s="14">
        <f>P138+ROUND(Q138, 2)</f>
        <v>2298</v>
      </c>
      <c r="S138" s="14">
        <f>ROUND(P138*I138, 2)</f>
        <v>408569.36</v>
      </c>
      <c r="T138" s="14">
        <f>ROUND(I138*ROUND(Q138, 2), 2)</f>
        <v>575893.84</v>
      </c>
      <c r="U138" s="14">
        <f>S138+T138</f>
        <v>984463.2</v>
      </c>
      <c r="V138" s="9">
        <f>ROUND(P138 / 1.2, 2)</f>
        <v>794.76</v>
      </c>
      <c r="W138" s="9">
        <f>ROUND(Q138 / 1.2, 2)</f>
        <v>1120.24</v>
      </c>
      <c r="X138" s="9">
        <f>ROUND(R138 / 1.2, 2)</f>
        <v>1915</v>
      </c>
      <c r="Y138" s="9">
        <f t="shared" si="15"/>
        <v>340474.47</v>
      </c>
      <c r="Z138" s="9">
        <f>ROUND(T138 / 1.2, 2)</f>
        <v>479911.53</v>
      </c>
      <c r="AA138" s="9">
        <f>Y138+Z138</f>
        <v>820386</v>
      </c>
      <c r="AD138" s="4">
        <v>311044422</v>
      </c>
      <c r="AE138" s="4">
        <v>22767308</v>
      </c>
      <c r="AG138" s="4" t="s">
        <v>552</v>
      </c>
      <c r="AH138" s="4" t="s">
        <v>553</v>
      </c>
      <c r="AI138" s="4" t="s">
        <v>469</v>
      </c>
    </row>
    <row r="139" spans="1:35" ht="18" x14ac:dyDescent="0.3">
      <c r="A139" s="10" t="s">
        <v>578</v>
      </c>
      <c r="B139" s="10"/>
      <c r="C139" s="17" t="s">
        <v>529</v>
      </c>
      <c r="D139" s="12"/>
      <c r="E139" s="12"/>
      <c r="F139" s="18" t="s">
        <v>139</v>
      </c>
      <c r="G139" s="19">
        <v>8</v>
      </c>
      <c r="H139" s="24"/>
      <c r="I139" s="24">
        <v>3427.2</v>
      </c>
      <c r="J139" s="20">
        <v>2.54</v>
      </c>
      <c r="M139" s="21">
        <f>ROUND(ROUND(J139, 2)*I139, 2)</f>
        <v>8705.09</v>
      </c>
      <c r="P139" s="22">
        <v>2.54</v>
      </c>
      <c r="S139" s="21">
        <f>ROUND(ROUND(P139, 2)*I139, 2)</f>
        <v>8705.09</v>
      </c>
      <c r="V139" s="9">
        <f>ROUND(ROUND(P139, 2)/1.2, 2)</f>
        <v>2.12</v>
      </c>
      <c r="Y139" s="9">
        <f t="shared" si="15"/>
        <v>7254.24</v>
      </c>
      <c r="AD139" s="4" t="s">
        <v>579</v>
      </c>
      <c r="AE139" s="4" t="s">
        <v>580</v>
      </c>
      <c r="AF139" s="4" t="s">
        <v>532</v>
      </c>
    </row>
    <row r="140" spans="1:35" ht="18" x14ac:dyDescent="0.3">
      <c r="A140" s="10" t="s">
        <v>581</v>
      </c>
      <c r="B140" s="10"/>
      <c r="C140" s="17" t="s">
        <v>539</v>
      </c>
      <c r="D140" s="12"/>
      <c r="E140" s="12"/>
      <c r="F140" s="18" t="s">
        <v>58</v>
      </c>
      <c r="G140" s="19">
        <v>1.1000000000000001</v>
      </c>
      <c r="H140" s="24"/>
      <c r="I140" s="24">
        <v>471.24</v>
      </c>
      <c r="J140" s="20">
        <v>157.6</v>
      </c>
      <c r="M140" s="21">
        <f>ROUND(ROUND(J140, 2)*I140, 2)</f>
        <v>74267.42</v>
      </c>
      <c r="P140" s="22">
        <v>157.6</v>
      </c>
      <c r="S140" s="21">
        <f>ROUND(ROUND(P140, 2)*I140, 2)</f>
        <v>74267.42</v>
      </c>
      <c r="V140" s="9">
        <f>ROUND(ROUND(P140, 2)/1.2, 2)</f>
        <v>131.33000000000001</v>
      </c>
      <c r="Y140" s="9">
        <f t="shared" si="15"/>
        <v>61889.52</v>
      </c>
      <c r="AD140" s="4" t="s">
        <v>582</v>
      </c>
      <c r="AE140" s="4" t="s">
        <v>583</v>
      </c>
      <c r="AF140" s="4" t="s">
        <v>542</v>
      </c>
    </row>
    <row r="141" spans="1:35" ht="18" x14ac:dyDescent="0.3">
      <c r="A141" s="10" t="s">
        <v>584</v>
      </c>
      <c r="B141" s="10"/>
      <c r="C141" s="17" t="s">
        <v>561</v>
      </c>
      <c r="D141" s="12"/>
      <c r="E141" s="12"/>
      <c r="F141" s="18" t="s">
        <v>99</v>
      </c>
      <c r="G141" s="19">
        <v>1.8</v>
      </c>
      <c r="H141" s="24"/>
      <c r="I141" s="24">
        <v>43182.720000000001</v>
      </c>
      <c r="J141" s="20">
        <v>7.54</v>
      </c>
      <c r="M141" s="21">
        <f>ROUND(ROUND(J141, 2)*I141, 2)</f>
        <v>325597.71000000002</v>
      </c>
      <c r="P141" s="22">
        <v>7.54</v>
      </c>
      <c r="S141" s="21">
        <f>ROUND(ROUND(P141, 2)*I141, 2)</f>
        <v>325597.71000000002</v>
      </c>
      <c r="V141" s="9">
        <f>ROUND(ROUND(P141, 2)/1.2, 2)</f>
        <v>6.28</v>
      </c>
      <c r="Y141" s="9">
        <f t="shared" si="15"/>
        <v>271331.43</v>
      </c>
      <c r="AD141" s="4" t="s">
        <v>585</v>
      </c>
      <c r="AE141" s="4" t="s">
        <v>586</v>
      </c>
      <c r="AF141" s="4" t="s">
        <v>564</v>
      </c>
    </row>
    <row r="142" spans="1:35" ht="72" x14ac:dyDescent="0.3">
      <c r="A142" s="10" t="s">
        <v>587</v>
      </c>
      <c r="B142" s="10" t="s">
        <v>549</v>
      </c>
      <c r="C142" s="11" t="s">
        <v>550</v>
      </c>
      <c r="D142" s="12"/>
      <c r="E142" s="12" t="s">
        <v>588</v>
      </c>
      <c r="F142" s="12" t="s">
        <v>58</v>
      </c>
      <c r="G142" s="13">
        <v>1</v>
      </c>
      <c r="H142" s="13"/>
      <c r="I142" s="13">
        <v>585.70000000000005</v>
      </c>
      <c r="J142" s="14">
        <f>IFERROR(ROUND(SUM(M143,M144,M145)/I142, 2),0)</f>
        <v>1008</v>
      </c>
      <c r="K142" s="15">
        <v>941</v>
      </c>
      <c r="L142" s="14">
        <f>J142+ROUND(K142, 2)</f>
        <v>1949</v>
      </c>
      <c r="M142" s="14">
        <f>ROUND(J142*I142, 2)</f>
        <v>590385.6</v>
      </c>
      <c r="N142" s="14">
        <f>ROUND(I142*ROUND(K142, 2), 2)</f>
        <v>551143.69999999995</v>
      </c>
      <c r="O142" s="14">
        <f>M142+N142</f>
        <v>1141529.2999999998</v>
      </c>
      <c r="P142" s="14">
        <f>IFERROR(ROUND(SUM(S143,S144,S145)/I142, 2),0)</f>
        <v>1008</v>
      </c>
      <c r="Q142" s="16">
        <v>1344.29</v>
      </c>
      <c r="R142" s="14">
        <f>P142+ROUND(Q142, 2)</f>
        <v>2352.29</v>
      </c>
      <c r="S142" s="14">
        <f>ROUND(P142*I142, 2)</f>
        <v>590385.6</v>
      </c>
      <c r="T142" s="14">
        <f>ROUND(I142*ROUND(Q142, 2), 2)</f>
        <v>787350.65</v>
      </c>
      <c r="U142" s="14">
        <f>S142+T142</f>
        <v>1377736.25</v>
      </c>
      <c r="V142" s="9">
        <f>ROUND(P142 / 1.2, 2)</f>
        <v>840</v>
      </c>
      <c r="W142" s="9">
        <f>ROUND(Q142 / 1.2, 2)</f>
        <v>1120.24</v>
      </c>
      <c r="X142" s="9">
        <f>ROUND(R142 / 1.2, 2)</f>
        <v>1960.24</v>
      </c>
      <c r="Y142" s="9">
        <f t="shared" si="15"/>
        <v>491988</v>
      </c>
      <c r="Z142" s="9">
        <f>ROUND(T142 / 1.2, 2)</f>
        <v>656125.54</v>
      </c>
      <c r="AA142" s="9">
        <f>Y142+Z142</f>
        <v>1148113.54</v>
      </c>
      <c r="AD142" s="4">
        <v>311044423</v>
      </c>
      <c r="AE142" s="4">
        <v>22767310</v>
      </c>
      <c r="AG142" s="4" t="s">
        <v>552</v>
      </c>
      <c r="AH142" s="4" t="s">
        <v>553</v>
      </c>
      <c r="AI142" s="4" t="s">
        <v>469</v>
      </c>
    </row>
    <row r="143" spans="1:35" ht="18" x14ac:dyDescent="0.3">
      <c r="A143" s="10" t="s">
        <v>589</v>
      </c>
      <c r="B143" s="10"/>
      <c r="C143" s="17" t="s">
        <v>561</v>
      </c>
      <c r="D143" s="12"/>
      <c r="E143" s="12"/>
      <c r="F143" s="18" t="s">
        <v>99</v>
      </c>
      <c r="G143" s="19">
        <v>1.8</v>
      </c>
      <c r="H143" s="24"/>
      <c r="I143" s="24">
        <v>63255.6</v>
      </c>
      <c r="J143" s="20">
        <v>7.54</v>
      </c>
      <c r="M143" s="21">
        <f>ROUND(ROUND(J143, 2)*I143, 2)</f>
        <v>476947.22</v>
      </c>
      <c r="P143" s="22">
        <v>7.54</v>
      </c>
      <c r="S143" s="21">
        <f>ROUND(ROUND(P143, 2)*I143, 2)</f>
        <v>476947.22</v>
      </c>
      <c r="V143" s="9">
        <f>ROUND(ROUND(P143, 2)/1.2, 2)</f>
        <v>6.28</v>
      </c>
      <c r="Y143" s="9">
        <f t="shared" si="15"/>
        <v>397456.02</v>
      </c>
      <c r="AD143" s="4" t="s">
        <v>590</v>
      </c>
      <c r="AE143" s="4" t="s">
        <v>591</v>
      </c>
      <c r="AF143" s="4" t="s">
        <v>564</v>
      </c>
    </row>
    <row r="144" spans="1:35" ht="18" x14ac:dyDescent="0.3">
      <c r="A144" s="10" t="s">
        <v>592</v>
      </c>
      <c r="B144" s="10"/>
      <c r="C144" s="17" t="s">
        <v>539</v>
      </c>
      <c r="D144" s="12"/>
      <c r="E144" s="12"/>
      <c r="F144" s="18" t="s">
        <v>58</v>
      </c>
      <c r="G144" s="19">
        <v>1.1000000000000001</v>
      </c>
      <c r="H144" s="24"/>
      <c r="I144" s="24">
        <v>644.27</v>
      </c>
      <c r="J144" s="20">
        <v>157.6</v>
      </c>
      <c r="M144" s="21">
        <f>ROUND(ROUND(J144, 2)*I144, 2)</f>
        <v>101536.95</v>
      </c>
      <c r="P144" s="22">
        <v>157.6</v>
      </c>
      <c r="S144" s="21">
        <f>ROUND(ROUND(P144, 2)*I144, 2)</f>
        <v>101536.95</v>
      </c>
      <c r="V144" s="9">
        <f>ROUND(ROUND(P144, 2)/1.2, 2)</f>
        <v>131.33000000000001</v>
      </c>
      <c r="Y144" s="9">
        <f t="shared" si="15"/>
        <v>84614.13</v>
      </c>
      <c r="AD144" s="4" t="s">
        <v>593</v>
      </c>
      <c r="AE144" s="4" t="s">
        <v>594</v>
      </c>
      <c r="AF144" s="4" t="s">
        <v>542</v>
      </c>
    </row>
    <row r="145" spans="1:35" ht="18" x14ac:dyDescent="0.3">
      <c r="A145" s="10" t="s">
        <v>595</v>
      </c>
      <c r="B145" s="10"/>
      <c r="C145" s="17" t="s">
        <v>529</v>
      </c>
      <c r="D145" s="12"/>
      <c r="E145" s="12"/>
      <c r="F145" s="18" t="s">
        <v>139</v>
      </c>
      <c r="G145" s="19">
        <v>8</v>
      </c>
      <c r="H145" s="24"/>
      <c r="I145" s="24">
        <v>4685.6000000000004</v>
      </c>
      <c r="J145" s="20">
        <v>2.54</v>
      </c>
      <c r="M145" s="21">
        <f>ROUND(ROUND(J145, 2)*I145, 2)</f>
        <v>11901.42</v>
      </c>
      <c r="P145" s="22">
        <v>2.54</v>
      </c>
      <c r="S145" s="21">
        <f>ROUND(ROUND(P145, 2)*I145, 2)</f>
        <v>11901.42</v>
      </c>
      <c r="V145" s="9">
        <f>ROUND(ROUND(P145, 2)/1.2, 2)</f>
        <v>2.12</v>
      </c>
      <c r="Y145" s="9">
        <f t="shared" ref="Y145:Y176" si="16">ROUND(S145 / 1.2, 2)</f>
        <v>9917.85</v>
      </c>
      <c r="AD145" s="4" t="s">
        <v>596</v>
      </c>
      <c r="AE145" s="4" t="s">
        <v>597</v>
      </c>
      <c r="AF145" s="4" t="s">
        <v>532</v>
      </c>
    </row>
    <row r="146" spans="1:35" ht="72" x14ac:dyDescent="0.3">
      <c r="A146" s="10" t="s">
        <v>598</v>
      </c>
      <c r="B146" s="10" t="s">
        <v>549</v>
      </c>
      <c r="C146" s="11" t="s">
        <v>550</v>
      </c>
      <c r="D146" s="12"/>
      <c r="E146" s="12" t="s">
        <v>599</v>
      </c>
      <c r="F146" s="12" t="s">
        <v>58</v>
      </c>
      <c r="G146" s="13">
        <v>1</v>
      </c>
      <c r="H146" s="13"/>
      <c r="I146" s="13">
        <v>39</v>
      </c>
      <c r="J146" s="14">
        <f>IFERROR(ROUND(SUM(M147,M148,M149)/I146, 2),0)</f>
        <v>1008</v>
      </c>
      <c r="K146" s="15">
        <v>941</v>
      </c>
      <c r="L146" s="14">
        <f>J146+ROUND(K146, 2)</f>
        <v>1949</v>
      </c>
      <c r="M146" s="14">
        <f>ROUND(J146*I146, 2)</f>
        <v>39312</v>
      </c>
      <c r="N146" s="14">
        <f>ROUND(I146*ROUND(K146, 2), 2)</f>
        <v>36699</v>
      </c>
      <c r="O146" s="14">
        <f>M146+N146</f>
        <v>76011</v>
      </c>
      <c r="P146" s="14">
        <f>IFERROR(ROUND(SUM(S147,S148,S149)/I146, 2),0)</f>
        <v>1008</v>
      </c>
      <c r="Q146" s="16">
        <v>1344.29</v>
      </c>
      <c r="R146" s="14">
        <f>P146+ROUND(Q146, 2)</f>
        <v>2352.29</v>
      </c>
      <c r="S146" s="14">
        <f>ROUND(P146*I146, 2)</f>
        <v>39312</v>
      </c>
      <c r="T146" s="14">
        <f>ROUND(I146*ROUND(Q146, 2), 2)</f>
        <v>52427.31</v>
      </c>
      <c r="U146" s="14">
        <f>S146+T146</f>
        <v>91739.31</v>
      </c>
      <c r="V146" s="9">
        <f>ROUND(P146 / 1.2, 2)</f>
        <v>840</v>
      </c>
      <c r="W146" s="9">
        <f>ROUND(Q146 / 1.2, 2)</f>
        <v>1120.24</v>
      </c>
      <c r="X146" s="9">
        <f>ROUND(R146 / 1.2, 2)</f>
        <v>1960.24</v>
      </c>
      <c r="Y146" s="9">
        <f t="shared" si="16"/>
        <v>32760</v>
      </c>
      <c r="Z146" s="9">
        <f>ROUND(T146 / 1.2, 2)</f>
        <v>43689.43</v>
      </c>
      <c r="AA146" s="9">
        <f>Y146+Z146</f>
        <v>76449.429999999993</v>
      </c>
      <c r="AD146" s="4">
        <v>311044424</v>
      </c>
      <c r="AE146" s="4">
        <v>22767309</v>
      </c>
      <c r="AG146" s="4" t="s">
        <v>552</v>
      </c>
      <c r="AH146" s="4" t="s">
        <v>553</v>
      </c>
      <c r="AI146" s="4" t="s">
        <v>469</v>
      </c>
    </row>
    <row r="147" spans="1:35" ht="18" x14ac:dyDescent="0.3">
      <c r="A147" s="10" t="s">
        <v>600</v>
      </c>
      <c r="B147" s="10"/>
      <c r="C147" s="17" t="s">
        <v>529</v>
      </c>
      <c r="D147" s="12"/>
      <c r="E147" s="12"/>
      <c r="F147" s="18" t="s">
        <v>139</v>
      </c>
      <c r="G147" s="19">
        <v>8</v>
      </c>
      <c r="H147" s="24"/>
      <c r="I147" s="24">
        <v>312</v>
      </c>
      <c r="J147" s="20">
        <v>2.54</v>
      </c>
      <c r="M147" s="21">
        <f>ROUND(ROUND(J147, 2)*I147, 2)</f>
        <v>792.48</v>
      </c>
      <c r="P147" s="22">
        <v>2.54</v>
      </c>
      <c r="S147" s="21">
        <f>ROUND(ROUND(P147, 2)*I147, 2)</f>
        <v>792.48</v>
      </c>
      <c r="V147" s="9">
        <f>ROUND(ROUND(P147, 2)/1.2, 2)</f>
        <v>2.12</v>
      </c>
      <c r="Y147" s="9">
        <f t="shared" si="16"/>
        <v>660.4</v>
      </c>
      <c r="AD147" s="4" t="s">
        <v>601</v>
      </c>
      <c r="AE147" s="4" t="s">
        <v>602</v>
      </c>
      <c r="AF147" s="4" t="s">
        <v>532</v>
      </c>
    </row>
    <row r="148" spans="1:35" ht="18" x14ac:dyDescent="0.3">
      <c r="A148" s="10" t="s">
        <v>603</v>
      </c>
      <c r="B148" s="10"/>
      <c r="C148" s="17" t="s">
        <v>539</v>
      </c>
      <c r="D148" s="12"/>
      <c r="E148" s="12"/>
      <c r="F148" s="18" t="s">
        <v>58</v>
      </c>
      <c r="G148" s="19">
        <v>1.1000000000000001</v>
      </c>
      <c r="H148" s="24"/>
      <c r="I148" s="24">
        <v>42.9</v>
      </c>
      <c r="J148" s="20">
        <v>157.6</v>
      </c>
      <c r="M148" s="21">
        <f>ROUND(ROUND(J148, 2)*I148, 2)</f>
        <v>6761.04</v>
      </c>
      <c r="P148" s="22">
        <v>157.6</v>
      </c>
      <c r="S148" s="21">
        <f>ROUND(ROUND(P148, 2)*I148, 2)</f>
        <v>6761.04</v>
      </c>
      <c r="V148" s="9">
        <f>ROUND(ROUND(P148, 2)/1.2, 2)</f>
        <v>131.33000000000001</v>
      </c>
      <c r="Y148" s="9">
        <f t="shared" si="16"/>
        <v>5634.2</v>
      </c>
      <c r="AD148" s="4" t="s">
        <v>604</v>
      </c>
      <c r="AE148" s="4" t="s">
        <v>605</v>
      </c>
      <c r="AF148" s="4" t="s">
        <v>542</v>
      </c>
    </row>
    <row r="149" spans="1:35" ht="18" x14ac:dyDescent="0.3">
      <c r="A149" s="10" t="s">
        <v>606</v>
      </c>
      <c r="B149" s="10"/>
      <c r="C149" s="17" t="s">
        <v>561</v>
      </c>
      <c r="D149" s="12"/>
      <c r="E149" s="12"/>
      <c r="F149" s="18" t="s">
        <v>99</v>
      </c>
      <c r="G149" s="19">
        <v>1.8</v>
      </c>
      <c r="H149" s="24"/>
      <c r="I149" s="24">
        <v>4212</v>
      </c>
      <c r="J149" s="20">
        <v>7.54</v>
      </c>
      <c r="M149" s="21">
        <f>ROUND(ROUND(J149, 2)*I149, 2)</f>
        <v>31758.48</v>
      </c>
      <c r="P149" s="22">
        <v>7.54</v>
      </c>
      <c r="S149" s="21">
        <f>ROUND(ROUND(P149, 2)*I149, 2)</f>
        <v>31758.48</v>
      </c>
      <c r="V149" s="9">
        <f>ROUND(ROUND(P149, 2)/1.2, 2)</f>
        <v>6.28</v>
      </c>
      <c r="Y149" s="9">
        <f t="shared" si="16"/>
        <v>26465.4</v>
      </c>
      <c r="AD149" s="4" t="s">
        <v>607</v>
      </c>
      <c r="AE149" s="4" t="s">
        <v>608</v>
      </c>
      <c r="AF149" s="4" t="s">
        <v>564</v>
      </c>
    </row>
    <row r="150" spans="1:35" ht="90" x14ac:dyDescent="0.3">
      <c r="A150" s="10" t="s">
        <v>609</v>
      </c>
      <c r="B150" s="10" t="s">
        <v>610</v>
      </c>
      <c r="C150" s="11" t="s">
        <v>611</v>
      </c>
      <c r="D150" s="12"/>
      <c r="E150" s="12" t="s">
        <v>612</v>
      </c>
      <c r="F150" s="12" t="s">
        <v>58</v>
      </c>
      <c r="G150" s="13">
        <v>1</v>
      </c>
      <c r="H150" s="13"/>
      <c r="I150" s="13">
        <v>2710.6</v>
      </c>
      <c r="J150" s="14">
        <f>IFERROR(ROUND(SUM(M151,M152,M153)/I150, 2),0)</f>
        <v>1089.43</v>
      </c>
      <c r="K150" s="15">
        <v>1014</v>
      </c>
      <c r="L150" s="14">
        <f>J150+ROUND(K150, 2)</f>
        <v>2103.4300000000003</v>
      </c>
      <c r="M150" s="14">
        <f>ROUND(J150*I150, 2)</f>
        <v>2953008.96</v>
      </c>
      <c r="N150" s="14">
        <f>ROUND(I150*ROUND(K150, 2), 2)</f>
        <v>2748548.4</v>
      </c>
      <c r="O150" s="14">
        <f>M150+N150</f>
        <v>5701557.3599999994</v>
      </c>
      <c r="P150" s="14">
        <f>IFERROR(ROUND(SUM(S151,S152,S153)/I150, 2),0)</f>
        <v>1089.43</v>
      </c>
      <c r="Q150" s="16">
        <v>1448.57</v>
      </c>
      <c r="R150" s="14">
        <f>P150+ROUND(Q150, 2)</f>
        <v>2538</v>
      </c>
      <c r="S150" s="14">
        <f>ROUND(P150*I150, 2)</f>
        <v>2953008.96</v>
      </c>
      <c r="T150" s="14">
        <f>ROUND(I150*ROUND(Q150, 2), 2)</f>
        <v>3926493.84</v>
      </c>
      <c r="U150" s="14">
        <f>S150+T150</f>
        <v>6879502.7999999998</v>
      </c>
      <c r="V150" s="9">
        <f>ROUND(P150 / 1.2, 2)</f>
        <v>907.86</v>
      </c>
      <c r="W150" s="9">
        <f>ROUND(Q150 / 1.2, 2)</f>
        <v>1207.1400000000001</v>
      </c>
      <c r="X150" s="9">
        <f>ROUND(R150 / 1.2, 2)</f>
        <v>2115</v>
      </c>
      <c r="Y150" s="9">
        <f t="shared" si="16"/>
        <v>2460840.7999999998</v>
      </c>
      <c r="Z150" s="9">
        <f>ROUND(T150 / 1.2, 2)</f>
        <v>3272078.2</v>
      </c>
      <c r="AA150" s="9">
        <f>Y150+Z150</f>
        <v>5732919</v>
      </c>
      <c r="AD150" s="4">
        <v>311044327</v>
      </c>
      <c r="AE150" s="4">
        <v>22767306</v>
      </c>
      <c r="AG150" s="4" t="s">
        <v>613</v>
      </c>
      <c r="AH150" s="4" t="s">
        <v>614</v>
      </c>
      <c r="AI150" s="4" t="s">
        <v>469</v>
      </c>
    </row>
    <row r="151" spans="1:35" ht="18" x14ac:dyDescent="0.3">
      <c r="A151" s="10" t="s">
        <v>615</v>
      </c>
      <c r="B151" s="10"/>
      <c r="C151" s="17" t="s">
        <v>529</v>
      </c>
      <c r="D151" s="12"/>
      <c r="E151" s="12"/>
      <c r="F151" s="18" t="s">
        <v>139</v>
      </c>
      <c r="G151" s="19">
        <v>8</v>
      </c>
      <c r="H151" s="24"/>
      <c r="I151" s="24">
        <v>21684.799999999999</v>
      </c>
      <c r="J151" s="20">
        <v>2.54</v>
      </c>
      <c r="M151" s="21">
        <f>ROUND(ROUND(J151, 2)*I151, 2)</f>
        <v>55079.39</v>
      </c>
      <c r="P151" s="22">
        <v>2.54</v>
      </c>
      <c r="S151" s="21">
        <f>ROUND(ROUND(P151, 2)*I151, 2)</f>
        <v>55079.39</v>
      </c>
      <c r="V151" s="9">
        <f>ROUND(ROUND(P151, 2)/1.2, 2)</f>
        <v>2.12</v>
      </c>
      <c r="Y151" s="9">
        <f t="shared" si="16"/>
        <v>45899.49</v>
      </c>
      <c r="AD151" s="4" t="s">
        <v>616</v>
      </c>
      <c r="AE151" s="4" t="s">
        <v>617</v>
      </c>
      <c r="AF151" s="4" t="s">
        <v>532</v>
      </c>
    </row>
    <row r="152" spans="1:35" ht="18" x14ac:dyDescent="0.3">
      <c r="A152" s="10" t="s">
        <v>618</v>
      </c>
      <c r="B152" s="10"/>
      <c r="C152" s="17" t="s">
        <v>561</v>
      </c>
      <c r="D152" s="12"/>
      <c r="E152" s="12"/>
      <c r="F152" s="18" t="s">
        <v>99</v>
      </c>
      <c r="G152" s="19">
        <v>1.8</v>
      </c>
      <c r="H152" s="24"/>
      <c r="I152" s="24">
        <v>322019.28000000003</v>
      </c>
      <c r="J152" s="20">
        <v>7.54</v>
      </c>
      <c r="M152" s="21">
        <f>ROUND(ROUND(J152, 2)*I152, 2)</f>
        <v>2428025.37</v>
      </c>
      <c r="P152" s="22">
        <v>7.54</v>
      </c>
      <c r="S152" s="21">
        <f>ROUND(ROUND(P152, 2)*I152, 2)</f>
        <v>2428025.37</v>
      </c>
      <c r="V152" s="9">
        <f>ROUND(ROUND(P152, 2)/1.2, 2)</f>
        <v>6.28</v>
      </c>
      <c r="Y152" s="9">
        <f t="shared" si="16"/>
        <v>2023354.48</v>
      </c>
      <c r="AD152" s="4" t="s">
        <v>619</v>
      </c>
      <c r="AE152" s="4" t="s">
        <v>620</v>
      </c>
      <c r="AF152" s="4" t="s">
        <v>564</v>
      </c>
    </row>
    <row r="153" spans="1:35" ht="18" x14ac:dyDescent="0.3">
      <c r="A153" s="10" t="s">
        <v>621</v>
      </c>
      <c r="B153" s="10"/>
      <c r="C153" s="17" t="s">
        <v>539</v>
      </c>
      <c r="D153" s="12"/>
      <c r="E153" s="12"/>
      <c r="F153" s="18" t="s">
        <v>58</v>
      </c>
      <c r="G153" s="19">
        <v>1.1000000000000001</v>
      </c>
      <c r="H153" s="24"/>
      <c r="I153" s="24">
        <v>2981.66</v>
      </c>
      <c r="J153" s="20">
        <v>157.6</v>
      </c>
      <c r="M153" s="21">
        <f>ROUND(ROUND(J153, 2)*I153, 2)</f>
        <v>469909.62</v>
      </c>
      <c r="P153" s="22">
        <v>157.6</v>
      </c>
      <c r="S153" s="21">
        <f>ROUND(ROUND(P153, 2)*I153, 2)</f>
        <v>469909.62</v>
      </c>
      <c r="V153" s="9">
        <f>ROUND(ROUND(P153, 2)/1.2, 2)</f>
        <v>131.33000000000001</v>
      </c>
      <c r="Y153" s="9">
        <f t="shared" si="16"/>
        <v>391591.35</v>
      </c>
      <c r="AD153" s="4" t="s">
        <v>622</v>
      </c>
      <c r="AE153" s="4" t="s">
        <v>623</v>
      </c>
      <c r="AF153" s="4" t="s">
        <v>542</v>
      </c>
    </row>
    <row r="154" spans="1:35" ht="72" x14ac:dyDescent="0.3">
      <c r="A154" s="10" t="s">
        <v>624</v>
      </c>
      <c r="B154" s="10" t="s">
        <v>610</v>
      </c>
      <c r="C154" s="11" t="s">
        <v>611</v>
      </c>
      <c r="D154" s="12"/>
      <c r="E154" s="12" t="s">
        <v>625</v>
      </c>
      <c r="F154" s="12" t="s">
        <v>58</v>
      </c>
      <c r="G154" s="13">
        <v>1</v>
      </c>
      <c r="H154" s="13"/>
      <c r="I154" s="13">
        <v>1197.9000000000001</v>
      </c>
      <c r="J154" s="14">
        <f>IFERROR(ROUND(SUM(M155,M156,M157)/I154, 2),0)</f>
        <v>1116.58</v>
      </c>
      <c r="K154" s="15">
        <v>1014</v>
      </c>
      <c r="L154" s="14">
        <f>J154+ROUND(K154, 2)</f>
        <v>2130.58</v>
      </c>
      <c r="M154" s="14">
        <f>ROUND(J154*I154, 2)</f>
        <v>1337551.18</v>
      </c>
      <c r="N154" s="14">
        <f>ROUND(I154*ROUND(K154, 2), 2)</f>
        <v>1214670.6000000001</v>
      </c>
      <c r="O154" s="14">
        <f>M154+N154</f>
        <v>2552221.7800000003</v>
      </c>
      <c r="P154" s="14">
        <f>IFERROR(ROUND(SUM(S155,S156,S157)/I154, 2),0)</f>
        <v>1116.58</v>
      </c>
      <c r="Q154" s="16">
        <v>1448.57</v>
      </c>
      <c r="R154" s="14">
        <f>P154+ROUND(Q154, 2)</f>
        <v>2565.1499999999996</v>
      </c>
      <c r="S154" s="14">
        <f>ROUND(P154*I154, 2)</f>
        <v>1337551.18</v>
      </c>
      <c r="T154" s="14">
        <f>ROUND(I154*ROUND(Q154, 2), 2)</f>
        <v>1735242</v>
      </c>
      <c r="U154" s="14">
        <f>S154+T154</f>
        <v>3072793.1799999997</v>
      </c>
      <c r="V154" s="9">
        <f>ROUND(P154 / 1.2, 2)</f>
        <v>930.48</v>
      </c>
      <c r="W154" s="9">
        <f>ROUND(Q154 / 1.2, 2)</f>
        <v>1207.1400000000001</v>
      </c>
      <c r="X154" s="9">
        <f>ROUND(R154 / 1.2, 2)</f>
        <v>2137.63</v>
      </c>
      <c r="Y154" s="9">
        <f t="shared" si="16"/>
        <v>1114625.98</v>
      </c>
      <c r="Z154" s="9">
        <f>ROUND(T154 / 1.2, 2)</f>
        <v>1446035</v>
      </c>
      <c r="AA154" s="9">
        <f>Y154+Z154</f>
        <v>2560660.98</v>
      </c>
      <c r="AD154" s="4">
        <v>311044425</v>
      </c>
      <c r="AE154" s="4">
        <v>22767305</v>
      </c>
      <c r="AG154" s="4" t="s">
        <v>613</v>
      </c>
      <c r="AH154" s="4" t="s">
        <v>614</v>
      </c>
      <c r="AI154" s="4" t="s">
        <v>469</v>
      </c>
    </row>
    <row r="155" spans="1:35" ht="18" x14ac:dyDescent="0.3">
      <c r="A155" s="10" t="s">
        <v>626</v>
      </c>
      <c r="B155" s="10"/>
      <c r="C155" s="17" t="s">
        <v>539</v>
      </c>
      <c r="D155" s="12"/>
      <c r="E155" s="12"/>
      <c r="F155" s="18" t="s">
        <v>58</v>
      </c>
      <c r="G155" s="19">
        <v>1.1000000000000001</v>
      </c>
      <c r="H155" s="24"/>
      <c r="I155" s="24">
        <v>1317.69</v>
      </c>
      <c r="J155" s="20">
        <v>157.6</v>
      </c>
      <c r="M155" s="21">
        <f>ROUND(ROUND(J155, 2)*I155, 2)</f>
        <v>207667.94</v>
      </c>
      <c r="P155" s="22">
        <v>157.6</v>
      </c>
      <c r="S155" s="21">
        <f>ROUND(ROUND(P155, 2)*I155, 2)</f>
        <v>207667.94</v>
      </c>
      <c r="V155" s="9">
        <f>ROUND(ROUND(P155, 2)/1.2, 2)</f>
        <v>131.33000000000001</v>
      </c>
      <c r="Y155" s="9">
        <f t="shared" si="16"/>
        <v>173056.62</v>
      </c>
      <c r="AD155" s="4" t="s">
        <v>627</v>
      </c>
      <c r="AE155" s="4" t="s">
        <v>628</v>
      </c>
      <c r="AF155" s="4" t="s">
        <v>542</v>
      </c>
    </row>
    <row r="156" spans="1:35" ht="18" x14ac:dyDescent="0.3">
      <c r="A156" s="10" t="s">
        <v>629</v>
      </c>
      <c r="B156" s="10"/>
      <c r="C156" s="17" t="s">
        <v>561</v>
      </c>
      <c r="D156" s="12"/>
      <c r="E156" s="12"/>
      <c r="F156" s="18" t="s">
        <v>99</v>
      </c>
      <c r="G156" s="19">
        <v>1.8</v>
      </c>
      <c r="H156" s="24"/>
      <c r="I156" s="24">
        <v>146622.96</v>
      </c>
      <c r="J156" s="20">
        <v>7.54</v>
      </c>
      <c r="M156" s="21">
        <f>ROUND(ROUND(J156, 2)*I156, 2)</f>
        <v>1105537.1200000001</v>
      </c>
      <c r="P156" s="22">
        <v>7.54</v>
      </c>
      <c r="S156" s="21">
        <f>ROUND(ROUND(P156, 2)*I156, 2)</f>
        <v>1105537.1200000001</v>
      </c>
      <c r="V156" s="9">
        <f>ROUND(ROUND(P156, 2)/1.2, 2)</f>
        <v>6.28</v>
      </c>
      <c r="Y156" s="9">
        <f t="shared" si="16"/>
        <v>921280.93</v>
      </c>
      <c r="AD156" s="4" t="s">
        <v>630</v>
      </c>
      <c r="AE156" s="4" t="s">
        <v>631</v>
      </c>
      <c r="AF156" s="4" t="s">
        <v>564</v>
      </c>
    </row>
    <row r="157" spans="1:35" ht="18" x14ac:dyDescent="0.3">
      <c r="A157" s="10" t="s">
        <v>632</v>
      </c>
      <c r="B157" s="10"/>
      <c r="C157" s="17" t="s">
        <v>529</v>
      </c>
      <c r="D157" s="12"/>
      <c r="E157" s="12"/>
      <c r="F157" s="18" t="s">
        <v>139</v>
      </c>
      <c r="G157" s="19">
        <v>8</v>
      </c>
      <c r="H157" s="24"/>
      <c r="I157" s="24">
        <v>9583.2000000000007</v>
      </c>
      <c r="J157" s="20">
        <v>2.54</v>
      </c>
      <c r="M157" s="21">
        <f>ROUND(ROUND(J157, 2)*I157, 2)</f>
        <v>24341.33</v>
      </c>
      <c r="P157" s="22">
        <v>2.54</v>
      </c>
      <c r="S157" s="21">
        <f>ROUND(ROUND(P157, 2)*I157, 2)</f>
        <v>24341.33</v>
      </c>
      <c r="V157" s="9">
        <f>ROUND(ROUND(P157, 2)/1.2, 2)</f>
        <v>2.12</v>
      </c>
      <c r="Y157" s="9">
        <f t="shared" si="16"/>
        <v>20284.439999999999</v>
      </c>
      <c r="AD157" s="4" t="s">
        <v>633</v>
      </c>
      <c r="AE157" s="4" t="s">
        <v>634</v>
      </c>
      <c r="AF157" s="4" t="s">
        <v>532</v>
      </c>
    </row>
    <row r="158" spans="1:35" ht="72" x14ac:dyDescent="0.3">
      <c r="A158" s="10" t="s">
        <v>635</v>
      </c>
      <c r="B158" s="10" t="s">
        <v>610</v>
      </c>
      <c r="C158" s="11" t="s">
        <v>611</v>
      </c>
      <c r="D158" s="12"/>
      <c r="E158" s="12" t="s">
        <v>636</v>
      </c>
      <c r="F158" s="12" t="s">
        <v>58</v>
      </c>
      <c r="G158" s="13">
        <v>1</v>
      </c>
      <c r="H158" s="13"/>
      <c r="I158" s="13">
        <v>23.2</v>
      </c>
      <c r="J158" s="14">
        <f>IFERROR(ROUND(SUM(M159,M160,M161)/I158, 2),0)</f>
        <v>1279.44</v>
      </c>
      <c r="K158" s="15">
        <v>1014</v>
      </c>
      <c r="L158" s="14">
        <f>J158+ROUND(K158, 2)</f>
        <v>2293.44</v>
      </c>
      <c r="M158" s="14">
        <f>ROUND(J158*I158, 2)</f>
        <v>29683.01</v>
      </c>
      <c r="N158" s="14">
        <f>ROUND(I158*ROUND(K158, 2), 2)</f>
        <v>23524.799999999999</v>
      </c>
      <c r="O158" s="14">
        <f>M158+N158</f>
        <v>53207.81</v>
      </c>
      <c r="P158" s="14">
        <f>IFERROR(ROUND(SUM(S159,S160,S161)/I158, 2),0)</f>
        <v>1279.44</v>
      </c>
      <c r="Q158" s="16">
        <v>1448.57</v>
      </c>
      <c r="R158" s="14">
        <f>P158+ROUND(Q158, 2)</f>
        <v>2728.01</v>
      </c>
      <c r="S158" s="14">
        <f>ROUND(P158*I158, 2)</f>
        <v>29683.01</v>
      </c>
      <c r="T158" s="14">
        <f>ROUND(I158*ROUND(Q158, 2), 2)</f>
        <v>33606.82</v>
      </c>
      <c r="U158" s="14">
        <f>S158+T158</f>
        <v>63289.83</v>
      </c>
      <c r="V158" s="9">
        <f>ROUND(P158 / 1.2, 2)</f>
        <v>1066.2</v>
      </c>
      <c r="W158" s="9">
        <f>ROUND(Q158 / 1.2, 2)</f>
        <v>1207.1400000000001</v>
      </c>
      <c r="X158" s="9">
        <f>ROUND(R158 / 1.2, 2)</f>
        <v>2273.34</v>
      </c>
      <c r="Y158" s="9">
        <f t="shared" si="16"/>
        <v>24735.84</v>
      </c>
      <c r="Z158" s="9">
        <f>ROUND(T158 / 1.2, 2)</f>
        <v>28005.68</v>
      </c>
      <c r="AA158" s="9">
        <f>Y158+Z158</f>
        <v>52741.520000000004</v>
      </c>
      <c r="AD158" s="4">
        <v>311044426</v>
      </c>
      <c r="AE158" s="4">
        <v>22767311</v>
      </c>
      <c r="AG158" s="4" t="s">
        <v>613</v>
      </c>
      <c r="AH158" s="4" t="s">
        <v>614</v>
      </c>
      <c r="AI158" s="4" t="s">
        <v>469</v>
      </c>
    </row>
    <row r="159" spans="1:35" ht="18" x14ac:dyDescent="0.3">
      <c r="A159" s="10" t="s">
        <v>637</v>
      </c>
      <c r="B159" s="10"/>
      <c r="C159" s="17" t="s">
        <v>529</v>
      </c>
      <c r="D159" s="12"/>
      <c r="E159" s="12"/>
      <c r="F159" s="18" t="s">
        <v>139</v>
      </c>
      <c r="G159" s="19">
        <v>8</v>
      </c>
      <c r="H159" s="24"/>
      <c r="I159" s="24">
        <v>185.6</v>
      </c>
      <c r="J159" s="20">
        <v>2.54</v>
      </c>
      <c r="M159" s="21">
        <f>ROUND(ROUND(J159, 2)*I159, 2)</f>
        <v>471.42</v>
      </c>
      <c r="P159" s="22">
        <v>2.54</v>
      </c>
      <c r="S159" s="21">
        <f>ROUND(ROUND(P159, 2)*I159, 2)</f>
        <v>471.42</v>
      </c>
      <c r="V159" s="9">
        <f>ROUND(ROUND(P159, 2)/1.2, 2)</f>
        <v>2.12</v>
      </c>
      <c r="Y159" s="9">
        <f t="shared" si="16"/>
        <v>392.85</v>
      </c>
      <c r="AD159" s="4" t="s">
        <v>638</v>
      </c>
      <c r="AE159" s="4" t="s">
        <v>639</v>
      </c>
      <c r="AF159" s="4" t="s">
        <v>532</v>
      </c>
    </row>
    <row r="160" spans="1:35" ht="18" x14ac:dyDescent="0.3">
      <c r="A160" s="10" t="s">
        <v>640</v>
      </c>
      <c r="B160" s="10"/>
      <c r="C160" s="17" t="s">
        <v>561</v>
      </c>
      <c r="D160" s="12"/>
      <c r="E160" s="12"/>
      <c r="F160" s="18" t="s">
        <v>99</v>
      </c>
      <c r="G160" s="19">
        <v>1.8</v>
      </c>
      <c r="H160" s="24"/>
      <c r="I160" s="24">
        <v>3340.8</v>
      </c>
      <c r="J160" s="20">
        <v>7.54</v>
      </c>
      <c r="M160" s="21">
        <f>ROUND(ROUND(J160, 2)*I160, 2)</f>
        <v>25189.63</v>
      </c>
      <c r="P160" s="22">
        <v>7.54</v>
      </c>
      <c r="S160" s="21">
        <f>ROUND(ROUND(P160, 2)*I160, 2)</f>
        <v>25189.63</v>
      </c>
      <c r="V160" s="9">
        <f>ROUND(ROUND(P160, 2)/1.2, 2)</f>
        <v>6.28</v>
      </c>
      <c r="Y160" s="9">
        <f t="shared" si="16"/>
        <v>20991.360000000001</v>
      </c>
      <c r="AD160" s="4" t="s">
        <v>641</v>
      </c>
      <c r="AE160" s="4" t="s">
        <v>642</v>
      </c>
      <c r="AF160" s="4" t="s">
        <v>564</v>
      </c>
    </row>
    <row r="161" spans="1:35" ht="18" x14ac:dyDescent="0.3">
      <c r="A161" s="10" t="s">
        <v>643</v>
      </c>
      <c r="B161" s="10"/>
      <c r="C161" s="17" t="s">
        <v>539</v>
      </c>
      <c r="D161" s="12"/>
      <c r="E161" s="12"/>
      <c r="F161" s="18" t="s">
        <v>58</v>
      </c>
      <c r="G161" s="19">
        <v>1.1000000000000001</v>
      </c>
      <c r="H161" s="24"/>
      <c r="I161" s="24">
        <v>25.52</v>
      </c>
      <c r="J161" s="20">
        <v>157.6</v>
      </c>
      <c r="M161" s="21">
        <f>ROUND(ROUND(J161, 2)*I161, 2)</f>
        <v>4021.95</v>
      </c>
      <c r="P161" s="22">
        <v>157.6</v>
      </c>
      <c r="S161" s="21">
        <f>ROUND(ROUND(P161, 2)*I161, 2)</f>
        <v>4021.95</v>
      </c>
      <c r="V161" s="9">
        <f>ROUND(ROUND(P161, 2)/1.2, 2)</f>
        <v>131.33000000000001</v>
      </c>
      <c r="Y161" s="9">
        <f t="shared" si="16"/>
        <v>3351.63</v>
      </c>
      <c r="AD161" s="4" t="s">
        <v>644</v>
      </c>
      <c r="AE161" s="4" t="s">
        <v>645</v>
      </c>
      <c r="AF161" s="4" t="s">
        <v>542</v>
      </c>
    </row>
    <row r="162" spans="1:35" ht="72" x14ac:dyDescent="0.3">
      <c r="A162" s="10" t="s">
        <v>646</v>
      </c>
      <c r="B162" s="10" t="s">
        <v>647</v>
      </c>
      <c r="C162" s="11" t="s">
        <v>648</v>
      </c>
      <c r="D162" s="12"/>
      <c r="E162" s="12" t="s">
        <v>649</v>
      </c>
      <c r="F162" s="12" t="s">
        <v>58</v>
      </c>
      <c r="G162" s="13">
        <v>1</v>
      </c>
      <c r="H162" s="13"/>
      <c r="I162" s="13">
        <v>194.1</v>
      </c>
      <c r="J162" s="14">
        <f>IFERROR(ROUND(SUM(M163,M164,M165)/I162, 2),0)</f>
        <v>1347.3</v>
      </c>
      <c r="K162" s="15">
        <v>1086</v>
      </c>
      <c r="L162" s="14">
        <f>J162+ROUND(K162, 2)</f>
        <v>2433.3000000000002</v>
      </c>
      <c r="M162" s="14">
        <f>ROUND(J162*I162, 2)</f>
        <v>261510.93</v>
      </c>
      <c r="N162" s="14">
        <f>ROUND(I162*ROUND(K162, 2), 2)</f>
        <v>210792.6</v>
      </c>
      <c r="O162" s="14">
        <f>M162+N162</f>
        <v>472303.53</v>
      </c>
      <c r="P162" s="14">
        <f>IFERROR(ROUND(SUM(S163,S164,S165)/I162, 2),0)</f>
        <v>1347.3</v>
      </c>
      <c r="Q162" s="16">
        <v>1551.43</v>
      </c>
      <c r="R162" s="14">
        <f>P162+ROUND(Q162, 2)</f>
        <v>2898.73</v>
      </c>
      <c r="S162" s="14">
        <f>ROUND(P162*I162, 2)</f>
        <v>261510.93</v>
      </c>
      <c r="T162" s="14">
        <f>ROUND(I162*ROUND(Q162, 2), 2)</f>
        <v>301132.56</v>
      </c>
      <c r="U162" s="14">
        <f>S162+T162</f>
        <v>562643.49</v>
      </c>
      <c r="V162" s="9">
        <f>ROUND(P162 / 1.2, 2)</f>
        <v>1122.75</v>
      </c>
      <c r="W162" s="9">
        <f>ROUND(Q162 / 1.2, 2)</f>
        <v>1292.8599999999999</v>
      </c>
      <c r="X162" s="9">
        <f>ROUND(R162 / 1.2, 2)</f>
        <v>2415.61</v>
      </c>
      <c r="Y162" s="9">
        <f t="shared" si="16"/>
        <v>217925.78</v>
      </c>
      <c r="Z162" s="9">
        <f>ROUND(T162 / 1.2, 2)</f>
        <v>250943.8</v>
      </c>
      <c r="AA162" s="9">
        <f>Y162+Z162</f>
        <v>468869.57999999996</v>
      </c>
      <c r="AD162" s="4">
        <v>311044328</v>
      </c>
      <c r="AE162" s="4">
        <v>22762392</v>
      </c>
      <c r="AG162" s="4" t="s">
        <v>650</v>
      </c>
      <c r="AH162" s="4" t="s">
        <v>651</v>
      </c>
      <c r="AI162" s="4" t="s">
        <v>469</v>
      </c>
    </row>
    <row r="163" spans="1:35" ht="18" x14ac:dyDescent="0.3">
      <c r="A163" s="10" t="s">
        <v>652</v>
      </c>
      <c r="B163" s="10"/>
      <c r="C163" s="17" t="s">
        <v>529</v>
      </c>
      <c r="D163" s="12"/>
      <c r="E163" s="12"/>
      <c r="F163" s="18" t="s">
        <v>139</v>
      </c>
      <c r="G163" s="19">
        <v>8</v>
      </c>
      <c r="H163" s="24"/>
      <c r="I163" s="24">
        <v>1552.8</v>
      </c>
      <c r="J163" s="20">
        <v>2.54</v>
      </c>
      <c r="M163" s="21">
        <f>ROUND(ROUND(J163, 2)*I163, 2)</f>
        <v>3944.11</v>
      </c>
      <c r="P163" s="22">
        <v>2.54</v>
      </c>
      <c r="S163" s="21">
        <f>ROUND(ROUND(P163, 2)*I163, 2)</f>
        <v>3944.11</v>
      </c>
      <c r="V163" s="9">
        <f>ROUND(ROUND(P163, 2)/1.2, 2)</f>
        <v>2.12</v>
      </c>
      <c r="Y163" s="9">
        <f t="shared" si="16"/>
        <v>3286.76</v>
      </c>
      <c r="AD163" s="4" t="s">
        <v>653</v>
      </c>
      <c r="AE163" s="4" t="s">
        <v>654</v>
      </c>
      <c r="AF163" s="4" t="s">
        <v>532</v>
      </c>
    </row>
    <row r="164" spans="1:35" ht="18" x14ac:dyDescent="0.3">
      <c r="A164" s="10" t="s">
        <v>655</v>
      </c>
      <c r="B164" s="10"/>
      <c r="C164" s="17" t="s">
        <v>561</v>
      </c>
      <c r="D164" s="12"/>
      <c r="E164" s="12"/>
      <c r="F164" s="18" t="s">
        <v>99</v>
      </c>
      <c r="G164" s="19">
        <v>1.8</v>
      </c>
      <c r="H164" s="24"/>
      <c r="I164" s="24">
        <v>29697.3</v>
      </c>
      <c r="J164" s="20">
        <v>7.54</v>
      </c>
      <c r="M164" s="21">
        <f>ROUND(ROUND(J164, 2)*I164, 2)</f>
        <v>223917.64</v>
      </c>
      <c r="P164" s="22">
        <v>7.54</v>
      </c>
      <c r="S164" s="21">
        <f>ROUND(ROUND(P164, 2)*I164, 2)</f>
        <v>223917.64</v>
      </c>
      <c r="V164" s="9">
        <f>ROUND(ROUND(P164, 2)/1.2, 2)</f>
        <v>6.28</v>
      </c>
      <c r="Y164" s="9">
        <f t="shared" si="16"/>
        <v>186598.03</v>
      </c>
      <c r="AD164" s="4" t="s">
        <v>656</v>
      </c>
      <c r="AE164" s="4" t="s">
        <v>657</v>
      </c>
      <c r="AF164" s="4" t="s">
        <v>564</v>
      </c>
    </row>
    <row r="165" spans="1:35" ht="18" x14ac:dyDescent="0.3">
      <c r="A165" s="10" t="s">
        <v>658</v>
      </c>
      <c r="B165" s="10"/>
      <c r="C165" s="17" t="s">
        <v>539</v>
      </c>
      <c r="D165" s="12"/>
      <c r="E165" s="12"/>
      <c r="F165" s="18" t="s">
        <v>58</v>
      </c>
      <c r="G165" s="19">
        <v>1.1000000000000001</v>
      </c>
      <c r="H165" s="24"/>
      <c r="I165" s="24">
        <v>213.51</v>
      </c>
      <c r="J165" s="20">
        <v>157.6</v>
      </c>
      <c r="M165" s="21">
        <f>ROUND(ROUND(J165, 2)*I165, 2)</f>
        <v>33649.18</v>
      </c>
      <c r="P165" s="22">
        <v>157.6</v>
      </c>
      <c r="S165" s="21">
        <f>ROUND(ROUND(P165, 2)*I165, 2)</f>
        <v>33649.18</v>
      </c>
      <c r="V165" s="9">
        <f>ROUND(ROUND(P165, 2)/1.2, 2)</f>
        <v>131.33000000000001</v>
      </c>
      <c r="Y165" s="9">
        <f t="shared" si="16"/>
        <v>28040.98</v>
      </c>
      <c r="AD165" s="4" t="s">
        <v>659</v>
      </c>
      <c r="AE165" s="4" t="s">
        <v>660</v>
      </c>
      <c r="AF165" s="4" t="s">
        <v>542</v>
      </c>
    </row>
    <row r="166" spans="1:35" ht="72" x14ac:dyDescent="0.3">
      <c r="A166" s="10" t="s">
        <v>661</v>
      </c>
      <c r="B166" s="10" t="s">
        <v>647</v>
      </c>
      <c r="C166" s="11" t="s">
        <v>648</v>
      </c>
      <c r="D166" s="12"/>
      <c r="E166" s="12" t="s">
        <v>662</v>
      </c>
      <c r="F166" s="12" t="s">
        <v>58</v>
      </c>
      <c r="G166" s="13">
        <v>1</v>
      </c>
      <c r="H166" s="13"/>
      <c r="I166" s="13">
        <v>75.5</v>
      </c>
      <c r="J166" s="14">
        <f>IFERROR(ROUND(SUM(M167,M168,M169)/I166, 2),0)</f>
        <v>1768.03</v>
      </c>
      <c r="K166" s="15">
        <v>1086</v>
      </c>
      <c r="L166" s="14">
        <f>J166+ROUND(K166, 2)</f>
        <v>2854.0299999999997</v>
      </c>
      <c r="M166" s="14">
        <f>ROUND(J166*I166, 2)</f>
        <v>133486.26999999999</v>
      </c>
      <c r="N166" s="14">
        <f>ROUND(I166*ROUND(K166, 2), 2)</f>
        <v>81993</v>
      </c>
      <c r="O166" s="14">
        <f>M166+N166</f>
        <v>215479.27</v>
      </c>
      <c r="P166" s="14">
        <f>IFERROR(ROUND(SUM(S167,S168,S169)/I166, 2),0)</f>
        <v>1768.03</v>
      </c>
      <c r="Q166" s="16">
        <v>1551.43</v>
      </c>
      <c r="R166" s="14">
        <f>P166+ROUND(Q166, 2)</f>
        <v>3319.46</v>
      </c>
      <c r="S166" s="14">
        <f>ROUND(P166*I166, 2)</f>
        <v>133486.26999999999</v>
      </c>
      <c r="T166" s="14">
        <f>ROUND(I166*ROUND(Q166, 2), 2)</f>
        <v>117132.97</v>
      </c>
      <c r="U166" s="14">
        <f>S166+T166</f>
        <v>250619.24</v>
      </c>
      <c r="V166" s="9">
        <f>ROUND(P166 / 1.2, 2)</f>
        <v>1473.36</v>
      </c>
      <c r="W166" s="9">
        <f>ROUND(Q166 / 1.2, 2)</f>
        <v>1292.8599999999999</v>
      </c>
      <c r="X166" s="9">
        <f>ROUND(R166 / 1.2, 2)</f>
        <v>2766.22</v>
      </c>
      <c r="Y166" s="9">
        <f t="shared" si="16"/>
        <v>111238.56</v>
      </c>
      <c r="Z166" s="9">
        <f>ROUND(T166 / 1.2, 2)</f>
        <v>97610.81</v>
      </c>
      <c r="AA166" s="9">
        <f>Y166+Z166</f>
        <v>208849.37</v>
      </c>
      <c r="AD166" s="4">
        <v>311044427</v>
      </c>
      <c r="AE166" s="4">
        <v>22767312</v>
      </c>
      <c r="AG166" s="4" t="s">
        <v>650</v>
      </c>
      <c r="AH166" s="4" t="s">
        <v>651</v>
      </c>
      <c r="AI166" s="4" t="s">
        <v>469</v>
      </c>
    </row>
    <row r="167" spans="1:35" ht="18" x14ac:dyDescent="0.3">
      <c r="A167" s="10" t="s">
        <v>663</v>
      </c>
      <c r="B167" s="10"/>
      <c r="C167" s="17" t="s">
        <v>539</v>
      </c>
      <c r="D167" s="12"/>
      <c r="E167" s="12"/>
      <c r="F167" s="18" t="s">
        <v>58</v>
      </c>
      <c r="G167" s="19">
        <v>1.1000000000000001</v>
      </c>
      <c r="H167" s="24"/>
      <c r="I167" s="24">
        <v>83.05</v>
      </c>
      <c r="J167" s="20">
        <v>157.6</v>
      </c>
      <c r="M167" s="21">
        <f>ROUND(ROUND(J167, 2)*I167, 2)</f>
        <v>13088.68</v>
      </c>
      <c r="P167" s="22">
        <v>157.6</v>
      </c>
      <c r="S167" s="21">
        <f>ROUND(ROUND(P167, 2)*I167, 2)</f>
        <v>13088.68</v>
      </c>
      <c r="V167" s="9">
        <f>ROUND(ROUND(P167, 2)/1.2, 2)</f>
        <v>131.33000000000001</v>
      </c>
      <c r="Y167" s="9">
        <f t="shared" si="16"/>
        <v>10907.23</v>
      </c>
      <c r="AD167" s="4" t="s">
        <v>664</v>
      </c>
      <c r="AE167" s="4" t="s">
        <v>665</v>
      </c>
      <c r="AF167" s="4" t="s">
        <v>542</v>
      </c>
    </row>
    <row r="168" spans="1:35" ht="18" x14ac:dyDescent="0.3">
      <c r="A168" s="10" t="s">
        <v>666</v>
      </c>
      <c r="B168" s="10"/>
      <c r="C168" s="17" t="s">
        <v>561</v>
      </c>
      <c r="D168" s="12"/>
      <c r="E168" s="12"/>
      <c r="F168" s="18" t="s">
        <v>99</v>
      </c>
      <c r="G168" s="19">
        <v>1.8</v>
      </c>
      <c r="H168" s="24"/>
      <c r="I168" s="24">
        <v>15764.4</v>
      </c>
      <c r="J168" s="20">
        <v>7.54</v>
      </c>
      <c r="M168" s="21">
        <f>ROUND(ROUND(J168, 2)*I168, 2)</f>
        <v>118863.58</v>
      </c>
      <c r="P168" s="22">
        <v>7.54</v>
      </c>
      <c r="S168" s="21">
        <f>ROUND(ROUND(P168, 2)*I168, 2)</f>
        <v>118863.58</v>
      </c>
      <c r="V168" s="9">
        <f>ROUND(ROUND(P168, 2)/1.2, 2)</f>
        <v>6.28</v>
      </c>
      <c r="Y168" s="9">
        <f t="shared" si="16"/>
        <v>99052.98</v>
      </c>
      <c r="AD168" s="4" t="s">
        <v>667</v>
      </c>
      <c r="AE168" s="4" t="s">
        <v>668</v>
      </c>
      <c r="AF168" s="4" t="s">
        <v>564</v>
      </c>
    </row>
    <row r="169" spans="1:35" ht="18" x14ac:dyDescent="0.3">
      <c r="A169" s="10" t="s">
        <v>669</v>
      </c>
      <c r="B169" s="10"/>
      <c r="C169" s="17" t="s">
        <v>529</v>
      </c>
      <c r="D169" s="12"/>
      <c r="E169" s="12"/>
      <c r="F169" s="18" t="s">
        <v>139</v>
      </c>
      <c r="G169" s="19">
        <v>8</v>
      </c>
      <c r="H169" s="24"/>
      <c r="I169" s="24">
        <v>604</v>
      </c>
      <c r="J169" s="20">
        <v>2.54</v>
      </c>
      <c r="M169" s="21">
        <f>ROUND(ROUND(J169, 2)*I169, 2)</f>
        <v>1534.16</v>
      </c>
      <c r="P169" s="22">
        <v>2.54</v>
      </c>
      <c r="S169" s="21">
        <f>ROUND(ROUND(P169, 2)*I169, 2)</f>
        <v>1534.16</v>
      </c>
      <c r="V169" s="9">
        <f>ROUND(ROUND(P169, 2)/1.2, 2)</f>
        <v>2.12</v>
      </c>
      <c r="Y169" s="9">
        <f t="shared" si="16"/>
        <v>1278.47</v>
      </c>
      <c r="AD169" s="4" t="s">
        <v>670</v>
      </c>
      <c r="AE169" s="4" t="s">
        <v>671</v>
      </c>
      <c r="AF169" s="4" t="s">
        <v>532</v>
      </c>
    </row>
    <row r="170" spans="1:35" ht="54" x14ac:dyDescent="0.3">
      <c r="A170" s="10" t="s">
        <v>672</v>
      </c>
      <c r="B170" s="10" t="s">
        <v>673</v>
      </c>
      <c r="C170" s="11" t="s">
        <v>674</v>
      </c>
      <c r="D170" s="12"/>
      <c r="E170" s="12" t="s">
        <v>675</v>
      </c>
      <c r="F170" s="12" t="s">
        <v>58</v>
      </c>
      <c r="G170" s="13">
        <v>1</v>
      </c>
      <c r="H170" s="13"/>
      <c r="I170" s="13">
        <v>667.2</v>
      </c>
      <c r="J170" s="14">
        <f>IFERROR(ROUND(SUM(M171,M172)/I170, 2),0)</f>
        <v>276.8</v>
      </c>
      <c r="K170" s="15">
        <v>648</v>
      </c>
      <c r="L170" s="14">
        <f>J170+ROUND(K170, 2)</f>
        <v>924.8</v>
      </c>
      <c r="M170" s="14">
        <f>ROUND(J170*I170, 2)</f>
        <v>184680.95999999999</v>
      </c>
      <c r="N170" s="14">
        <f>ROUND(I170*ROUND(K170, 2), 2)</f>
        <v>432345.59999999998</v>
      </c>
      <c r="O170" s="14">
        <f>M170+N170</f>
        <v>617026.55999999994</v>
      </c>
      <c r="P170" s="14">
        <f>IFERROR(ROUND(SUM(S171,S172)/I170, 2),0)</f>
        <v>276.8</v>
      </c>
      <c r="Q170" s="16">
        <v>925.71</v>
      </c>
      <c r="R170" s="14">
        <f>P170+ROUND(Q170, 2)</f>
        <v>1202.51</v>
      </c>
      <c r="S170" s="14">
        <f>ROUND(P170*I170, 2)</f>
        <v>184680.95999999999</v>
      </c>
      <c r="T170" s="14">
        <f>ROUND(I170*ROUND(Q170, 2), 2)</f>
        <v>617633.71</v>
      </c>
      <c r="U170" s="14">
        <f>S170+T170</f>
        <v>802314.66999999993</v>
      </c>
      <c r="V170" s="9">
        <f>ROUND(P170 / 1.2, 2)</f>
        <v>230.67</v>
      </c>
      <c r="W170" s="9">
        <f>ROUND(Q170 / 1.2, 2)</f>
        <v>771.43</v>
      </c>
      <c r="X170" s="9">
        <f>ROUND(R170 / 1.2, 2)</f>
        <v>1002.09</v>
      </c>
      <c r="Y170" s="9">
        <f t="shared" si="16"/>
        <v>153900.79999999999</v>
      </c>
      <c r="Z170" s="9">
        <f>ROUND(T170 / 1.2, 2)</f>
        <v>514694.76</v>
      </c>
      <c r="AA170" s="9">
        <f>Y170+Z170</f>
        <v>668595.56000000006</v>
      </c>
      <c r="AD170" s="4">
        <v>311044329</v>
      </c>
      <c r="AE170" s="4">
        <v>22764279</v>
      </c>
      <c r="AG170" s="4" t="s">
        <v>676</v>
      </c>
      <c r="AH170" s="4" t="s">
        <v>677</v>
      </c>
      <c r="AI170" s="4" t="s">
        <v>469</v>
      </c>
    </row>
    <row r="171" spans="1:35" ht="18" x14ac:dyDescent="0.3">
      <c r="A171" s="10" t="s">
        <v>678</v>
      </c>
      <c r="B171" s="10"/>
      <c r="C171" s="17" t="s">
        <v>561</v>
      </c>
      <c r="D171" s="12"/>
      <c r="E171" s="12"/>
      <c r="F171" s="18" t="s">
        <v>99</v>
      </c>
      <c r="G171" s="19">
        <v>1.8</v>
      </c>
      <c r="H171" s="24"/>
      <c r="I171" s="24">
        <v>24019.200000000001</v>
      </c>
      <c r="J171" s="20">
        <v>7.54</v>
      </c>
      <c r="M171" s="21">
        <f>ROUND(ROUND(J171, 2)*I171, 2)</f>
        <v>181104.77</v>
      </c>
      <c r="P171" s="22">
        <v>7.54</v>
      </c>
      <c r="S171" s="21">
        <f>ROUND(ROUND(P171, 2)*I171, 2)</f>
        <v>181104.77</v>
      </c>
      <c r="V171" s="9">
        <f>ROUND(ROUND(P171, 2)/1.2, 2)</f>
        <v>6.28</v>
      </c>
      <c r="Y171" s="9">
        <f t="shared" si="16"/>
        <v>150920.64000000001</v>
      </c>
      <c r="AD171" s="4" t="s">
        <v>679</v>
      </c>
      <c r="AE171" s="4" t="s">
        <v>680</v>
      </c>
      <c r="AF171" s="4" t="s">
        <v>564</v>
      </c>
    </row>
    <row r="172" spans="1:35" ht="18" x14ac:dyDescent="0.3">
      <c r="A172" s="10" t="s">
        <v>681</v>
      </c>
      <c r="B172" s="10"/>
      <c r="C172" s="17" t="s">
        <v>544</v>
      </c>
      <c r="D172" s="12"/>
      <c r="E172" s="12"/>
      <c r="F172" s="18" t="s">
        <v>258</v>
      </c>
      <c r="G172" s="19">
        <v>1</v>
      </c>
      <c r="H172" s="24"/>
      <c r="I172" s="24">
        <v>338</v>
      </c>
      <c r="J172" s="20">
        <v>10.58</v>
      </c>
      <c r="M172" s="21">
        <f>ROUND(ROUND(J172, 2)*I172, 2)</f>
        <v>3576.04</v>
      </c>
      <c r="P172" s="22">
        <v>10.58</v>
      </c>
      <c r="S172" s="21">
        <f>ROUND(ROUND(P172, 2)*I172, 2)</f>
        <v>3576.04</v>
      </c>
      <c r="V172" s="9">
        <f>ROUND(ROUND(P172, 2)/1.2, 2)</f>
        <v>8.82</v>
      </c>
      <c r="Y172" s="9">
        <f t="shared" si="16"/>
        <v>2980.03</v>
      </c>
      <c r="AD172" s="4" t="s">
        <v>682</v>
      </c>
      <c r="AE172" s="4" t="s">
        <v>683</v>
      </c>
      <c r="AF172" s="4" t="s">
        <v>547</v>
      </c>
    </row>
    <row r="173" spans="1:35" ht="126" x14ac:dyDescent="0.3">
      <c r="A173" s="10" t="s">
        <v>684</v>
      </c>
      <c r="B173" s="10" t="s">
        <v>673</v>
      </c>
      <c r="C173" s="11" t="s">
        <v>674</v>
      </c>
      <c r="D173" s="12"/>
      <c r="E173" s="12" t="s">
        <v>685</v>
      </c>
      <c r="F173" s="12" t="s">
        <v>58</v>
      </c>
      <c r="G173" s="13">
        <v>1</v>
      </c>
      <c r="H173" s="13"/>
      <c r="I173" s="13">
        <v>11347</v>
      </c>
      <c r="J173" s="14">
        <f>IFERROR(ROUND(SUM(M174,M175)/I173, 2),0)</f>
        <v>231.86</v>
      </c>
      <c r="K173" s="15">
        <v>648</v>
      </c>
      <c r="L173" s="14">
        <f>J173+ROUND(K173, 2)</f>
        <v>879.86</v>
      </c>
      <c r="M173" s="14">
        <f>ROUND(J173*I173, 2)</f>
        <v>2630915.42</v>
      </c>
      <c r="N173" s="14">
        <f>ROUND(I173*ROUND(K173, 2), 2)</f>
        <v>7352856</v>
      </c>
      <c r="O173" s="14">
        <f>M173+N173</f>
        <v>9983771.4199999999</v>
      </c>
      <c r="P173" s="14">
        <f>IFERROR(ROUND(SUM(S174,S175)/I173, 2),0)</f>
        <v>231.86</v>
      </c>
      <c r="Q173" s="16">
        <v>925.71</v>
      </c>
      <c r="R173" s="14">
        <f>P173+ROUND(Q173, 2)</f>
        <v>1157.5700000000002</v>
      </c>
      <c r="S173" s="14">
        <f>ROUND(P173*I173, 2)</f>
        <v>2630915.42</v>
      </c>
      <c r="T173" s="14">
        <f>ROUND(I173*ROUND(Q173, 2), 2)</f>
        <v>10504031.369999999</v>
      </c>
      <c r="U173" s="14">
        <f>S173+T173</f>
        <v>13134946.789999999</v>
      </c>
      <c r="V173" s="9">
        <f>ROUND(P173 / 1.2, 2)</f>
        <v>193.22</v>
      </c>
      <c r="W173" s="9">
        <f>ROUND(Q173 / 1.2, 2)</f>
        <v>771.43</v>
      </c>
      <c r="X173" s="9">
        <f>ROUND(R173 / 1.2, 2)</f>
        <v>964.64</v>
      </c>
      <c r="Y173" s="9">
        <f t="shared" si="16"/>
        <v>2192429.52</v>
      </c>
      <c r="Z173" s="9">
        <f>ROUND(T173 / 1.2, 2)</f>
        <v>8753359.4800000004</v>
      </c>
      <c r="AA173" s="9">
        <f>Y173+Z173</f>
        <v>10945789</v>
      </c>
      <c r="AD173" s="4">
        <v>311044428</v>
      </c>
      <c r="AE173" s="4">
        <v>22764278</v>
      </c>
      <c r="AG173" s="4" t="s">
        <v>676</v>
      </c>
      <c r="AH173" s="4" t="s">
        <v>677</v>
      </c>
      <c r="AI173" s="4" t="s">
        <v>469</v>
      </c>
    </row>
    <row r="174" spans="1:35" ht="18" x14ac:dyDescent="0.3">
      <c r="A174" s="10" t="s">
        <v>686</v>
      </c>
      <c r="B174" s="10"/>
      <c r="C174" s="17" t="s">
        <v>544</v>
      </c>
      <c r="D174" s="12"/>
      <c r="E174" s="12"/>
      <c r="F174" s="18" t="s">
        <v>258</v>
      </c>
      <c r="G174" s="19">
        <v>1</v>
      </c>
      <c r="H174" s="24"/>
      <c r="I174" s="24">
        <v>6581</v>
      </c>
      <c r="J174" s="20">
        <v>10.58</v>
      </c>
      <c r="M174" s="21">
        <f>ROUND(ROUND(J174, 2)*I174, 2)</f>
        <v>69626.98</v>
      </c>
      <c r="P174" s="22">
        <v>10.58</v>
      </c>
      <c r="S174" s="21">
        <f>ROUND(ROUND(P174, 2)*I174, 2)</f>
        <v>69626.98</v>
      </c>
      <c r="V174" s="9">
        <f>ROUND(ROUND(P174, 2)/1.2, 2)</f>
        <v>8.82</v>
      </c>
      <c r="Y174" s="9">
        <f t="shared" si="16"/>
        <v>58022.48</v>
      </c>
      <c r="AD174" s="4" t="s">
        <v>687</v>
      </c>
      <c r="AE174" s="4" t="s">
        <v>688</v>
      </c>
      <c r="AF174" s="4" t="s">
        <v>547</v>
      </c>
    </row>
    <row r="175" spans="1:35" ht="18" x14ac:dyDescent="0.3">
      <c r="A175" s="10" t="s">
        <v>689</v>
      </c>
      <c r="B175" s="10"/>
      <c r="C175" s="17" t="s">
        <v>534</v>
      </c>
      <c r="D175" s="12"/>
      <c r="E175" s="12"/>
      <c r="F175" s="18" t="s">
        <v>99</v>
      </c>
      <c r="G175" s="19">
        <v>1.8</v>
      </c>
      <c r="H175" s="24"/>
      <c r="I175" s="24">
        <v>408492</v>
      </c>
      <c r="J175" s="20">
        <v>6.27</v>
      </c>
      <c r="M175" s="21">
        <f>ROUND(ROUND(J175, 2)*I175, 2)</f>
        <v>2561244.84</v>
      </c>
      <c r="P175" s="22">
        <v>6.27</v>
      </c>
      <c r="S175" s="21">
        <f>ROUND(ROUND(P175, 2)*I175, 2)</f>
        <v>2561244.84</v>
      </c>
      <c r="V175" s="9">
        <f>ROUND(ROUND(P175, 2)/1.2, 2)</f>
        <v>5.23</v>
      </c>
      <c r="Y175" s="9">
        <f t="shared" si="16"/>
        <v>2134370.7000000002</v>
      </c>
      <c r="AD175" s="4" t="s">
        <v>690</v>
      </c>
      <c r="AE175" s="4" t="s">
        <v>691</v>
      </c>
      <c r="AF175" s="4" t="s">
        <v>537</v>
      </c>
    </row>
    <row r="176" spans="1:35" ht="72" x14ac:dyDescent="0.3">
      <c r="A176" s="10" t="s">
        <v>692</v>
      </c>
      <c r="B176" s="10" t="s">
        <v>673</v>
      </c>
      <c r="C176" s="11" t="s">
        <v>674</v>
      </c>
      <c r="D176" s="12"/>
      <c r="E176" s="12" t="s">
        <v>693</v>
      </c>
      <c r="F176" s="12" t="s">
        <v>58</v>
      </c>
      <c r="G176" s="13">
        <v>1</v>
      </c>
      <c r="H176" s="13"/>
      <c r="I176" s="13">
        <v>428.4</v>
      </c>
      <c r="J176" s="14">
        <f>IFERROR(ROUND(SUM(M177,M178)/I176, 2),0)</f>
        <v>61.94</v>
      </c>
      <c r="K176" s="15">
        <v>648</v>
      </c>
      <c r="L176" s="14">
        <f>J176+ROUND(K176, 2)</f>
        <v>709.94</v>
      </c>
      <c r="M176" s="14">
        <f>ROUND(J176*I176, 2)</f>
        <v>26535.1</v>
      </c>
      <c r="N176" s="14">
        <f>ROUND(I176*ROUND(K176, 2), 2)</f>
        <v>277603.20000000001</v>
      </c>
      <c r="O176" s="14">
        <f>M176+N176</f>
        <v>304138.3</v>
      </c>
      <c r="P176" s="14">
        <f>IFERROR(ROUND(SUM(S177,S178)/I176, 2),0)</f>
        <v>61.94</v>
      </c>
      <c r="Q176" s="16">
        <v>925.71</v>
      </c>
      <c r="R176" s="14">
        <f>P176+ROUND(Q176, 2)</f>
        <v>987.65000000000009</v>
      </c>
      <c r="S176" s="14">
        <f>ROUND(P176*I176, 2)</f>
        <v>26535.1</v>
      </c>
      <c r="T176" s="14">
        <f>ROUND(I176*ROUND(Q176, 2), 2)</f>
        <v>396574.16</v>
      </c>
      <c r="U176" s="14">
        <f>S176+T176</f>
        <v>423109.25999999995</v>
      </c>
      <c r="V176" s="9">
        <f>ROUND(P176 / 1.2, 2)</f>
        <v>51.62</v>
      </c>
      <c r="W176" s="9">
        <f>ROUND(Q176 / 1.2, 2)</f>
        <v>771.43</v>
      </c>
      <c r="X176" s="9">
        <f>ROUND(R176 / 1.2, 2)</f>
        <v>823.04</v>
      </c>
      <c r="Y176" s="9">
        <f t="shared" si="16"/>
        <v>22112.58</v>
      </c>
      <c r="Z176" s="9">
        <f>ROUND(T176 / 1.2, 2)</f>
        <v>330478.46999999997</v>
      </c>
      <c r="AA176" s="9">
        <f>Y176+Z176</f>
        <v>352591.05</v>
      </c>
      <c r="AD176" s="4">
        <v>311044429</v>
      </c>
      <c r="AE176" s="4">
        <v>22817294</v>
      </c>
      <c r="AG176" s="4" t="s">
        <v>676</v>
      </c>
      <c r="AH176" s="4" t="s">
        <v>677</v>
      </c>
      <c r="AI176" s="4" t="s">
        <v>469</v>
      </c>
    </row>
    <row r="177" spans="1:35" ht="18" x14ac:dyDescent="0.3">
      <c r="A177" s="10" t="s">
        <v>694</v>
      </c>
      <c r="B177" s="10"/>
      <c r="C177" s="17" t="s">
        <v>534</v>
      </c>
      <c r="D177" s="12"/>
      <c r="E177" s="12"/>
      <c r="F177" s="18" t="s">
        <v>99</v>
      </c>
      <c r="G177" s="19">
        <v>1.8</v>
      </c>
      <c r="H177" s="24"/>
      <c r="I177" s="24">
        <v>3855.6</v>
      </c>
      <c r="J177" s="20">
        <v>6.27</v>
      </c>
      <c r="M177" s="21">
        <f>ROUND(ROUND(J177, 2)*I177, 2)</f>
        <v>24174.61</v>
      </c>
      <c r="P177" s="22">
        <v>6.27</v>
      </c>
      <c r="S177" s="21">
        <f>ROUND(ROUND(P177, 2)*I177, 2)</f>
        <v>24174.61</v>
      </c>
      <c r="V177" s="9">
        <f>ROUND(ROUND(P177, 2)/1.2, 2)</f>
        <v>5.23</v>
      </c>
      <c r="Y177" s="9">
        <f t="shared" ref="Y177:Y192" si="17">ROUND(S177 / 1.2, 2)</f>
        <v>20145.509999999998</v>
      </c>
      <c r="AD177" s="4" t="s">
        <v>695</v>
      </c>
      <c r="AE177" s="4" t="s">
        <v>696</v>
      </c>
      <c r="AF177" s="4" t="s">
        <v>537</v>
      </c>
    </row>
    <row r="178" spans="1:35" ht="18" x14ac:dyDescent="0.3">
      <c r="A178" s="10" t="s">
        <v>697</v>
      </c>
      <c r="B178" s="10"/>
      <c r="C178" s="17" t="s">
        <v>544</v>
      </c>
      <c r="D178" s="12"/>
      <c r="E178" s="12"/>
      <c r="F178" s="18" t="s">
        <v>258</v>
      </c>
      <c r="G178" s="19">
        <v>1</v>
      </c>
      <c r="H178" s="24"/>
      <c r="I178" s="24">
        <v>223</v>
      </c>
      <c r="J178" s="20">
        <v>10.58</v>
      </c>
      <c r="M178" s="21">
        <f>ROUND(ROUND(J178, 2)*I178, 2)</f>
        <v>2359.34</v>
      </c>
      <c r="P178" s="22">
        <v>10.58</v>
      </c>
      <c r="S178" s="21">
        <f>ROUND(ROUND(P178, 2)*I178, 2)</f>
        <v>2359.34</v>
      </c>
      <c r="V178" s="9">
        <f>ROUND(ROUND(P178, 2)/1.2, 2)</f>
        <v>8.82</v>
      </c>
      <c r="Y178" s="9">
        <f t="shared" si="17"/>
        <v>1966.12</v>
      </c>
      <c r="AD178" s="4" t="s">
        <v>698</v>
      </c>
      <c r="AE178" s="4" t="s">
        <v>699</v>
      </c>
      <c r="AF178" s="4" t="s">
        <v>547</v>
      </c>
    </row>
    <row r="179" spans="1:35" ht="54" x14ac:dyDescent="0.3">
      <c r="A179" s="10" t="s">
        <v>700</v>
      </c>
      <c r="B179" s="10" t="s">
        <v>701</v>
      </c>
      <c r="C179" s="11" t="s">
        <v>702</v>
      </c>
      <c r="D179" s="12"/>
      <c r="E179" s="12" t="s">
        <v>703</v>
      </c>
      <c r="F179" s="12" t="s">
        <v>58</v>
      </c>
      <c r="G179" s="13">
        <v>1</v>
      </c>
      <c r="H179" s="13"/>
      <c r="I179" s="13">
        <v>68.2</v>
      </c>
      <c r="J179" s="14">
        <f>IFERROR(ROUND(SUM(M180)/I179, 2),0)</f>
        <v>352.87</v>
      </c>
      <c r="K179" s="15">
        <v>705</v>
      </c>
      <c r="L179" s="14">
        <f>J179+ROUND(K179, 2)</f>
        <v>1057.8699999999999</v>
      </c>
      <c r="M179" s="14">
        <f>ROUND(J179*I179, 2)</f>
        <v>24065.73</v>
      </c>
      <c r="N179" s="14">
        <f>ROUND(I179*ROUND(K179, 2), 2)</f>
        <v>48081</v>
      </c>
      <c r="O179" s="14">
        <f>M179+N179</f>
        <v>72146.73</v>
      </c>
      <c r="P179" s="14">
        <f>IFERROR(ROUND(SUM(S180)/I179, 2),0)</f>
        <v>352.87</v>
      </c>
      <c r="Q179" s="16">
        <v>1007.14</v>
      </c>
      <c r="R179" s="14">
        <f>P179+ROUND(Q179, 2)</f>
        <v>1360.01</v>
      </c>
      <c r="S179" s="14">
        <f>ROUND(P179*I179, 2)</f>
        <v>24065.73</v>
      </c>
      <c r="T179" s="14">
        <f>ROUND(I179*ROUND(Q179, 2), 2)</f>
        <v>68686.95</v>
      </c>
      <c r="U179" s="14">
        <f>S179+T179</f>
        <v>92752.68</v>
      </c>
      <c r="V179" s="9">
        <f>ROUND(P179 / 1.2, 2)</f>
        <v>294.06</v>
      </c>
      <c r="W179" s="9">
        <f>ROUND(Q179 / 1.2, 2)</f>
        <v>839.28</v>
      </c>
      <c r="X179" s="9">
        <f>ROUND(R179 / 1.2, 2)</f>
        <v>1133.3399999999999</v>
      </c>
      <c r="Y179" s="9">
        <f t="shared" si="17"/>
        <v>20054.78</v>
      </c>
      <c r="Z179" s="9">
        <f>ROUND(T179 / 1.2, 2)</f>
        <v>57239.13</v>
      </c>
      <c r="AA179" s="9">
        <f>Y179+Z179</f>
        <v>77293.91</v>
      </c>
      <c r="AD179" s="4">
        <v>311044330</v>
      </c>
      <c r="AE179" s="4">
        <v>22765232</v>
      </c>
      <c r="AG179" s="4" t="s">
        <v>704</v>
      </c>
      <c r="AH179" s="4" t="s">
        <v>705</v>
      </c>
      <c r="AI179" s="4" t="s">
        <v>469</v>
      </c>
    </row>
    <row r="180" spans="1:35" ht="18" x14ac:dyDescent="0.3">
      <c r="A180" s="10" t="s">
        <v>706</v>
      </c>
      <c r="B180" s="10"/>
      <c r="C180" s="17" t="s">
        <v>561</v>
      </c>
      <c r="D180" s="12"/>
      <c r="E180" s="12" t="s">
        <v>707</v>
      </c>
      <c r="F180" s="18" t="s">
        <v>99</v>
      </c>
      <c r="G180" s="19">
        <v>1.8</v>
      </c>
      <c r="H180" s="24"/>
      <c r="I180" s="24">
        <v>3191.76</v>
      </c>
      <c r="J180" s="20">
        <v>7.54</v>
      </c>
      <c r="M180" s="21">
        <f>ROUND(ROUND(J180, 2)*I180, 2)</f>
        <v>24065.87</v>
      </c>
      <c r="P180" s="22">
        <v>7.54</v>
      </c>
      <c r="S180" s="21">
        <f>ROUND(ROUND(P180, 2)*I180, 2)</f>
        <v>24065.87</v>
      </c>
      <c r="V180" s="9">
        <f>ROUND(ROUND(P180, 2)/1.2, 2)</f>
        <v>6.28</v>
      </c>
      <c r="Y180" s="9">
        <f t="shared" si="17"/>
        <v>20054.89</v>
      </c>
      <c r="AD180" s="4" t="s">
        <v>708</v>
      </c>
      <c r="AE180" s="4" t="s">
        <v>709</v>
      </c>
      <c r="AF180" s="4" t="s">
        <v>564</v>
      </c>
    </row>
    <row r="181" spans="1:35" ht="54" x14ac:dyDescent="0.3">
      <c r="A181" s="10" t="s">
        <v>710</v>
      </c>
      <c r="B181" s="10" t="s">
        <v>711</v>
      </c>
      <c r="C181" s="11" t="s">
        <v>712</v>
      </c>
      <c r="D181" s="12"/>
      <c r="E181" s="12" t="s">
        <v>713</v>
      </c>
      <c r="F181" s="12" t="s">
        <v>58</v>
      </c>
      <c r="G181" s="13">
        <v>1</v>
      </c>
      <c r="H181" s="13"/>
      <c r="I181" s="13">
        <v>8367.4</v>
      </c>
      <c r="J181" s="14">
        <f>IFERROR(ROUND(SUM(M182,M183,M184)/I181, 2),0)</f>
        <v>176.55</v>
      </c>
      <c r="K181" s="15">
        <v>557</v>
      </c>
      <c r="L181" s="14">
        <f>J181+ROUND(K181, 2)</f>
        <v>733.55</v>
      </c>
      <c r="M181" s="14">
        <f>ROUND(J181*I181, 2)</f>
        <v>1477264.47</v>
      </c>
      <c r="N181" s="14">
        <f>ROUND(I181*ROUND(K181, 2), 2)</f>
        <v>4660641.8</v>
      </c>
      <c r="O181" s="14">
        <f>M181+N181</f>
        <v>6137906.2699999996</v>
      </c>
      <c r="P181" s="14">
        <f>IFERROR(ROUND(SUM(S182,S183,S184)/I181, 2),0)</f>
        <v>176.55</v>
      </c>
      <c r="Q181" s="16">
        <v>795.71</v>
      </c>
      <c r="R181" s="14">
        <f>P181+ROUND(Q181, 2)</f>
        <v>972.26</v>
      </c>
      <c r="S181" s="14">
        <f>ROUND(P181*I181, 2)</f>
        <v>1477264.47</v>
      </c>
      <c r="T181" s="14">
        <f>ROUND(I181*ROUND(Q181, 2), 2)</f>
        <v>6658023.8499999996</v>
      </c>
      <c r="U181" s="14">
        <f>S181+T181</f>
        <v>8135288.3199999994</v>
      </c>
      <c r="V181" s="9">
        <f>ROUND(P181 / 1.2, 2)</f>
        <v>147.13</v>
      </c>
      <c r="W181" s="9">
        <f>ROUND(Q181 / 1.2, 2)</f>
        <v>663.09</v>
      </c>
      <c r="X181" s="9">
        <f>ROUND(R181 / 1.2, 2)</f>
        <v>810.22</v>
      </c>
      <c r="Y181" s="9">
        <f t="shared" si="17"/>
        <v>1231053.73</v>
      </c>
      <c r="Z181" s="9">
        <f>ROUND(T181 / 1.2, 2)</f>
        <v>5548353.21</v>
      </c>
      <c r="AA181" s="9">
        <f>Y181+Z181</f>
        <v>6779406.9399999995</v>
      </c>
      <c r="AD181" s="4">
        <v>311044332</v>
      </c>
      <c r="AE181" s="4">
        <v>22757329</v>
      </c>
      <c r="AG181" s="4" t="s">
        <v>714</v>
      </c>
      <c r="AH181" s="4" t="s">
        <v>715</v>
      </c>
      <c r="AI181" s="4" t="s">
        <v>469</v>
      </c>
    </row>
    <row r="182" spans="1:35" ht="18" x14ac:dyDescent="0.3">
      <c r="A182" s="10" t="s">
        <v>716</v>
      </c>
      <c r="B182" s="10"/>
      <c r="C182" s="17" t="s">
        <v>544</v>
      </c>
      <c r="D182" s="12"/>
      <c r="E182" s="12"/>
      <c r="F182" s="18" t="s">
        <v>258</v>
      </c>
      <c r="G182" s="19">
        <v>1</v>
      </c>
      <c r="H182" s="24"/>
      <c r="I182" s="24">
        <v>4752</v>
      </c>
      <c r="J182" s="20">
        <v>10.58</v>
      </c>
      <c r="M182" s="21">
        <f>ROUND(ROUND(J182, 2)*I182, 2)</f>
        <v>50276.160000000003</v>
      </c>
      <c r="P182" s="22">
        <v>10.58</v>
      </c>
      <c r="S182" s="21">
        <f>ROUND(ROUND(P182, 2)*I182, 2)</f>
        <v>50276.160000000003</v>
      </c>
      <c r="V182" s="9">
        <f>ROUND(ROUND(P182, 2)/1.2, 2)</f>
        <v>8.82</v>
      </c>
      <c r="Y182" s="9">
        <f t="shared" si="17"/>
        <v>41896.800000000003</v>
      </c>
      <c r="AD182" s="4" t="s">
        <v>717</v>
      </c>
      <c r="AE182" s="4" t="s">
        <v>718</v>
      </c>
      <c r="AF182" s="4" t="s">
        <v>547</v>
      </c>
    </row>
    <row r="183" spans="1:35" ht="36" x14ac:dyDescent="0.3">
      <c r="A183" s="10" t="s">
        <v>719</v>
      </c>
      <c r="B183" s="10"/>
      <c r="C183" s="17" t="s">
        <v>720</v>
      </c>
      <c r="D183" s="12"/>
      <c r="E183" s="12"/>
      <c r="F183" s="18" t="s">
        <v>99</v>
      </c>
      <c r="G183" s="19">
        <v>0.255</v>
      </c>
      <c r="H183" s="19"/>
      <c r="I183" s="19">
        <v>2133.6869999999999</v>
      </c>
      <c r="J183" s="20">
        <v>90.28</v>
      </c>
      <c r="M183" s="21">
        <f>ROUND(ROUND(J183, 2)*I183, 2)</f>
        <v>192629.26</v>
      </c>
      <c r="P183" s="22">
        <v>90.28</v>
      </c>
      <c r="S183" s="21">
        <f>ROUND(ROUND(P183, 2)*I183, 2)</f>
        <v>192629.26</v>
      </c>
      <c r="V183" s="9">
        <f>ROUND(ROUND(P183, 2)/1.2, 2)</f>
        <v>75.23</v>
      </c>
      <c r="Y183" s="9">
        <f t="shared" si="17"/>
        <v>160524.38</v>
      </c>
      <c r="AD183" s="4" t="s">
        <v>721</v>
      </c>
      <c r="AE183" s="4" t="s">
        <v>722</v>
      </c>
      <c r="AF183" s="4" t="s">
        <v>723</v>
      </c>
    </row>
    <row r="184" spans="1:35" ht="36" x14ac:dyDescent="0.3">
      <c r="A184" s="10" t="s">
        <v>724</v>
      </c>
      <c r="B184" s="10"/>
      <c r="C184" s="23" t="s">
        <v>725</v>
      </c>
      <c r="D184" s="12"/>
      <c r="E184" s="12"/>
      <c r="F184" s="18" t="s">
        <v>99</v>
      </c>
      <c r="G184" s="19">
        <v>1.6</v>
      </c>
      <c r="H184" s="24"/>
      <c r="I184" s="24">
        <v>133878.39999999999</v>
      </c>
      <c r="J184" s="20">
        <v>9.2200000000000006</v>
      </c>
      <c r="M184" s="21">
        <f>ROUND(ROUND(J184, 2)*I184, 2)</f>
        <v>1234358.8500000001</v>
      </c>
      <c r="P184" s="22">
        <v>9.2200000000000006</v>
      </c>
      <c r="S184" s="21">
        <f>ROUND(ROUND(P184, 2)*I184, 2)</f>
        <v>1234358.8500000001</v>
      </c>
      <c r="V184" s="9">
        <f>ROUND(ROUND(P184, 2)/1.2, 2)</f>
        <v>7.68</v>
      </c>
      <c r="Y184" s="9">
        <f t="shared" si="17"/>
        <v>1028632.38</v>
      </c>
      <c r="AD184" s="4" t="s">
        <v>726</v>
      </c>
      <c r="AE184" s="4" t="s">
        <v>727</v>
      </c>
      <c r="AF184" s="4" t="s">
        <v>728</v>
      </c>
    </row>
    <row r="185" spans="1:35" ht="36" x14ac:dyDescent="0.3">
      <c r="A185" s="10" t="s">
        <v>729</v>
      </c>
      <c r="B185" s="10" t="s">
        <v>711</v>
      </c>
      <c r="C185" s="11" t="s">
        <v>712</v>
      </c>
      <c r="D185" s="12"/>
      <c r="E185" s="12" t="s">
        <v>730</v>
      </c>
      <c r="F185" s="12" t="s">
        <v>58</v>
      </c>
      <c r="G185" s="13">
        <v>1</v>
      </c>
      <c r="H185" s="13"/>
      <c r="I185" s="13">
        <v>35.4</v>
      </c>
      <c r="J185" s="14">
        <f>IFERROR(ROUND(SUM(M186,M187,M188)/I185, 2),0)</f>
        <v>176.82</v>
      </c>
      <c r="K185" s="15">
        <v>557</v>
      </c>
      <c r="L185" s="14">
        <f>J185+ROUND(K185, 2)</f>
        <v>733.81999999999994</v>
      </c>
      <c r="M185" s="14">
        <f>ROUND(J185*I185, 2)</f>
        <v>6259.43</v>
      </c>
      <c r="N185" s="14">
        <f>ROUND(I185*ROUND(K185, 2), 2)</f>
        <v>19717.8</v>
      </c>
      <c r="O185" s="14">
        <f>M185+N185</f>
        <v>25977.23</v>
      </c>
      <c r="P185" s="14">
        <f>IFERROR(ROUND(SUM(S186,S187,S188)/I185, 2),0)</f>
        <v>176.82</v>
      </c>
      <c r="Q185" s="16">
        <v>795.71</v>
      </c>
      <c r="R185" s="14">
        <f>P185+ROUND(Q185, 2)</f>
        <v>972.53</v>
      </c>
      <c r="S185" s="14">
        <f>ROUND(P185*I185, 2)</f>
        <v>6259.43</v>
      </c>
      <c r="T185" s="14">
        <f>ROUND(I185*ROUND(Q185, 2), 2)</f>
        <v>28168.13</v>
      </c>
      <c r="U185" s="14">
        <f>S185+T185</f>
        <v>34427.56</v>
      </c>
      <c r="V185" s="9">
        <f>ROUND(P185 / 1.2, 2)</f>
        <v>147.35</v>
      </c>
      <c r="W185" s="9">
        <f>ROUND(Q185 / 1.2, 2)</f>
        <v>663.09</v>
      </c>
      <c r="X185" s="9">
        <f>ROUND(R185 / 1.2, 2)</f>
        <v>810.44</v>
      </c>
      <c r="Y185" s="9">
        <f t="shared" si="17"/>
        <v>5216.1899999999996</v>
      </c>
      <c r="Z185" s="9">
        <f>ROUND(T185 / 1.2, 2)</f>
        <v>23473.439999999999</v>
      </c>
      <c r="AA185" s="9">
        <f>Y185+Z185</f>
        <v>28689.629999999997</v>
      </c>
      <c r="AD185" s="4">
        <v>311044430</v>
      </c>
      <c r="AE185" s="4">
        <v>22829010</v>
      </c>
      <c r="AG185" s="4" t="s">
        <v>714</v>
      </c>
      <c r="AH185" s="4" t="s">
        <v>715</v>
      </c>
      <c r="AI185" s="4" t="s">
        <v>469</v>
      </c>
    </row>
    <row r="186" spans="1:35" ht="36" x14ac:dyDescent="0.3">
      <c r="A186" s="10" t="s">
        <v>731</v>
      </c>
      <c r="B186" s="10"/>
      <c r="C186" s="23" t="s">
        <v>725</v>
      </c>
      <c r="D186" s="12"/>
      <c r="E186" s="12"/>
      <c r="F186" s="18" t="s">
        <v>99</v>
      </c>
      <c r="G186" s="19">
        <v>1.6</v>
      </c>
      <c r="H186" s="24"/>
      <c r="I186" s="24">
        <v>566.4</v>
      </c>
      <c r="J186" s="20">
        <v>9.2200000000000006</v>
      </c>
      <c r="M186" s="21">
        <f>ROUND(ROUND(J186, 2)*I186, 2)</f>
        <v>5222.21</v>
      </c>
      <c r="P186" s="22">
        <v>9.2200000000000006</v>
      </c>
      <c r="S186" s="21">
        <f>ROUND(ROUND(P186, 2)*I186, 2)</f>
        <v>5222.21</v>
      </c>
      <c r="V186" s="9">
        <f>ROUND(ROUND(P186, 2)/1.2, 2)</f>
        <v>7.68</v>
      </c>
      <c r="Y186" s="9">
        <f t="shared" si="17"/>
        <v>4351.84</v>
      </c>
      <c r="AD186" s="4" t="s">
        <v>732</v>
      </c>
      <c r="AE186" s="4" t="s">
        <v>733</v>
      </c>
      <c r="AF186" s="4" t="s">
        <v>728</v>
      </c>
    </row>
    <row r="187" spans="1:35" ht="36" x14ac:dyDescent="0.3">
      <c r="A187" s="10" t="s">
        <v>734</v>
      </c>
      <c r="B187" s="10"/>
      <c r="C187" s="17" t="s">
        <v>720</v>
      </c>
      <c r="D187" s="12"/>
      <c r="E187" s="12"/>
      <c r="F187" s="18" t="s">
        <v>99</v>
      </c>
      <c r="G187" s="19">
        <v>0.255</v>
      </c>
      <c r="H187" s="19"/>
      <c r="I187" s="19">
        <v>9.0269999999999992</v>
      </c>
      <c r="J187" s="20">
        <v>90.28</v>
      </c>
      <c r="M187" s="21">
        <f>ROUND(ROUND(J187, 2)*I187, 2)</f>
        <v>814.96</v>
      </c>
      <c r="P187" s="22">
        <v>90.28</v>
      </c>
      <c r="S187" s="21">
        <f>ROUND(ROUND(P187, 2)*I187, 2)</f>
        <v>814.96</v>
      </c>
      <c r="V187" s="9">
        <f>ROUND(ROUND(P187, 2)/1.2, 2)</f>
        <v>75.23</v>
      </c>
      <c r="Y187" s="9">
        <f t="shared" si="17"/>
        <v>679.13</v>
      </c>
      <c r="AD187" s="4" t="s">
        <v>735</v>
      </c>
      <c r="AE187" s="4" t="s">
        <v>736</v>
      </c>
      <c r="AF187" s="4" t="s">
        <v>723</v>
      </c>
    </row>
    <row r="188" spans="1:35" ht="18" x14ac:dyDescent="0.3">
      <c r="A188" s="10" t="s">
        <v>737</v>
      </c>
      <c r="B188" s="10"/>
      <c r="C188" s="17" t="s">
        <v>544</v>
      </c>
      <c r="D188" s="12"/>
      <c r="E188" s="12"/>
      <c r="F188" s="18" t="s">
        <v>258</v>
      </c>
      <c r="G188" s="19">
        <v>1</v>
      </c>
      <c r="H188" s="24"/>
      <c r="I188" s="24">
        <v>21</v>
      </c>
      <c r="J188" s="20">
        <v>10.58</v>
      </c>
      <c r="M188" s="21">
        <f>ROUND(ROUND(J188, 2)*I188, 2)</f>
        <v>222.18</v>
      </c>
      <c r="P188" s="22">
        <v>10.58</v>
      </c>
      <c r="S188" s="21">
        <f>ROUND(ROUND(P188, 2)*I188, 2)</f>
        <v>222.18</v>
      </c>
      <c r="V188" s="9">
        <f>ROUND(ROUND(P188, 2)/1.2, 2)</f>
        <v>8.82</v>
      </c>
      <c r="Y188" s="9">
        <f t="shared" si="17"/>
        <v>185.15</v>
      </c>
      <c r="AD188" s="4" t="s">
        <v>738</v>
      </c>
      <c r="AE188" s="4" t="s">
        <v>739</v>
      </c>
      <c r="AF188" s="4" t="s">
        <v>547</v>
      </c>
    </row>
    <row r="189" spans="1:35" ht="36" x14ac:dyDescent="0.3">
      <c r="A189" s="10" t="s">
        <v>740</v>
      </c>
      <c r="B189" s="10" t="s">
        <v>741</v>
      </c>
      <c r="C189" s="11" t="s">
        <v>742</v>
      </c>
      <c r="D189" s="12"/>
      <c r="E189" s="12" t="s">
        <v>743</v>
      </c>
      <c r="F189" s="12" t="s">
        <v>58</v>
      </c>
      <c r="G189" s="13">
        <v>1</v>
      </c>
      <c r="H189" s="13"/>
      <c r="I189" s="13">
        <v>3402.3</v>
      </c>
      <c r="J189" s="14">
        <f>IFERROR(ROUND(SUM(M190,M191,M192)/I189, 2),0)</f>
        <v>913.93</v>
      </c>
      <c r="K189" s="15">
        <v>880</v>
      </c>
      <c r="L189" s="14">
        <f>J189+ROUND(K189, 2)</f>
        <v>1793.9299999999998</v>
      </c>
      <c r="M189" s="14">
        <f>ROUND(J189*I189, 2)</f>
        <v>3109464.04</v>
      </c>
      <c r="N189" s="14">
        <f>ROUND(I189*ROUND(K189, 2), 2)</f>
        <v>2994024</v>
      </c>
      <c r="O189" s="14">
        <f>M189+N189</f>
        <v>6103488.04</v>
      </c>
      <c r="P189" s="14">
        <f>IFERROR(ROUND(SUM(S190,S191,S192)/I189, 2),0)</f>
        <v>913.93</v>
      </c>
      <c r="Q189" s="16">
        <v>1257.1400000000001</v>
      </c>
      <c r="R189" s="14">
        <f>P189+ROUND(Q189, 2)</f>
        <v>2171.0700000000002</v>
      </c>
      <c r="S189" s="14">
        <f>ROUND(P189*I189, 2)</f>
        <v>3109464.04</v>
      </c>
      <c r="T189" s="14">
        <f>ROUND(I189*ROUND(Q189, 2), 2)</f>
        <v>4277167.42</v>
      </c>
      <c r="U189" s="14">
        <f>S189+T189</f>
        <v>7386631.46</v>
      </c>
      <c r="V189" s="9">
        <f>ROUND(P189 / 1.2, 2)</f>
        <v>761.61</v>
      </c>
      <c r="W189" s="9">
        <f>ROUND(Q189 / 1.2, 2)</f>
        <v>1047.6199999999999</v>
      </c>
      <c r="X189" s="9">
        <f>ROUND(R189 / 1.2, 2)</f>
        <v>1809.23</v>
      </c>
      <c r="Y189" s="9">
        <f t="shared" si="17"/>
        <v>2591220.0299999998</v>
      </c>
      <c r="Z189" s="9">
        <f>ROUND(T189 / 1.2, 2)</f>
        <v>3564306.18</v>
      </c>
      <c r="AA189" s="9">
        <f>Y189+Z189</f>
        <v>6155526.21</v>
      </c>
      <c r="AD189" s="4">
        <v>311044333</v>
      </c>
      <c r="AE189" s="4">
        <v>22829009</v>
      </c>
      <c r="AG189" s="4" t="s">
        <v>744</v>
      </c>
      <c r="AH189" s="4" t="s">
        <v>745</v>
      </c>
      <c r="AI189" s="4" t="s">
        <v>469</v>
      </c>
    </row>
    <row r="190" spans="1:35" ht="36" x14ac:dyDescent="0.3">
      <c r="A190" s="10" t="s">
        <v>746</v>
      </c>
      <c r="B190" s="10"/>
      <c r="C190" s="17" t="s">
        <v>720</v>
      </c>
      <c r="D190" s="12"/>
      <c r="E190" s="12"/>
      <c r="F190" s="18" t="s">
        <v>99</v>
      </c>
      <c r="G190" s="19">
        <v>0.255</v>
      </c>
      <c r="H190" s="19"/>
      <c r="I190" s="19">
        <v>867.58699999999999</v>
      </c>
      <c r="J190" s="20">
        <v>90.28</v>
      </c>
      <c r="M190" s="21">
        <f>ROUND(ROUND(J190, 2)*I190, 2)</f>
        <v>78325.75</v>
      </c>
      <c r="P190" s="22">
        <v>90.28</v>
      </c>
      <c r="S190" s="21">
        <f>ROUND(ROUND(P190, 2)*I190, 2)</f>
        <v>78325.75</v>
      </c>
      <c r="V190" s="9">
        <f>ROUND(ROUND(P190, 2)/1.2, 2)</f>
        <v>75.23</v>
      </c>
      <c r="Y190" s="9">
        <f t="shared" si="17"/>
        <v>65271.46</v>
      </c>
      <c r="AD190" s="4" t="s">
        <v>747</v>
      </c>
      <c r="AE190" s="4" t="s">
        <v>748</v>
      </c>
      <c r="AF190" s="4" t="s">
        <v>723</v>
      </c>
    </row>
    <row r="191" spans="1:35" ht="36" x14ac:dyDescent="0.3">
      <c r="A191" s="10" t="s">
        <v>749</v>
      </c>
      <c r="B191" s="10"/>
      <c r="C191" s="23" t="s">
        <v>725</v>
      </c>
      <c r="D191" s="12"/>
      <c r="E191" s="12" t="s">
        <v>750</v>
      </c>
      <c r="F191" s="18" t="s">
        <v>99</v>
      </c>
      <c r="G191" s="19">
        <v>1.6</v>
      </c>
      <c r="H191" s="24"/>
      <c r="I191" s="24">
        <v>326620.79999999999</v>
      </c>
      <c r="J191" s="20">
        <v>9.2200000000000006</v>
      </c>
      <c r="M191" s="21">
        <f>ROUND(ROUND(J191, 2)*I191, 2)</f>
        <v>3011443.78</v>
      </c>
      <c r="P191" s="22">
        <v>9.2200000000000006</v>
      </c>
      <c r="S191" s="21">
        <f>ROUND(ROUND(P191, 2)*I191, 2)</f>
        <v>3011443.78</v>
      </c>
      <c r="V191" s="9">
        <f>ROUND(ROUND(P191, 2)/1.2, 2)</f>
        <v>7.68</v>
      </c>
      <c r="Y191" s="9">
        <f t="shared" si="17"/>
        <v>2509536.48</v>
      </c>
      <c r="AD191" s="4" t="s">
        <v>751</v>
      </c>
      <c r="AE191" s="4" t="s">
        <v>752</v>
      </c>
      <c r="AF191" s="4" t="s">
        <v>753</v>
      </c>
    </row>
    <row r="192" spans="1:35" ht="18" x14ac:dyDescent="0.3">
      <c r="A192" s="10" t="s">
        <v>754</v>
      </c>
      <c r="B192" s="10"/>
      <c r="C192" s="17" t="s">
        <v>544</v>
      </c>
      <c r="D192" s="12"/>
      <c r="E192" s="12"/>
      <c r="F192" s="18" t="s">
        <v>258</v>
      </c>
      <c r="G192" s="19">
        <v>1</v>
      </c>
      <c r="H192" s="24"/>
      <c r="I192" s="24">
        <v>1861</v>
      </c>
      <c r="J192" s="20">
        <v>10.58</v>
      </c>
      <c r="M192" s="21">
        <f>ROUND(ROUND(J192, 2)*I192, 2)</f>
        <v>19689.38</v>
      </c>
      <c r="P192" s="22">
        <v>10.58</v>
      </c>
      <c r="S192" s="21">
        <f>ROUND(ROUND(P192, 2)*I192, 2)</f>
        <v>19689.38</v>
      </c>
      <c r="V192" s="9">
        <f>ROUND(ROUND(P192, 2)/1.2, 2)</f>
        <v>8.82</v>
      </c>
      <c r="Y192" s="9">
        <f t="shared" si="17"/>
        <v>16407.82</v>
      </c>
      <c r="AD192" s="4" t="s">
        <v>755</v>
      </c>
      <c r="AE192" s="4" t="s">
        <v>756</v>
      </c>
      <c r="AF192" s="4" t="s">
        <v>547</v>
      </c>
    </row>
    <row r="193" spans="1:35" ht="16.95" customHeight="1" x14ac:dyDescent="0.3">
      <c r="A193" s="10" t="s">
        <v>757</v>
      </c>
      <c r="B193" s="10" t="s">
        <v>758</v>
      </c>
      <c r="C193" s="51" t="s">
        <v>759</v>
      </c>
      <c r="D193" s="52"/>
      <c r="E193" s="52"/>
      <c r="F193" s="52"/>
      <c r="G193" s="52"/>
      <c r="H193" s="52"/>
      <c r="I193" s="53"/>
      <c r="M193" s="6">
        <f>SUM(M194,M196,M198,M200,M202,M204,M206,M208,M210,M212,M214)</f>
        <v>5140615.3</v>
      </c>
      <c r="N193" s="6">
        <f>SUM(N194,N196,N198,N200,N202,N204,N206,N208,N210,N212,N214)</f>
        <v>7582545.9600000009</v>
      </c>
      <c r="O193" s="6">
        <f>SUM(O194,O196,O198,O200,O202,O204,O206,O208,O210,O212,O214)</f>
        <v>12723161.26</v>
      </c>
      <c r="S193" s="6">
        <f>SUM(S194,S196,S198,S200,S202,S204,S206,S208,S210,S212,S214)</f>
        <v>5255505.1900000004</v>
      </c>
      <c r="T193" s="6">
        <f>SUM(T194,T196,T198,T200,T202,T204,T206,T208,T210,T212,T214)</f>
        <v>10832192.310000001</v>
      </c>
      <c r="U193" s="6">
        <f>SUM(U194,U196,U198,U200,U202,U204,U206,U208,U210,U212,U214)</f>
        <v>16087697.499999998</v>
      </c>
      <c r="Y193" s="9">
        <f>SUM(Y194,Y196,Y198,Y200,Y202,Y204,Y206,Y208,Y210,Y212,Y214)</f>
        <v>4379587.66</v>
      </c>
      <c r="Z193" s="9">
        <f>SUM(Z194,Z196,Z198,Z200,Z202,Z204,Z206,Z208,Z210,Z212,Z214)</f>
        <v>9026826.9399999995</v>
      </c>
      <c r="AA193" s="9">
        <f>SUM(AA194,AA196,AA198,AA200,AA202,AA204,AA206,AA208,AA210,AA212,AA214)</f>
        <v>13406414.599999998</v>
      </c>
      <c r="AD193" s="4">
        <v>311044334</v>
      </c>
      <c r="AE193" s="4">
        <v>22775403</v>
      </c>
    </row>
    <row r="194" spans="1:35" ht="90" x14ac:dyDescent="0.3">
      <c r="A194" s="10" t="s">
        <v>760</v>
      </c>
      <c r="B194" s="10" t="s">
        <v>761</v>
      </c>
      <c r="C194" s="11" t="s">
        <v>762</v>
      </c>
      <c r="D194" s="12"/>
      <c r="E194" s="12" t="s">
        <v>763</v>
      </c>
      <c r="F194" s="12" t="s">
        <v>58</v>
      </c>
      <c r="G194" s="13">
        <v>1</v>
      </c>
      <c r="H194" s="13"/>
      <c r="I194" s="13">
        <v>603.70000000000005</v>
      </c>
      <c r="J194" s="14">
        <f>IFERROR(ROUND(SUM(M195)/I194, 2),0)</f>
        <v>740.56</v>
      </c>
      <c r="K194" s="15">
        <v>324</v>
      </c>
      <c r="L194" s="14">
        <f>J194+ROUND(K194, 2)</f>
        <v>1064.56</v>
      </c>
      <c r="M194" s="14">
        <f>ROUND(J194*I194, 2)</f>
        <v>447076.07</v>
      </c>
      <c r="N194" s="14">
        <f>ROUND(I194*ROUND(K194, 2), 2)</f>
        <v>195598.8</v>
      </c>
      <c r="O194" s="14">
        <f>M194+N194</f>
        <v>642674.87</v>
      </c>
      <c r="P194" s="14">
        <f>IFERROR(ROUND(SUM(S195)/I194, 2),0)</f>
        <v>740.56</v>
      </c>
      <c r="Q194" s="16">
        <v>462.86</v>
      </c>
      <c r="R194" s="14">
        <f>P194+ROUND(Q194, 2)</f>
        <v>1203.42</v>
      </c>
      <c r="S194" s="14">
        <f>ROUND(P194*I194, 2)</f>
        <v>447076.07</v>
      </c>
      <c r="T194" s="14">
        <f>ROUND(I194*ROUND(Q194, 2), 2)</f>
        <v>279428.58</v>
      </c>
      <c r="U194" s="14">
        <f>S194+T194</f>
        <v>726504.65</v>
      </c>
      <c r="V194" s="9">
        <f>ROUND(P194 / 1.2, 2)</f>
        <v>617.13</v>
      </c>
      <c r="W194" s="9">
        <f>ROUND(Q194 / 1.2, 2)</f>
        <v>385.72</v>
      </c>
      <c r="X194" s="9">
        <f>ROUND(R194 / 1.2, 2)</f>
        <v>1002.85</v>
      </c>
      <c r="Y194" s="9">
        <f>ROUND(S194 / 1.2, 2)</f>
        <v>372563.39</v>
      </c>
      <c r="Z194" s="9">
        <f>ROUND(T194 / 1.2, 2)</f>
        <v>232857.15</v>
      </c>
      <c r="AA194" s="9">
        <f>Y194+Z194</f>
        <v>605420.54</v>
      </c>
      <c r="AD194" s="4">
        <v>311044336</v>
      </c>
      <c r="AE194" s="4">
        <v>22775411</v>
      </c>
      <c r="AG194" s="4" t="s">
        <v>764</v>
      </c>
      <c r="AH194" s="4" t="s">
        <v>765</v>
      </c>
      <c r="AI194" s="4" t="s">
        <v>469</v>
      </c>
    </row>
    <row r="195" spans="1:35" ht="18" x14ac:dyDescent="0.3">
      <c r="A195" s="10" t="s">
        <v>766</v>
      </c>
      <c r="B195" s="10"/>
      <c r="C195" s="17" t="s">
        <v>767</v>
      </c>
      <c r="D195" s="12"/>
      <c r="E195" s="12" t="s">
        <v>768</v>
      </c>
      <c r="F195" s="18" t="s">
        <v>99</v>
      </c>
      <c r="G195" s="19">
        <v>1.4</v>
      </c>
      <c r="H195" s="19"/>
      <c r="I195" s="19">
        <v>845.18</v>
      </c>
      <c r="J195" s="20">
        <v>528.97</v>
      </c>
      <c r="M195" s="21">
        <f>ROUND(ROUND(J195, 2)*I195, 2)</f>
        <v>447074.86</v>
      </c>
      <c r="P195" s="22">
        <v>528.97</v>
      </c>
      <c r="S195" s="21">
        <f>ROUND(ROUND(P195, 2)*I195, 2)</f>
        <v>447074.86</v>
      </c>
      <c r="V195" s="9">
        <f>ROUND(ROUND(P195, 2)/1.2, 2)</f>
        <v>440.81</v>
      </c>
      <c r="Y195" s="9">
        <f t="shared" ref="Y195:Y215" si="18">ROUND(S195 / 1.2, 2)</f>
        <v>372562.38</v>
      </c>
      <c r="AD195" s="4" t="s">
        <v>769</v>
      </c>
      <c r="AE195" s="4" t="s">
        <v>770</v>
      </c>
      <c r="AF195" s="4" t="s">
        <v>771</v>
      </c>
    </row>
    <row r="196" spans="1:35" ht="72" x14ac:dyDescent="0.3">
      <c r="A196" s="10" t="s">
        <v>772</v>
      </c>
      <c r="B196" s="10" t="s">
        <v>761</v>
      </c>
      <c r="C196" s="11" t="s">
        <v>762</v>
      </c>
      <c r="D196" s="12"/>
      <c r="E196" s="12" t="s">
        <v>773</v>
      </c>
      <c r="F196" s="12" t="s">
        <v>58</v>
      </c>
      <c r="G196" s="13">
        <v>1</v>
      </c>
      <c r="H196" s="13"/>
      <c r="I196" s="13">
        <v>1053.9000000000001</v>
      </c>
      <c r="J196" s="14">
        <f>IFERROR(ROUND(SUM(M197)/I196, 2),0)</f>
        <v>294.13</v>
      </c>
      <c r="K196" s="15">
        <v>324</v>
      </c>
      <c r="L196" s="14">
        <f>J196+ROUND(K196, 2)</f>
        <v>618.13</v>
      </c>
      <c r="M196" s="14">
        <f>ROUND(J196*I196, 2)</f>
        <v>309983.61</v>
      </c>
      <c r="N196" s="14">
        <f>ROUND(I196*ROUND(K196, 2), 2)</f>
        <v>341463.6</v>
      </c>
      <c r="O196" s="14">
        <f>M196+N196</f>
        <v>651447.21</v>
      </c>
      <c r="P196" s="14">
        <f>IFERROR(ROUND(SUM(S197)/I196, 2),0)</f>
        <v>294.13</v>
      </c>
      <c r="Q196" s="16">
        <v>462.86</v>
      </c>
      <c r="R196" s="14">
        <f>P196+ROUND(Q196, 2)</f>
        <v>756.99</v>
      </c>
      <c r="S196" s="14">
        <f>ROUND(P196*I196, 2)</f>
        <v>309983.61</v>
      </c>
      <c r="T196" s="14">
        <f>ROUND(I196*ROUND(Q196, 2), 2)</f>
        <v>487808.15</v>
      </c>
      <c r="U196" s="14">
        <f>S196+T196</f>
        <v>797791.76</v>
      </c>
      <c r="V196" s="9">
        <f>ROUND(P196 / 1.2, 2)</f>
        <v>245.11</v>
      </c>
      <c r="W196" s="9">
        <f>ROUND(Q196 / 1.2, 2)</f>
        <v>385.72</v>
      </c>
      <c r="X196" s="9">
        <f>ROUND(R196 / 1.2, 2)</f>
        <v>630.83000000000004</v>
      </c>
      <c r="Y196" s="9">
        <f t="shared" si="18"/>
        <v>258319.68</v>
      </c>
      <c r="Z196" s="9">
        <f>ROUND(T196 / 1.2, 2)</f>
        <v>406506.79</v>
      </c>
      <c r="AA196" s="9">
        <f>Y196+Z196</f>
        <v>664826.47</v>
      </c>
      <c r="AD196" s="4">
        <v>311044431</v>
      </c>
      <c r="AE196" s="4">
        <v>22775410</v>
      </c>
      <c r="AG196" s="4" t="s">
        <v>764</v>
      </c>
      <c r="AH196" s="4" t="s">
        <v>765</v>
      </c>
      <c r="AI196" s="4" t="s">
        <v>469</v>
      </c>
    </row>
    <row r="197" spans="1:35" ht="54" x14ac:dyDescent="0.3">
      <c r="A197" s="10" t="s">
        <v>774</v>
      </c>
      <c r="B197" s="10"/>
      <c r="C197" s="17" t="s">
        <v>775</v>
      </c>
      <c r="D197" s="12"/>
      <c r="E197" s="12"/>
      <c r="F197" s="18" t="s">
        <v>99</v>
      </c>
      <c r="G197" s="19">
        <v>1.1000000000000001</v>
      </c>
      <c r="H197" s="19"/>
      <c r="I197" s="19">
        <v>1159.29</v>
      </c>
      <c r="J197" s="20">
        <v>267.39</v>
      </c>
      <c r="M197" s="21">
        <f>ROUND(ROUND(J197, 2)*I197, 2)</f>
        <v>309982.55</v>
      </c>
      <c r="P197" s="22">
        <v>267.39</v>
      </c>
      <c r="S197" s="21">
        <f>ROUND(ROUND(P197, 2)*I197, 2)</f>
        <v>309982.55</v>
      </c>
      <c r="V197" s="9">
        <f>ROUND(ROUND(P197, 2)/1.2, 2)</f>
        <v>222.83</v>
      </c>
      <c r="Y197" s="9">
        <f t="shared" si="18"/>
        <v>258318.79</v>
      </c>
      <c r="AD197" s="4" t="s">
        <v>776</v>
      </c>
      <c r="AE197" s="4" t="s">
        <v>777</v>
      </c>
      <c r="AF197" s="4" t="s">
        <v>778</v>
      </c>
    </row>
    <row r="198" spans="1:35" ht="72" x14ac:dyDescent="0.3">
      <c r="A198" s="10" t="s">
        <v>779</v>
      </c>
      <c r="B198" s="10" t="s">
        <v>761</v>
      </c>
      <c r="C198" s="11" t="s">
        <v>762</v>
      </c>
      <c r="D198" s="12"/>
      <c r="E198" s="12" t="s">
        <v>780</v>
      </c>
      <c r="F198" s="12" t="s">
        <v>58</v>
      </c>
      <c r="G198" s="13">
        <v>1</v>
      </c>
      <c r="H198" s="13"/>
      <c r="I198" s="13">
        <v>1105.9000000000001</v>
      </c>
      <c r="J198" s="14">
        <f>IFERROR(ROUND(SUM(M199)/I198, 2),0)</f>
        <v>579.70000000000005</v>
      </c>
      <c r="K198" s="15">
        <v>324</v>
      </c>
      <c r="L198" s="14">
        <f>J198+ROUND(K198, 2)</f>
        <v>903.7</v>
      </c>
      <c r="M198" s="14">
        <f>ROUND(J198*I198, 2)</f>
        <v>641090.23</v>
      </c>
      <c r="N198" s="14">
        <f>ROUND(I198*ROUND(K198, 2), 2)</f>
        <v>358311.6</v>
      </c>
      <c r="O198" s="14">
        <f>M198+N198</f>
        <v>999401.83</v>
      </c>
      <c r="P198" s="14">
        <f>IFERROR(ROUND(SUM(S199)/I198, 2),0)</f>
        <v>579.70000000000005</v>
      </c>
      <c r="Q198" s="16">
        <v>462.86</v>
      </c>
      <c r="R198" s="14">
        <f>P198+ROUND(Q198, 2)</f>
        <v>1042.56</v>
      </c>
      <c r="S198" s="14">
        <f>ROUND(P198*I198, 2)</f>
        <v>641090.23</v>
      </c>
      <c r="T198" s="14">
        <f>ROUND(I198*ROUND(Q198, 2), 2)</f>
        <v>511876.87</v>
      </c>
      <c r="U198" s="14">
        <f>S198+T198</f>
        <v>1152967.1000000001</v>
      </c>
      <c r="V198" s="9">
        <f>ROUND(P198 / 1.2, 2)</f>
        <v>483.08</v>
      </c>
      <c r="W198" s="9">
        <f>ROUND(Q198 / 1.2, 2)</f>
        <v>385.72</v>
      </c>
      <c r="X198" s="9">
        <f>ROUND(R198 / 1.2, 2)</f>
        <v>868.8</v>
      </c>
      <c r="Y198" s="9">
        <f t="shared" si="18"/>
        <v>534241.86</v>
      </c>
      <c r="Z198" s="9">
        <f>ROUND(T198 / 1.2, 2)</f>
        <v>426564.06</v>
      </c>
      <c r="AA198" s="9">
        <f>Y198+Z198</f>
        <v>960805.91999999993</v>
      </c>
      <c r="AD198" s="4">
        <v>311044432</v>
      </c>
      <c r="AE198" s="4">
        <v>23304448</v>
      </c>
      <c r="AG198" s="4" t="s">
        <v>764</v>
      </c>
      <c r="AH198" s="4" t="s">
        <v>765</v>
      </c>
      <c r="AI198" s="4" t="s">
        <v>469</v>
      </c>
    </row>
    <row r="199" spans="1:35" ht="18" x14ac:dyDescent="0.3">
      <c r="A199" s="10" t="s">
        <v>781</v>
      </c>
      <c r="B199" s="10"/>
      <c r="C199" s="17" t="s">
        <v>782</v>
      </c>
      <c r="D199" s="12"/>
      <c r="E199" s="12" t="s">
        <v>783</v>
      </c>
      <c r="F199" s="18" t="s">
        <v>99</v>
      </c>
      <c r="G199" s="19">
        <v>2</v>
      </c>
      <c r="H199" s="19"/>
      <c r="I199" s="19">
        <v>2211.8000000000002</v>
      </c>
      <c r="J199" s="20">
        <v>289.85000000000002</v>
      </c>
      <c r="M199" s="21">
        <f>ROUND(ROUND(J199, 2)*I199, 2)</f>
        <v>641090.23</v>
      </c>
      <c r="P199" s="22">
        <v>289.85000000000002</v>
      </c>
      <c r="S199" s="21">
        <f>ROUND(ROUND(P199, 2)*I199, 2)</f>
        <v>641090.23</v>
      </c>
      <c r="V199" s="9">
        <f>ROUND(ROUND(P199, 2)/1.2, 2)</f>
        <v>241.54</v>
      </c>
      <c r="Y199" s="9">
        <f t="shared" si="18"/>
        <v>534241.86</v>
      </c>
      <c r="AD199" s="4" t="s">
        <v>784</v>
      </c>
      <c r="AE199" s="4" t="s">
        <v>785</v>
      </c>
      <c r="AF199" s="4" t="s">
        <v>786</v>
      </c>
    </row>
    <row r="200" spans="1:35" ht="108" x14ac:dyDescent="0.3">
      <c r="A200" s="10" t="s">
        <v>787</v>
      </c>
      <c r="B200" s="10" t="s">
        <v>788</v>
      </c>
      <c r="C200" s="11" t="s">
        <v>789</v>
      </c>
      <c r="D200" s="12"/>
      <c r="E200" s="12" t="s">
        <v>790</v>
      </c>
      <c r="F200" s="12" t="s">
        <v>58</v>
      </c>
      <c r="G200" s="13">
        <v>1</v>
      </c>
      <c r="H200" s="13"/>
      <c r="I200" s="13">
        <v>7817.8</v>
      </c>
      <c r="J200" s="14">
        <f>IFERROR(ROUND(SUM(M201)/I200, 2),0)</f>
        <v>316.60000000000002</v>
      </c>
      <c r="K200" s="15">
        <v>580</v>
      </c>
      <c r="L200" s="14">
        <f>J200+ROUND(K200, 2)</f>
        <v>896.6</v>
      </c>
      <c r="M200" s="14">
        <f>ROUND(J200*I200, 2)</f>
        <v>2475115.48</v>
      </c>
      <c r="N200" s="14">
        <f>ROUND(I200*ROUND(K200, 2), 2)</f>
        <v>4534324</v>
      </c>
      <c r="O200" s="14">
        <f>M200+N200</f>
        <v>7009439.4800000004</v>
      </c>
      <c r="P200" s="14">
        <f>IFERROR(ROUND(SUM(S201)/I200, 2),0)</f>
        <v>316.60000000000002</v>
      </c>
      <c r="Q200" s="16">
        <v>828.57</v>
      </c>
      <c r="R200" s="14">
        <f>P200+ROUND(Q200, 2)</f>
        <v>1145.17</v>
      </c>
      <c r="S200" s="14">
        <f>ROUND(P200*I200, 2)</f>
        <v>2475115.48</v>
      </c>
      <c r="T200" s="14">
        <f>ROUND(I200*ROUND(Q200, 2), 2)</f>
        <v>6477594.5499999998</v>
      </c>
      <c r="U200" s="14">
        <f>S200+T200</f>
        <v>8952710.0299999993</v>
      </c>
      <c r="V200" s="9">
        <f>ROUND(P200 / 1.2, 2)</f>
        <v>263.83</v>
      </c>
      <c r="W200" s="9">
        <f>ROUND(Q200 / 1.2, 2)</f>
        <v>690.48</v>
      </c>
      <c r="X200" s="9">
        <f>ROUND(R200 / 1.2, 2)</f>
        <v>954.31</v>
      </c>
      <c r="Y200" s="9">
        <f t="shared" si="18"/>
        <v>2062596.23</v>
      </c>
      <c r="Z200" s="9">
        <f>ROUND(T200 / 1.2, 2)</f>
        <v>5397995.46</v>
      </c>
      <c r="AA200" s="9">
        <f>Y200+Z200</f>
        <v>7460591.6899999995</v>
      </c>
      <c r="AD200" s="4">
        <v>311044338</v>
      </c>
      <c r="AE200" s="4">
        <v>22776848</v>
      </c>
      <c r="AG200" s="4" t="s">
        <v>791</v>
      </c>
      <c r="AH200" s="4" t="s">
        <v>792</v>
      </c>
      <c r="AI200" s="4" t="s">
        <v>469</v>
      </c>
    </row>
    <row r="201" spans="1:35" ht="36" x14ac:dyDescent="0.3">
      <c r="A201" s="10" t="s">
        <v>793</v>
      </c>
      <c r="B201" s="10"/>
      <c r="C201" s="23" t="s">
        <v>794</v>
      </c>
      <c r="D201" s="12"/>
      <c r="E201" s="12"/>
      <c r="F201" s="18" t="s">
        <v>58</v>
      </c>
      <c r="G201" s="19">
        <v>1.1000000000000001</v>
      </c>
      <c r="H201" s="24"/>
      <c r="I201" s="24">
        <v>8599.58</v>
      </c>
      <c r="J201" s="20">
        <v>287.82</v>
      </c>
      <c r="M201" s="21">
        <f>ROUND(ROUND(J201, 2)*I201, 2)</f>
        <v>2475131.12</v>
      </c>
      <c r="P201" s="22">
        <v>287.82</v>
      </c>
      <c r="S201" s="21">
        <f>ROUND(ROUND(P201, 2)*I201, 2)</f>
        <v>2475131.12</v>
      </c>
      <c r="V201" s="9">
        <f>ROUND(ROUND(P201, 2)/1.2, 2)</f>
        <v>239.85</v>
      </c>
      <c r="Y201" s="9">
        <f t="shared" si="18"/>
        <v>2062609.27</v>
      </c>
      <c r="AD201" s="4" t="s">
        <v>795</v>
      </c>
      <c r="AE201" s="4" t="s">
        <v>796</v>
      </c>
      <c r="AF201" s="4" t="s">
        <v>797</v>
      </c>
    </row>
    <row r="202" spans="1:35" ht="90" x14ac:dyDescent="0.3">
      <c r="A202" s="10" t="s">
        <v>798</v>
      </c>
      <c r="B202" s="10" t="s">
        <v>799</v>
      </c>
      <c r="C202" s="11" t="s">
        <v>800</v>
      </c>
      <c r="D202" s="12"/>
      <c r="E202" s="12" t="s">
        <v>801</v>
      </c>
      <c r="F202" s="12" t="s">
        <v>58</v>
      </c>
      <c r="G202" s="13">
        <v>1</v>
      </c>
      <c r="H202" s="13"/>
      <c r="I202" s="13">
        <v>4448.6000000000004</v>
      </c>
      <c r="J202" s="14">
        <f>IFERROR(ROUND(SUM(M203)/I202, 2),0)</f>
        <v>223.66</v>
      </c>
      <c r="K202" s="15">
        <v>439</v>
      </c>
      <c r="L202" s="14">
        <f>J202+ROUND(K202, 2)</f>
        <v>662.66</v>
      </c>
      <c r="M202" s="14">
        <f>ROUND(J202*I202, 2)</f>
        <v>994973.88</v>
      </c>
      <c r="N202" s="14">
        <f>ROUND(I202*ROUND(K202, 2), 2)</f>
        <v>1952935.4</v>
      </c>
      <c r="O202" s="14">
        <f>M202+N202</f>
        <v>2947909.28</v>
      </c>
      <c r="P202" s="14">
        <f>IFERROR(ROUND(SUM(S203)/I202, 2),0)</f>
        <v>247.78</v>
      </c>
      <c r="Q202" s="16">
        <v>627.14</v>
      </c>
      <c r="R202" s="14">
        <f>P202+ROUND(Q202, 2)</f>
        <v>874.92</v>
      </c>
      <c r="S202" s="14">
        <f>ROUND(P202*I202, 2)</f>
        <v>1102274.1100000001</v>
      </c>
      <c r="T202" s="14">
        <f>ROUND(I202*ROUND(Q202, 2), 2)</f>
        <v>2789895</v>
      </c>
      <c r="U202" s="14">
        <f>S202+T202</f>
        <v>3892169.1100000003</v>
      </c>
      <c r="V202" s="9">
        <f>ROUND(P202 / 1.2, 2)</f>
        <v>206.48</v>
      </c>
      <c r="W202" s="9">
        <f>ROUND(Q202 / 1.2, 2)</f>
        <v>522.62</v>
      </c>
      <c r="X202" s="9">
        <f>ROUND(R202 / 1.2, 2)</f>
        <v>729.1</v>
      </c>
      <c r="Y202" s="9">
        <f t="shared" si="18"/>
        <v>918561.76</v>
      </c>
      <c r="Z202" s="9">
        <f>ROUND(T202 / 1.2, 2)</f>
        <v>2324912.5</v>
      </c>
      <c r="AA202" s="9">
        <f>Y202+Z202</f>
        <v>3243474.26</v>
      </c>
      <c r="AD202" s="4">
        <v>311044340</v>
      </c>
      <c r="AE202" s="4">
        <v>22776849</v>
      </c>
      <c r="AG202" s="4" t="s">
        <v>802</v>
      </c>
      <c r="AH202" s="4" t="s">
        <v>803</v>
      </c>
      <c r="AI202" s="4" t="s">
        <v>469</v>
      </c>
    </row>
    <row r="203" spans="1:35" ht="36" x14ac:dyDescent="0.3">
      <c r="A203" s="10" t="s">
        <v>804</v>
      </c>
      <c r="B203" s="10"/>
      <c r="C203" s="23" t="s">
        <v>805</v>
      </c>
      <c r="D203" s="12"/>
      <c r="E203" s="12" t="s">
        <v>806</v>
      </c>
      <c r="F203" s="18" t="s">
        <v>82</v>
      </c>
      <c r="G203" s="19">
        <v>1.03</v>
      </c>
      <c r="H203" s="24"/>
      <c r="I203" s="24">
        <v>137.46199999999999</v>
      </c>
      <c r="J203" s="20">
        <v>7238.3</v>
      </c>
      <c r="M203" s="21">
        <f>ROUND(ROUND(J203, 2)*I203, 2)</f>
        <v>994991.19</v>
      </c>
      <c r="P203" s="22">
        <v>8018.9</v>
      </c>
      <c r="S203" s="21">
        <f>ROUND(ROUND(P203, 2)*I203, 2)</f>
        <v>1102294.03</v>
      </c>
      <c r="V203" s="9">
        <f>ROUND(ROUND(P203, 2)/1.2, 2)</f>
        <v>6682.42</v>
      </c>
      <c r="Y203" s="9">
        <f t="shared" si="18"/>
        <v>918578.36</v>
      </c>
      <c r="AD203" s="4" t="s">
        <v>807</v>
      </c>
      <c r="AE203" s="4" t="s">
        <v>808</v>
      </c>
      <c r="AF203" s="4" t="s">
        <v>809</v>
      </c>
    </row>
    <row r="204" spans="1:35" ht="90" x14ac:dyDescent="0.3">
      <c r="A204" s="10" t="s">
        <v>810</v>
      </c>
      <c r="B204" s="10" t="s">
        <v>799</v>
      </c>
      <c r="C204" s="11" t="s">
        <v>800</v>
      </c>
      <c r="D204" s="12"/>
      <c r="E204" s="12" t="s">
        <v>811</v>
      </c>
      <c r="F204" s="12" t="s">
        <v>58</v>
      </c>
      <c r="G204" s="13">
        <v>1</v>
      </c>
      <c r="H204" s="13"/>
      <c r="I204" s="13">
        <v>45.6</v>
      </c>
      <c r="J204" s="14">
        <f>IFERROR(ROUND(SUM(M205)/I204, 2),0)</f>
        <v>372.71</v>
      </c>
      <c r="K204" s="15">
        <v>439</v>
      </c>
      <c r="L204" s="14">
        <f>J204+ROUND(K204, 2)</f>
        <v>811.71</v>
      </c>
      <c r="M204" s="14">
        <f>ROUND(J204*I204, 2)</f>
        <v>16995.580000000002</v>
      </c>
      <c r="N204" s="14">
        <f>ROUND(I204*ROUND(K204, 2), 2)</f>
        <v>20018.400000000001</v>
      </c>
      <c r="O204" s="14">
        <f>M204+N204</f>
        <v>37013.980000000003</v>
      </c>
      <c r="P204" s="14">
        <f>IFERROR(ROUND(SUM(S205)/I204, 2),0)</f>
        <v>539.15</v>
      </c>
      <c r="Q204" s="16">
        <v>627.14</v>
      </c>
      <c r="R204" s="14">
        <f>P204+ROUND(Q204, 2)</f>
        <v>1166.29</v>
      </c>
      <c r="S204" s="14">
        <f>ROUND(P204*I204, 2)</f>
        <v>24585.24</v>
      </c>
      <c r="T204" s="14">
        <f>ROUND(I204*ROUND(Q204, 2), 2)</f>
        <v>28597.58</v>
      </c>
      <c r="U204" s="14">
        <f>S204+T204</f>
        <v>53182.820000000007</v>
      </c>
      <c r="V204" s="9">
        <f>ROUND(P204 / 1.2, 2)</f>
        <v>449.29</v>
      </c>
      <c r="W204" s="9">
        <f>ROUND(Q204 / 1.2, 2)</f>
        <v>522.62</v>
      </c>
      <c r="X204" s="9">
        <f>ROUND(R204 / 1.2, 2)</f>
        <v>971.91</v>
      </c>
      <c r="Y204" s="9">
        <f t="shared" si="18"/>
        <v>20487.7</v>
      </c>
      <c r="Z204" s="9">
        <f>ROUND(T204 / 1.2, 2)</f>
        <v>23831.32</v>
      </c>
      <c r="AA204" s="9">
        <f>Y204+Z204</f>
        <v>44319.020000000004</v>
      </c>
      <c r="AD204" s="4">
        <v>311044433</v>
      </c>
      <c r="AE204" s="4">
        <v>22776847</v>
      </c>
      <c r="AG204" s="4" t="s">
        <v>802</v>
      </c>
      <c r="AH204" s="4" t="s">
        <v>803</v>
      </c>
      <c r="AI204" s="4" t="s">
        <v>469</v>
      </c>
    </row>
    <row r="205" spans="1:35" ht="36" x14ac:dyDescent="0.3">
      <c r="A205" s="10" t="s">
        <v>812</v>
      </c>
      <c r="B205" s="10"/>
      <c r="C205" s="23" t="s">
        <v>805</v>
      </c>
      <c r="D205" s="12"/>
      <c r="E205" s="12" t="s">
        <v>813</v>
      </c>
      <c r="F205" s="18" t="s">
        <v>82</v>
      </c>
      <c r="G205" s="19">
        <v>1.03</v>
      </c>
      <c r="H205" s="24"/>
      <c r="I205" s="24">
        <v>2.3479999999999999</v>
      </c>
      <c r="J205" s="20">
        <v>7238.3</v>
      </c>
      <c r="M205" s="21">
        <f>ROUND(ROUND(J205, 2)*I205, 2)</f>
        <v>16995.53</v>
      </c>
      <c r="P205" s="22">
        <v>10470.719999999999</v>
      </c>
      <c r="S205" s="21">
        <f>ROUND(ROUND(P205, 2)*I205, 2)</f>
        <v>24585.25</v>
      </c>
      <c r="V205" s="9">
        <f>ROUND(ROUND(P205, 2)/1.2, 2)</f>
        <v>8725.6</v>
      </c>
      <c r="Y205" s="9">
        <f t="shared" si="18"/>
        <v>20487.71</v>
      </c>
      <c r="AD205" s="4" t="s">
        <v>814</v>
      </c>
      <c r="AE205" s="4" t="s">
        <v>815</v>
      </c>
      <c r="AF205" s="4" t="s">
        <v>809</v>
      </c>
    </row>
    <row r="206" spans="1:35" ht="72" x14ac:dyDescent="0.3">
      <c r="A206" s="10" t="s">
        <v>816</v>
      </c>
      <c r="B206" s="10" t="s">
        <v>817</v>
      </c>
      <c r="C206" s="11" t="s">
        <v>818</v>
      </c>
      <c r="D206" s="12"/>
      <c r="E206" s="12" t="s">
        <v>819</v>
      </c>
      <c r="F206" s="12" t="s">
        <v>82</v>
      </c>
      <c r="G206" s="13">
        <v>1</v>
      </c>
      <c r="H206" s="13"/>
      <c r="I206" s="13">
        <v>52.713000000000001</v>
      </c>
      <c r="J206" s="14">
        <f>IFERROR(ROUND(SUM(M207)/I206, 2),0)</f>
        <v>2644.34</v>
      </c>
      <c r="K206" s="15">
        <v>2157</v>
      </c>
      <c r="L206" s="14">
        <f>J206+ROUND(K206, 2)</f>
        <v>4801.34</v>
      </c>
      <c r="M206" s="14">
        <f>ROUND(J206*I206, 2)</f>
        <v>139391.09</v>
      </c>
      <c r="N206" s="14">
        <f>ROUND(I206*ROUND(K206, 2), 2)</f>
        <v>113701.94</v>
      </c>
      <c r="O206" s="14">
        <f>M206+N206</f>
        <v>253093.03</v>
      </c>
      <c r="P206" s="14">
        <f>IFERROR(ROUND(SUM(S207)/I206, 2),0)</f>
        <v>2644.34</v>
      </c>
      <c r="Q206" s="16">
        <v>3081.43</v>
      </c>
      <c r="R206" s="14">
        <f>P206+ROUND(Q206, 2)</f>
        <v>5725.77</v>
      </c>
      <c r="S206" s="14">
        <f>ROUND(P206*I206, 2)</f>
        <v>139391.09</v>
      </c>
      <c r="T206" s="14">
        <f>ROUND(I206*ROUND(Q206, 2), 2)</f>
        <v>162431.42000000001</v>
      </c>
      <c r="U206" s="14">
        <f>S206+T206</f>
        <v>301822.51</v>
      </c>
      <c r="V206" s="9">
        <f>ROUND(P206 / 1.2, 2)</f>
        <v>2203.62</v>
      </c>
      <c r="W206" s="9">
        <f>ROUND(Q206 / 1.2, 2)</f>
        <v>2567.86</v>
      </c>
      <c r="X206" s="9">
        <f>ROUND(R206 / 1.2, 2)</f>
        <v>4771.4799999999996</v>
      </c>
      <c r="Y206" s="9">
        <f t="shared" si="18"/>
        <v>116159.24</v>
      </c>
      <c r="Z206" s="9">
        <f>ROUND(T206 / 1.2, 2)</f>
        <v>135359.51999999999</v>
      </c>
      <c r="AA206" s="9">
        <f>Y206+Z206</f>
        <v>251518.76</v>
      </c>
      <c r="AD206" s="4">
        <v>311044342</v>
      </c>
      <c r="AE206" s="4">
        <v>22776850</v>
      </c>
      <c r="AG206" s="4" t="s">
        <v>820</v>
      </c>
      <c r="AH206" s="4" t="s">
        <v>821</v>
      </c>
      <c r="AI206" s="4" t="s">
        <v>469</v>
      </c>
    </row>
    <row r="207" spans="1:35" ht="18" x14ac:dyDescent="0.3">
      <c r="A207" s="10" t="s">
        <v>822</v>
      </c>
      <c r="B207" s="10"/>
      <c r="C207" s="17" t="s">
        <v>823</v>
      </c>
      <c r="D207" s="12"/>
      <c r="E207" s="12"/>
      <c r="F207" s="18" t="s">
        <v>82</v>
      </c>
      <c r="G207" s="19">
        <v>1.02</v>
      </c>
      <c r="H207" s="19"/>
      <c r="I207" s="19">
        <v>53.767000000000003</v>
      </c>
      <c r="J207" s="20">
        <v>2592.5</v>
      </c>
      <c r="M207" s="21">
        <f>ROUND(ROUND(J207, 2)*I207, 2)</f>
        <v>139390.95000000001</v>
      </c>
      <c r="P207" s="22">
        <v>2592.5</v>
      </c>
      <c r="S207" s="21">
        <f>ROUND(ROUND(P207, 2)*I207, 2)</f>
        <v>139390.95000000001</v>
      </c>
      <c r="V207" s="9">
        <f>ROUND(ROUND(P207, 2)/1.2, 2)</f>
        <v>2160.42</v>
      </c>
      <c r="Y207" s="9">
        <f t="shared" si="18"/>
        <v>116159.13</v>
      </c>
      <c r="AD207" s="4" t="s">
        <v>824</v>
      </c>
      <c r="AE207" s="4" t="s">
        <v>825</v>
      </c>
      <c r="AF207" s="4" t="s">
        <v>826</v>
      </c>
    </row>
    <row r="208" spans="1:35" ht="54" x14ac:dyDescent="0.3">
      <c r="A208" s="10" t="s">
        <v>827</v>
      </c>
      <c r="B208" s="10" t="s">
        <v>817</v>
      </c>
      <c r="C208" s="11" t="s">
        <v>818</v>
      </c>
      <c r="D208" s="12"/>
      <c r="E208" s="12" t="s">
        <v>828</v>
      </c>
      <c r="F208" s="12" t="s">
        <v>82</v>
      </c>
      <c r="G208" s="13">
        <v>1</v>
      </c>
      <c r="H208" s="13"/>
      <c r="I208" s="13">
        <v>1.502</v>
      </c>
      <c r="J208" s="14">
        <f>IFERROR(ROUND(SUM(M209)/I208, 2),0)</f>
        <v>2644.28</v>
      </c>
      <c r="K208" s="15">
        <v>2157</v>
      </c>
      <c r="L208" s="14">
        <f>J208+ROUND(K208, 2)</f>
        <v>4801.2800000000007</v>
      </c>
      <c r="M208" s="14">
        <f>ROUND(J208*I208, 2)</f>
        <v>3971.71</v>
      </c>
      <c r="N208" s="14">
        <f>ROUND(I208*ROUND(K208, 2), 2)</f>
        <v>3239.81</v>
      </c>
      <c r="O208" s="14">
        <f>M208+N208</f>
        <v>7211.52</v>
      </c>
      <c r="P208" s="14">
        <f>IFERROR(ROUND(SUM(S209)/I208, 2),0)</f>
        <v>2644.28</v>
      </c>
      <c r="Q208" s="16">
        <v>3081.43</v>
      </c>
      <c r="R208" s="14">
        <f>P208+ROUND(Q208, 2)</f>
        <v>5725.71</v>
      </c>
      <c r="S208" s="14">
        <f>ROUND(P208*I208, 2)</f>
        <v>3971.71</v>
      </c>
      <c r="T208" s="14">
        <f>ROUND(I208*ROUND(Q208, 2), 2)</f>
        <v>4628.3100000000004</v>
      </c>
      <c r="U208" s="14">
        <f>S208+T208</f>
        <v>8600.02</v>
      </c>
      <c r="V208" s="9">
        <f>ROUND(P208 / 1.2, 2)</f>
        <v>2203.5700000000002</v>
      </c>
      <c r="W208" s="9">
        <f>ROUND(Q208 / 1.2, 2)</f>
        <v>2567.86</v>
      </c>
      <c r="X208" s="9">
        <f>ROUND(R208 / 1.2, 2)</f>
        <v>4771.43</v>
      </c>
      <c r="Y208" s="9">
        <f t="shared" si="18"/>
        <v>3309.76</v>
      </c>
      <c r="Z208" s="9">
        <f>ROUND(T208 / 1.2, 2)</f>
        <v>3856.93</v>
      </c>
      <c r="AA208" s="9">
        <f>Y208+Z208</f>
        <v>7166.6900000000005</v>
      </c>
      <c r="AD208" s="4">
        <v>311044434</v>
      </c>
      <c r="AE208" s="4">
        <v>22779789</v>
      </c>
      <c r="AG208" s="4" t="s">
        <v>820</v>
      </c>
      <c r="AH208" s="4" t="s">
        <v>821</v>
      </c>
      <c r="AI208" s="4" t="s">
        <v>469</v>
      </c>
    </row>
    <row r="209" spans="1:35" ht="18" x14ac:dyDescent="0.3">
      <c r="A209" s="10" t="s">
        <v>829</v>
      </c>
      <c r="B209" s="10"/>
      <c r="C209" s="17" t="s">
        <v>823</v>
      </c>
      <c r="D209" s="12"/>
      <c r="E209" s="12"/>
      <c r="F209" s="18" t="s">
        <v>82</v>
      </c>
      <c r="G209" s="19">
        <v>1.02</v>
      </c>
      <c r="H209" s="19"/>
      <c r="I209" s="19">
        <v>1.532</v>
      </c>
      <c r="J209" s="20">
        <v>2592.5</v>
      </c>
      <c r="M209" s="21">
        <f>ROUND(ROUND(J209, 2)*I209, 2)</f>
        <v>3971.71</v>
      </c>
      <c r="P209" s="22">
        <v>2592.5</v>
      </c>
      <c r="S209" s="21">
        <f>ROUND(ROUND(P209, 2)*I209, 2)</f>
        <v>3971.71</v>
      </c>
      <c r="V209" s="9">
        <f>ROUND(ROUND(P209, 2)/1.2, 2)</f>
        <v>2160.42</v>
      </c>
      <c r="Y209" s="9">
        <f t="shared" si="18"/>
        <v>3309.76</v>
      </c>
      <c r="AD209" s="4" t="s">
        <v>830</v>
      </c>
      <c r="AE209" s="4" t="s">
        <v>831</v>
      </c>
      <c r="AF209" s="4" t="s">
        <v>826</v>
      </c>
    </row>
    <row r="210" spans="1:35" ht="54" x14ac:dyDescent="0.3">
      <c r="A210" s="10" t="s">
        <v>832</v>
      </c>
      <c r="B210" s="10" t="s">
        <v>817</v>
      </c>
      <c r="C210" s="11" t="s">
        <v>818</v>
      </c>
      <c r="D210" s="12"/>
      <c r="E210" s="12" t="s">
        <v>833</v>
      </c>
      <c r="F210" s="12" t="s">
        <v>82</v>
      </c>
      <c r="G210" s="13">
        <v>1</v>
      </c>
      <c r="H210" s="13"/>
      <c r="I210" s="13">
        <v>1.921</v>
      </c>
      <c r="J210" s="14">
        <f>IFERROR(ROUND(SUM(M211)/I210, 2),0)</f>
        <v>2643.78</v>
      </c>
      <c r="K210" s="15">
        <v>2157</v>
      </c>
      <c r="L210" s="14">
        <f>J210+ROUND(K210, 2)</f>
        <v>4800.7800000000007</v>
      </c>
      <c r="M210" s="14">
        <f>ROUND(J210*I210, 2)</f>
        <v>5078.7</v>
      </c>
      <c r="N210" s="14">
        <f>ROUND(I210*ROUND(K210, 2), 2)</f>
        <v>4143.6000000000004</v>
      </c>
      <c r="O210" s="14">
        <f>M210+N210</f>
        <v>9222.2999999999993</v>
      </c>
      <c r="P210" s="14">
        <f>IFERROR(ROUND(SUM(S211)/I210, 2),0)</f>
        <v>2643.78</v>
      </c>
      <c r="Q210" s="16">
        <v>3081.43</v>
      </c>
      <c r="R210" s="14">
        <f>P210+ROUND(Q210, 2)</f>
        <v>5725.21</v>
      </c>
      <c r="S210" s="14">
        <f>ROUND(P210*I210, 2)</f>
        <v>5078.7</v>
      </c>
      <c r="T210" s="14">
        <f>ROUND(I210*ROUND(Q210, 2), 2)</f>
        <v>5919.43</v>
      </c>
      <c r="U210" s="14">
        <f>S210+T210</f>
        <v>10998.130000000001</v>
      </c>
      <c r="V210" s="9">
        <f>ROUND(P210 / 1.2, 2)</f>
        <v>2203.15</v>
      </c>
      <c r="W210" s="9">
        <f>ROUND(Q210 / 1.2, 2)</f>
        <v>2567.86</v>
      </c>
      <c r="X210" s="9">
        <f>ROUND(R210 / 1.2, 2)</f>
        <v>4771.01</v>
      </c>
      <c r="Y210" s="9">
        <f t="shared" si="18"/>
        <v>4232.25</v>
      </c>
      <c r="Z210" s="9">
        <f>ROUND(T210 / 1.2, 2)</f>
        <v>4932.8599999999997</v>
      </c>
      <c r="AA210" s="9">
        <f>Y210+Z210</f>
        <v>9165.11</v>
      </c>
      <c r="AD210" s="4">
        <v>311044435</v>
      </c>
      <c r="AE210" s="4">
        <v>22779788</v>
      </c>
      <c r="AG210" s="4" t="s">
        <v>820</v>
      </c>
      <c r="AH210" s="4" t="s">
        <v>821</v>
      </c>
      <c r="AI210" s="4" t="s">
        <v>469</v>
      </c>
    </row>
    <row r="211" spans="1:35" ht="18" x14ac:dyDescent="0.3">
      <c r="A211" s="10" t="s">
        <v>834</v>
      </c>
      <c r="B211" s="10"/>
      <c r="C211" s="17" t="s">
        <v>823</v>
      </c>
      <c r="D211" s="12"/>
      <c r="E211" s="12"/>
      <c r="F211" s="18" t="s">
        <v>82</v>
      </c>
      <c r="G211" s="19">
        <v>1.02</v>
      </c>
      <c r="H211" s="19"/>
      <c r="I211" s="19">
        <v>1.9590000000000001</v>
      </c>
      <c r="J211" s="20">
        <v>2592.5</v>
      </c>
      <c r="M211" s="21">
        <f>ROUND(ROUND(J211, 2)*I211, 2)</f>
        <v>5078.71</v>
      </c>
      <c r="P211" s="22">
        <v>2592.5</v>
      </c>
      <c r="S211" s="21">
        <f>ROUND(ROUND(P211, 2)*I211, 2)</f>
        <v>5078.71</v>
      </c>
      <c r="V211" s="9">
        <f>ROUND(ROUND(P211, 2)/1.2, 2)</f>
        <v>2160.42</v>
      </c>
      <c r="Y211" s="9">
        <f t="shared" si="18"/>
        <v>4232.26</v>
      </c>
      <c r="AD211" s="4" t="s">
        <v>835</v>
      </c>
      <c r="AE211" s="4" t="s">
        <v>836</v>
      </c>
      <c r="AF211" s="4" t="s">
        <v>826</v>
      </c>
    </row>
    <row r="212" spans="1:35" ht="54" x14ac:dyDescent="0.3">
      <c r="A212" s="10" t="s">
        <v>837</v>
      </c>
      <c r="B212" s="10" t="s">
        <v>817</v>
      </c>
      <c r="C212" s="11" t="s">
        <v>818</v>
      </c>
      <c r="D212" s="12"/>
      <c r="E212" s="12" t="s">
        <v>838</v>
      </c>
      <c r="F212" s="12" t="s">
        <v>82</v>
      </c>
      <c r="G212" s="13">
        <v>1</v>
      </c>
      <c r="H212" s="13"/>
      <c r="I212" s="13">
        <v>2.423</v>
      </c>
      <c r="J212" s="14">
        <f>IFERROR(ROUND(SUM(M213)/I212, 2),0)</f>
        <v>2643.86</v>
      </c>
      <c r="K212" s="15">
        <v>2157</v>
      </c>
      <c r="L212" s="14">
        <f>J212+ROUND(K212, 2)</f>
        <v>4800.8600000000006</v>
      </c>
      <c r="M212" s="14">
        <f>ROUND(J212*I212, 2)</f>
        <v>6406.07</v>
      </c>
      <c r="N212" s="14">
        <f>ROUND(I212*ROUND(K212, 2), 2)</f>
        <v>5226.41</v>
      </c>
      <c r="O212" s="14">
        <f>M212+N212</f>
        <v>11632.48</v>
      </c>
      <c r="P212" s="14">
        <f>IFERROR(ROUND(SUM(S213)/I212, 2),0)</f>
        <v>2643.86</v>
      </c>
      <c r="Q212" s="16">
        <v>3081.43</v>
      </c>
      <c r="R212" s="14">
        <f>P212+ROUND(Q212, 2)</f>
        <v>5725.29</v>
      </c>
      <c r="S212" s="14">
        <f>ROUND(P212*I212, 2)</f>
        <v>6406.07</v>
      </c>
      <c r="T212" s="14">
        <f>ROUND(I212*ROUND(Q212, 2), 2)</f>
        <v>7466.3</v>
      </c>
      <c r="U212" s="14">
        <f>S212+T212</f>
        <v>13872.369999999999</v>
      </c>
      <c r="V212" s="9">
        <f>ROUND(P212 / 1.2, 2)</f>
        <v>2203.2199999999998</v>
      </c>
      <c r="W212" s="9">
        <f>ROUND(Q212 / 1.2, 2)</f>
        <v>2567.86</v>
      </c>
      <c r="X212" s="9">
        <f>ROUND(R212 / 1.2, 2)</f>
        <v>4771.08</v>
      </c>
      <c r="Y212" s="9">
        <f t="shared" si="18"/>
        <v>5338.39</v>
      </c>
      <c r="Z212" s="9">
        <f>ROUND(T212 / 1.2, 2)</f>
        <v>6221.92</v>
      </c>
      <c r="AA212" s="9">
        <f>Y212+Z212</f>
        <v>11560.310000000001</v>
      </c>
      <c r="AD212" s="4">
        <v>311044436</v>
      </c>
      <c r="AE212" s="4">
        <v>22779787</v>
      </c>
      <c r="AG212" s="4" t="s">
        <v>820</v>
      </c>
      <c r="AH212" s="4" t="s">
        <v>821</v>
      </c>
      <c r="AI212" s="4" t="s">
        <v>469</v>
      </c>
    </row>
    <row r="213" spans="1:35" ht="18" x14ac:dyDescent="0.3">
      <c r="A213" s="10" t="s">
        <v>839</v>
      </c>
      <c r="B213" s="10"/>
      <c r="C213" s="17" t="s">
        <v>823</v>
      </c>
      <c r="D213" s="12"/>
      <c r="E213" s="12"/>
      <c r="F213" s="18" t="s">
        <v>82</v>
      </c>
      <c r="G213" s="19">
        <v>1.02</v>
      </c>
      <c r="H213" s="19"/>
      <c r="I213" s="19">
        <v>2.4710000000000001</v>
      </c>
      <c r="J213" s="20">
        <v>2592.5</v>
      </c>
      <c r="M213" s="21">
        <f>ROUND(ROUND(J213, 2)*I213, 2)</f>
        <v>6406.07</v>
      </c>
      <c r="P213" s="22">
        <v>2592.5</v>
      </c>
      <c r="S213" s="21">
        <f>ROUND(ROUND(P213, 2)*I213, 2)</f>
        <v>6406.07</v>
      </c>
      <c r="V213" s="9">
        <f>ROUND(ROUND(P213, 2)/1.2, 2)</f>
        <v>2160.42</v>
      </c>
      <c r="Y213" s="9">
        <f t="shared" si="18"/>
        <v>5338.39</v>
      </c>
      <c r="AD213" s="4" t="s">
        <v>840</v>
      </c>
      <c r="AE213" s="4" t="s">
        <v>841</v>
      </c>
      <c r="AF213" s="4" t="s">
        <v>826</v>
      </c>
    </row>
    <row r="214" spans="1:35" ht="36" x14ac:dyDescent="0.3">
      <c r="A214" s="10" t="s">
        <v>842</v>
      </c>
      <c r="B214" s="10" t="s">
        <v>843</v>
      </c>
      <c r="C214" s="11" t="s">
        <v>844</v>
      </c>
      <c r="D214" s="12"/>
      <c r="E214" s="12" t="s">
        <v>845</v>
      </c>
      <c r="F214" s="12" t="s">
        <v>82</v>
      </c>
      <c r="G214" s="13">
        <v>1</v>
      </c>
      <c r="H214" s="13"/>
      <c r="I214" s="13">
        <v>58.56</v>
      </c>
      <c r="J214" s="14">
        <f>IFERROR(ROUND(SUM(M215)/I214, 2),0)</f>
        <v>1716.75</v>
      </c>
      <c r="K214" s="15">
        <v>915</v>
      </c>
      <c r="L214" s="14">
        <f>J214+ROUND(K214, 2)</f>
        <v>2631.75</v>
      </c>
      <c r="M214" s="14">
        <f>ROUND(J214*I214, 2)</f>
        <v>100532.88</v>
      </c>
      <c r="N214" s="14">
        <f>ROUND(I214*ROUND(K214, 2), 2)</f>
        <v>53582.400000000001</v>
      </c>
      <c r="O214" s="14">
        <f>M214+N214</f>
        <v>154115.28</v>
      </c>
      <c r="P214" s="14">
        <f>IFERROR(ROUND(SUM(S215)/I214, 2),0)</f>
        <v>1716.75</v>
      </c>
      <c r="Q214" s="16">
        <v>1307.1400000000001</v>
      </c>
      <c r="R214" s="14">
        <f>P214+ROUND(Q214, 2)</f>
        <v>3023.8900000000003</v>
      </c>
      <c r="S214" s="14">
        <f>ROUND(P214*I214, 2)</f>
        <v>100532.88</v>
      </c>
      <c r="T214" s="14">
        <f>ROUND(I214*ROUND(Q214, 2), 2)</f>
        <v>76546.12</v>
      </c>
      <c r="U214" s="14">
        <f>S214+T214</f>
        <v>177079</v>
      </c>
      <c r="V214" s="9">
        <f>ROUND(P214 / 1.2, 2)</f>
        <v>1430.63</v>
      </c>
      <c r="W214" s="9">
        <f>ROUND(Q214 / 1.2, 2)</f>
        <v>1089.28</v>
      </c>
      <c r="X214" s="9">
        <f>ROUND(R214 / 1.2, 2)</f>
        <v>2519.91</v>
      </c>
      <c r="Y214" s="9">
        <f t="shared" si="18"/>
        <v>83777.399999999994</v>
      </c>
      <c r="Z214" s="9">
        <f>ROUND(T214 / 1.2, 2)</f>
        <v>63788.43</v>
      </c>
      <c r="AA214" s="9">
        <f>Y214+Z214</f>
        <v>147565.82999999999</v>
      </c>
      <c r="AD214" s="4">
        <v>311044344</v>
      </c>
      <c r="AE214" s="4">
        <v>22779863</v>
      </c>
      <c r="AG214" s="4" t="s">
        <v>846</v>
      </c>
      <c r="AH214" s="4" t="s">
        <v>847</v>
      </c>
      <c r="AI214" s="4" t="s">
        <v>469</v>
      </c>
    </row>
    <row r="215" spans="1:35" ht="18" x14ac:dyDescent="0.3">
      <c r="A215" s="10" t="s">
        <v>848</v>
      </c>
      <c r="B215" s="10"/>
      <c r="C215" s="17" t="s">
        <v>849</v>
      </c>
      <c r="D215" s="12"/>
      <c r="E215" s="12"/>
      <c r="F215" s="18" t="s">
        <v>99</v>
      </c>
      <c r="G215" s="19">
        <v>225</v>
      </c>
      <c r="H215" s="19"/>
      <c r="I215" s="19">
        <v>13176</v>
      </c>
      <c r="J215" s="20">
        <v>7.63</v>
      </c>
      <c r="M215" s="21">
        <f>ROUND(ROUND(J215, 2)*I215, 2)</f>
        <v>100532.88</v>
      </c>
      <c r="P215" s="22">
        <v>7.63</v>
      </c>
      <c r="S215" s="21">
        <f>ROUND(ROUND(P215, 2)*I215, 2)</f>
        <v>100532.88</v>
      </c>
      <c r="V215" s="9">
        <f>ROUND(ROUND(P215, 2)/1.2, 2)</f>
        <v>6.36</v>
      </c>
      <c r="Y215" s="9">
        <f t="shared" si="18"/>
        <v>83777.399999999994</v>
      </c>
      <c r="AD215" s="4" t="s">
        <v>850</v>
      </c>
      <c r="AE215" s="4" t="s">
        <v>851</v>
      </c>
      <c r="AF215" s="4" t="s">
        <v>852</v>
      </c>
    </row>
    <row r="216" spans="1:35" ht="16.95" customHeight="1" x14ac:dyDescent="0.3">
      <c r="A216" s="10" t="s">
        <v>853</v>
      </c>
      <c r="B216" s="10" t="s">
        <v>854</v>
      </c>
      <c r="C216" s="51" t="s">
        <v>855</v>
      </c>
      <c r="D216" s="52"/>
      <c r="E216" s="52"/>
      <c r="F216" s="52"/>
      <c r="G216" s="52"/>
      <c r="H216" s="52"/>
      <c r="I216" s="53"/>
      <c r="M216" s="6">
        <f>SUM(M217,M222,M227,M231,M235,M238,M240,M245,M250,M255,M260,M265,M270,M275,M280)</f>
        <v>12374871.249999998</v>
      </c>
      <c r="N216" s="6">
        <f>SUM(N217,N222,N227,N231,N235,N238,N240,N245,N250,N255,N260,N265,N270,N275,N280)</f>
        <v>18604612.490000002</v>
      </c>
      <c r="O216" s="6">
        <f>SUM(O217,O222,O227,O231,O235,O238,O240,O245,O250,O255,O260,O265,O270,O275,O280)</f>
        <v>30979483.740000002</v>
      </c>
      <c r="S216" s="6">
        <f>SUM(S217,S222,S227,S231,S235,S238,S240,S245,S250,S255,S260,S265,S270,S275,S280)</f>
        <v>28057152.050000004</v>
      </c>
      <c r="T216" s="6">
        <f>SUM(T217,T222,T227,T231,T235,T238,T240,T245,T250,T255,T260,T265,T270,T275,T280)</f>
        <v>26578057.330000002</v>
      </c>
      <c r="U216" s="6">
        <f>SUM(U217,U222,U227,U231,U235,U238,U240,U245,U250,U255,U260,U265,U270,U275,U280)</f>
        <v>54635209.380000003</v>
      </c>
      <c r="Y216" s="9">
        <f>SUM(Y217,Y222,Y227,Y231,Y235,Y238,Y240,Y245,Y250,Y255,Y260,Y265,Y270,Y275,Y280)</f>
        <v>23380960.059999999</v>
      </c>
      <c r="Z216" s="9">
        <f>SUM(Z217,Z222,Z227,Z231,Z235,Z238,Z240,Z245,Z250,Z255,Z260,Z265,Z270,Z275,Z280)</f>
        <v>22148381.110000003</v>
      </c>
      <c r="AA216" s="9">
        <f>SUM(AA217,AA222,AA227,AA231,AA235,AA238,AA240,AA245,AA250,AA255,AA260,AA265,AA270,AA275,AA280)</f>
        <v>45529341.170000009</v>
      </c>
      <c r="AD216" s="4">
        <v>311044345</v>
      </c>
      <c r="AE216" s="4">
        <v>22895265</v>
      </c>
    </row>
    <row r="217" spans="1:35" ht="18" x14ac:dyDescent="0.3">
      <c r="A217" s="10" t="s">
        <v>856</v>
      </c>
      <c r="B217" s="10" t="s">
        <v>857</v>
      </c>
      <c r="C217" s="11" t="s">
        <v>858</v>
      </c>
      <c r="D217" s="12" t="s">
        <v>859</v>
      </c>
      <c r="E217" s="12" t="s">
        <v>860</v>
      </c>
      <c r="F217" s="12" t="s">
        <v>58</v>
      </c>
      <c r="G217" s="13">
        <v>1</v>
      </c>
      <c r="H217" s="13"/>
      <c r="I217" s="13">
        <v>582.87</v>
      </c>
      <c r="J217" s="14">
        <f>IFERROR(ROUND(SUM(M218,M219,M220,M221)/I217, 2),0)</f>
        <v>1600.95</v>
      </c>
      <c r="K217" s="15">
        <v>556</v>
      </c>
      <c r="L217" s="14">
        <f>J217+ROUND(K217, 2)</f>
        <v>2156.9499999999998</v>
      </c>
      <c r="M217" s="14">
        <f>ROUND(J217*I217, 2)</f>
        <v>933145.73</v>
      </c>
      <c r="N217" s="14">
        <f>ROUND(I217*ROUND(K217, 2), 2)</f>
        <v>324075.71999999997</v>
      </c>
      <c r="O217" s="14">
        <f>M217+N217</f>
        <v>1257221.45</v>
      </c>
      <c r="P217" s="14">
        <f>IFERROR(ROUND(SUM(S218,S219,S220,S221)/I217, 2),0)</f>
        <v>1716.7</v>
      </c>
      <c r="Q217" s="16">
        <v>794.29</v>
      </c>
      <c r="R217" s="14">
        <f>P217+ROUND(Q217, 2)</f>
        <v>2510.9899999999998</v>
      </c>
      <c r="S217" s="14">
        <f>ROUND(P217*I217, 2)</f>
        <v>1000612.93</v>
      </c>
      <c r="T217" s="14">
        <f>ROUND(I217*ROUND(Q217, 2), 2)</f>
        <v>462967.81</v>
      </c>
      <c r="U217" s="14">
        <f>S217+T217</f>
        <v>1463580.74</v>
      </c>
      <c r="V217" s="9">
        <f>ROUND(P217 / 1.2, 2)</f>
        <v>1430.58</v>
      </c>
      <c r="W217" s="9">
        <f>ROUND(Q217 / 1.2, 2)</f>
        <v>661.91</v>
      </c>
      <c r="X217" s="9">
        <f>ROUND(R217 / 1.2, 2)</f>
        <v>2092.4899999999998</v>
      </c>
      <c r="Y217" s="9">
        <f>ROUND(S217 / 1.2, 2)</f>
        <v>833844.11</v>
      </c>
      <c r="Z217" s="9">
        <f>ROUND(T217 / 1.2, 2)</f>
        <v>385806.51</v>
      </c>
      <c r="AA217" s="9">
        <f>Y217+Z217</f>
        <v>1219650.6200000001</v>
      </c>
      <c r="AD217" s="4">
        <v>311044347</v>
      </c>
      <c r="AE217" s="4">
        <v>22895278</v>
      </c>
      <c r="AG217" s="4" t="s">
        <v>861</v>
      </c>
      <c r="AH217" s="4" t="s">
        <v>862</v>
      </c>
      <c r="AI217" s="4" t="s">
        <v>469</v>
      </c>
    </row>
    <row r="218" spans="1:35" ht="90" x14ac:dyDescent="0.3">
      <c r="A218" s="10" t="s">
        <v>863</v>
      </c>
      <c r="B218" s="10"/>
      <c r="C218" s="17" t="s">
        <v>864</v>
      </c>
      <c r="D218" s="12"/>
      <c r="E218" s="12" t="s">
        <v>865</v>
      </c>
      <c r="F218" s="18" t="s">
        <v>99</v>
      </c>
      <c r="G218" s="19">
        <v>0.3</v>
      </c>
      <c r="H218" s="19"/>
      <c r="I218" s="19">
        <v>174.86099999999999</v>
      </c>
      <c r="J218" s="20">
        <v>223.66</v>
      </c>
      <c r="M218" s="21">
        <f>ROUND(ROUND(J218, 2)*I218, 2)</f>
        <v>39109.410000000003</v>
      </c>
      <c r="P218" s="22">
        <v>609.5</v>
      </c>
      <c r="S218" s="21">
        <f>ROUND(ROUND(P218, 2)*I218, 2)</f>
        <v>106577.78</v>
      </c>
      <c r="V218" s="9">
        <f>ROUND(ROUND(P218, 2)/1.2, 2)</f>
        <v>507.92</v>
      </c>
      <c r="Y218" s="9">
        <f t="shared" ref="Y218:Y249" si="19">ROUND(S218 / 1.2, 2)</f>
        <v>88814.82</v>
      </c>
      <c r="AD218" s="4" t="s">
        <v>866</v>
      </c>
      <c r="AE218" s="4" t="s">
        <v>867</v>
      </c>
      <c r="AF218" s="4" t="s">
        <v>868</v>
      </c>
    </row>
    <row r="219" spans="1:35" ht="36" x14ac:dyDescent="0.3">
      <c r="A219" s="10" t="s">
        <v>869</v>
      </c>
      <c r="B219" s="10"/>
      <c r="C219" s="17" t="s">
        <v>870</v>
      </c>
      <c r="D219" s="12"/>
      <c r="E219" s="12"/>
      <c r="F219" s="18" t="s">
        <v>99</v>
      </c>
      <c r="G219" s="19">
        <v>0.15</v>
      </c>
      <c r="H219" s="19"/>
      <c r="I219" s="19">
        <v>87.430999999999997</v>
      </c>
      <c r="J219" s="20">
        <v>69.540000000000006</v>
      </c>
      <c r="M219" s="21">
        <f>ROUND(ROUND(J219, 2)*I219, 2)</f>
        <v>6079.95</v>
      </c>
      <c r="P219" s="22">
        <v>69.540000000000006</v>
      </c>
      <c r="S219" s="21">
        <f>ROUND(ROUND(P219, 2)*I219, 2)</f>
        <v>6079.95</v>
      </c>
      <c r="V219" s="9">
        <f>ROUND(ROUND(P219, 2)/1.2, 2)</f>
        <v>57.95</v>
      </c>
      <c r="Y219" s="9">
        <f t="shared" si="19"/>
        <v>5066.63</v>
      </c>
      <c r="AD219" s="4" t="s">
        <v>871</v>
      </c>
      <c r="AE219" s="4" t="s">
        <v>872</v>
      </c>
      <c r="AF219" s="4" t="s">
        <v>873</v>
      </c>
    </row>
    <row r="220" spans="1:35" ht="72" x14ac:dyDescent="0.3">
      <c r="A220" s="10" t="s">
        <v>874</v>
      </c>
      <c r="B220" s="10"/>
      <c r="C220" s="23" t="s">
        <v>875</v>
      </c>
      <c r="D220" s="12"/>
      <c r="E220" s="12"/>
      <c r="F220" s="18" t="s">
        <v>258</v>
      </c>
      <c r="G220" s="19">
        <v>1</v>
      </c>
      <c r="H220" s="24"/>
      <c r="I220" s="24">
        <v>292</v>
      </c>
      <c r="J220" s="20">
        <v>51.85</v>
      </c>
      <c r="M220" s="21">
        <f>ROUND(ROUND(J220, 2)*I220, 2)</f>
        <v>15140.2</v>
      </c>
      <c r="P220" s="22">
        <v>51.85</v>
      </c>
      <c r="S220" s="21">
        <f>ROUND(ROUND(P220, 2)*I220, 2)</f>
        <v>15140.2</v>
      </c>
      <c r="V220" s="9">
        <f>ROUND(ROUND(P220, 2)/1.2, 2)</f>
        <v>43.21</v>
      </c>
      <c r="Y220" s="9">
        <f t="shared" si="19"/>
        <v>12616.83</v>
      </c>
      <c r="AD220" s="4" t="s">
        <v>876</v>
      </c>
      <c r="AE220" s="4" t="s">
        <v>877</v>
      </c>
      <c r="AF220" s="4" t="s">
        <v>878</v>
      </c>
    </row>
    <row r="221" spans="1:35" ht="54" x14ac:dyDescent="0.3">
      <c r="A221" s="10" t="s">
        <v>879</v>
      </c>
      <c r="B221" s="10"/>
      <c r="C221" s="23" t="s">
        <v>880</v>
      </c>
      <c r="D221" s="12"/>
      <c r="E221" s="12"/>
      <c r="F221" s="18" t="s">
        <v>58</v>
      </c>
      <c r="G221" s="19">
        <v>1.1000000000000001</v>
      </c>
      <c r="H221" s="24"/>
      <c r="I221" s="24">
        <v>641.15700000000004</v>
      </c>
      <c r="J221" s="20">
        <v>1361.31</v>
      </c>
      <c r="M221" s="21">
        <f>ROUND(ROUND(J221, 2)*I221, 2)</f>
        <v>872813.44</v>
      </c>
      <c r="P221" s="22">
        <v>1361.31</v>
      </c>
      <c r="S221" s="21">
        <f>ROUND(ROUND(P221, 2)*I221, 2)</f>
        <v>872813.44</v>
      </c>
      <c r="V221" s="9">
        <f>ROUND(ROUND(P221, 2)/1.2, 2)</f>
        <v>1134.43</v>
      </c>
      <c r="Y221" s="9">
        <f t="shared" si="19"/>
        <v>727344.53</v>
      </c>
      <c r="AD221" s="4" t="s">
        <v>881</v>
      </c>
      <c r="AE221" s="4" t="s">
        <v>882</v>
      </c>
      <c r="AF221" s="4" t="s">
        <v>883</v>
      </c>
    </row>
    <row r="222" spans="1:35" ht="18" x14ac:dyDescent="0.3">
      <c r="A222" s="10" t="s">
        <v>884</v>
      </c>
      <c r="B222" s="10" t="s">
        <v>857</v>
      </c>
      <c r="C222" s="11" t="s">
        <v>858</v>
      </c>
      <c r="D222" s="12" t="s">
        <v>859</v>
      </c>
      <c r="E222" s="12" t="s">
        <v>885</v>
      </c>
      <c r="F222" s="12" t="s">
        <v>58</v>
      </c>
      <c r="G222" s="13">
        <v>1</v>
      </c>
      <c r="H222" s="13"/>
      <c r="I222" s="13">
        <v>165.24</v>
      </c>
      <c r="J222" s="14">
        <f>IFERROR(ROUND(SUM(M223,M224,M225,M226)/I222, 2),0)</f>
        <v>1601.01</v>
      </c>
      <c r="K222" s="15">
        <v>556</v>
      </c>
      <c r="L222" s="14">
        <f>J222+ROUND(K222, 2)</f>
        <v>2157.0100000000002</v>
      </c>
      <c r="M222" s="14">
        <f>ROUND(J222*I222, 2)</f>
        <v>264550.89</v>
      </c>
      <c r="N222" s="14">
        <f>ROUND(I222*ROUND(K222, 2), 2)</f>
        <v>91873.44</v>
      </c>
      <c r="O222" s="14">
        <f>M222+N222</f>
        <v>356424.33</v>
      </c>
      <c r="P222" s="14">
        <f>IFERROR(ROUND(SUM(S223,S224,S225,S226)/I222, 2),0)</f>
        <v>1716.77</v>
      </c>
      <c r="Q222" s="16">
        <v>794.29</v>
      </c>
      <c r="R222" s="14">
        <f>P222+ROUND(Q222, 2)</f>
        <v>2511.06</v>
      </c>
      <c r="S222" s="14">
        <f>ROUND(P222*I222, 2)</f>
        <v>283679.07</v>
      </c>
      <c r="T222" s="14">
        <f>ROUND(I222*ROUND(Q222, 2), 2)</f>
        <v>131248.48000000001</v>
      </c>
      <c r="U222" s="14">
        <f>S222+T222</f>
        <v>414927.55000000005</v>
      </c>
      <c r="V222" s="9">
        <f>ROUND(P222 / 1.2, 2)</f>
        <v>1430.64</v>
      </c>
      <c r="W222" s="9">
        <f>ROUND(Q222 / 1.2, 2)</f>
        <v>661.91</v>
      </c>
      <c r="X222" s="9">
        <f>ROUND(R222 / 1.2, 2)</f>
        <v>2092.5500000000002</v>
      </c>
      <c r="Y222" s="9">
        <f t="shared" si="19"/>
        <v>236399.23</v>
      </c>
      <c r="Z222" s="9">
        <f>ROUND(T222 / 1.2, 2)</f>
        <v>109373.73</v>
      </c>
      <c r="AA222" s="9">
        <f>Y222+Z222</f>
        <v>345772.96</v>
      </c>
      <c r="AD222" s="4">
        <v>311044437</v>
      </c>
      <c r="AE222" s="4">
        <v>22895279</v>
      </c>
      <c r="AG222" s="4" t="s">
        <v>861</v>
      </c>
      <c r="AH222" s="4" t="s">
        <v>862</v>
      </c>
      <c r="AI222" s="4" t="s">
        <v>469</v>
      </c>
    </row>
    <row r="223" spans="1:35" ht="72" x14ac:dyDescent="0.3">
      <c r="A223" s="10" t="s">
        <v>886</v>
      </c>
      <c r="B223" s="10"/>
      <c r="C223" s="23" t="s">
        <v>887</v>
      </c>
      <c r="D223" s="12"/>
      <c r="E223" s="12" t="s">
        <v>888</v>
      </c>
      <c r="F223" s="18" t="s">
        <v>58</v>
      </c>
      <c r="G223" s="19">
        <v>1.1000000000000001</v>
      </c>
      <c r="H223" s="24"/>
      <c r="I223" s="24">
        <v>181.76400000000001</v>
      </c>
      <c r="J223" s="20">
        <v>1361.31</v>
      </c>
      <c r="M223" s="21">
        <f>ROUND(ROUND(J223, 2)*I223, 2)</f>
        <v>247437.15</v>
      </c>
      <c r="P223" s="22">
        <v>1361.31</v>
      </c>
      <c r="S223" s="21">
        <f>ROUND(ROUND(P223, 2)*I223, 2)</f>
        <v>247437.15</v>
      </c>
      <c r="V223" s="9">
        <f>ROUND(ROUND(P223, 2)/1.2, 2)</f>
        <v>1134.43</v>
      </c>
      <c r="Y223" s="9">
        <f t="shared" si="19"/>
        <v>206197.63</v>
      </c>
      <c r="AD223" s="4" t="s">
        <v>889</v>
      </c>
      <c r="AE223" s="4" t="s">
        <v>890</v>
      </c>
      <c r="AF223" s="4" t="s">
        <v>891</v>
      </c>
    </row>
    <row r="224" spans="1:35" ht="72" x14ac:dyDescent="0.3">
      <c r="A224" s="10" t="s">
        <v>892</v>
      </c>
      <c r="B224" s="10"/>
      <c r="C224" s="23" t="s">
        <v>893</v>
      </c>
      <c r="D224" s="12"/>
      <c r="E224" s="12"/>
      <c r="F224" s="18" t="s">
        <v>258</v>
      </c>
      <c r="G224" s="19">
        <v>1</v>
      </c>
      <c r="H224" s="24"/>
      <c r="I224" s="24">
        <v>83</v>
      </c>
      <c r="J224" s="20">
        <v>51.85</v>
      </c>
      <c r="M224" s="21">
        <f>ROUND(ROUND(J224, 2)*I224, 2)</f>
        <v>4303.55</v>
      </c>
      <c r="P224" s="22">
        <v>51.85</v>
      </c>
      <c r="S224" s="21">
        <f>ROUND(ROUND(P224, 2)*I224, 2)</f>
        <v>4303.55</v>
      </c>
      <c r="V224" s="9">
        <f>ROUND(ROUND(P224, 2)/1.2, 2)</f>
        <v>43.21</v>
      </c>
      <c r="Y224" s="9">
        <f t="shared" si="19"/>
        <v>3586.29</v>
      </c>
      <c r="AD224" s="4" t="s">
        <v>894</v>
      </c>
      <c r="AE224" s="4" t="s">
        <v>895</v>
      </c>
      <c r="AF224" s="4" t="s">
        <v>896</v>
      </c>
    </row>
    <row r="225" spans="1:35" ht="36" x14ac:dyDescent="0.3">
      <c r="A225" s="10" t="s">
        <v>897</v>
      </c>
      <c r="B225" s="10"/>
      <c r="C225" s="17" t="s">
        <v>870</v>
      </c>
      <c r="D225" s="12"/>
      <c r="E225" s="12"/>
      <c r="F225" s="18" t="s">
        <v>99</v>
      </c>
      <c r="G225" s="19">
        <v>0.15</v>
      </c>
      <c r="H225" s="19"/>
      <c r="I225" s="19">
        <v>24.786000000000001</v>
      </c>
      <c r="J225" s="20">
        <v>69.540000000000006</v>
      </c>
      <c r="M225" s="21">
        <f>ROUND(ROUND(J225, 2)*I225, 2)</f>
        <v>1723.62</v>
      </c>
      <c r="P225" s="22">
        <v>69.540000000000006</v>
      </c>
      <c r="S225" s="21">
        <f>ROUND(ROUND(P225, 2)*I225, 2)</f>
        <v>1723.62</v>
      </c>
      <c r="V225" s="9">
        <f>ROUND(ROUND(P225, 2)/1.2, 2)</f>
        <v>57.95</v>
      </c>
      <c r="Y225" s="9">
        <f t="shared" si="19"/>
        <v>1436.35</v>
      </c>
      <c r="AD225" s="4" t="s">
        <v>898</v>
      </c>
      <c r="AE225" s="4" t="s">
        <v>899</v>
      </c>
      <c r="AF225" s="4" t="s">
        <v>873</v>
      </c>
    </row>
    <row r="226" spans="1:35" ht="54" x14ac:dyDescent="0.3">
      <c r="A226" s="10" t="s">
        <v>900</v>
      </c>
      <c r="B226" s="10"/>
      <c r="C226" s="17" t="s">
        <v>864</v>
      </c>
      <c r="D226" s="12"/>
      <c r="E226" s="12" t="s">
        <v>901</v>
      </c>
      <c r="F226" s="18" t="s">
        <v>99</v>
      </c>
      <c r="G226" s="19">
        <v>0.3</v>
      </c>
      <c r="H226" s="19"/>
      <c r="I226" s="19">
        <v>49.572000000000003</v>
      </c>
      <c r="J226" s="20">
        <v>223.66</v>
      </c>
      <c r="M226" s="21">
        <f>ROUND(ROUND(J226, 2)*I226, 2)</f>
        <v>11087.27</v>
      </c>
      <c r="P226" s="22">
        <v>609.5</v>
      </c>
      <c r="S226" s="21">
        <f>ROUND(ROUND(P226, 2)*I226, 2)</f>
        <v>30214.13</v>
      </c>
      <c r="V226" s="9">
        <f>ROUND(ROUND(P226, 2)/1.2, 2)</f>
        <v>507.92</v>
      </c>
      <c r="Y226" s="9">
        <f t="shared" si="19"/>
        <v>25178.44</v>
      </c>
      <c r="AD226" s="4" t="s">
        <v>902</v>
      </c>
      <c r="AE226" s="4" t="s">
        <v>903</v>
      </c>
      <c r="AF226" s="4" t="s">
        <v>868</v>
      </c>
    </row>
    <row r="227" spans="1:35" ht="36" x14ac:dyDescent="0.3">
      <c r="A227" s="10" t="s">
        <v>904</v>
      </c>
      <c r="B227" s="10" t="s">
        <v>905</v>
      </c>
      <c r="C227" s="11" t="s">
        <v>906</v>
      </c>
      <c r="D227" s="12"/>
      <c r="E227" s="12" t="s">
        <v>907</v>
      </c>
      <c r="F227" s="12" t="s">
        <v>58</v>
      </c>
      <c r="G227" s="13">
        <v>1</v>
      </c>
      <c r="H227" s="13"/>
      <c r="I227" s="13">
        <v>8025.66</v>
      </c>
      <c r="J227" s="14">
        <f>IFERROR(ROUND(SUM(M228,M229,M230)/I227, 2),0)</f>
        <v>10.43</v>
      </c>
      <c r="K227" s="15">
        <v>661</v>
      </c>
      <c r="L227" s="14">
        <f>J227+ROUND(K227, 2)</f>
        <v>671.43</v>
      </c>
      <c r="M227" s="14">
        <f>ROUND(J227*I227, 2)</f>
        <v>83707.63</v>
      </c>
      <c r="N227" s="14">
        <f>ROUND(I227*ROUND(K227, 2), 2)</f>
        <v>5304961.26</v>
      </c>
      <c r="O227" s="14">
        <f>M227+N227</f>
        <v>5388668.8899999997</v>
      </c>
      <c r="P227" s="14">
        <f>IFERROR(ROUND(SUM(S228,S229,S230)/I227, 2),0)</f>
        <v>1944.51</v>
      </c>
      <c r="Q227" s="16">
        <v>944.29</v>
      </c>
      <c r="R227" s="14">
        <f>P227+ROUND(Q227, 2)</f>
        <v>2888.8</v>
      </c>
      <c r="S227" s="14">
        <f>ROUND(P227*I227, 2)</f>
        <v>15605976.130000001</v>
      </c>
      <c r="T227" s="14">
        <f>ROUND(I227*ROUND(Q227, 2), 2)</f>
        <v>7578550.4800000004</v>
      </c>
      <c r="U227" s="14">
        <f>S227+T227</f>
        <v>23184526.609999999</v>
      </c>
      <c r="V227" s="9">
        <f>ROUND(P227 / 1.2, 2)</f>
        <v>1620.43</v>
      </c>
      <c r="W227" s="9">
        <f>ROUND(Q227 / 1.2, 2)</f>
        <v>786.91</v>
      </c>
      <c r="X227" s="9">
        <f>ROUND(R227 / 1.2, 2)</f>
        <v>2407.33</v>
      </c>
      <c r="Y227" s="9">
        <f t="shared" si="19"/>
        <v>13004980.109999999</v>
      </c>
      <c r="Z227" s="9">
        <f>ROUND(T227 / 1.2, 2)</f>
        <v>6315458.7300000004</v>
      </c>
      <c r="AA227" s="9">
        <f>Y227+Z227</f>
        <v>19320438.84</v>
      </c>
      <c r="AD227" s="4">
        <v>311044349</v>
      </c>
      <c r="AE227" s="4">
        <v>22895276</v>
      </c>
      <c r="AG227" s="4" t="s">
        <v>908</v>
      </c>
      <c r="AH227" s="4" t="s">
        <v>909</v>
      </c>
      <c r="AI227" s="4" t="s">
        <v>469</v>
      </c>
    </row>
    <row r="228" spans="1:35" ht="90" x14ac:dyDescent="0.3">
      <c r="A228" s="10" t="s">
        <v>910</v>
      </c>
      <c r="B228" s="10"/>
      <c r="C228" s="17" t="s">
        <v>911</v>
      </c>
      <c r="D228" s="12"/>
      <c r="E228" s="12" t="s">
        <v>912</v>
      </c>
      <c r="F228" s="18" t="s">
        <v>139</v>
      </c>
      <c r="G228" s="19">
        <v>1</v>
      </c>
      <c r="H228" s="24"/>
      <c r="I228" s="24">
        <v>837.94500000000005</v>
      </c>
      <c r="J228" s="20">
        <v>0</v>
      </c>
      <c r="M228" s="21">
        <f>ROUND(ROUND(J228, 2)*I228, 2)</f>
        <v>0</v>
      </c>
      <c r="P228" s="22">
        <v>2740</v>
      </c>
      <c r="S228" s="21">
        <f>ROUND(ROUND(P228, 2)*I228, 2)</f>
        <v>2295969.2999999998</v>
      </c>
      <c r="V228" s="9">
        <f>ROUND(ROUND(P228, 2)/1.2, 2)</f>
        <v>2283.33</v>
      </c>
      <c r="Y228" s="9">
        <f t="shared" si="19"/>
        <v>1913307.75</v>
      </c>
      <c r="AD228" s="4" t="s">
        <v>913</v>
      </c>
      <c r="AE228" s="4" t="s">
        <v>914</v>
      </c>
      <c r="AF228" s="4" t="s">
        <v>915</v>
      </c>
    </row>
    <row r="229" spans="1:35" ht="90" x14ac:dyDescent="0.3">
      <c r="A229" s="10" t="s">
        <v>916</v>
      </c>
      <c r="B229" s="10"/>
      <c r="C229" s="17" t="s">
        <v>917</v>
      </c>
      <c r="D229" s="12"/>
      <c r="E229" s="12" t="s">
        <v>918</v>
      </c>
      <c r="F229" s="18" t="s">
        <v>58</v>
      </c>
      <c r="G229" s="19">
        <v>1.03</v>
      </c>
      <c r="H229" s="24"/>
      <c r="I229" s="24">
        <v>8266.43</v>
      </c>
      <c r="J229" s="20">
        <v>0</v>
      </c>
      <c r="M229" s="21">
        <f>ROUND(ROUND(J229, 2)*I229, 2)</f>
        <v>0</v>
      </c>
      <c r="P229" s="22">
        <v>1600</v>
      </c>
      <c r="S229" s="21">
        <f>ROUND(ROUND(P229, 2)*I229, 2)</f>
        <v>13226288</v>
      </c>
      <c r="V229" s="9">
        <f>ROUND(ROUND(P229, 2)/1.2, 2)</f>
        <v>1333.33</v>
      </c>
      <c r="Y229" s="9">
        <f t="shared" si="19"/>
        <v>11021906.67</v>
      </c>
      <c r="AD229" s="4" t="s">
        <v>919</v>
      </c>
      <c r="AE229" s="4" t="s">
        <v>920</v>
      </c>
      <c r="AF229" s="4" t="s">
        <v>921</v>
      </c>
    </row>
    <row r="230" spans="1:35" ht="36" x14ac:dyDescent="0.3">
      <c r="A230" s="10" t="s">
        <v>922</v>
      </c>
      <c r="B230" s="10"/>
      <c r="C230" s="17" t="s">
        <v>870</v>
      </c>
      <c r="D230" s="12"/>
      <c r="E230" s="12"/>
      <c r="F230" s="18" t="s">
        <v>99</v>
      </c>
      <c r="G230" s="19">
        <v>0.15</v>
      </c>
      <c r="H230" s="19"/>
      <c r="I230" s="19">
        <v>1203.8489999999999</v>
      </c>
      <c r="J230" s="20">
        <v>69.540000000000006</v>
      </c>
      <c r="M230" s="21">
        <f>ROUND(ROUND(J230, 2)*I230, 2)</f>
        <v>83715.66</v>
      </c>
      <c r="P230" s="22">
        <v>69.540000000000006</v>
      </c>
      <c r="S230" s="21">
        <f>ROUND(ROUND(P230, 2)*I230, 2)</f>
        <v>83715.66</v>
      </c>
      <c r="V230" s="9">
        <f>ROUND(ROUND(P230, 2)/1.2, 2)</f>
        <v>57.95</v>
      </c>
      <c r="Y230" s="9">
        <f t="shared" si="19"/>
        <v>69763.05</v>
      </c>
      <c r="AD230" s="4" t="s">
        <v>923</v>
      </c>
      <c r="AE230" s="4" t="s">
        <v>924</v>
      </c>
      <c r="AF230" s="4" t="s">
        <v>873</v>
      </c>
    </row>
    <row r="231" spans="1:35" ht="36" x14ac:dyDescent="0.3">
      <c r="A231" s="10" t="s">
        <v>925</v>
      </c>
      <c r="B231" s="10" t="s">
        <v>905</v>
      </c>
      <c r="C231" s="11" t="s">
        <v>906</v>
      </c>
      <c r="D231" s="12"/>
      <c r="E231" s="12" t="s">
        <v>926</v>
      </c>
      <c r="F231" s="12" t="s">
        <v>58</v>
      </c>
      <c r="G231" s="13">
        <v>1</v>
      </c>
      <c r="H231" s="13"/>
      <c r="I231" s="13">
        <v>37.96</v>
      </c>
      <c r="J231" s="14">
        <f>IFERROR(ROUND(SUM(M232,M233,M234)/I231, 2),0)</f>
        <v>10.43</v>
      </c>
      <c r="K231" s="15">
        <v>661</v>
      </c>
      <c r="L231" s="14">
        <f>J231+ROUND(K231, 2)</f>
        <v>671.43</v>
      </c>
      <c r="M231" s="14">
        <f>ROUND(J231*I231, 2)</f>
        <v>395.92</v>
      </c>
      <c r="N231" s="14">
        <f>ROUND(I231*ROUND(K231, 2), 2)</f>
        <v>25091.56</v>
      </c>
      <c r="O231" s="14">
        <f>M231+N231</f>
        <v>25487.48</v>
      </c>
      <c r="P231" s="14">
        <f>IFERROR(ROUND(SUM(S232,S233,S234)/I231, 2),0)</f>
        <v>1944.49</v>
      </c>
      <c r="Q231" s="16">
        <v>944.29</v>
      </c>
      <c r="R231" s="14">
        <f>P231+ROUND(Q231, 2)</f>
        <v>2888.7799999999997</v>
      </c>
      <c r="S231" s="14">
        <f>ROUND(P231*I231, 2)</f>
        <v>73812.84</v>
      </c>
      <c r="T231" s="14">
        <f>ROUND(I231*ROUND(Q231, 2), 2)</f>
        <v>35845.25</v>
      </c>
      <c r="U231" s="14">
        <f>S231+T231</f>
        <v>109658.09</v>
      </c>
      <c r="V231" s="9">
        <f>ROUND(P231 / 1.2, 2)</f>
        <v>1620.41</v>
      </c>
      <c r="W231" s="9">
        <f>ROUND(Q231 / 1.2, 2)</f>
        <v>786.91</v>
      </c>
      <c r="X231" s="9">
        <f>ROUND(R231 / 1.2, 2)</f>
        <v>2407.3200000000002</v>
      </c>
      <c r="Y231" s="9">
        <f t="shared" si="19"/>
        <v>61510.7</v>
      </c>
      <c r="Z231" s="9">
        <f>ROUND(T231 / 1.2, 2)</f>
        <v>29871.040000000001</v>
      </c>
      <c r="AA231" s="9">
        <f>Y231+Z231</f>
        <v>91381.739999999991</v>
      </c>
      <c r="AD231" s="4">
        <v>311044438</v>
      </c>
      <c r="AE231" s="4">
        <v>22895277</v>
      </c>
      <c r="AG231" s="4" t="s">
        <v>908</v>
      </c>
      <c r="AH231" s="4" t="s">
        <v>909</v>
      </c>
      <c r="AI231" s="4" t="s">
        <v>469</v>
      </c>
    </row>
    <row r="232" spans="1:35" ht="36" x14ac:dyDescent="0.3">
      <c r="A232" s="10" t="s">
        <v>927</v>
      </c>
      <c r="B232" s="10"/>
      <c r="C232" s="17" t="s">
        <v>870</v>
      </c>
      <c r="D232" s="12"/>
      <c r="E232" s="12"/>
      <c r="F232" s="18" t="s">
        <v>99</v>
      </c>
      <c r="G232" s="19">
        <v>0.15</v>
      </c>
      <c r="H232" s="19"/>
      <c r="I232" s="19">
        <v>5.694</v>
      </c>
      <c r="J232" s="20">
        <v>69.540000000000006</v>
      </c>
      <c r="M232" s="21">
        <f>ROUND(ROUND(J232, 2)*I232, 2)</f>
        <v>395.96</v>
      </c>
      <c r="P232" s="22">
        <v>69.540000000000006</v>
      </c>
      <c r="S232" s="21">
        <f>ROUND(ROUND(P232, 2)*I232, 2)</f>
        <v>395.96</v>
      </c>
      <c r="V232" s="9">
        <f>ROUND(ROUND(P232, 2)/1.2, 2)</f>
        <v>57.95</v>
      </c>
      <c r="Y232" s="9">
        <f t="shared" si="19"/>
        <v>329.97</v>
      </c>
      <c r="AD232" s="4" t="s">
        <v>928</v>
      </c>
      <c r="AE232" s="4" t="s">
        <v>929</v>
      </c>
      <c r="AF232" s="4" t="s">
        <v>873</v>
      </c>
    </row>
    <row r="233" spans="1:35" ht="90" x14ac:dyDescent="0.3">
      <c r="A233" s="10" t="s">
        <v>930</v>
      </c>
      <c r="B233" s="10"/>
      <c r="C233" s="17" t="s">
        <v>917</v>
      </c>
      <c r="D233" s="12"/>
      <c r="E233" s="12" t="s">
        <v>918</v>
      </c>
      <c r="F233" s="18" t="s">
        <v>58</v>
      </c>
      <c r="G233" s="19">
        <v>1.03</v>
      </c>
      <c r="H233" s="24"/>
      <c r="I233" s="24">
        <v>39.098999999999997</v>
      </c>
      <c r="J233" s="20">
        <v>0</v>
      </c>
      <c r="M233" s="21">
        <f>ROUND(ROUND(J233, 2)*I233, 2)</f>
        <v>0</v>
      </c>
      <c r="P233" s="22">
        <v>1600</v>
      </c>
      <c r="S233" s="21">
        <f>ROUND(ROUND(P233, 2)*I233, 2)</f>
        <v>62558.400000000001</v>
      </c>
      <c r="V233" s="9">
        <f>ROUND(ROUND(P233, 2)/1.2, 2)</f>
        <v>1333.33</v>
      </c>
      <c r="Y233" s="9">
        <f t="shared" si="19"/>
        <v>52132</v>
      </c>
      <c r="AD233" s="4" t="s">
        <v>931</v>
      </c>
      <c r="AE233" s="4" t="s">
        <v>932</v>
      </c>
      <c r="AF233" s="4" t="s">
        <v>921</v>
      </c>
    </row>
    <row r="234" spans="1:35" ht="90" x14ac:dyDescent="0.3">
      <c r="A234" s="10" t="s">
        <v>933</v>
      </c>
      <c r="B234" s="10"/>
      <c r="C234" s="17" t="s">
        <v>911</v>
      </c>
      <c r="D234" s="12"/>
      <c r="E234" s="12" t="s">
        <v>934</v>
      </c>
      <c r="F234" s="18" t="s">
        <v>139</v>
      </c>
      <c r="G234" s="19">
        <v>1</v>
      </c>
      <c r="H234" s="24"/>
      <c r="I234" s="24">
        <v>3.9630000000000001</v>
      </c>
      <c r="J234" s="20">
        <v>0</v>
      </c>
      <c r="M234" s="21">
        <f>ROUND(ROUND(J234, 2)*I234, 2)</f>
        <v>0</v>
      </c>
      <c r="P234" s="22">
        <v>2740</v>
      </c>
      <c r="S234" s="21">
        <f>ROUND(ROUND(P234, 2)*I234, 2)</f>
        <v>10858.62</v>
      </c>
      <c r="V234" s="9">
        <f>ROUND(ROUND(P234, 2)/1.2, 2)</f>
        <v>2283.33</v>
      </c>
      <c r="Y234" s="9">
        <f t="shared" si="19"/>
        <v>9048.85</v>
      </c>
      <c r="AD234" s="4" t="s">
        <v>935</v>
      </c>
      <c r="AE234" s="4" t="s">
        <v>936</v>
      </c>
      <c r="AF234" s="4" t="s">
        <v>915</v>
      </c>
    </row>
    <row r="235" spans="1:35" ht="36" x14ac:dyDescent="0.3">
      <c r="A235" s="10" t="s">
        <v>937</v>
      </c>
      <c r="B235" s="10" t="s">
        <v>938</v>
      </c>
      <c r="C235" s="11" t="s">
        <v>939</v>
      </c>
      <c r="D235" s="12"/>
      <c r="E235" s="12" t="s">
        <v>940</v>
      </c>
      <c r="F235" s="12" t="s">
        <v>258</v>
      </c>
      <c r="G235" s="13">
        <v>1</v>
      </c>
      <c r="H235" s="13"/>
      <c r="I235" s="13">
        <v>81.61</v>
      </c>
      <c r="J235" s="14">
        <f>IFERROR(ROUND(SUM(M236,M237)/I235, 2),0)</f>
        <v>189.2</v>
      </c>
      <c r="K235" s="15">
        <v>167.99</v>
      </c>
      <c r="L235" s="14">
        <f>J235+ROUND(K235, 2)</f>
        <v>357.19</v>
      </c>
      <c r="M235" s="14">
        <f>ROUND(J235*I235, 2)</f>
        <v>15440.61</v>
      </c>
      <c r="N235" s="14">
        <f>ROUND(I235*ROUND(K235, 2), 2)</f>
        <v>13709.66</v>
      </c>
      <c r="O235" s="14">
        <f>M235+N235</f>
        <v>29150.27</v>
      </c>
      <c r="P235" s="14">
        <f>IFERROR(ROUND(SUM(S236,S237)/I235, 2),0)</f>
        <v>189.2</v>
      </c>
      <c r="Q235" s="16">
        <v>239.99</v>
      </c>
      <c r="R235" s="14">
        <f>P235+ROUND(Q235, 2)</f>
        <v>429.19</v>
      </c>
      <c r="S235" s="14">
        <f>ROUND(P235*I235, 2)</f>
        <v>15440.61</v>
      </c>
      <c r="T235" s="14">
        <f>ROUND(I235*ROUND(Q235, 2), 2)</f>
        <v>19585.580000000002</v>
      </c>
      <c r="U235" s="14">
        <f>S235+T235</f>
        <v>35026.19</v>
      </c>
      <c r="V235" s="9">
        <f>ROUND(P235 / 1.2, 2)</f>
        <v>157.66999999999999</v>
      </c>
      <c r="W235" s="9">
        <f>ROUND(Q235 / 1.2, 2)</f>
        <v>199.99</v>
      </c>
      <c r="X235" s="9">
        <f>ROUND(R235 / 1.2, 2)</f>
        <v>357.66</v>
      </c>
      <c r="Y235" s="9">
        <f t="shared" si="19"/>
        <v>12867.18</v>
      </c>
      <c r="Z235" s="9">
        <f>ROUND(T235 / 1.2, 2)</f>
        <v>16321.32</v>
      </c>
      <c r="AA235" s="9">
        <f>Y235+Z235</f>
        <v>29188.5</v>
      </c>
      <c r="AD235" s="4">
        <v>311044351</v>
      </c>
      <c r="AE235" s="4">
        <v>22896632</v>
      </c>
      <c r="AG235" s="4" t="s">
        <v>941</v>
      </c>
      <c r="AH235" s="4" t="s">
        <v>942</v>
      </c>
      <c r="AI235" s="4" t="s">
        <v>469</v>
      </c>
    </row>
    <row r="236" spans="1:35" ht="90" x14ac:dyDescent="0.3">
      <c r="A236" s="10" t="s">
        <v>943</v>
      </c>
      <c r="B236" s="10"/>
      <c r="C236" s="17" t="s">
        <v>944</v>
      </c>
      <c r="D236" s="12"/>
      <c r="E236" s="12" t="s">
        <v>945</v>
      </c>
      <c r="F236" s="18" t="s">
        <v>258</v>
      </c>
      <c r="G236" s="19">
        <v>1.1000000000000001</v>
      </c>
      <c r="H236" s="19"/>
      <c r="I236" s="19">
        <v>89.771000000000001</v>
      </c>
      <c r="J236" s="20">
        <v>163.68</v>
      </c>
      <c r="M236" s="21">
        <f>ROUND(ROUND(J236, 2)*I236, 2)</f>
        <v>14693.72</v>
      </c>
      <c r="P236" s="22">
        <v>163.68</v>
      </c>
      <c r="S236" s="21">
        <f>ROUND(ROUND(P236, 2)*I236, 2)</f>
        <v>14693.72</v>
      </c>
      <c r="V236" s="9">
        <f>ROUND(ROUND(P236, 2)/1.2, 2)</f>
        <v>136.4</v>
      </c>
      <c r="Y236" s="9">
        <f t="shared" si="19"/>
        <v>12244.77</v>
      </c>
      <c r="AD236" s="4" t="s">
        <v>946</v>
      </c>
      <c r="AE236" s="4" t="s">
        <v>947</v>
      </c>
      <c r="AF236" s="4" t="s">
        <v>948</v>
      </c>
    </row>
    <row r="237" spans="1:35" ht="18" x14ac:dyDescent="0.3">
      <c r="A237" s="10" t="s">
        <v>949</v>
      </c>
      <c r="B237" s="10"/>
      <c r="C237" s="17" t="s">
        <v>950</v>
      </c>
      <c r="D237" s="12"/>
      <c r="E237" s="12"/>
      <c r="F237" s="18" t="s">
        <v>139</v>
      </c>
      <c r="G237" s="19">
        <v>0.09</v>
      </c>
      <c r="H237" s="19"/>
      <c r="I237" s="19">
        <v>7.3449999999999998</v>
      </c>
      <c r="J237" s="20">
        <v>101.66</v>
      </c>
      <c r="M237" s="21">
        <f>ROUND(ROUND(J237, 2)*I237, 2)</f>
        <v>746.69</v>
      </c>
      <c r="P237" s="22">
        <v>101.66</v>
      </c>
      <c r="S237" s="21">
        <f>ROUND(ROUND(P237, 2)*I237, 2)</f>
        <v>746.69</v>
      </c>
      <c r="V237" s="9">
        <f>ROUND(ROUND(P237, 2)/1.2, 2)</f>
        <v>84.72</v>
      </c>
      <c r="Y237" s="9">
        <f t="shared" si="19"/>
        <v>622.24</v>
      </c>
      <c r="AD237" s="4" t="s">
        <v>951</v>
      </c>
      <c r="AE237" s="4" t="s">
        <v>952</v>
      </c>
      <c r="AF237" s="4" t="s">
        <v>953</v>
      </c>
    </row>
    <row r="238" spans="1:35" ht="36" x14ac:dyDescent="0.3">
      <c r="A238" s="10" t="s">
        <v>954</v>
      </c>
      <c r="B238" s="10" t="s">
        <v>955</v>
      </c>
      <c r="C238" s="11" t="s">
        <v>956</v>
      </c>
      <c r="D238" s="12"/>
      <c r="E238" s="12" t="s">
        <v>957</v>
      </c>
      <c r="F238" s="12" t="s">
        <v>258</v>
      </c>
      <c r="G238" s="13">
        <v>1</v>
      </c>
      <c r="H238" s="13"/>
      <c r="I238" s="13">
        <v>4126.28</v>
      </c>
      <c r="J238" s="14">
        <f>IFERROR(ROUND(SUM(M239)/I238, 2),0)</f>
        <v>385.54</v>
      </c>
      <c r="K238" s="15">
        <v>210</v>
      </c>
      <c r="L238" s="14">
        <f>J238+ROUND(K238, 2)</f>
        <v>595.54</v>
      </c>
      <c r="M238" s="14">
        <f>ROUND(J238*I238, 2)</f>
        <v>1590845.99</v>
      </c>
      <c r="N238" s="14">
        <f>ROUND(I238*ROUND(K238, 2), 2)</f>
        <v>866518.8</v>
      </c>
      <c r="O238" s="14">
        <f>M238+N238</f>
        <v>2457364.79</v>
      </c>
      <c r="P238" s="14">
        <f>IFERROR(ROUND(SUM(S239)/I238, 2),0)</f>
        <v>385.54</v>
      </c>
      <c r="Q238" s="16">
        <v>300</v>
      </c>
      <c r="R238" s="14">
        <f>P238+ROUND(Q238, 2)</f>
        <v>685.54</v>
      </c>
      <c r="S238" s="14">
        <f>ROUND(P238*I238, 2)</f>
        <v>1590845.99</v>
      </c>
      <c r="T238" s="14">
        <f>ROUND(I238*ROUND(Q238, 2), 2)</f>
        <v>1237884</v>
      </c>
      <c r="U238" s="14">
        <f>S238+T238</f>
        <v>2828729.99</v>
      </c>
      <c r="V238" s="9">
        <f>ROUND(P238 / 1.2, 2)</f>
        <v>321.27999999999997</v>
      </c>
      <c r="W238" s="9">
        <f>ROUND(Q238 / 1.2, 2)</f>
        <v>250</v>
      </c>
      <c r="X238" s="9">
        <f>ROUND(R238 / 1.2, 2)</f>
        <v>571.28</v>
      </c>
      <c r="Y238" s="9">
        <f t="shared" si="19"/>
        <v>1325704.99</v>
      </c>
      <c r="Z238" s="9">
        <f>ROUND(T238 / 1.2, 2)</f>
        <v>1031570</v>
      </c>
      <c r="AA238" s="9">
        <f>Y238+Z238</f>
        <v>2357274.9900000002</v>
      </c>
      <c r="AD238" s="4">
        <v>311044352</v>
      </c>
      <c r="AE238" s="4">
        <v>22896631</v>
      </c>
      <c r="AG238" s="4" t="s">
        <v>958</v>
      </c>
      <c r="AH238" s="4" t="s">
        <v>959</v>
      </c>
      <c r="AI238" s="4" t="s">
        <v>469</v>
      </c>
    </row>
    <row r="239" spans="1:35" ht="72" x14ac:dyDescent="0.3">
      <c r="A239" s="10" t="s">
        <v>960</v>
      </c>
      <c r="B239" s="10"/>
      <c r="C239" s="17" t="s">
        <v>961</v>
      </c>
      <c r="D239" s="12"/>
      <c r="E239" s="12" t="s">
        <v>962</v>
      </c>
      <c r="F239" s="18" t="s">
        <v>258</v>
      </c>
      <c r="G239" s="19">
        <v>1.1000000000000001</v>
      </c>
      <c r="H239" s="24"/>
      <c r="I239" s="24">
        <v>4538.9080000000004</v>
      </c>
      <c r="J239" s="20">
        <v>350.49</v>
      </c>
      <c r="M239" s="21">
        <f>ROUND(ROUND(J239, 2)*I239, 2)</f>
        <v>1590841.86</v>
      </c>
      <c r="P239" s="22">
        <v>350.49</v>
      </c>
      <c r="S239" s="21">
        <f>ROUND(ROUND(P239, 2)*I239, 2)</f>
        <v>1590841.86</v>
      </c>
      <c r="V239" s="9">
        <f>ROUND(ROUND(P239, 2)/1.2, 2)</f>
        <v>292.08</v>
      </c>
      <c r="Y239" s="9">
        <f t="shared" si="19"/>
        <v>1325701.55</v>
      </c>
      <c r="AD239" s="4" t="s">
        <v>963</v>
      </c>
      <c r="AE239" s="4" t="s">
        <v>964</v>
      </c>
      <c r="AF239" s="4" t="s">
        <v>965</v>
      </c>
    </row>
    <row r="240" spans="1:35" ht="144" x14ac:dyDescent="0.3">
      <c r="A240" s="10" t="s">
        <v>966</v>
      </c>
      <c r="B240" s="10" t="s">
        <v>967</v>
      </c>
      <c r="C240" s="11" t="s">
        <v>968</v>
      </c>
      <c r="D240" s="12"/>
      <c r="E240" s="12" t="s">
        <v>969</v>
      </c>
      <c r="F240" s="12" t="s">
        <v>58</v>
      </c>
      <c r="G240" s="13">
        <v>1</v>
      </c>
      <c r="H240" s="13"/>
      <c r="I240" s="13">
        <v>225.06</v>
      </c>
      <c r="J240" s="14">
        <f>IFERROR(ROUND(SUM(M241,M242,M243,M244)/I240, 2),0)</f>
        <v>4597.0200000000004</v>
      </c>
      <c r="K240" s="15">
        <v>2310</v>
      </c>
      <c r="L240" s="14">
        <f>J240+ROUND(K240, 2)</f>
        <v>6907.02</v>
      </c>
      <c r="M240" s="14">
        <f>ROUND(J240*I240, 2)</f>
        <v>1034605.32</v>
      </c>
      <c r="N240" s="14">
        <f>ROUND(I240*ROUND(K240, 2), 2)</f>
        <v>519888.6</v>
      </c>
      <c r="O240" s="14">
        <f>M240+N240</f>
        <v>1554493.92</v>
      </c>
      <c r="P240" s="14">
        <f>IFERROR(ROUND(SUM(S241,S242,S243,S244)/I240, 2),0)</f>
        <v>4597.0200000000004</v>
      </c>
      <c r="Q240" s="16">
        <v>3300</v>
      </c>
      <c r="R240" s="14">
        <f>P240+ROUND(Q240, 2)</f>
        <v>7897.02</v>
      </c>
      <c r="S240" s="14">
        <f>ROUND(P240*I240, 2)</f>
        <v>1034605.32</v>
      </c>
      <c r="T240" s="14">
        <f>ROUND(I240*ROUND(Q240, 2), 2)</f>
        <v>742698</v>
      </c>
      <c r="U240" s="14">
        <f>S240+T240</f>
        <v>1777303.3199999998</v>
      </c>
      <c r="V240" s="9">
        <f>ROUND(P240 / 1.2, 2)</f>
        <v>3830.85</v>
      </c>
      <c r="W240" s="9">
        <f>ROUND(Q240 / 1.2, 2)</f>
        <v>2750</v>
      </c>
      <c r="X240" s="9">
        <f>ROUND(R240 / 1.2, 2)</f>
        <v>6580.85</v>
      </c>
      <c r="Y240" s="9">
        <f t="shared" si="19"/>
        <v>862171.1</v>
      </c>
      <c r="Z240" s="9">
        <f>ROUND(T240 / 1.2, 2)</f>
        <v>618915</v>
      </c>
      <c r="AA240" s="9">
        <f>Y240+Z240</f>
        <v>1481086.1</v>
      </c>
      <c r="AD240" s="4">
        <v>311044354</v>
      </c>
      <c r="AE240" s="4">
        <v>22896620</v>
      </c>
      <c r="AG240" s="4" t="s">
        <v>970</v>
      </c>
      <c r="AH240" s="4" t="s">
        <v>971</v>
      </c>
      <c r="AI240" s="4" t="s">
        <v>469</v>
      </c>
    </row>
    <row r="241" spans="1:35" ht="54" x14ac:dyDescent="0.3">
      <c r="A241" s="10" t="s">
        <v>972</v>
      </c>
      <c r="B241" s="10"/>
      <c r="C241" s="23" t="s">
        <v>973</v>
      </c>
      <c r="D241" s="12"/>
      <c r="E241" s="12" t="s">
        <v>974</v>
      </c>
      <c r="F241" s="18" t="s">
        <v>139</v>
      </c>
      <c r="G241" s="19">
        <v>4</v>
      </c>
      <c r="H241" s="19"/>
      <c r="I241" s="19">
        <v>900.24</v>
      </c>
      <c r="J241" s="20">
        <v>1118.74</v>
      </c>
      <c r="M241" s="21">
        <f>ROUND(ROUND(J241, 2)*I241, 2)</f>
        <v>1007134.5</v>
      </c>
      <c r="P241" s="22">
        <v>1118.74</v>
      </c>
      <c r="S241" s="21">
        <f>ROUND(ROUND(P241, 2)*I241, 2)</f>
        <v>1007134.5</v>
      </c>
      <c r="V241" s="9">
        <f>ROUND(ROUND(P241, 2)/1.2, 2)</f>
        <v>932.28</v>
      </c>
      <c r="Y241" s="9">
        <f t="shared" si="19"/>
        <v>839278.75</v>
      </c>
      <c r="AD241" s="4" t="s">
        <v>975</v>
      </c>
      <c r="AE241" s="4" t="s">
        <v>976</v>
      </c>
      <c r="AF241" s="4" t="s">
        <v>977</v>
      </c>
    </row>
    <row r="242" spans="1:35" ht="36" x14ac:dyDescent="0.3">
      <c r="A242" s="10" t="s">
        <v>978</v>
      </c>
      <c r="B242" s="10"/>
      <c r="C242" s="23" t="s">
        <v>979</v>
      </c>
      <c r="D242" s="12"/>
      <c r="E242" s="12"/>
      <c r="F242" s="18" t="s">
        <v>99</v>
      </c>
      <c r="G242" s="19">
        <v>1.2</v>
      </c>
      <c r="H242" s="24"/>
      <c r="I242" s="24">
        <v>1350.36</v>
      </c>
      <c r="J242" s="20">
        <v>16.38</v>
      </c>
      <c r="M242" s="21">
        <f>ROUND(ROUND(J242, 2)*I242, 2)</f>
        <v>22118.9</v>
      </c>
      <c r="P242" s="22">
        <v>16.38</v>
      </c>
      <c r="S242" s="21">
        <f>ROUND(ROUND(P242, 2)*I242, 2)</f>
        <v>22118.9</v>
      </c>
      <c r="V242" s="9">
        <f>ROUND(ROUND(P242, 2)/1.2, 2)</f>
        <v>13.65</v>
      </c>
      <c r="Y242" s="9">
        <f t="shared" si="19"/>
        <v>18432.419999999998</v>
      </c>
      <c r="AD242" s="4" t="s">
        <v>980</v>
      </c>
      <c r="AE242" s="4" t="s">
        <v>981</v>
      </c>
      <c r="AF242" s="4" t="s">
        <v>982</v>
      </c>
    </row>
    <row r="243" spans="1:35" ht="18" x14ac:dyDescent="0.3">
      <c r="A243" s="10" t="s">
        <v>983</v>
      </c>
      <c r="B243" s="10"/>
      <c r="C243" s="17" t="s">
        <v>984</v>
      </c>
      <c r="D243" s="12"/>
      <c r="E243" s="12"/>
      <c r="F243" s="18" t="s">
        <v>99</v>
      </c>
      <c r="G243" s="19">
        <v>0.25</v>
      </c>
      <c r="H243" s="19"/>
      <c r="I243" s="19">
        <v>56.265000000000001</v>
      </c>
      <c r="J243" s="20">
        <v>40.94</v>
      </c>
      <c r="M243" s="21">
        <f>ROUND(ROUND(J243, 2)*I243, 2)</f>
        <v>2303.4899999999998</v>
      </c>
      <c r="P243" s="22">
        <v>40.94</v>
      </c>
      <c r="S243" s="21">
        <f>ROUND(ROUND(P243, 2)*I243, 2)</f>
        <v>2303.4899999999998</v>
      </c>
      <c r="V243" s="9">
        <f>ROUND(ROUND(P243, 2)/1.2, 2)</f>
        <v>34.119999999999997</v>
      </c>
      <c r="Y243" s="9">
        <f t="shared" si="19"/>
        <v>1919.58</v>
      </c>
      <c r="AD243" s="4" t="s">
        <v>985</v>
      </c>
      <c r="AE243" s="4" t="s">
        <v>986</v>
      </c>
      <c r="AF243" s="4" t="s">
        <v>987</v>
      </c>
    </row>
    <row r="244" spans="1:35" ht="36" x14ac:dyDescent="0.3">
      <c r="A244" s="10" t="s">
        <v>988</v>
      </c>
      <c r="B244" s="10"/>
      <c r="C244" s="17" t="s">
        <v>720</v>
      </c>
      <c r="D244" s="12"/>
      <c r="E244" s="12"/>
      <c r="F244" s="18" t="s">
        <v>99</v>
      </c>
      <c r="G244" s="19">
        <v>0.15</v>
      </c>
      <c r="H244" s="19"/>
      <c r="I244" s="19">
        <v>33.759</v>
      </c>
      <c r="J244" s="20">
        <v>90.28</v>
      </c>
      <c r="M244" s="21">
        <f>ROUND(ROUND(J244, 2)*I244, 2)</f>
        <v>3047.76</v>
      </c>
      <c r="P244" s="22">
        <v>90.28</v>
      </c>
      <c r="S244" s="21">
        <f>ROUND(ROUND(P244, 2)*I244, 2)</f>
        <v>3047.76</v>
      </c>
      <c r="V244" s="9">
        <f>ROUND(ROUND(P244, 2)/1.2, 2)</f>
        <v>75.23</v>
      </c>
      <c r="Y244" s="9">
        <f t="shared" si="19"/>
        <v>2539.8000000000002</v>
      </c>
      <c r="AD244" s="4" t="s">
        <v>989</v>
      </c>
      <c r="AE244" s="4" t="s">
        <v>990</v>
      </c>
      <c r="AF244" s="4" t="s">
        <v>723</v>
      </c>
    </row>
    <row r="245" spans="1:35" ht="144" x14ac:dyDescent="0.3">
      <c r="A245" s="10" t="s">
        <v>991</v>
      </c>
      <c r="B245" s="10" t="s">
        <v>967</v>
      </c>
      <c r="C245" s="11" t="s">
        <v>968</v>
      </c>
      <c r="D245" s="12"/>
      <c r="E245" s="12" t="s">
        <v>992</v>
      </c>
      <c r="F245" s="12" t="s">
        <v>58</v>
      </c>
      <c r="G245" s="13">
        <v>1</v>
      </c>
      <c r="H245" s="13"/>
      <c r="I245" s="13">
        <v>107.84</v>
      </c>
      <c r="J245" s="14">
        <f>IFERROR(ROUND(SUM(M246,M247,M248,M249)/I245, 2),0)</f>
        <v>1570.26</v>
      </c>
      <c r="K245" s="15">
        <v>2310</v>
      </c>
      <c r="L245" s="14">
        <f>J245+ROUND(K245, 2)</f>
        <v>3880.26</v>
      </c>
      <c r="M245" s="14">
        <f>ROUND(J245*I245, 2)</f>
        <v>169336.84</v>
      </c>
      <c r="N245" s="14">
        <f>ROUND(I245*ROUND(K245, 2), 2)</f>
        <v>249110.39999999999</v>
      </c>
      <c r="O245" s="14">
        <f>M245+N245</f>
        <v>418447.24</v>
      </c>
      <c r="P245" s="14">
        <f>IFERROR(ROUND(SUM(S246,S247,S248,S249)/I245, 2),0)</f>
        <v>1570.26</v>
      </c>
      <c r="Q245" s="16">
        <v>3300</v>
      </c>
      <c r="R245" s="14">
        <f>P245+ROUND(Q245, 2)</f>
        <v>4870.26</v>
      </c>
      <c r="S245" s="14">
        <f>ROUND(P245*I245, 2)</f>
        <v>169336.84</v>
      </c>
      <c r="T245" s="14">
        <f>ROUND(I245*ROUND(Q245, 2), 2)</f>
        <v>355872</v>
      </c>
      <c r="U245" s="14">
        <f>S245+T245</f>
        <v>525208.84</v>
      </c>
      <c r="V245" s="9">
        <f>ROUND(P245 / 1.2, 2)</f>
        <v>1308.55</v>
      </c>
      <c r="W245" s="9">
        <f>ROUND(Q245 / 1.2, 2)</f>
        <v>2750</v>
      </c>
      <c r="X245" s="9">
        <f>ROUND(R245 / 1.2, 2)</f>
        <v>4058.55</v>
      </c>
      <c r="Y245" s="9">
        <f t="shared" si="19"/>
        <v>141114.03</v>
      </c>
      <c r="Z245" s="9">
        <f>ROUND(T245 / 1.2, 2)</f>
        <v>296560</v>
      </c>
      <c r="AA245" s="9">
        <f>Y245+Z245</f>
        <v>437674.03</v>
      </c>
      <c r="AD245" s="4">
        <v>311044439</v>
      </c>
      <c r="AE245" s="4">
        <v>22896621</v>
      </c>
      <c r="AG245" s="4" t="s">
        <v>970</v>
      </c>
      <c r="AH245" s="4" t="s">
        <v>971</v>
      </c>
      <c r="AI245" s="4" t="s">
        <v>469</v>
      </c>
    </row>
    <row r="246" spans="1:35" ht="36" x14ac:dyDescent="0.3">
      <c r="A246" s="10" t="s">
        <v>993</v>
      </c>
      <c r="B246" s="10"/>
      <c r="C246" s="17" t="s">
        <v>720</v>
      </c>
      <c r="D246" s="12"/>
      <c r="E246" s="12"/>
      <c r="F246" s="18" t="s">
        <v>99</v>
      </c>
      <c r="G246" s="19">
        <v>0.15</v>
      </c>
      <c r="H246" s="19"/>
      <c r="I246" s="19">
        <v>16.175999999999998</v>
      </c>
      <c r="J246" s="20">
        <v>90.28</v>
      </c>
      <c r="M246" s="21">
        <f>ROUND(ROUND(J246, 2)*I246, 2)</f>
        <v>1460.37</v>
      </c>
      <c r="P246" s="22">
        <v>90.28</v>
      </c>
      <c r="S246" s="21">
        <f>ROUND(ROUND(P246, 2)*I246, 2)</f>
        <v>1460.37</v>
      </c>
      <c r="V246" s="9">
        <f>ROUND(ROUND(P246, 2)/1.2, 2)</f>
        <v>75.23</v>
      </c>
      <c r="Y246" s="9">
        <f t="shared" si="19"/>
        <v>1216.98</v>
      </c>
      <c r="AD246" s="4" t="s">
        <v>994</v>
      </c>
      <c r="AE246" s="4" t="s">
        <v>995</v>
      </c>
      <c r="AF246" s="4" t="s">
        <v>723</v>
      </c>
    </row>
    <row r="247" spans="1:35" ht="18" x14ac:dyDescent="0.3">
      <c r="A247" s="10" t="s">
        <v>996</v>
      </c>
      <c r="B247" s="10"/>
      <c r="C247" s="17" t="s">
        <v>984</v>
      </c>
      <c r="D247" s="12"/>
      <c r="E247" s="12"/>
      <c r="F247" s="18" t="s">
        <v>99</v>
      </c>
      <c r="G247" s="19">
        <v>0.25</v>
      </c>
      <c r="H247" s="19"/>
      <c r="I247" s="19">
        <v>26.96</v>
      </c>
      <c r="J247" s="20">
        <v>40.94</v>
      </c>
      <c r="M247" s="21">
        <f>ROUND(ROUND(J247, 2)*I247, 2)</f>
        <v>1103.74</v>
      </c>
      <c r="P247" s="22">
        <v>40.94</v>
      </c>
      <c r="S247" s="21">
        <f>ROUND(ROUND(P247, 2)*I247, 2)</f>
        <v>1103.74</v>
      </c>
      <c r="V247" s="9">
        <f>ROUND(ROUND(P247, 2)/1.2, 2)</f>
        <v>34.119999999999997</v>
      </c>
      <c r="Y247" s="9">
        <f t="shared" si="19"/>
        <v>919.78</v>
      </c>
      <c r="AD247" s="4" t="s">
        <v>997</v>
      </c>
      <c r="AE247" s="4" t="s">
        <v>998</v>
      </c>
      <c r="AF247" s="4" t="s">
        <v>987</v>
      </c>
    </row>
    <row r="248" spans="1:35" ht="36" x14ac:dyDescent="0.3">
      <c r="A248" s="10" t="s">
        <v>999</v>
      </c>
      <c r="B248" s="10"/>
      <c r="C248" s="23" t="s">
        <v>979</v>
      </c>
      <c r="D248" s="12"/>
      <c r="E248" s="12"/>
      <c r="F248" s="18" t="s">
        <v>99</v>
      </c>
      <c r="G248" s="19">
        <v>1.2</v>
      </c>
      <c r="H248" s="24"/>
      <c r="I248" s="24">
        <v>647.04</v>
      </c>
      <c r="J248" s="20">
        <v>16.38</v>
      </c>
      <c r="M248" s="21">
        <f>ROUND(ROUND(J248, 2)*I248, 2)</f>
        <v>10598.52</v>
      </c>
      <c r="P248" s="22">
        <v>16.38</v>
      </c>
      <c r="S248" s="21">
        <f>ROUND(ROUND(P248, 2)*I248, 2)</f>
        <v>10598.52</v>
      </c>
      <c r="V248" s="9">
        <f>ROUND(ROUND(P248, 2)/1.2, 2)</f>
        <v>13.65</v>
      </c>
      <c r="Y248" s="9">
        <f t="shared" si="19"/>
        <v>8832.1</v>
      </c>
      <c r="AD248" s="4" t="s">
        <v>1000</v>
      </c>
      <c r="AE248" s="4" t="s">
        <v>1001</v>
      </c>
      <c r="AF248" s="4" t="s">
        <v>982</v>
      </c>
    </row>
    <row r="249" spans="1:35" ht="54" x14ac:dyDescent="0.3">
      <c r="A249" s="10" t="s">
        <v>1002</v>
      </c>
      <c r="B249" s="10"/>
      <c r="C249" s="17" t="s">
        <v>1003</v>
      </c>
      <c r="D249" s="12"/>
      <c r="E249" s="12" t="s">
        <v>1004</v>
      </c>
      <c r="F249" s="18" t="s">
        <v>139</v>
      </c>
      <c r="G249" s="19">
        <v>4</v>
      </c>
      <c r="H249" s="19"/>
      <c r="I249" s="19">
        <v>431.36</v>
      </c>
      <c r="J249" s="20">
        <v>362.05</v>
      </c>
      <c r="M249" s="21">
        <f>ROUND(ROUND(J249, 2)*I249, 2)</f>
        <v>156173.89000000001</v>
      </c>
      <c r="P249" s="22">
        <v>362.05</v>
      </c>
      <c r="S249" s="21">
        <f>ROUND(ROUND(P249, 2)*I249, 2)</f>
        <v>156173.89000000001</v>
      </c>
      <c r="V249" s="9">
        <f>ROUND(ROUND(P249, 2)/1.2, 2)</f>
        <v>301.70999999999998</v>
      </c>
      <c r="Y249" s="9">
        <f t="shared" si="19"/>
        <v>130144.91</v>
      </c>
      <c r="AD249" s="4" t="s">
        <v>1005</v>
      </c>
      <c r="AE249" s="4" t="s">
        <v>1006</v>
      </c>
      <c r="AF249" s="4" t="s">
        <v>1007</v>
      </c>
    </row>
    <row r="250" spans="1:35" ht="126" x14ac:dyDescent="0.3">
      <c r="A250" s="10" t="s">
        <v>1008</v>
      </c>
      <c r="B250" s="10" t="s">
        <v>967</v>
      </c>
      <c r="C250" s="11" t="s">
        <v>968</v>
      </c>
      <c r="D250" s="12"/>
      <c r="E250" s="12" t="s">
        <v>1009</v>
      </c>
      <c r="F250" s="12" t="s">
        <v>58</v>
      </c>
      <c r="G250" s="13">
        <v>1</v>
      </c>
      <c r="H250" s="13"/>
      <c r="I250" s="13">
        <v>177.36</v>
      </c>
      <c r="J250" s="14">
        <f>IFERROR(ROUND(SUM(M251,M252,M253,M254)/I250, 2),0)</f>
        <v>4597.0200000000004</v>
      </c>
      <c r="K250" s="15">
        <v>2310</v>
      </c>
      <c r="L250" s="14">
        <f>J250+ROUND(K250, 2)</f>
        <v>6907.02</v>
      </c>
      <c r="M250" s="14">
        <f>ROUND(J250*I250, 2)</f>
        <v>815327.47</v>
      </c>
      <c r="N250" s="14">
        <f>ROUND(I250*ROUND(K250, 2), 2)</f>
        <v>409701.6</v>
      </c>
      <c r="O250" s="14">
        <f>M250+N250</f>
        <v>1225029.0699999998</v>
      </c>
      <c r="P250" s="14">
        <f>IFERROR(ROUND(SUM(S251,S252,S253,S254)/I250, 2),0)</f>
        <v>4597.0200000000004</v>
      </c>
      <c r="Q250" s="16">
        <v>3300</v>
      </c>
      <c r="R250" s="14">
        <f>P250+ROUND(Q250, 2)</f>
        <v>7897.02</v>
      </c>
      <c r="S250" s="14">
        <f>ROUND(P250*I250, 2)</f>
        <v>815327.47</v>
      </c>
      <c r="T250" s="14">
        <f>ROUND(I250*ROUND(Q250, 2), 2)</f>
        <v>585288</v>
      </c>
      <c r="U250" s="14">
        <f>S250+T250</f>
        <v>1400615.47</v>
      </c>
      <c r="V250" s="9">
        <f>ROUND(P250 / 1.2, 2)</f>
        <v>3830.85</v>
      </c>
      <c r="W250" s="9">
        <f>ROUND(Q250 / 1.2, 2)</f>
        <v>2750</v>
      </c>
      <c r="X250" s="9">
        <f>ROUND(R250 / 1.2, 2)</f>
        <v>6580.85</v>
      </c>
      <c r="Y250" s="9">
        <f t="shared" ref="Y250:Y284" si="20">ROUND(S250 / 1.2, 2)</f>
        <v>679439.56</v>
      </c>
      <c r="Z250" s="9">
        <f>ROUND(T250 / 1.2, 2)</f>
        <v>487740</v>
      </c>
      <c r="AA250" s="9">
        <f>Y250+Z250</f>
        <v>1167179.56</v>
      </c>
      <c r="AD250" s="4">
        <v>311044440</v>
      </c>
      <c r="AE250" s="4">
        <v>22896623</v>
      </c>
      <c r="AG250" s="4" t="s">
        <v>970</v>
      </c>
      <c r="AH250" s="4" t="s">
        <v>971</v>
      </c>
      <c r="AI250" s="4" t="s">
        <v>469</v>
      </c>
    </row>
    <row r="251" spans="1:35" ht="54" x14ac:dyDescent="0.3">
      <c r="A251" s="10" t="s">
        <v>1010</v>
      </c>
      <c r="B251" s="10"/>
      <c r="C251" s="23" t="s">
        <v>973</v>
      </c>
      <c r="D251" s="12"/>
      <c r="E251" s="12" t="s">
        <v>1011</v>
      </c>
      <c r="F251" s="18" t="s">
        <v>139</v>
      </c>
      <c r="G251" s="19">
        <v>4</v>
      </c>
      <c r="H251" s="19"/>
      <c r="I251" s="19">
        <v>709.44</v>
      </c>
      <c r="J251" s="20">
        <v>1118.74</v>
      </c>
      <c r="M251" s="21">
        <f>ROUND(ROUND(J251, 2)*I251, 2)</f>
        <v>793678.91</v>
      </c>
      <c r="P251" s="22">
        <v>1118.74</v>
      </c>
      <c r="S251" s="21">
        <f>ROUND(ROUND(P251, 2)*I251, 2)</f>
        <v>793678.91</v>
      </c>
      <c r="V251" s="9">
        <f>ROUND(ROUND(P251, 2)/1.2, 2)</f>
        <v>932.28</v>
      </c>
      <c r="Y251" s="9">
        <f t="shared" si="20"/>
        <v>661399.09</v>
      </c>
      <c r="AD251" s="4" t="s">
        <v>1012</v>
      </c>
      <c r="AE251" s="4" t="s">
        <v>1013</v>
      </c>
      <c r="AF251" s="4" t="s">
        <v>977</v>
      </c>
    </row>
    <row r="252" spans="1:35" ht="36" x14ac:dyDescent="0.3">
      <c r="A252" s="10" t="s">
        <v>1014</v>
      </c>
      <c r="B252" s="10"/>
      <c r="C252" s="23" t="s">
        <v>979</v>
      </c>
      <c r="D252" s="12"/>
      <c r="E252" s="12"/>
      <c r="F252" s="18" t="s">
        <v>99</v>
      </c>
      <c r="G252" s="19">
        <v>1.2</v>
      </c>
      <c r="H252" s="24"/>
      <c r="I252" s="24">
        <v>1064.1600000000001</v>
      </c>
      <c r="J252" s="20">
        <v>16.38</v>
      </c>
      <c r="M252" s="21">
        <f>ROUND(ROUND(J252, 2)*I252, 2)</f>
        <v>17430.939999999999</v>
      </c>
      <c r="P252" s="22">
        <v>16.38</v>
      </c>
      <c r="S252" s="21">
        <f>ROUND(ROUND(P252, 2)*I252, 2)</f>
        <v>17430.939999999999</v>
      </c>
      <c r="V252" s="9">
        <f>ROUND(ROUND(P252, 2)/1.2, 2)</f>
        <v>13.65</v>
      </c>
      <c r="Y252" s="9">
        <f t="shared" si="20"/>
        <v>14525.78</v>
      </c>
      <c r="AD252" s="4" t="s">
        <v>1015</v>
      </c>
      <c r="AE252" s="4" t="s">
        <v>1016</v>
      </c>
      <c r="AF252" s="4" t="s">
        <v>982</v>
      </c>
    </row>
    <row r="253" spans="1:35" ht="18" x14ac:dyDescent="0.3">
      <c r="A253" s="10" t="s">
        <v>1017</v>
      </c>
      <c r="B253" s="10"/>
      <c r="C253" s="17" t="s">
        <v>984</v>
      </c>
      <c r="D253" s="12"/>
      <c r="E253" s="12"/>
      <c r="F253" s="18" t="s">
        <v>99</v>
      </c>
      <c r="G253" s="19">
        <v>0.25</v>
      </c>
      <c r="H253" s="19"/>
      <c r="I253" s="19">
        <v>44.34</v>
      </c>
      <c r="J253" s="20">
        <v>40.94</v>
      </c>
      <c r="M253" s="21">
        <f>ROUND(ROUND(J253, 2)*I253, 2)</f>
        <v>1815.28</v>
      </c>
      <c r="P253" s="22">
        <v>40.94</v>
      </c>
      <c r="S253" s="21">
        <f>ROUND(ROUND(P253, 2)*I253, 2)</f>
        <v>1815.28</v>
      </c>
      <c r="V253" s="9">
        <f>ROUND(ROUND(P253, 2)/1.2, 2)</f>
        <v>34.119999999999997</v>
      </c>
      <c r="Y253" s="9">
        <f t="shared" si="20"/>
        <v>1512.73</v>
      </c>
      <c r="AD253" s="4" t="s">
        <v>1018</v>
      </c>
      <c r="AE253" s="4" t="s">
        <v>1019</v>
      </c>
      <c r="AF253" s="4" t="s">
        <v>987</v>
      </c>
    </row>
    <row r="254" spans="1:35" ht="36" x14ac:dyDescent="0.3">
      <c r="A254" s="10" t="s">
        <v>1020</v>
      </c>
      <c r="B254" s="10"/>
      <c r="C254" s="17" t="s">
        <v>720</v>
      </c>
      <c r="D254" s="12"/>
      <c r="E254" s="12"/>
      <c r="F254" s="18" t="s">
        <v>99</v>
      </c>
      <c r="G254" s="19">
        <v>0.15</v>
      </c>
      <c r="H254" s="19"/>
      <c r="I254" s="19">
        <v>26.603999999999999</v>
      </c>
      <c r="J254" s="20">
        <v>90.28</v>
      </c>
      <c r="M254" s="21">
        <f>ROUND(ROUND(J254, 2)*I254, 2)</f>
        <v>2401.81</v>
      </c>
      <c r="P254" s="22">
        <v>90.28</v>
      </c>
      <c r="S254" s="21">
        <f>ROUND(ROUND(P254, 2)*I254, 2)</f>
        <v>2401.81</v>
      </c>
      <c r="V254" s="9">
        <f>ROUND(ROUND(P254, 2)/1.2, 2)</f>
        <v>75.23</v>
      </c>
      <c r="Y254" s="9">
        <f t="shared" si="20"/>
        <v>2001.51</v>
      </c>
      <c r="AD254" s="4" t="s">
        <v>1021</v>
      </c>
      <c r="AE254" s="4" t="s">
        <v>1022</v>
      </c>
      <c r="AF254" s="4" t="s">
        <v>723</v>
      </c>
    </row>
    <row r="255" spans="1:35" ht="108" x14ac:dyDescent="0.3">
      <c r="A255" s="10" t="s">
        <v>1023</v>
      </c>
      <c r="B255" s="10" t="s">
        <v>967</v>
      </c>
      <c r="C255" s="11" t="s">
        <v>968</v>
      </c>
      <c r="D255" s="12"/>
      <c r="E255" s="12" t="s">
        <v>1024</v>
      </c>
      <c r="F255" s="12" t="s">
        <v>58</v>
      </c>
      <c r="G255" s="13">
        <v>1</v>
      </c>
      <c r="H255" s="13"/>
      <c r="I255" s="13">
        <v>28.49</v>
      </c>
      <c r="J255" s="14">
        <f>IFERROR(ROUND(SUM(M256,M257,M258,M259)/I255, 2),0)</f>
        <v>1570.26</v>
      </c>
      <c r="K255" s="15">
        <v>2310</v>
      </c>
      <c r="L255" s="14">
        <f>J255+ROUND(K255, 2)</f>
        <v>3880.26</v>
      </c>
      <c r="M255" s="14">
        <f>ROUND(J255*I255, 2)</f>
        <v>44736.71</v>
      </c>
      <c r="N255" s="14">
        <f>ROUND(I255*ROUND(K255, 2), 2)</f>
        <v>65811.899999999994</v>
      </c>
      <c r="O255" s="14">
        <f>M255+N255</f>
        <v>110548.60999999999</v>
      </c>
      <c r="P255" s="14">
        <f>IFERROR(ROUND(SUM(S256,S257,S258,S259)/I255, 2),0)</f>
        <v>1570.26</v>
      </c>
      <c r="Q255" s="16">
        <v>3300</v>
      </c>
      <c r="R255" s="14">
        <f>P255+ROUND(Q255, 2)</f>
        <v>4870.26</v>
      </c>
      <c r="S255" s="14">
        <f>ROUND(P255*I255, 2)</f>
        <v>44736.71</v>
      </c>
      <c r="T255" s="14">
        <f>ROUND(I255*ROUND(Q255, 2), 2)</f>
        <v>94017</v>
      </c>
      <c r="U255" s="14">
        <f>S255+T255</f>
        <v>138753.71</v>
      </c>
      <c r="V255" s="9">
        <f>ROUND(P255 / 1.2, 2)</f>
        <v>1308.55</v>
      </c>
      <c r="W255" s="9">
        <f>ROUND(Q255 / 1.2, 2)</f>
        <v>2750</v>
      </c>
      <c r="X255" s="9">
        <f>ROUND(R255 / 1.2, 2)</f>
        <v>4058.55</v>
      </c>
      <c r="Y255" s="9">
        <f t="shared" si="20"/>
        <v>37280.589999999997</v>
      </c>
      <c r="Z255" s="9">
        <f>ROUND(T255 / 1.2, 2)</f>
        <v>78347.5</v>
      </c>
      <c r="AA255" s="9">
        <f>Y255+Z255</f>
        <v>115628.09</v>
      </c>
      <c r="AD255" s="4">
        <v>311044441</v>
      </c>
      <c r="AE255" s="4">
        <v>22896626</v>
      </c>
      <c r="AG255" s="4" t="s">
        <v>970</v>
      </c>
      <c r="AH255" s="4" t="s">
        <v>971</v>
      </c>
      <c r="AI255" s="4" t="s">
        <v>469</v>
      </c>
    </row>
    <row r="256" spans="1:35" ht="36" x14ac:dyDescent="0.3">
      <c r="A256" s="10" t="s">
        <v>1025</v>
      </c>
      <c r="B256" s="10"/>
      <c r="C256" s="17" t="s">
        <v>720</v>
      </c>
      <c r="D256" s="12"/>
      <c r="E256" s="12"/>
      <c r="F256" s="18" t="s">
        <v>99</v>
      </c>
      <c r="G256" s="19">
        <v>0.15</v>
      </c>
      <c r="H256" s="19"/>
      <c r="I256" s="19">
        <v>4.274</v>
      </c>
      <c r="J256" s="20">
        <v>90.28</v>
      </c>
      <c r="M256" s="21">
        <f>ROUND(ROUND(J256, 2)*I256, 2)</f>
        <v>385.86</v>
      </c>
      <c r="P256" s="22">
        <v>90.28</v>
      </c>
      <c r="S256" s="21">
        <f>ROUND(ROUND(P256, 2)*I256, 2)</f>
        <v>385.86</v>
      </c>
      <c r="V256" s="9">
        <f>ROUND(ROUND(P256, 2)/1.2, 2)</f>
        <v>75.23</v>
      </c>
      <c r="Y256" s="9">
        <f t="shared" si="20"/>
        <v>321.55</v>
      </c>
      <c r="AD256" s="4" t="s">
        <v>1026</v>
      </c>
      <c r="AE256" s="4" t="s">
        <v>1027</v>
      </c>
      <c r="AF256" s="4" t="s">
        <v>723</v>
      </c>
    </row>
    <row r="257" spans="1:35" ht="18" x14ac:dyDescent="0.3">
      <c r="A257" s="10" t="s">
        <v>1028</v>
      </c>
      <c r="B257" s="10"/>
      <c r="C257" s="17" t="s">
        <v>984</v>
      </c>
      <c r="D257" s="12"/>
      <c r="E257" s="12"/>
      <c r="F257" s="18" t="s">
        <v>99</v>
      </c>
      <c r="G257" s="19">
        <v>0.25</v>
      </c>
      <c r="H257" s="19"/>
      <c r="I257" s="19">
        <v>7.1230000000000002</v>
      </c>
      <c r="J257" s="20">
        <v>40.94</v>
      </c>
      <c r="M257" s="21">
        <f>ROUND(ROUND(J257, 2)*I257, 2)</f>
        <v>291.62</v>
      </c>
      <c r="P257" s="22">
        <v>40.94</v>
      </c>
      <c r="S257" s="21">
        <f>ROUND(ROUND(P257, 2)*I257, 2)</f>
        <v>291.62</v>
      </c>
      <c r="V257" s="9">
        <f>ROUND(ROUND(P257, 2)/1.2, 2)</f>
        <v>34.119999999999997</v>
      </c>
      <c r="Y257" s="9">
        <f t="shared" si="20"/>
        <v>243.02</v>
      </c>
      <c r="AD257" s="4" t="s">
        <v>1029</v>
      </c>
      <c r="AE257" s="4" t="s">
        <v>1030</v>
      </c>
      <c r="AF257" s="4" t="s">
        <v>987</v>
      </c>
    </row>
    <row r="258" spans="1:35" ht="36" x14ac:dyDescent="0.3">
      <c r="A258" s="10" t="s">
        <v>1031</v>
      </c>
      <c r="B258" s="10"/>
      <c r="C258" s="23" t="s">
        <v>979</v>
      </c>
      <c r="D258" s="12"/>
      <c r="E258" s="12"/>
      <c r="F258" s="18" t="s">
        <v>99</v>
      </c>
      <c r="G258" s="19">
        <v>1.2</v>
      </c>
      <c r="H258" s="24"/>
      <c r="I258" s="24">
        <v>170.94</v>
      </c>
      <c r="J258" s="20">
        <v>16.38</v>
      </c>
      <c r="M258" s="21">
        <f>ROUND(ROUND(J258, 2)*I258, 2)</f>
        <v>2800</v>
      </c>
      <c r="P258" s="22">
        <v>16.38</v>
      </c>
      <c r="S258" s="21">
        <f>ROUND(ROUND(P258, 2)*I258, 2)</f>
        <v>2800</v>
      </c>
      <c r="V258" s="9">
        <f>ROUND(ROUND(P258, 2)/1.2, 2)</f>
        <v>13.65</v>
      </c>
      <c r="Y258" s="9">
        <f t="shared" si="20"/>
        <v>2333.33</v>
      </c>
      <c r="AD258" s="4" t="s">
        <v>1032</v>
      </c>
      <c r="AE258" s="4" t="s">
        <v>1033</v>
      </c>
      <c r="AF258" s="4" t="s">
        <v>982</v>
      </c>
    </row>
    <row r="259" spans="1:35" ht="54" x14ac:dyDescent="0.3">
      <c r="A259" s="10" t="s">
        <v>1034</v>
      </c>
      <c r="B259" s="10"/>
      <c r="C259" s="17" t="s">
        <v>1003</v>
      </c>
      <c r="D259" s="12"/>
      <c r="E259" s="12" t="s">
        <v>1011</v>
      </c>
      <c r="F259" s="18" t="s">
        <v>139</v>
      </c>
      <c r="G259" s="19">
        <v>4</v>
      </c>
      <c r="H259" s="19"/>
      <c r="I259" s="19">
        <v>113.96</v>
      </c>
      <c r="J259" s="20">
        <v>362.05</v>
      </c>
      <c r="M259" s="21">
        <f>ROUND(ROUND(J259, 2)*I259, 2)</f>
        <v>41259.22</v>
      </c>
      <c r="P259" s="22">
        <v>362.05</v>
      </c>
      <c r="S259" s="21">
        <f>ROUND(ROUND(P259, 2)*I259, 2)</f>
        <v>41259.22</v>
      </c>
      <c r="V259" s="9">
        <f>ROUND(ROUND(P259, 2)/1.2, 2)</f>
        <v>301.70999999999998</v>
      </c>
      <c r="Y259" s="9">
        <f t="shared" si="20"/>
        <v>34382.68</v>
      </c>
      <c r="AD259" s="4" t="s">
        <v>1035</v>
      </c>
      <c r="AE259" s="4" t="s">
        <v>1036</v>
      </c>
      <c r="AF259" s="4" t="s">
        <v>1007</v>
      </c>
    </row>
    <row r="260" spans="1:35" ht="162" x14ac:dyDescent="0.3">
      <c r="A260" s="10" t="s">
        <v>1037</v>
      </c>
      <c r="B260" s="10" t="s">
        <v>1038</v>
      </c>
      <c r="C260" s="11" t="s">
        <v>1039</v>
      </c>
      <c r="D260" s="12"/>
      <c r="E260" s="12" t="s">
        <v>1040</v>
      </c>
      <c r="F260" s="12" t="s">
        <v>258</v>
      </c>
      <c r="G260" s="13">
        <v>1</v>
      </c>
      <c r="H260" s="13"/>
      <c r="I260" s="13">
        <v>1146.0999999999999</v>
      </c>
      <c r="J260" s="14">
        <f>IFERROR(ROUND(SUM(M261,M262,M263,M264)/I260, 2),0)</f>
        <v>255.17</v>
      </c>
      <c r="K260" s="15">
        <v>472.99</v>
      </c>
      <c r="L260" s="14">
        <f>J260+ROUND(K260, 2)</f>
        <v>728.16</v>
      </c>
      <c r="M260" s="14">
        <f>ROUND(J260*I260, 2)</f>
        <v>292450.34000000003</v>
      </c>
      <c r="N260" s="14">
        <f>ROUND(I260*ROUND(K260, 2), 2)</f>
        <v>542093.84</v>
      </c>
      <c r="O260" s="14">
        <f>M260+N260</f>
        <v>834544.17999999993</v>
      </c>
      <c r="P260" s="14">
        <f>IFERROR(ROUND(SUM(S261,S262,S263,S264)/I260, 2),0)</f>
        <v>255.17</v>
      </c>
      <c r="Q260" s="16">
        <v>675.7</v>
      </c>
      <c r="R260" s="14">
        <f>P260+ROUND(Q260, 2)</f>
        <v>930.87</v>
      </c>
      <c r="S260" s="14">
        <f>ROUND(P260*I260, 2)</f>
        <v>292450.34000000003</v>
      </c>
      <c r="T260" s="14">
        <f>ROUND(I260*ROUND(Q260, 2), 2)</f>
        <v>774419.77</v>
      </c>
      <c r="U260" s="14">
        <f>S260+T260</f>
        <v>1066870.1100000001</v>
      </c>
      <c r="V260" s="9">
        <f>ROUND(P260 / 1.2, 2)</f>
        <v>212.64</v>
      </c>
      <c r="W260" s="9">
        <f>ROUND(Q260 / 1.2, 2)</f>
        <v>563.08000000000004</v>
      </c>
      <c r="X260" s="9">
        <f>ROUND(R260 / 1.2, 2)</f>
        <v>775.73</v>
      </c>
      <c r="Y260" s="9">
        <f t="shared" si="20"/>
        <v>243708.62</v>
      </c>
      <c r="Z260" s="9">
        <f>ROUND(T260 / 1.2, 2)</f>
        <v>645349.81000000006</v>
      </c>
      <c r="AA260" s="9">
        <f>Y260+Z260</f>
        <v>889058.43</v>
      </c>
      <c r="AD260" s="4">
        <v>311044356</v>
      </c>
      <c r="AE260" s="4">
        <v>22896630</v>
      </c>
      <c r="AG260" s="4" t="s">
        <v>1041</v>
      </c>
      <c r="AH260" s="4" t="s">
        <v>1042</v>
      </c>
      <c r="AI260" s="4" t="s">
        <v>469</v>
      </c>
    </row>
    <row r="261" spans="1:35" ht="54" x14ac:dyDescent="0.3">
      <c r="A261" s="10" t="s">
        <v>1043</v>
      </c>
      <c r="B261" s="10"/>
      <c r="C261" s="17" t="s">
        <v>1044</v>
      </c>
      <c r="D261" s="12"/>
      <c r="E261" s="12"/>
      <c r="F261" s="18" t="s">
        <v>139</v>
      </c>
      <c r="G261" s="19">
        <v>1.84</v>
      </c>
      <c r="H261" s="24"/>
      <c r="I261" s="24">
        <v>2108.8240000000001</v>
      </c>
      <c r="J261" s="20">
        <v>130.82</v>
      </c>
      <c r="M261" s="21">
        <f>ROUND(ROUND(J261, 2)*I261, 2)</f>
        <v>275876.36</v>
      </c>
      <c r="P261" s="22">
        <v>130.82</v>
      </c>
      <c r="S261" s="21">
        <f>ROUND(ROUND(P261, 2)*I261, 2)</f>
        <v>275876.36</v>
      </c>
      <c r="V261" s="9">
        <f>ROUND(ROUND(P261, 2)/1.2, 2)</f>
        <v>109.02</v>
      </c>
      <c r="Y261" s="9">
        <f t="shared" si="20"/>
        <v>229896.97</v>
      </c>
      <c r="AD261" s="4" t="s">
        <v>1045</v>
      </c>
      <c r="AE261" s="4" t="s">
        <v>1046</v>
      </c>
      <c r="AF261" s="4" t="s">
        <v>1047</v>
      </c>
    </row>
    <row r="262" spans="1:35" ht="36" x14ac:dyDescent="0.3">
      <c r="A262" s="10" t="s">
        <v>1048</v>
      </c>
      <c r="B262" s="10"/>
      <c r="C262" s="23" t="s">
        <v>1049</v>
      </c>
      <c r="D262" s="12"/>
      <c r="E262" s="12"/>
      <c r="F262" s="18" t="s">
        <v>99</v>
      </c>
      <c r="G262" s="19">
        <v>0.7</v>
      </c>
      <c r="H262" s="24"/>
      <c r="I262" s="24">
        <v>802.27</v>
      </c>
      <c r="J262" s="20">
        <v>16.38</v>
      </c>
      <c r="M262" s="21">
        <f>ROUND(ROUND(J262, 2)*I262, 2)</f>
        <v>13141.18</v>
      </c>
      <c r="P262" s="22">
        <v>16.38</v>
      </c>
      <c r="S262" s="21">
        <f>ROUND(ROUND(P262, 2)*I262, 2)</f>
        <v>13141.18</v>
      </c>
      <c r="V262" s="9">
        <f>ROUND(ROUND(P262, 2)/1.2, 2)</f>
        <v>13.65</v>
      </c>
      <c r="Y262" s="9">
        <f t="shared" si="20"/>
        <v>10950.98</v>
      </c>
      <c r="AD262" s="4" t="s">
        <v>1050</v>
      </c>
      <c r="AE262" s="4" t="s">
        <v>1051</v>
      </c>
      <c r="AF262" s="4" t="s">
        <v>1052</v>
      </c>
    </row>
    <row r="263" spans="1:35" ht="18" x14ac:dyDescent="0.3">
      <c r="A263" s="10" t="s">
        <v>1053</v>
      </c>
      <c r="B263" s="10"/>
      <c r="C263" s="17" t="s">
        <v>984</v>
      </c>
      <c r="D263" s="12"/>
      <c r="E263" s="12"/>
      <c r="F263" s="18" t="s">
        <v>99</v>
      </c>
      <c r="G263" s="19">
        <v>0.04</v>
      </c>
      <c r="H263" s="19"/>
      <c r="I263" s="19">
        <v>45.844000000000001</v>
      </c>
      <c r="J263" s="20">
        <v>40.94</v>
      </c>
      <c r="M263" s="21">
        <f>ROUND(ROUND(J263, 2)*I263, 2)</f>
        <v>1876.85</v>
      </c>
      <c r="P263" s="22">
        <v>40.94</v>
      </c>
      <c r="S263" s="21">
        <f>ROUND(ROUND(P263, 2)*I263, 2)</f>
        <v>1876.85</v>
      </c>
      <c r="V263" s="9">
        <f>ROUND(ROUND(P263, 2)/1.2, 2)</f>
        <v>34.119999999999997</v>
      </c>
      <c r="Y263" s="9">
        <f t="shared" si="20"/>
        <v>1564.04</v>
      </c>
      <c r="AD263" s="4" t="s">
        <v>1054</v>
      </c>
      <c r="AE263" s="4" t="s">
        <v>1055</v>
      </c>
      <c r="AF263" s="4" t="s">
        <v>987</v>
      </c>
    </row>
    <row r="264" spans="1:35" ht="36" x14ac:dyDescent="0.3">
      <c r="A264" s="10" t="s">
        <v>1056</v>
      </c>
      <c r="B264" s="10"/>
      <c r="C264" s="17" t="s">
        <v>1057</v>
      </c>
      <c r="D264" s="12"/>
      <c r="E264" s="12"/>
      <c r="F264" s="18" t="s">
        <v>99</v>
      </c>
      <c r="G264" s="19">
        <v>1.4999999999999999E-2</v>
      </c>
      <c r="H264" s="19"/>
      <c r="I264" s="19">
        <v>17.192</v>
      </c>
      <c r="J264" s="20">
        <v>90.28</v>
      </c>
      <c r="M264" s="21">
        <f>ROUND(ROUND(J264, 2)*I264, 2)</f>
        <v>1552.09</v>
      </c>
      <c r="P264" s="22">
        <v>90.28</v>
      </c>
      <c r="S264" s="21">
        <f>ROUND(ROUND(P264, 2)*I264, 2)</f>
        <v>1552.09</v>
      </c>
      <c r="V264" s="9">
        <f>ROUND(ROUND(P264, 2)/1.2, 2)</f>
        <v>75.23</v>
      </c>
      <c r="Y264" s="9">
        <f t="shared" si="20"/>
        <v>1293.4100000000001</v>
      </c>
      <c r="AD264" s="4" t="s">
        <v>1058</v>
      </c>
      <c r="AE264" s="4" t="s">
        <v>1059</v>
      </c>
      <c r="AF264" s="4" t="s">
        <v>1060</v>
      </c>
    </row>
    <row r="265" spans="1:35" ht="144" x14ac:dyDescent="0.3">
      <c r="A265" s="10" t="s">
        <v>1061</v>
      </c>
      <c r="B265" s="10" t="s">
        <v>1038</v>
      </c>
      <c r="C265" s="11" t="s">
        <v>1039</v>
      </c>
      <c r="D265" s="12"/>
      <c r="E265" s="12" t="s">
        <v>1062</v>
      </c>
      <c r="F265" s="12" t="s">
        <v>258</v>
      </c>
      <c r="G265" s="13">
        <v>1</v>
      </c>
      <c r="H265" s="13"/>
      <c r="I265" s="13">
        <v>1426.14</v>
      </c>
      <c r="J265" s="14">
        <f>IFERROR(ROUND(SUM(M266,M267,M268,M269)/I265, 2),0)</f>
        <v>64.78</v>
      </c>
      <c r="K265" s="15">
        <v>472.99</v>
      </c>
      <c r="L265" s="14">
        <f>J265+ROUND(K265, 2)</f>
        <v>537.77</v>
      </c>
      <c r="M265" s="14">
        <f>ROUND(J265*I265, 2)</f>
        <v>92385.35</v>
      </c>
      <c r="N265" s="14">
        <f>ROUND(I265*ROUND(K265, 2), 2)</f>
        <v>674549.96</v>
      </c>
      <c r="O265" s="14">
        <f>M265+N265</f>
        <v>766935.30999999994</v>
      </c>
      <c r="P265" s="14">
        <f>IFERROR(ROUND(SUM(S266,S267,S268,S269)/I265, 2),0)</f>
        <v>64.78</v>
      </c>
      <c r="Q265" s="16">
        <v>675.7</v>
      </c>
      <c r="R265" s="14">
        <f>P265+ROUND(Q265, 2)</f>
        <v>740.48</v>
      </c>
      <c r="S265" s="14">
        <f>ROUND(P265*I265, 2)</f>
        <v>92385.35</v>
      </c>
      <c r="T265" s="14">
        <f>ROUND(I265*ROUND(Q265, 2), 2)</f>
        <v>963642.8</v>
      </c>
      <c r="U265" s="14">
        <f>S265+T265</f>
        <v>1056028.1500000001</v>
      </c>
      <c r="V265" s="9">
        <f>ROUND(P265 / 1.2, 2)</f>
        <v>53.98</v>
      </c>
      <c r="W265" s="9">
        <f>ROUND(Q265 / 1.2, 2)</f>
        <v>563.08000000000004</v>
      </c>
      <c r="X265" s="9">
        <f>ROUND(R265 / 1.2, 2)</f>
        <v>617.07000000000005</v>
      </c>
      <c r="Y265" s="9">
        <f t="shared" si="20"/>
        <v>76987.789999999994</v>
      </c>
      <c r="Z265" s="9">
        <f>ROUND(T265 / 1.2, 2)</f>
        <v>803035.67</v>
      </c>
      <c r="AA265" s="9">
        <f>Y265+Z265</f>
        <v>880023.46000000008</v>
      </c>
      <c r="AD265" s="4">
        <v>311044442</v>
      </c>
      <c r="AE265" s="4">
        <v>22896633</v>
      </c>
      <c r="AG265" s="4" t="s">
        <v>1041</v>
      </c>
      <c r="AH265" s="4" t="s">
        <v>1042</v>
      </c>
      <c r="AI265" s="4" t="s">
        <v>469</v>
      </c>
    </row>
    <row r="266" spans="1:35" ht="36" x14ac:dyDescent="0.3">
      <c r="A266" s="10" t="s">
        <v>1063</v>
      </c>
      <c r="B266" s="10"/>
      <c r="C266" s="17" t="s">
        <v>1057</v>
      </c>
      <c r="D266" s="12"/>
      <c r="E266" s="12"/>
      <c r="F266" s="18" t="s">
        <v>99</v>
      </c>
      <c r="G266" s="19">
        <v>1.4999999999999999E-2</v>
      </c>
      <c r="H266" s="19"/>
      <c r="I266" s="19">
        <v>21.391999999999999</v>
      </c>
      <c r="J266" s="20">
        <v>90.28</v>
      </c>
      <c r="M266" s="21">
        <f>ROUND(ROUND(J266, 2)*I266, 2)</f>
        <v>1931.27</v>
      </c>
      <c r="P266" s="22">
        <v>90.28</v>
      </c>
      <c r="S266" s="21">
        <f>ROUND(ROUND(P266, 2)*I266, 2)</f>
        <v>1931.27</v>
      </c>
      <c r="V266" s="9">
        <f>ROUND(ROUND(P266, 2)/1.2, 2)</f>
        <v>75.23</v>
      </c>
      <c r="Y266" s="9">
        <f t="shared" si="20"/>
        <v>1609.39</v>
      </c>
      <c r="AD266" s="4" t="s">
        <v>1064</v>
      </c>
      <c r="AE266" s="4" t="s">
        <v>1065</v>
      </c>
      <c r="AF266" s="4" t="s">
        <v>1060</v>
      </c>
    </row>
    <row r="267" spans="1:35" ht="18" x14ac:dyDescent="0.3">
      <c r="A267" s="10" t="s">
        <v>1066</v>
      </c>
      <c r="B267" s="10"/>
      <c r="C267" s="17" t="s">
        <v>1067</v>
      </c>
      <c r="D267" s="12"/>
      <c r="E267" s="12"/>
      <c r="F267" s="18" t="s">
        <v>99</v>
      </c>
      <c r="G267" s="19">
        <v>0.04</v>
      </c>
      <c r="H267" s="19"/>
      <c r="I267" s="19">
        <v>57.045999999999999</v>
      </c>
      <c r="J267" s="20">
        <v>48.23</v>
      </c>
      <c r="M267" s="21">
        <f>ROUND(ROUND(J267, 2)*I267, 2)</f>
        <v>2751.33</v>
      </c>
      <c r="P267" s="22">
        <v>48.23</v>
      </c>
      <c r="S267" s="21">
        <f>ROUND(ROUND(P267, 2)*I267, 2)</f>
        <v>2751.33</v>
      </c>
      <c r="V267" s="9">
        <f>ROUND(ROUND(P267, 2)/1.2, 2)</f>
        <v>40.19</v>
      </c>
      <c r="Y267" s="9">
        <f t="shared" si="20"/>
        <v>2292.7800000000002</v>
      </c>
      <c r="AD267" s="4" t="s">
        <v>1068</v>
      </c>
      <c r="AE267" s="4" t="s">
        <v>1069</v>
      </c>
      <c r="AF267" s="4" t="s">
        <v>1070</v>
      </c>
    </row>
    <row r="268" spans="1:35" ht="36" x14ac:dyDescent="0.3">
      <c r="A268" s="10" t="s">
        <v>1071</v>
      </c>
      <c r="B268" s="10"/>
      <c r="C268" s="23" t="s">
        <v>1049</v>
      </c>
      <c r="D268" s="12"/>
      <c r="E268" s="12"/>
      <c r="F268" s="18" t="s">
        <v>99</v>
      </c>
      <c r="G268" s="19">
        <v>0.7</v>
      </c>
      <c r="H268" s="24"/>
      <c r="I268" s="24">
        <v>998.298</v>
      </c>
      <c r="J268" s="20">
        <v>16.38</v>
      </c>
      <c r="M268" s="21">
        <f>ROUND(ROUND(J268, 2)*I268, 2)</f>
        <v>16352.12</v>
      </c>
      <c r="P268" s="22">
        <v>16.38</v>
      </c>
      <c r="S268" s="21">
        <f>ROUND(ROUND(P268, 2)*I268, 2)</f>
        <v>16352.12</v>
      </c>
      <c r="V268" s="9">
        <f>ROUND(ROUND(P268, 2)/1.2, 2)</f>
        <v>13.65</v>
      </c>
      <c r="Y268" s="9">
        <f t="shared" si="20"/>
        <v>13626.77</v>
      </c>
      <c r="AD268" s="4" t="s">
        <v>1072</v>
      </c>
      <c r="AE268" s="4" t="s">
        <v>1073</v>
      </c>
      <c r="AF268" s="4" t="s">
        <v>1052</v>
      </c>
    </row>
    <row r="269" spans="1:35" ht="36" x14ac:dyDescent="0.3">
      <c r="A269" s="10" t="s">
        <v>1074</v>
      </c>
      <c r="B269" s="10"/>
      <c r="C269" s="23" t="s">
        <v>1075</v>
      </c>
      <c r="D269" s="12"/>
      <c r="E269" s="12"/>
      <c r="F269" s="18" t="s">
        <v>58</v>
      </c>
      <c r="G269" s="19">
        <v>0.11</v>
      </c>
      <c r="H269" s="19"/>
      <c r="I269" s="19">
        <v>156.875</v>
      </c>
      <c r="J269" s="20">
        <v>454.86</v>
      </c>
      <c r="M269" s="21">
        <f>ROUND(ROUND(J269, 2)*I269, 2)</f>
        <v>71356.160000000003</v>
      </c>
      <c r="P269" s="22">
        <v>454.86</v>
      </c>
      <c r="S269" s="21">
        <f>ROUND(ROUND(P269, 2)*I269, 2)</f>
        <v>71356.160000000003</v>
      </c>
      <c r="V269" s="9">
        <f>ROUND(ROUND(P269, 2)/1.2, 2)</f>
        <v>379.05</v>
      </c>
      <c r="Y269" s="9">
        <f t="shared" si="20"/>
        <v>59463.47</v>
      </c>
      <c r="AD269" s="4" t="s">
        <v>1076</v>
      </c>
      <c r="AE269" s="4" t="s">
        <v>1077</v>
      </c>
      <c r="AF269" s="4" t="s">
        <v>1078</v>
      </c>
    </row>
    <row r="270" spans="1:35" ht="126" x14ac:dyDescent="0.3">
      <c r="A270" s="10" t="s">
        <v>1079</v>
      </c>
      <c r="B270" s="10" t="s">
        <v>1080</v>
      </c>
      <c r="C270" s="11" t="s">
        <v>1081</v>
      </c>
      <c r="D270" s="12"/>
      <c r="E270" s="12" t="s">
        <v>1082</v>
      </c>
      <c r="F270" s="12" t="s">
        <v>58</v>
      </c>
      <c r="G270" s="13">
        <v>1</v>
      </c>
      <c r="H270" s="13"/>
      <c r="I270" s="13">
        <v>1217.3499999999999</v>
      </c>
      <c r="J270" s="14">
        <f>IFERROR(ROUND(SUM(M271,M272,M273,M274)/I270, 2),0)</f>
        <v>626.96</v>
      </c>
      <c r="K270" s="15">
        <v>1655</v>
      </c>
      <c r="L270" s="14">
        <f>J270+ROUND(K270, 2)</f>
        <v>2281.96</v>
      </c>
      <c r="M270" s="14">
        <f>ROUND(J270*I270, 2)</f>
        <v>763229.76</v>
      </c>
      <c r="N270" s="14">
        <f>ROUND(I270*ROUND(K270, 2), 2)</f>
        <v>2014714.25</v>
      </c>
      <c r="O270" s="14">
        <f>M270+N270</f>
        <v>2777944.01</v>
      </c>
      <c r="P270" s="14">
        <f>IFERROR(ROUND(SUM(S271,S272,S273,S274)/I270, 2),0)</f>
        <v>626.96</v>
      </c>
      <c r="Q270" s="16">
        <v>2364.29</v>
      </c>
      <c r="R270" s="14">
        <f>P270+ROUND(Q270, 2)</f>
        <v>2991.25</v>
      </c>
      <c r="S270" s="14">
        <f>ROUND(P270*I270, 2)</f>
        <v>763229.76</v>
      </c>
      <c r="T270" s="14">
        <f>ROUND(I270*ROUND(Q270, 2), 2)</f>
        <v>2878168.43</v>
      </c>
      <c r="U270" s="14">
        <f>S270+T270</f>
        <v>3641398.1900000004</v>
      </c>
      <c r="V270" s="9">
        <f>ROUND(P270 / 1.2, 2)</f>
        <v>522.47</v>
      </c>
      <c r="W270" s="9">
        <f>ROUND(Q270 / 1.2, 2)</f>
        <v>1970.24</v>
      </c>
      <c r="X270" s="9">
        <f>ROUND(R270 / 1.2, 2)</f>
        <v>2492.71</v>
      </c>
      <c r="Y270" s="9">
        <f t="shared" si="20"/>
        <v>636024.80000000005</v>
      </c>
      <c r="Z270" s="9">
        <f>ROUND(T270 / 1.2, 2)</f>
        <v>2398473.69</v>
      </c>
      <c r="AA270" s="9">
        <f>Y270+Z270</f>
        <v>3034498.49</v>
      </c>
      <c r="AD270" s="4">
        <v>311044358</v>
      </c>
      <c r="AE270" s="4">
        <v>22895274</v>
      </c>
      <c r="AG270" s="4" t="s">
        <v>1083</v>
      </c>
      <c r="AH270" s="4" t="s">
        <v>1084</v>
      </c>
      <c r="AI270" s="4" t="s">
        <v>469</v>
      </c>
    </row>
    <row r="271" spans="1:35" ht="36" x14ac:dyDescent="0.3">
      <c r="A271" s="10" t="s">
        <v>1085</v>
      </c>
      <c r="B271" s="10"/>
      <c r="C271" s="23" t="s">
        <v>1086</v>
      </c>
      <c r="D271" s="12"/>
      <c r="E271" s="12"/>
      <c r="F271" s="18" t="s">
        <v>99</v>
      </c>
      <c r="G271" s="19">
        <v>7</v>
      </c>
      <c r="H271" s="19"/>
      <c r="I271" s="19">
        <v>8521.4500000000007</v>
      </c>
      <c r="J271" s="20">
        <v>16.38</v>
      </c>
      <c r="M271" s="21">
        <f>ROUND(ROUND(J271, 2)*I271, 2)</f>
        <v>139581.35</v>
      </c>
      <c r="P271" s="22">
        <v>16.38</v>
      </c>
      <c r="S271" s="21">
        <f>ROUND(ROUND(P271, 2)*I271, 2)</f>
        <v>139581.35</v>
      </c>
      <c r="V271" s="9">
        <f>ROUND(ROUND(P271, 2)/1.2, 2)</f>
        <v>13.65</v>
      </c>
      <c r="Y271" s="9">
        <f t="shared" si="20"/>
        <v>116317.79</v>
      </c>
      <c r="AD271" s="4" t="s">
        <v>1087</v>
      </c>
      <c r="AE271" s="4" t="s">
        <v>1088</v>
      </c>
      <c r="AF271" s="4" t="s">
        <v>1089</v>
      </c>
    </row>
    <row r="272" spans="1:35" ht="36" x14ac:dyDescent="0.3">
      <c r="A272" s="10" t="s">
        <v>1090</v>
      </c>
      <c r="B272" s="10"/>
      <c r="C272" s="23" t="s">
        <v>1075</v>
      </c>
      <c r="D272" s="12"/>
      <c r="E272" s="12"/>
      <c r="F272" s="18" t="s">
        <v>58</v>
      </c>
      <c r="G272" s="19">
        <v>1.07</v>
      </c>
      <c r="H272" s="24"/>
      <c r="I272" s="24">
        <v>1302.5650000000001</v>
      </c>
      <c r="J272" s="20">
        <v>454.86</v>
      </c>
      <c r="M272" s="21">
        <f>ROUND(ROUND(J272, 2)*I272, 2)</f>
        <v>592484.72</v>
      </c>
      <c r="P272" s="22">
        <v>454.86</v>
      </c>
      <c r="S272" s="21">
        <f>ROUND(ROUND(P272, 2)*I272, 2)</f>
        <v>592484.72</v>
      </c>
      <c r="V272" s="9">
        <f>ROUND(ROUND(P272, 2)/1.2, 2)</f>
        <v>379.05</v>
      </c>
      <c r="Y272" s="9">
        <f t="shared" si="20"/>
        <v>493737.27</v>
      </c>
      <c r="AD272" s="4" t="s">
        <v>1091</v>
      </c>
      <c r="AE272" s="4" t="s">
        <v>1092</v>
      </c>
      <c r="AF272" s="4" t="s">
        <v>1078</v>
      </c>
    </row>
    <row r="273" spans="1:35" ht="18" x14ac:dyDescent="0.3">
      <c r="A273" s="10" t="s">
        <v>1093</v>
      </c>
      <c r="B273" s="10"/>
      <c r="C273" s="17" t="s">
        <v>1067</v>
      </c>
      <c r="D273" s="12"/>
      <c r="E273" s="12"/>
      <c r="F273" s="18" t="s">
        <v>99</v>
      </c>
      <c r="G273" s="19">
        <v>0.25</v>
      </c>
      <c r="H273" s="24"/>
      <c r="I273" s="24">
        <v>304.33800000000002</v>
      </c>
      <c r="J273" s="20">
        <v>48.23</v>
      </c>
      <c r="M273" s="21">
        <f>ROUND(ROUND(J273, 2)*I273, 2)</f>
        <v>14678.22</v>
      </c>
      <c r="P273" s="22">
        <v>48.23</v>
      </c>
      <c r="S273" s="21">
        <f>ROUND(ROUND(P273, 2)*I273, 2)</f>
        <v>14678.22</v>
      </c>
      <c r="V273" s="9">
        <f>ROUND(ROUND(P273, 2)/1.2, 2)</f>
        <v>40.19</v>
      </c>
      <c r="Y273" s="9">
        <f t="shared" si="20"/>
        <v>12231.85</v>
      </c>
      <c r="AD273" s="4" t="s">
        <v>1094</v>
      </c>
      <c r="AE273" s="4" t="s">
        <v>1095</v>
      </c>
      <c r="AF273" s="4" t="s">
        <v>1070</v>
      </c>
    </row>
    <row r="274" spans="1:35" ht="36" x14ac:dyDescent="0.3">
      <c r="A274" s="10" t="s">
        <v>1096</v>
      </c>
      <c r="B274" s="10"/>
      <c r="C274" s="17" t="s">
        <v>1057</v>
      </c>
      <c r="D274" s="12"/>
      <c r="E274" s="12"/>
      <c r="F274" s="18" t="s">
        <v>99</v>
      </c>
      <c r="G274" s="19">
        <v>0.15</v>
      </c>
      <c r="H274" s="19"/>
      <c r="I274" s="19">
        <v>182.60300000000001</v>
      </c>
      <c r="J274" s="20">
        <v>90.28</v>
      </c>
      <c r="M274" s="21">
        <f>ROUND(ROUND(J274, 2)*I274, 2)</f>
        <v>16485.400000000001</v>
      </c>
      <c r="P274" s="22">
        <v>90.28</v>
      </c>
      <c r="S274" s="21">
        <f>ROUND(ROUND(P274, 2)*I274, 2)</f>
        <v>16485.400000000001</v>
      </c>
      <c r="V274" s="9">
        <f>ROUND(ROUND(P274, 2)/1.2, 2)</f>
        <v>75.23</v>
      </c>
      <c r="Y274" s="9">
        <f t="shared" si="20"/>
        <v>13737.83</v>
      </c>
      <c r="AD274" s="4" t="s">
        <v>1097</v>
      </c>
      <c r="AE274" s="4" t="s">
        <v>1098</v>
      </c>
      <c r="AF274" s="4" t="s">
        <v>1060</v>
      </c>
    </row>
    <row r="275" spans="1:35" ht="144" x14ac:dyDescent="0.3">
      <c r="A275" s="10" t="s">
        <v>1099</v>
      </c>
      <c r="B275" s="10" t="s">
        <v>1100</v>
      </c>
      <c r="C275" s="11" t="s">
        <v>1101</v>
      </c>
      <c r="D275" s="12"/>
      <c r="E275" s="12" t="s">
        <v>1102</v>
      </c>
      <c r="F275" s="12" t="s">
        <v>58</v>
      </c>
      <c r="G275" s="13">
        <v>1</v>
      </c>
      <c r="H275" s="13"/>
      <c r="I275" s="13">
        <v>2655.54</v>
      </c>
      <c r="J275" s="14">
        <f>IFERROR(ROUND(SUM(M276,M277,M278,M279)/I275, 2),0)</f>
        <v>2329.23</v>
      </c>
      <c r="K275" s="15">
        <v>2785</v>
      </c>
      <c r="L275" s="14">
        <f>J275+ROUND(K275, 2)</f>
        <v>5114.2299999999996</v>
      </c>
      <c r="M275" s="14">
        <f>ROUND(J275*I275, 2)</f>
        <v>6185363.4299999997</v>
      </c>
      <c r="N275" s="14">
        <f>ROUND(I275*ROUND(K275, 2), 2)</f>
        <v>7395678.9000000004</v>
      </c>
      <c r="O275" s="14">
        <f>M275+N275</f>
        <v>13581042.33</v>
      </c>
      <c r="P275" s="14">
        <f>IFERROR(ROUND(SUM(S276,S277,S278,S279)/I275, 2),0)</f>
        <v>2329.23</v>
      </c>
      <c r="Q275" s="16">
        <v>3978.57</v>
      </c>
      <c r="R275" s="14">
        <f>P275+ROUND(Q275, 2)</f>
        <v>6307.8</v>
      </c>
      <c r="S275" s="14">
        <f>ROUND(P275*I275, 2)</f>
        <v>6185363.4299999997</v>
      </c>
      <c r="T275" s="14">
        <f>ROUND(I275*ROUND(Q275, 2), 2)</f>
        <v>10565251.779999999</v>
      </c>
      <c r="U275" s="14">
        <f>S275+T275</f>
        <v>16750615.209999999</v>
      </c>
      <c r="V275" s="9">
        <f>ROUND(P275 / 1.2, 2)</f>
        <v>1941.03</v>
      </c>
      <c r="W275" s="9">
        <f>ROUND(Q275 / 1.2, 2)</f>
        <v>3315.48</v>
      </c>
      <c r="X275" s="9">
        <f>ROUND(R275 / 1.2, 2)</f>
        <v>5256.5</v>
      </c>
      <c r="Y275" s="9">
        <f t="shared" si="20"/>
        <v>5154469.53</v>
      </c>
      <c r="Z275" s="9">
        <f>ROUND(T275 / 1.2, 2)</f>
        <v>8804376.4800000004</v>
      </c>
      <c r="AA275" s="9">
        <f>Y275+Z275</f>
        <v>13958846.010000002</v>
      </c>
      <c r="AD275" s="4">
        <v>311044359</v>
      </c>
      <c r="AE275" s="4">
        <v>22895273</v>
      </c>
      <c r="AG275" s="4" t="s">
        <v>1103</v>
      </c>
      <c r="AH275" s="4" t="s">
        <v>1104</v>
      </c>
      <c r="AI275" s="4" t="s">
        <v>469</v>
      </c>
    </row>
    <row r="276" spans="1:35" ht="36" x14ac:dyDescent="0.3">
      <c r="A276" s="10" t="s">
        <v>1105</v>
      </c>
      <c r="B276" s="10"/>
      <c r="C276" s="23" t="s">
        <v>1106</v>
      </c>
      <c r="D276" s="12"/>
      <c r="E276" s="12"/>
      <c r="F276" s="18" t="s">
        <v>99</v>
      </c>
      <c r="G276" s="19">
        <v>1.2</v>
      </c>
      <c r="H276" s="24"/>
      <c r="I276" s="24">
        <v>15933.24</v>
      </c>
      <c r="J276" s="20">
        <v>16.38</v>
      </c>
      <c r="M276" s="21">
        <f>ROUND(ROUND(J276, 2)*I276, 2)</f>
        <v>260986.47</v>
      </c>
      <c r="P276" s="22">
        <v>16.38</v>
      </c>
      <c r="S276" s="21">
        <f>ROUND(ROUND(P276, 2)*I276, 2)</f>
        <v>260986.47</v>
      </c>
      <c r="V276" s="9">
        <f>ROUND(ROUND(P276, 2)/1.2, 2)</f>
        <v>13.65</v>
      </c>
      <c r="Y276" s="9">
        <f t="shared" si="20"/>
        <v>217488.73</v>
      </c>
      <c r="AD276" s="4" t="s">
        <v>1107</v>
      </c>
      <c r="AE276" s="4" t="s">
        <v>1108</v>
      </c>
      <c r="AF276" s="4" t="s">
        <v>1109</v>
      </c>
    </row>
    <row r="277" spans="1:35" ht="72" x14ac:dyDescent="0.3">
      <c r="A277" s="10" t="s">
        <v>1110</v>
      </c>
      <c r="B277" s="10"/>
      <c r="C277" s="17" t="s">
        <v>1111</v>
      </c>
      <c r="D277" s="12"/>
      <c r="E277" s="12"/>
      <c r="F277" s="18" t="s">
        <v>58</v>
      </c>
      <c r="G277" s="19">
        <v>1.2</v>
      </c>
      <c r="H277" s="24"/>
      <c r="I277" s="24">
        <v>3186.6480000000001</v>
      </c>
      <c r="J277" s="20">
        <v>1839.31</v>
      </c>
      <c r="M277" s="21">
        <f>ROUND(ROUND(J277, 2)*I277, 2)</f>
        <v>5861233.5300000003</v>
      </c>
      <c r="P277" s="22">
        <v>1839.31</v>
      </c>
      <c r="S277" s="21">
        <f>ROUND(ROUND(P277, 2)*I277, 2)</f>
        <v>5861233.5300000003</v>
      </c>
      <c r="V277" s="9">
        <f>ROUND(ROUND(P277, 2)/1.2, 2)</f>
        <v>1532.76</v>
      </c>
      <c r="Y277" s="9">
        <f t="shared" si="20"/>
        <v>4884361.28</v>
      </c>
      <c r="AD277" s="4" t="s">
        <v>1112</v>
      </c>
      <c r="AE277" s="4" t="s">
        <v>1113</v>
      </c>
      <c r="AF277" s="4" t="s">
        <v>1114</v>
      </c>
    </row>
    <row r="278" spans="1:35" ht="36" x14ac:dyDescent="0.3">
      <c r="A278" s="10" t="s">
        <v>1115</v>
      </c>
      <c r="B278" s="10"/>
      <c r="C278" s="17" t="s">
        <v>1116</v>
      </c>
      <c r="D278" s="12"/>
      <c r="E278" s="12"/>
      <c r="F278" s="18" t="s">
        <v>99</v>
      </c>
      <c r="G278" s="19">
        <v>0.25</v>
      </c>
      <c r="H278" s="24"/>
      <c r="I278" s="24">
        <v>663.88499999999999</v>
      </c>
      <c r="J278" s="20">
        <v>40.94</v>
      </c>
      <c r="M278" s="21">
        <f>ROUND(ROUND(J278, 2)*I278, 2)</f>
        <v>27179.45</v>
      </c>
      <c r="P278" s="22">
        <v>40.94</v>
      </c>
      <c r="S278" s="21">
        <f>ROUND(ROUND(P278, 2)*I278, 2)</f>
        <v>27179.45</v>
      </c>
      <c r="V278" s="9">
        <f>ROUND(ROUND(P278, 2)/1.2, 2)</f>
        <v>34.119999999999997</v>
      </c>
      <c r="Y278" s="9">
        <f t="shared" si="20"/>
        <v>22649.54</v>
      </c>
      <c r="AD278" s="4" t="s">
        <v>1117</v>
      </c>
      <c r="AE278" s="4" t="s">
        <v>1118</v>
      </c>
      <c r="AF278" s="4" t="s">
        <v>1119</v>
      </c>
    </row>
    <row r="279" spans="1:35" ht="36" x14ac:dyDescent="0.3">
      <c r="A279" s="10" t="s">
        <v>1120</v>
      </c>
      <c r="B279" s="10"/>
      <c r="C279" s="17" t="s">
        <v>1057</v>
      </c>
      <c r="D279" s="12"/>
      <c r="E279" s="12"/>
      <c r="F279" s="18" t="s">
        <v>99</v>
      </c>
      <c r="G279" s="19">
        <v>0.15</v>
      </c>
      <c r="H279" s="19"/>
      <c r="I279" s="19">
        <v>398.33100000000002</v>
      </c>
      <c r="J279" s="20">
        <v>90.28</v>
      </c>
      <c r="M279" s="21">
        <f>ROUND(ROUND(J279, 2)*I279, 2)</f>
        <v>35961.32</v>
      </c>
      <c r="P279" s="22">
        <v>90.28</v>
      </c>
      <c r="S279" s="21">
        <f>ROUND(ROUND(P279, 2)*I279, 2)</f>
        <v>35961.32</v>
      </c>
      <c r="V279" s="9">
        <f>ROUND(ROUND(P279, 2)/1.2, 2)</f>
        <v>75.23</v>
      </c>
      <c r="Y279" s="9">
        <f t="shared" si="20"/>
        <v>29967.77</v>
      </c>
      <c r="AD279" s="4" t="s">
        <v>1121</v>
      </c>
      <c r="AE279" s="4" t="s">
        <v>1122</v>
      </c>
      <c r="AF279" s="4" t="s">
        <v>1060</v>
      </c>
    </row>
    <row r="280" spans="1:35" ht="180" x14ac:dyDescent="0.3">
      <c r="A280" s="10" t="s">
        <v>1123</v>
      </c>
      <c r="B280" s="10" t="s">
        <v>1100</v>
      </c>
      <c r="C280" s="11" t="s">
        <v>1101</v>
      </c>
      <c r="D280" s="12"/>
      <c r="E280" s="12" t="s">
        <v>1124</v>
      </c>
      <c r="F280" s="12" t="s">
        <v>58</v>
      </c>
      <c r="G280" s="13">
        <v>1</v>
      </c>
      <c r="H280" s="13"/>
      <c r="I280" s="13">
        <v>38.36</v>
      </c>
      <c r="J280" s="14">
        <f>IFERROR(ROUND(SUM(M281,M282,M283,M284)/I280, 2),0)</f>
        <v>2329.23</v>
      </c>
      <c r="K280" s="15">
        <v>2785</v>
      </c>
      <c r="L280" s="14">
        <f>J280+ROUND(K280, 2)</f>
        <v>5114.2299999999996</v>
      </c>
      <c r="M280" s="14">
        <f>ROUND(J280*I280, 2)</f>
        <v>89349.26</v>
      </c>
      <c r="N280" s="14">
        <f>ROUND(I280*ROUND(K280, 2), 2)</f>
        <v>106832.6</v>
      </c>
      <c r="O280" s="14">
        <f>M280+N280</f>
        <v>196181.86</v>
      </c>
      <c r="P280" s="14">
        <f>IFERROR(ROUND(SUM(S281,S282,S283,S284)/I280, 2),0)</f>
        <v>2329.23</v>
      </c>
      <c r="Q280" s="16">
        <v>3978.57</v>
      </c>
      <c r="R280" s="14">
        <f>P280+ROUND(Q280, 2)</f>
        <v>6307.8</v>
      </c>
      <c r="S280" s="14">
        <f>ROUND(P280*I280, 2)</f>
        <v>89349.26</v>
      </c>
      <c r="T280" s="14">
        <f>ROUND(I280*ROUND(Q280, 2), 2)</f>
        <v>152617.95000000001</v>
      </c>
      <c r="U280" s="14">
        <f>S280+T280</f>
        <v>241967.21000000002</v>
      </c>
      <c r="V280" s="9">
        <f>ROUND(P280 / 1.2, 2)</f>
        <v>1941.03</v>
      </c>
      <c r="W280" s="9">
        <f>ROUND(Q280 / 1.2, 2)</f>
        <v>3315.48</v>
      </c>
      <c r="X280" s="9">
        <f>ROUND(R280 / 1.2, 2)</f>
        <v>5256.5</v>
      </c>
      <c r="Y280" s="9">
        <f t="shared" si="20"/>
        <v>74457.72</v>
      </c>
      <c r="Z280" s="9">
        <f>ROUND(T280 / 1.2, 2)</f>
        <v>127181.63</v>
      </c>
      <c r="AA280" s="9">
        <f>Y280+Z280</f>
        <v>201639.35</v>
      </c>
      <c r="AD280" s="4">
        <v>311044443</v>
      </c>
      <c r="AE280" s="4">
        <v>22895275</v>
      </c>
      <c r="AG280" s="4" t="s">
        <v>1103</v>
      </c>
      <c r="AH280" s="4" t="s">
        <v>1104</v>
      </c>
      <c r="AI280" s="4" t="s">
        <v>469</v>
      </c>
    </row>
    <row r="281" spans="1:35" ht="36" x14ac:dyDescent="0.3">
      <c r="A281" s="10" t="s">
        <v>1125</v>
      </c>
      <c r="B281" s="10"/>
      <c r="C281" s="17" t="s">
        <v>1057</v>
      </c>
      <c r="D281" s="12"/>
      <c r="E281" s="12"/>
      <c r="F281" s="18" t="s">
        <v>99</v>
      </c>
      <c r="G281" s="19">
        <v>0.15</v>
      </c>
      <c r="H281" s="19"/>
      <c r="I281" s="19">
        <v>5.7539999999999996</v>
      </c>
      <c r="J281" s="20">
        <v>90.28</v>
      </c>
      <c r="M281" s="21">
        <f>ROUND(ROUND(J281, 2)*I281, 2)</f>
        <v>519.47</v>
      </c>
      <c r="P281" s="22">
        <v>90.28</v>
      </c>
      <c r="S281" s="21">
        <f>ROUND(ROUND(P281, 2)*I281, 2)</f>
        <v>519.47</v>
      </c>
      <c r="V281" s="9">
        <f>ROUND(ROUND(P281, 2)/1.2, 2)</f>
        <v>75.23</v>
      </c>
      <c r="Y281" s="9">
        <f t="shared" si="20"/>
        <v>432.89</v>
      </c>
      <c r="AD281" s="4" t="s">
        <v>1126</v>
      </c>
      <c r="AE281" s="4" t="s">
        <v>1127</v>
      </c>
      <c r="AF281" s="4" t="s">
        <v>1060</v>
      </c>
    </row>
    <row r="282" spans="1:35" ht="36" x14ac:dyDescent="0.3">
      <c r="A282" s="10" t="s">
        <v>1128</v>
      </c>
      <c r="B282" s="10"/>
      <c r="C282" s="17" t="s">
        <v>1116</v>
      </c>
      <c r="D282" s="12"/>
      <c r="E282" s="12"/>
      <c r="F282" s="18" t="s">
        <v>99</v>
      </c>
      <c r="G282" s="19">
        <v>0.25</v>
      </c>
      <c r="H282" s="24"/>
      <c r="I282" s="24">
        <v>9.59</v>
      </c>
      <c r="J282" s="20">
        <v>40.94</v>
      </c>
      <c r="M282" s="21">
        <f>ROUND(ROUND(J282, 2)*I282, 2)</f>
        <v>392.61</v>
      </c>
      <c r="P282" s="22">
        <v>40.94</v>
      </c>
      <c r="S282" s="21">
        <f>ROUND(ROUND(P282, 2)*I282, 2)</f>
        <v>392.61</v>
      </c>
      <c r="V282" s="9">
        <f>ROUND(ROUND(P282, 2)/1.2, 2)</f>
        <v>34.119999999999997</v>
      </c>
      <c r="Y282" s="9">
        <f t="shared" si="20"/>
        <v>327.18</v>
      </c>
      <c r="AD282" s="4" t="s">
        <v>1129</v>
      </c>
      <c r="AE282" s="4" t="s">
        <v>1130</v>
      </c>
      <c r="AF282" s="4" t="s">
        <v>1119</v>
      </c>
    </row>
    <row r="283" spans="1:35" ht="72" x14ac:dyDescent="0.3">
      <c r="A283" s="10" t="s">
        <v>1131</v>
      </c>
      <c r="B283" s="10"/>
      <c r="C283" s="17" t="s">
        <v>1111</v>
      </c>
      <c r="D283" s="12"/>
      <c r="E283" s="12"/>
      <c r="F283" s="18" t="s">
        <v>58</v>
      </c>
      <c r="G283" s="19">
        <v>1.2</v>
      </c>
      <c r="H283" s="24"/>
      <c r="I283" s="24">
        <v>46.031999999999996</v>
      </c>
      <c r="J283" s="20">
        <v>1839.31</v>
      </c>
      <c r="M283" s="21">
        <f>ROUND(ROUND(J283, 2)*I283, 2)</f>
        <v>84667.12</v>
      </c>
      <c r="P283" s="22">
        <v>1839.31</v>
      </c>
      <c r="S283" s="21">
        <f>ROUND(ROUND(P283, 2)*I283, 2)</f>
        <v>84667.12</v>
      </c>
      <c r="V283" s="9">
        <f>ROUND(ROUND(P283, 2)/1.2, 2)</f>
        <v>1532.76</v>
      </c>
      <c r="Y283" s="9">
        <f t="shared" si="20"/>
        <v>70555.929999999993</v>
      </c>
      <c r="AD283" s="4" t="s">
        <v>1132</v>
      </c>
      <c r="AE283" s="4" t="s">
        <v>1133</v>
      </c>
      <c r="AF283" s="4" t="s">
        <v>1114</v>
      </c>
    </row>
    <row r="284" spans="1:35" ht="36" x14ac:dyDescent="0.3">
      <c r="A284" s="10" t="s">
        <v>1134</v>
      </c>
      <c r="B284" s="10"/>
      <c r="C284" s="23" t="s">
        <v>1106</v>
      </c>
      <c r="D284" s="12"/>
      <c r="E284" s="12"/>
      <c r="F284" s="18" t="s">
        <v>99</v>
      </c>
      <c r="G284" s="19">
        <v>1.2</v>
      </c>
      <c r="H284" s="24"/>
      <c r="I284" s="24">
        <v>230.16</v>
      </c>
      <c r="J284" s="20">
        <v>16.38</v>
      </c>
      <c r="M284" s="21">
        <f>ROUND(ROUND(J284, 2)*I284, 2)</f>
        <v>3770.02</v>
      </c>
      <c r="P284" s="22">
        <v>16.38</v>
      </c>
      <c r="S284" s="21">
        <f>ROUND(ROUND(P284, 2)*I284, 2)</f>
        <v>3770.02</v>
      </c>
      <c r="V284" s="9">
        <f>ROUND(ROUND(P284, 2)/1.2, 2)</f>
        <v>13.65</v>
      </c>
      <c r="Y284" s="9">
        <f t="shared" si="20"/>
        <v>3141.68</v>
      </c>
      <c r="AD284" s="4" t="s">
        <v>1135</v>
      </c>
      <c r="AE284" s="4" t="s">
        <v>1136</v>
      </c>
      <c r="AF284" s="4" t="s">
        <v>1109</v>
      </c>
    </row>
    <row r="285" spans="1:35" ht="16.95" customHeight="1" x14ac:dyDescent="0.3">
      <c r="A285" s="10" t="s">
        <v>1137</v>
      </c>
      <c r="B285" s="10" t="s">
        <v>1138</v>
      </c>
      <c r="C285" s="51" t="s">
        <v>1139</v>
      </c>
      <c r="D285" s="52"/>
      <c r="E285" s="52"/>
      <c r="F285" s="52"/>
      <c r="G285" s="52"/>
      <c r="H285" s="52"/>
      <c r="I285" s="53"/>
      <c r="M285" s="6">
        <f>SUM(M286)</f>
        <v>237981.5</v>
      </c>
      <c r="N285" s="6">
        <f>SUM(N286)</f>
        <v>20599.29</v>
      </c>
      <c r="O285" s="6">
        <f>SUM(O286)</f>
        <v>258580.79</v>
      </c>
      <c r="S285" s="6">
        <f>SUM(S286)</f>
        <v>237981.5</v>
      </c>
      <c r="T285" s="6">
        <f>SUM(T286)</f>
        <v>29427.55</v>
      </c>
      <c r="U285" s="6">
        <f>SUM(U286)</f>
        <v>267409.05</v>
      </c>
      <c r="Y285" s="9">
        <f>SUM(Y286)</f>
        <v>198317.92</v>
      </c>
      <c r="Z285" s="9">
        <f>SUM(Z286)</f>
        <v>24522.959999999999</v>
      </c>
      <c r="AA285" s="9">
        <f>SUM(AA286)</f>
        <v>222840.88</v>
      </c>
      <c r="AD285" s="4">
        <v>311044360</v>
      </c>
      <c r="AE285" s="4">
        <v>22895271</v>
      </c>
    </row>
    <row r="286" spans="1:35" ht="18" x14ac:dyDescent="0.3">
      <c r="A286" s="10" t="s">
        <v>1140</v>
      </c>
      <c r="B286" s="10" t="s">
        <v>1141</v>
      </c>
      <c r="C286" s="11" t="s">
        <v>1142</v>
      </c>
      <c r="D286" s="12"/>
      <c r="E286" s="12" t="s">
        <v>1143</v>
      </c>
      <c r="F286" s="12" t="s">
        <v>58</v>
      </c>
      <c r="G286" s="13">
        <v>1</v>
      </c>
      <c r="H286" s="13"/>
      <c r="I286" s="13">
        <v>24.64</v>
      </c>
      <c r="J286" s="14">
        <f>IFERROR(ROUND(SUM(M287)/I286, 2),0)</f>
        <v>9658.34</v>
      </c>
      <c r="K286" s="15">
        <v>836.01</v>
      </c>
      <c r="L286" s="14">
        <f>J286+ROUND(K286, 2)</f>
        <v>10494.35</v>
      </c>
      <c r="M286" s="14">
        <f>ROUND(J286*I286, 2)</f>
        <v>237981.5</v>
      </c>
      <c r="N286" s="14">
        <f>ROUND(I286*ROUND(K286, 2), 2)</f>
        <v>20599.29</v>
      </c>
      <c r="O286" s="14">
        <f>M286+N286</f>
        <v>258580.79</v>
      </c>
      <c r="P286" s="14">
        <f>IFERROR(ROUND(SUM(S287)/I286, 2),0)</f>
        <v>9658.34</v>
      </c>
      <c r="Q286" s="16">
        <v>1194.3</v>
      </c>
      <c r="R286" s="14">
        <f>P286+ROUND(Q286, 2)</f>
        <v>10852.64</v>
      </c>
      <c r="S286" s="14">
        <f>ROUND(P286*I286, 2)</f>
        <v>237981.5</v>
      </c>
      <c r="T286" s="14">
        <f>ROUND(I286*ROUND(Q286, 2), 2)</f>
        <v>29427.55</v>
      </c>
      <c r="U286" s="14">
        <f>S286+T286</f>
        <v>267409.05</v>
      </c>
      <c r="V286" s="9">
        <f>ROUND(P286 / 1.2, 2)</f>
        <v>8048.62</v>
      </c>
      <c r="W286" s="9">
        <f>ROUND(Q286 / 1.2, 2)</f>
        <v>995.25</v>
      </c>
      <c r="X286" s="9">
        <f>ROUND(R286 / 1.2, 2)</f>
        <v>9043.8700000000008</v>
      </c>
      <c r="Y286" s="9">
        <f>ROUND(S286 / 1.2, 2)</f>
        <v>198317.92</v>
      </c>
      <c r="Z286" s="9">
        <f>ROUND(T286 / 1.2, 2)</f>
        <v>24522.959999999999</v>
      </c>
      <c r="AA286" s="9">
        <f>Y286+Z286</f>
        <v>222840.88</v>
      </c>
      <c r="AD286" s="4">
        <v>311044362</v>
      </c>
      <c r="AE286" s="4">
        <v>22895272</v>
      </c>
      <c r="AG286" s="4" t="s">
        <v>1144</v>
      </c>
      <c r="AH286" s="4" t="s">
        <v>1145</v>
      </c>
      <c r="AI286" s="4" t="s">
        <v>469</v>
      </c>
    </row>
    <row r="287" spans="1:35" ht="36" x14ac:dyDescent="0.3">
      <c r="A287" s="10" t="s">
        <v>1146</v>
      </c>
      <c r="B287" s="10"/>
      <c r="C287" s="17" t="s">
        <v>1147</v>
      </c>
      <c r="D287" s="12"/>
      <c r="E287" s="12"/>
      <c r="F287" s="18" t="s">
        <v>58</v>
      </c>
      <c r="G287" s="19">
        <v>1</v>
      </c>
      <c r="H287" s="19"/>
      <c r="I287" s="19">
        <v>24.64</v>
      </c>
      <c r="J287" s="20">
        <v>9658.34</v>
      </c>
      <c r="M287" s="21">
        <f>ROUND(ROUND(J287, 2)*I287, 2)</f>
        <v>237981.5</v>
      </c>
      <c r="P287" s="22">
        <v>9658.34</v>
      </c>
      <c r="S287" s="21">
        <f>ROUND(ROUND(P287, 2)*I287, 2)</f>
        <v>237981.5</v>
      </c>
      <c r="V287" s="9">
        <f>ROUND(ROUND(P287, 2)/1.2, 2)</f>
        <v>8048.62</v>
      </c>
      <c r="Y287" s="9">
        <f>ROUND(S287 / 1.2, 2)</f>
        <v>198317.92</v>
      </c>
      <c r="AD287" s="4" t="s">
        <v>1148</v>
      </c>
      <c r="AE287" s="4" t="s">
        <v>1149</v>
      </c>
      <c r="AF287" s="4" t="s">
        <v>1150</v>
      </c>
    </row>
    <row r="288" spans="1:35" ht="16.95" customHeight="1" x14ac:dyDescent="0.3">
      <c r="A288" s="10" t="s">
        <v>1151</v>
      </c>
      <c r="B288" s="10" t="s">
        <v>1152</v>
      </c>
      <c r="C288" s="51" t="s">
        <v>1153</v>
      </c>
      <c r="D288" s="52"/>
      <c r="E288" s="52"/>
      <c r="F288" s="52"/>
      <c r="G288" s="52"/>
      <c r="H288" s="52"/>
      <c r="I288" s="53"/>
      <c r="M288" s="6">
        <f>SUM(M289,M373)</f>
        <v>14595014.16</v>
      </c>
      <c r="N288" s="6">
        <f>SUM(N289,N373)</f>
        <v>58875693.929999992</v>
      </c>
      <c r="O288" s="6">
        <f>SUM(O289,O373)</f>
        <v>73470708.090000004</v>
      </c>
      <c r="S288" s="6">
        <f>SUM(S289,S373)</f>
        <v>17661574.800000001</v>
      </c>
      <c r="T288" s="6">
        <f>SUM(T289,T373)</f>
        <v>84108066.770000026</v>
      </c>
      <c r="U288" s="6">
        <f>SUM(U289,U373)</f>
        <v>101769641.57000001</v>
      </c>
      <c r="Y288" s="9">
        <f>SUM(Y289,Y373)</f>
        <v>14717979.060000002</v>
      </c>
      <c r="Z288" s="9">
        <f>SUM(Z289,Z373)</f>
        <v>70090055.720000014</v>
      </c>
      <c r="AA288" s="9">
        <f>SUM(AA289,AA373)</f>
        <v>84808034.780000001</v>
      </c>
      <c r="AD288" s="4">
        <v>311044363</v>
      </c>
      <c r="AE288" s="4">
        <v>22781783</v>
      </c>
    </row>
    <row r="289" spans="1:35" ht="16.95" customHeight="1" x14ac:dyDescent="0.3">
      <c r="A289" s="10" t="s">
        <v>1154</v>
      </c>
      <c r="B289" s="10" t="s">
        <v>1155</v>
      </c>
      <c r="C289" s="51" t="s">
        <v>1156</v>
      </c>
      <c r="D289" s="52"/>
      <c r="E289" s="52"/>
      <c r="F289" s="52"/>
      <c r="G289" s="52"/>
      <c r="H289" s="52"/>
      <c r="I289" s="53"/>
      <c r="M289" s="6">
        <f>SUM(M290,M293,M297,M300,M304,M308,M312,M316,M319,M323,M326,M330,M333,M337,M341,M345,M349,M353,M357,M361,M365,M369)</f>
        <v>6742862.3899999997</v>
      </c>
      <c r="N289" s="6">
        <f>SUM(N290,N293,N297,N300,N304,N308,N312,N316,N319,N323,N326,N330,N333,N337,N341,N345,N349,N353,N357,N361,N365,N369)</f>
        <v>38058836.439999998</v>
      </c>
      <c r="O289" s="6">
        <f>SUM(O290,O293,O297,O300,O304,O308,O312,O316,O319,O323,O326,O330,O333,O337,O341,O345,O349,O353,O357,O361,O365,O369)</f>
        <v>44801698.829999998</v>
      </c>
      <c r="S289" s="6">
        <f>SUM(S290,S293,S297,S300,S304,S308,S312,S316,S319,S323,S326,S330,S333,S337,S341,S345,S349,S353,S357,S361,S365,S369)</f>
        <v>6742862.3899999997</v>
      </c>
      <c r="T289" s="6">
        <f>SUM(T290,T293,T297,T300,T304,T308,T312,T316,T319,T323,T326,T330,T333,T337,T341,T345,T349,T353,T357,T361,T365,T369)</f>
        <v>54369657.520000018</v>
      </c>
      <c r="U289" s="6">
        <f>SUM(U290,U293,U297,U300,U304,U308,U312,U316,U319,U323,U326,U330,U333,U337,U341,U345,U349,U353,U357,U361,U365,U369)</f>
        <v>61112519.910000011</v>
      </c>
      <c r="Y289" s="9">
        <f>SUM(Y290,Y293,Y297,Y300,Y304,Y308,Y312,Y316,Y319,Y323,Y326,Y330,Y333,Y337,Y341,Y345,Y349,Y353,Y357,Y361,Y365,Y369)</f>
        <v>5619052.0100000007</v>
      </c>
      <c r="Z289" s="9">
        <f>SUM(Z290,Z293,Z297,Z300,Z304,Z308,Z312,Z316,Z319,Z323,Z326,Z330,Z333,Z337,Z341,Z345,Z349,Z353,Z357,Z361,Z365,Z369)</f>
        <v>45308047.980000012</v>
      </c>
      <c r="AA289" s="9">
        <f>SUM(AA290,AA293,AA297,AA300,AA304,AA308,AA312,AA316,AA319,AA323,AA326,AA330,AA333,AA337,AA341,AA345,AA349,AA353,AA357,AA361,AA365,AA369)</f>
        <v>50927099.990000002</v>
      </c>
      <c r="AD289" s="4">
        <v>311044364</v>
      </c>
      <c r="AE289" s="4">
        <v>22781788</v>
      </c>
    </row>
    <row r="290" spans="1:35" ht="180" x14ac:dyDescent="0.3">
      <c r="A290" s="10" t="s">
        <v>1157</v>
      </c>
      <c r="B290" s="10" t="s">
        <v>1158</v>
      </c>
      <c r="C290" s="11" t="s">
        <v>1159</v>
      </c>
      <c r="D290" s="12"/>
      <c r="E290" s="12" t="s">
        <v>1160</v>
      </c>
      <c r="F290" s="12" t="s">
        <v>258</v>
      </c>
      <c r="G290" s="13">
        <v>1</v>
      </c>
      <c r="H290" s="13"/>
      <c r="I290" s="13">
        <v>2181.16</v>
      </c>
      <c r="J290" s="14">
        <f>IFERROR(ROUND(SUM(M291,M292)/I290, 2),0)</f>
        <v>17.23</v>
      </c>
      <c r="K290" s="15">
        <v>28</v>
      </c>
      <c r="L290" s="14">
        <f>J290+ROUND(K290, 2)</f>
        <v>45.230000000000004</v>
      </c>
      <c r="M290" s="14">
        <f>ROUND(J290*I290, 2)</f>
        <v>37581.39</v>
      </c>
      <c r="N290" s="14">
        <f>ROUND(I290*ROUND(K290, 2), 2)</f>
        <v>61072.480000000003</v>
      </c>
      <c r="O290" s="14">
        <f>M290+N290</f>
        <v>98653.87</v>
      </c>
      <c r="P290" s="14">
        <f>IFERROR(ROUND(SUM(S291,S292)/I290, 2),0)</f>
        <v>17.23</v>
      </c>
      <c r="Q290" s="16">
        <v>40</v>
      </c>
      <c r="R290" s="14">
        <f>P290+ROUND(Q290, 2)</f>
        <v>57.230000000000004</v>
      </c>
      <c r="S290" s="14">
        <f>ROUND(P290*I290, 2)</f>
        <v>37581.39</v>
      </c>
      <c r="T290" s="14">
        <f>ROUND(I290*ROUND(Q290, 2), 2)</f>
        <v>87246.399999999994</v>
      </c>
      <c r="U290" s="14">
        <f>S290+T290</f>
        <v>124827.79</v>
      </c>
      <c r="V290" s="9">
        <f>ROUND(P290 / 1.2, 2)</f>
        <v>14.36</v>
      </c>
      <c r="W290" s="9">
        <f>ROUND(Q290 / 1.2, 2)</f>
        <v>33.33</v>
      </c>
      <c r="X290" s="9">
        <f>ROUND(R290 / 1.2, 2)</f>
        <v>47.69</v>
      </c>
      <c r="Y290" s="9">
        <f>ROUND(S290 / 1.2, 2)</f>
        <v>31317.83</v>
      </c>
      <c r="Z290" s="9">
        <f>ROUND(T290 / 1.2, 2)</f>
        <v>72705.33</v>
      </c>
      <c r="AA290" s="9">
        <f>Y290+Z290</f>
        <v>104023.16</v>
      </c>
      <c r="AD290" s="4">
        <v>311044366</v>
      </c>
      <c r="AE290" s="4">
        <v>22781792</v>
      </c>
      <c r="AG290" s="4" t="s">
        <v>1161</v>
      </c>
      <c r="AH290" s="4" t="s">
        <v>1162</v>
      </c>
      <c r="AI290" s="4" t="s">
        <v>469</v>
      </c>
    </row>
    <row r="291" spans="1:35" ht="54" x14ac:dyDescent="0.3">
      <c r="A291" s="10" t="s">
        <v>1163</v>
      </c>
      <c r="B291" s="10"/>
      <c r="C291" s="23" t="s">
        <v>1164</v>
      </c>
      <c r="D291" s="12"/>
      <c r="E291" s="12" t="s">
        <v>1165</v>
      </c>
      <c r="F291" s="18" t="s">
        <v>99</v>
      </c>
      <c r="G291" s="19">
        <v>0.1</v>
      </c>
      <c r="H291" s="24"/>
      <c r="I291" s="24">
        <v>436.23200000000003</v>
      </c>
      <c r="J291" s="20">
        <v>7.92</v>
      </c>
      <c r="M291" s="21">
        <f>ROUND(ROUND(J291, 2)*I291, 2)</f>
        <v>3454.96</v>
      </c>
      <c r="P291" s="22">
        <v>7.92</v>
      </c>
      <c r="S291" s="21">
        <f>ROUND(ROUND(P291, 2)*I291, 2)</f>
        <v>3454.96</v>
      </c>
      <c r="V291" s="9">
        <f>ROUND(ROUND(P291, 2)/1.2, 2)</f>
        <v>6.6</v>
      </c>
      <c r="Y291" s="9">
        <f t="shared" ref="Y291:Y322" si="21">ROUND(S291 / 1.2, 2)</f>
        <v>2879.13</v>
      </c>
      <c r="AD291" s="4" t="s">
        <v>1166</v>
      </c>
      <c r="AE291" s="4" t="s">
        <v>1167</v>
      </c>
      <c r="AF291" s="4" t="s">
        <v>1168</v>
      </c>
    </row>
    <row r="292" spans="1:35" ht="18" x14ac:dyDescent="0.3">
      <c r="A292" s="10" t="s">
        <v>1169</v>
      </c>
      <c r="B292" s="10"/>
      <c r="C292" s="17" t="s">
        <v>1170</v>
      </c>
      <c r="D292" s="12"/>
      <c r="E292" s="12" t="s">
        <v>1171</v>
      </c>
      <c r="F292" s="18" t="s">
        <v>258</v>
      </c>
      <c r="G292" s="19">
        <v>1.1000000000000001</v>
      </c>
      <c r="H292" s="24"/>
      <c r="I292" s="24">
        <v>4798.5519999999997</v>
      </c>
      <c r="J292" s="20">
        <v>7.11</v>
      </c>
      <c r="M292" s="21">
        <f>ROUND(ROUND(J292, 2)*I292, 2)</f>
        <v>34117.699999999997</v>
      </c>
      <c r="P292" s="22">
        <v>7.11</v>
      </c>
      <c r="S292" s="21">
        <f>ROUND(ROUND(P292, 2)*I292, 2)</f>
        <v>34117.699999999997</v>
      </c>
      <c r="V292" s="9">
        <f>ROUND(ROUND(P292, 2)/1.2, 2)</f>
        <v>5.93</v>
      </c>
      <c r="Y292" s="9">
        <f t="shared" si="21"/>
        <v>28431.42</v>
      </c>
      <c r="AD292" s="4" t="s">
        <v>1172</v>
      </c>
      <c r="AE292" s="4" t="s">
        <v>1173</v>
      </c>
      <c r="AF292" s="4" t="s">
        <v>1174</v>
      </c>
    </row>
    <row r="293" spans="1:35" ht="144" x14ac:dyDescent="0.3">
      <c r="A293" s="10" t="s">
        <v>1175</v>
      </c>
      <c r="B293" s="10" t="s">
        <v>1176</v>
      </c>
      <c r="C293" s="11" t="s">
        <v>1177</v>
      </c>
      <c r="D293" s="12"/>
      <c r="E293" s="12" t="s">
        <v>1178</v>
      </c>
      <c r="F293" s="12" t="s">
        <v>58</v>
      </c>
      <c r="G293" s="13">
        <v>1</v>
      </c>
      <c r="H293" s="13"/>
      <c r="I293" s="13">
        <v>57.5</v>
      </c>
      <c r="J293" s="14">
        <f>IFERROR(ROUND(SUM(M294,M295,M296)/I293, 2),0)</f>
        <v>542.97</v>
      </c>
      <c r="K293" s="15">
        <v>717.99</v>
      </c>
      <c r="L293" s="14">
        <f>J293+ROUND(K293, 2)</f>
        <v>1260.96</v>
      </c>
      <c r="M293" s="14">
        <f>ROUND(J293*I293, 2)</f>
        <v>31220.78</v>
      </c>
      <c r="N293" s="14">
        <f>ROUND(I293*ROUND(K293, 2), 2)</f>
        <v>41284.43</v>
      </c>
      <c r="O293" s="14">
        <f>M293+N293</f>
        <v>72505.209999999992</v>
      </c>
      <c r="P293" s="14">
        <f>IFERROR(ROUND(SUM(S294,S295,S296)/I293, 2),0)</f>
        <v>542.97</v>
      </c>
      <c r="Q293" s="16">
        <v>1025.7</v>
      </c>
      <c r="R293" s="14">
        <f>P293+ROUND(Q293, 2)</f>
        <v>1568.67</v>
      </c>
      <c r="S293" s="14">
        <f>ROUND(P293*I293, 2)</f>
        <v>31220.78</v>
      </c>
      <c r="T293" s="14">
        <f>ROUND(I293*ROUND(Q293, 2), 2)</f>
        <v>58977.75</v>
      </c>
      <c r="U293" s="14">
        <f>S293+T293</f>
        <v>90198.53</v>
      </c>
      <c r="V293" s="9">
        <f>ROUND(P293 / 1.2, 2)</f>
        <v>452.48</v>
      </c>
      <c r="W293" s="9">
        <f>ROUND(Q293 / 1.2, 2)</f>
        <v>854.75</v>
      </c>
      <c r="X293" s="9">
        <f>ROUND(R293 / 1.2, 2)</f>
        <v>1307.23</v>
      </c>
      <c r="Y293" s="9">
        <f t="shared" si="21"/>
        <v>26017.32</v>
      </c>
      <c r="Z293" s="9">
        <f>ROUND(T293 / 1.2, 2)</f>
        <v>49148.13</v>
      </c>
      <c r="AA293" s="9">
        <f>Y293+Z293</f>
        <v>75165.45</v>
      </c>
      <c r="AD293" s="4">
        <v>311044368</v>
      </c>
      <c r="AE293" s="4">
        <v>22781793</v>
      </c>
      <c r="AG293" s="4" t="s">
        <v>1179</v>
      </c>
      <c r="AH293" s="4" t="s">
        <v>1180</v>
      </c>
      <c r="AI293" s="4" t="s">
        <v>469</v>
      </c>
    </row>
    <row r="294" spans="1:35" ht="36" x14ac:dyDescent="0.3">
      <c r="A294" s="10" t="s">
        <v>1181</v>
      </c>
      <c r="B294" s="10"/>
      <c r="C294" s="17" t="s">
        <v>1182</v>
      </c>
      <c r="D294" s="12"/>
      <c r="E294" s="12"/>
      <c r="F294" s="18" t="s">
        <v>99</v>
      </c>
      <c r="G294" s="19">
        <v>1.5</v>
      </c>
      <c r="H294" s="24"/>
      <c r="I294" s="24">
        <v>862.5</v>
      </c>
      <c r="J294" s="20">
        <v>33.450000000000003</v>
      </c>
      <c r="M294" s="21">
        <f>ROUND(ROUND(J294, 2)*I294, 2)</f>
        <v>28850.63</v>
      </c>
      <c r="P294" s="22">
        <v>33.450000000000003</v>
      </c>
      <c r="S294" s="21">
        <f>ROUND(ROUND(P294, 2)*I294, 2)</f>
        <v>28850.63</v>
      </c>
      <c r="V294" s="9">
        <f>ROUND(ROUND(P294, 2)/1.2, 2)</f>
        <v>27.88</v>
      </c>
      <c r="Y294" s="9">
        <f t="shared" si="21"/>
        <v>24042.19</v>
      </c>
      <c r="AD294" s="4" t="s">
        <v>1183</v>
      </c>
      <c r="AE294" s="4" t="s">
        <v>1184</v>
      </c>
      <c r="AF294" s="4" t="s">
        <v>1185</v>
      </c>
    </row>
    <row r="295" spans="1:35" ht="36" x14ac:dyDescent="0.3">
      <c r="A295" s="10" t="s">
        <v>1186</v>
      </c>
      <c r="B295" s="10"/>
      <c r="C295" s="17" t="s">
        <v>1187</v>
      </c>
      <c r="D295" s="12"/>
      <c r="E295" s="12"/>
      <c r="F295" s="18" t="s">
        <v>58</v>
      </c>
      <c r="G295" s="19">
        <v>1.1000000000000001</v>
      </c>
      <c r="H295" s="19"/>
      <c r="I295" s="19">
        <v>63.25</v>
      </c>
      <c r="J295" s="20">
        <v>22.18</v>
      </c>
      <c r="M295" s="21">
        <f>ROUND(ROUND(J295, 2)*I295, 2)</f>
        <v>1402.89</v>
      </c>
      <c r="P295" s="22">
        <v>22.18</v>
      </c>
      <c r="S295" s="21">
        <f>ROUND(ROUND(P295, 2)*I295, 2)</f>
        <v>1402.89</v>
      </c>
      <c r="V295" s="9">
        <f>ROUND(ROUND(P295, 2)/1.2, 2)</f>
        <v>18.48</v>
      </c>
      <c r="Y295" s="9">
        <f t="shared" si="21"/>
        <v>1169.08</v>
      </c>
      <c r="AD295" s="4" t="s">
        <v>1188</v>
      </c>
      <c r="AE295" s="4" t="s">
        <v>1189</v>
      </c>
      <c r="AF295" s="4" t="s">
        <v>1190</v>
      </c>
    </row>
    <row r="296" spans="1:35" ht="18" x14ac:dyDescent="0.3">
      <c r="A296" s="10" t="s">
        <v>1191</v>
      </c>
      <c r="B296" s="10"/>
      <c r="C296" s="17" t="s">
        <v>1192</v>
      </c>
      <c r="D296" s="12"/>
      <c r="E296" s="12"/>
      <c r="F296" s="18" t="s">
        <v>258</v>
      </c>
      <c r="G296" s="19">
        <v>1.05</v>
      </c>
      <c r="H296" s="19"/>
      <c r="I296" s="19">
        <v>60.375</v>
      </c>
      <c r="J296" s="20">
        <v>16.02</v>
      </c>
      <c r="M296" s="21">
        <f>ROUND(ROUND(J296, 2)*I296, 2)</f>
        <v>967.21</v>
      </c>
      <c r="P296" s="22">
        <v>16.02</v>
      </c>
      <c r="S296" s="21">
        <f>ROUND(ROUND(P296, 2)*I296, 2)</f>
        <v>967.21</v>
      </c>
      <c r="V296" s="9">
        <f>ROUND(ROUND(P296, 2)/1.2, 2)</f>
        <v>13.35</v>
      </c>
      <c r="Y296" s="9">
        <f t="shared" si="21"/>
        <v>806.01</v>
      </c>
      <c r="AD296" s="4" t="s">
        <v>1193</v>
      </c>
      <c r="AE296" s="4" t="s">
        <v>1194</v>
      </c>
      <c r="AF296" s="4" t="s">
        <v>1195</v>
      </c>
    </row>
    <row r="297" spans="1:35" ht="126" x14ac:dyDescent="0.3">
      <c r="A297" s="10" t="s">
        <v>1196</v>
      </c>
      <c r="B297" s="10" t="s">
        <v>1197</v>
      </c>
      <c r="C297" s="11" t="s">
        <v>1198</v>
      </c>
      <c r="D297" s="12"/>
      <c r="E297" s="12" t="s">
        <v>1199</v>
      </c>
      <c r="F297" s="12" t="s">
        <v>58</v>
      </c>
      <c r="G297" s="13">
        <v>1</v>
      </c>
      <c r="H297" s="13"/>
      <c r="I297" s="13">
        <v>244.06700000000001</v>
      </c>
      <c r="J297" s="14">
        <f>IFERROR(ROUND(SUM(M298,M299)/I297, 2),0)</f>
        <v>938.93</v>
      </c>
      <c r="K297" s="15">
        <v>564.99</v>
      </c>
      <c r="L297" s="14">
        <f>J297+ROUND(K297, 2)</f>
        <v>1503.92</v>
      </c>
      <c r="M297" s="14">
        <f>ROUND(J297*I297, 2)</f>
        <v>229161.83</v>
      </c>
      <c r="N297" s="14">
        <f>ROUND(I297*ROUND(K297, 2), 2)</f>
        <v>137895.41</v>
      </c>
      <c r="O297" s="14">
        <f>M297+N297</f>
        <v>367057.24</v>
      </c>
      <c r="P297" s="14">
        <f>IFERROR(ROUND(SUM(S298,S299)/I297, 2),0)</f>
        <v>938.93</v>
      </c>
      <c r="Q297" s="16">
        <v>807.13</v>
      </c>
      <c r="R297" s="14">
        <f>P297+ROUND(Q297, 2)</f>
        <v>1746.06</v>
      </c>
      <c r="S297" s="14">
        <f>ROUND(P297*I297, 2)</f>
        <v>229161.83</v>
      </c>
      <c r="T297" s="14">
        <f>ROUND(I297*ROUND(Q297, 2), 2)</f>
        <v>196993.8</v>
      </c>
      <c r="U297" s="14">
        <f>S297+T297</f>
        <v>426155.63</v>
      </c>
      <c r="V297" s="9">
        <f>ROUND(P297 / 1.2, 2)</f>
        <v>782.44</v>
      </c>
      <c r="W297" s="9">
        <f>ROUND(Q297 / 1.2, 2)</f>
        <v>672.61</v>
      </c>
      <c r="X297" s="9">
        <f>ROUND(R297 / 1.2, 2)</f>
        <v>1455.05</v>
      </c>
      <c r="Y297" s="9">
        <f t="shared" si="21"/>
        <v>190968.19</v>
      </c>
      <c r="Z297" s="9">
        <f>ROUND(T297 / 1.2, 2)</f>
        <v>164161.5</v>
      </c>
      <c r="AA297" s="9">
        <f>Y297+Z297</f>
        <v>355129.69</v>
      </c>
      <c r="AD297" s="4">
        <v>311044370</v>
      </c>
      <c r="AE297" s="4">
        <v>22781796</v>
      </c>
      <c r="AG297" s="4" t="s">
        <v>1200</v>
      </c>
      <c r="AH297" s="4" t="s">
        <v>1201</v>
      </c>
      <c r="AI297" s="4" t="s">
        <v>469</v>
      </c>
    </row>
    <row r="298" spans="1:35" ht="36" x14ac:dyDescent="0.3">
      <c r="A298" s="10" t="s">
        <v>1202</v>
      </c>
      <c r="B298" s="10"/>
      <c r="C298" s="23" t="s">
        <v>1203</v>
      </c>
      <c r="D298" s="12"/>
      <c r="E298" s="12"/>
      <c r="F298" s="18" t="s">
        <v>82</v>
      </c>
      <c r="G298" s="19">
        <v>1.03</v>
      </c>
      <c r="H298" s="24"/>
      <c r="I298" s="24">
        <v>37.707999999999998</v>
      </c>
      <c r="J298" s="20">
        <v>5639.61</v>
      </c>
      <c r="M298" s="21">
        <f>ROUND(ROUND(J298, 2)*I298, 2)</f>
        <v>212658.41</v>
      </c>
      <c r="P298" s="22">
        <v>5639.61</v>
      </c>
      <c r="S298" s="21">
        <f>ROUND(ROUND(P298, 2)*I298, 2)</f>
        <v>212658.41</v>
      </c>
      <c r="V298" s="9">
        <f>ROUND(ROUND(P298, 2)/1.2, 2)</f>
        <v>4699.68</v>
      </c>
      <c r="Y298" s="9">
        <f t="shared" si="21"/>
        <v>177215.34</v>
      </c>
      <c r="AD298" s="4" t="s">
        <v>1204</v>
      </c>
      <c r="AE298" s="4" t="s">
        <v>1205</v>
      </c>
      <c r="AF298" s="4" t="s">
        <v>1206</v>
      </c>
    </row>
    <row r="299" spans="1:35" ht="36" x14ac:dyDescent="0.3">
      <c r="A299" s="10" t="s">
        <v>1207</v>
      </c>
      <c r="B299" s="10"/>
      <c r="C299" s="17" t="s">
        <v>1208</v>
      </c>
      <c r="D299" s="12"/>
      <c r="E299" s="12"/>
      <c r="F299" s="18" t="s">
        <v>139</v>
      </c>
      <c r="G299" s="19">
        <v>7</v>
      </c>
      <c r="H299" s="19"/>
      <c r="I299" s="19">
        <v>1708.4690000000001</v>
      </c>
      <c r="J299" s="20">
        <v>9.66</v>
      </c>
      <c r="M299" s="21">
        <f>ROUND(ROUND(J299, 2)*I299, 2)</f>
        <v>16503.810000000001</v>
      </c>
      <c r="P299" s="22">
        <v>9.66</v>
      </c>
      <c r="S299" s="21">
        <f>ROUND(ROUND(P299, 2)*I299, 2)</f>
        <v>16503.810000000001</v>
      </c>
      <c r="V299" s="9">
        <f>ROUND(ROUND(P299, 2)/1.2, 2)</f>
        <v>8.0500000000000007</v>
      </c>
      <c r="Y299" s="9">
        <f t="shared" si="21"/>
        <v>13753.18</v>
      </c>
      <c r="AD299" s="4" t="s">
        <v>1209</v>
      </c>
      <c r="AE299" s="4" t="s">
        <v>1210</v>
      </c>
      <c r="AF299" s="4" t="s">
        <v>1211</v>
      </c>
    </row>
    <row r="300" spans="1:35" ht="126" x14ac:dyDescent="0.3">
      <c r="A300" s="10" t="s">
        <v>1212</v>
      </c>
      <c r="B300" s="10" t="s">
        <v>1197</v>
      </c>
      <c r="C300" s="11" t="s">
        <v>1198</v>
      </c>
      <c r="D300" s="12"/>
      <c r="E300" s="12" t="s">
        <v>1213</v>
      </c>
      <c r="F300" s="12" t="s">
        <v>58</v>
      </c>
      <c r="G300" s="13">
        <v>1</v>
      </c>
      <c r="H300" s="13"/>
      <c r="I300" s="13">
        <v>20.5</v>
      </c>
      <c r="J300" s="14">
        <f>IFERROR(ROUND(SUM(M301,M302,M303)/I300, 2),0)</f>
        <v>470.23</v>
      </c>
      <c r="K300" s="15">
        <v>564.99</v>
      </c>
      <c r="L300" s="14">
        <f>J300+ROUND(K300, 2)</f>
        <v>1035.22</v>
      </c>
      <c r="M300" s="14">
        <f>ROUND(J300*I300, 2)</f>
        <v>9639.7199999999993</v>
      </c>
      <c r="N300" s="14">
        <f>ROUND(I300*ROUND(K300, 2), 2)</f>
        <v>11582.3</v>
      </c>
      <c r="O300" s="14">
        <f>M300+N300</f>
        <v>21222.019999999997</v>
      </c>
      <c r="P300" s="14">
        <f>IFERROR(ROUND(SUM(S301,S302,S303)/I300, 2),0)</f>
        <v>470.23</v>
      </c>
      <c r="Q300" s="16">
        <v>807.13</v>
      </c>
      <c r="R300" s="14">
        <f>P300+ROUND(Q300, 2)</f>
        <v>1277.3600000000001</v>
      </c>
      <c r="S300" s="14">
        <f>ROUND(P300*I300, 2)</f>
        <v>9639.7199999999993</v>
      </c>
      <c r="T300" s="14">
        <f>ROUND(I300*ROUND(Q300, 2), 2)</f>
        <v>16546.169999999998</v>
      </c>
      <c r="U300" s="14">
        <f>S300+T300</f>
        <v>26185.89</v>
      </c>
      <c r="V300" s="9">
        <f>ROUND(P300 / 1.2, 2)</f>
        <v>391.86</v>
      </c>
      <c r="W300" s="9">
        <f>ROUND(Q300 / 1.2, 2)</f>
        <v>672.61</v>
      </c>
      <c r="X300" s="9">
        <f>ROUND(R300 / 1.2, 2)</f>
        <v>1064.47</v>
      </c>
      <c r="Y300" s="9">
        <f t="shared" si="21"/>
        <v>8033.1</v>
      </c>
      <c r="Z300" s="9">
        <f>ROUND(T300 / 1.2, 2)</f>
        <v>13788.48</v>
      </c>
      <c r="AA300" s="9">
        <f>Y300+Z300</f>
        <v>21821.58</v>
      </c>
      <c r="AD300" s="4">
        <v>311044444</v>
      </c>
      <c r="AE300" s="4">
        <v>22782182</v>
      </c>
      <c r="AG300" s="4" t="s">
        <v>1200</v>
      </c>
      <c r="AH300" s="4" t="s">
        <v>1201</v>
      </c>
      <c r="AI300" s="4" t="s">
        <v>469</v>
      </c>
    </row>
    <row r="301" spans="1:35" ht="36" x14ac:dyDescent="0.3">
      <c r="A301" s="10" t="s">
        <v>1214</v>
      </c>
      <c r="B301" s="10"/>
      <c r="C301" s="17" t="s">
        <v>1215</v>
      </c>
      <c r="D301" s="12"/>
      <c r="E301" s="12"/>
      <c r="F301" s="18" t="s">
        <v>139</v>
      </c>
      <c r="G301" s="19">
        <v>7</v>
      </c>
      <c r="H301" s="19"/>
      <c r="I301" s="19">
        <v>143.5</v>
      </c>
      <c r="J301" s="20">
        <v>8.24</v>
      </c>
      <c r="M301" s="21">
        <f>ROUND(ROUND(J301, 2)*I301, 2)</f>
        <v>1182.44</v>
      </c>
      <c r="P301" s="22">
        <v>8.24</v>
      </c>
      <c r="S301" s="21">
        <f>ROUND(ROUND(P301, 2)*I301, 2)</f>
        <v>1182.44</v>
      </c>
      <c r="V301" s="9">
        <f>ROUND(ROUND(P301, 2)/1.2, 2)</f>
        <v>6.87</v>
      </c>
      <c r="Y301" s="9">
        <f t="shared" si="21"/>
        <v>985.37</v>
      </c>
      <c r="AD301" s="4" t="s">
        <v>1216</v>
      </c>
      <c r="AE301" s="4" t="s">
        <v>1217</v>
      </c>
      <c r="AF301" s="4" t="s">
        <v>1218</v>
      </c>
    </row>
    <row r="302" spans="1:35" ht="36" x14ac:dyDescent="0.3">
      <c r="A302" s="10" t="s">
        <v>1219</v>
      </c>
      <c r="B302" s="10"/>
      <c r="C302" s="17" t="s">
        <v>1220</v>
      </c>
      <c r="D302" s="12"/>
      <c r="E302" s="12"/>
      <c r="F302" s="18" t="s">
        <v>99</v>
      </c>
      <c r="G302" s="19">
        <v>6</v>
      </c>
      <c r="H302" s="24"/>
      <c r="I302" s="24">
        <v>123</v>
      </c>
      <c r="J302" s="20">
        <v>20.34</v>
      </c>
      <c r="M302" s="21">
        <f>ROUND(ROUND(J302, 2)*I302, 2)</f>
        <v>2501.8200000000002</v>
      </c>
      <c r="P302" s="22">
        <v>20.34</v>
      </c>
      <c r="S302" s="21">
        <f>ROUND(ROUND(P302, 2)*I302, 2)</f>
        <v>2501.8200000000002</v>
      </c>
      <c r="V302" s="9">
        <f>ROUND(ROUND(P302, 2)/1.2, 2)</f>
        <v>16.95</v>
      </c>
      <c r="Y302" s="9">
        <f t="shared" si="21"/>
        <v>2084.85</v>
      </c>
      <c r="AD302" s="4" t="s">
        <v>1221</v>
      </c>
      <c r="AE302" s="4" t="s">
        <v>1222</v>
      </c>
      <c r="AF302" s="4" t="s">
        <v>1223</v>
      </c>
    </row>
    <row r="303" spans="1:35" ht="36" x14ac:dyDescent="0.3">
      <c r="A303" s="10" t="s">
        <v>1224</v>
      </c>
      <c r="B303" s="10"/>
      <c r="C303" s="23" t="s">
        <v>1203</v>
      </c>
      <c r="D303" s="12"/>
      <c r="E303" s="12"/>
      <c r="F303" s="18" t="s">
        <v>82</v>
      </c>
      <c r="G303" s="19">
        <v>1.03</v>
      </c>
      <c r="H303" s="24"/>
      <c r="I303" s="24">
        <v>1.056</v>
      </c>
      <c r="J303" s="20">
        <v>5639.61</v>
      </c>
      <c r="M303" s="21">
        <f>ROUND(ROUND(J303, 2)*I303, 2)</f>
        <v>5955.43</v>
      </c>
      <c r="P303" s="22">
        <v>5639.61</v>
      </c>
      <c r="S303" s="21">
        <f>ROUND(ROUND(P303, 2)*I303, 2)</f>
        <v>5955.43</v>
      </c>
      <c r="V303" s="9">
        <f>ROUND(ROUND(P303, 2)/1.2, 2)</f>
        <v>4699.68</v>
      </c>
      <c r="Y303" s="9">
        <f t="shared" si="21"/>
        <v>4962.8599999999997</v>
      </c>
      <c r="AD303" s="4" t="s">
        <v>1225</v>
      </c>
      <c r="AE303" s="4" t="s">
        <v>1226</v>
      </c>
      <c r="AF303" s="4" t="s">
        <v>1206</v>
      </c>
    </row>
    <row r="304" spans="1:35" ht="144" x14ac:dyDescent="0.3">
      <c r="A304" s="10" t="s">
        <v>1227</v>
      </c>
      <c r="B304" s="10" t="s">
        <v>1197</v>
      </c>
      <c r="C304" s="11" t="s">
        <v>1198</v>
      </c>
      <c r="D304" s="12"/>
      <c r="E304" s="12" t="s">
        <v>1228</v>
      </c>
      <c r="F304" s="12" t="s">
        <v>58</v>
      </c>
      <c r="G304" s="13">
        <v>1</v>
      </c>
      <c r="H304" s="13"/>
      <c r="I304" s="13">
        <v>37</v>
      </c>
      <c r="J304" s="14">
        <f>IFERROR(ROUND(SUM(M305,M306,M307)/I304, 2),0)</f>
        <v>1075.27</v>
      </c>
      <c r="K304" s="15">
        <v>564.99</v>
      </c>
      <c r="L304" s="14">
        <f>J304+ROUND(K304, 2)</f>
        <v>1640.26</v>
      </c>
      <c r="M304" s="14">
        <f>ROUND(J304*I304, 2)</f>
        <v>39784.99</v>
      </c>
      <c r="N304" s="14">
        <f>ROUND(I304*ROUND(K304, 2), 2)</f>
        <v>20904.63</v>
      </c>
      <c r="O304" s="14">
        <f>M304+N304</f>
        <v>60689.619999999995</v>
      </c>
      <c r="P304" s="14">
        <f>IFERROR(ROUND(SUM(S305,S306,S307)/I304, 2),0)</f>
        <v>1075.27</v>
      </c>
      <c r="Q304" s="16">
        <v>807.13</v>
      </c>
      <c r="R304" s="14">
        <f>P304+ROUND(Q304, 2)</f>
        <v>1882.4</v>
      </c>
      <c r="S304" s="14">
        <f>ROUND(P304*I304, 2)</f>
        <v>39784.99</v>
      </c>
      <c r="T304" s="14">
        <f>ROUND(I304*ROUND(Q304, 2), 2)</f>
        <v>29863.81</v>
      </c>
      <c r="U304" s="14">
        <f>S304+T304</f>
        <v>69648.800000000003</v>
      </c>
      <c r="V304" s="9">
        <f>ROUND(P304 / 1.2, 2)</f>
        <v>896.06</v>
      </c>
      <c r="W304" s="9">
        <f>ROUND(Q304 / 1.2, 2)</f>
        <v>672.61</v>
      </c>
      <c r="X304" s="9">
        <f>ROUND(R304 / 1.2, 2)</f>
        <v>1568.67</v>
      </c>
      <c r="Y304" s="9">
        <f t="shared" si="21"/>
        <v>33154.160000000003</v>
      </c>
      <c r="Z304" s="9">
        <f>ROUND(T304 / 1.2, 2)</f>
        <v>24886.51</v>
      </c>
      <c r="AA304" s="9">
        <f>Y304+Z304</f>
        <v>58040.67</v>
      </c>
      <c r="AD304" s="4">
        <v>311044445</v>
      </c>
      <c r="AE304" s="4">
        <v>22782181</v>
      </c>
      <c r="AG304" s="4" t="s">
        <v>1200</v>
      </c>
      <c r="AH304" s="4" t="s">
        <v>1201</v>
      </c>
      <c r="AI304" s="4" t="s">
        <v>469</v>
      </c>
    </row>
    <row r="305" spans="1:35" ht="36" x14ac:dyDescent="0.3">
      <c r="A305" s="10" t="s">
        <v>1229</v>
      </c>
      <c r="B305" s="10"/>
      <c r="C305" s="23" t="s">
        <v>1203</v>
      </c>
      <c r="D305" s="12"/>
      <c r="E305" s="12"/>
      <c r="F305" s="18" t="s">
        <v>82</v>
      </c>
      <c r="G305" s="19">
        <v>1.03</v>
      </c>
      <c r="H305" s="24"/>
      <c r="I305" s="24">
        <v>5.7169999999999996</v>
      </c>
      <c r="J305" s="20">
        <v>5639.61</v>
      </c>
      <c r="M305" s="21">
        <f>ROUND(ROUND(J305, 2)*I305, 2)</f>
        <v>32241.65</v>
      </c>
      <c r="P305" s="22">
        <v>5639.61</v>
      </c>
      <c r="S305" s="21">
        <f>ROUND(ROUND(P305, 2)*I305, 2)</f>
        <v>32241.65</v>
      </c>
      <c r="V305" s="9">
        <f>ROUND(ROUND(P305, 2)/1.2, 2)</f>
        <v>4699.68</v>
      </c>
      <c r="Y305" s="9">
        <f t="shared" si="21"/>
        <v>26868.04</v>
      </c>
      <c r="AD305" s="4" t="s">
        <v>1230</v>
      </c>
      <c r="AE305" s="4" t="s">
        <v>1231</v>
      </c>
      <c r="AF305" s="4" t="s">
        <v>1206</v>
      </c>
    </row>
    <row r="306" spans="1:35" ht="36" x14ac:dyDescent="0.3">
      <c r="A306" s="10" t="s">
        <v>1232</v>
      </c>
      <c r="B306" s="10"/>
      <c r="C306" s="17" t="s">
        <v>1220</v>
      </c>
      <c r="D306" s="12"/>
      <c r="E306" s="12"/>
      <c r="F306" s="18" t="s">
        <v>99</v>
      </c>
      <c r="G306" s="19">
        <v>6</v>
      </c>
      <c r="H306" s="24"/>
      <c r="I306" s="24">
        <v>222</v>
      </c>
      <c r="J306" s="20">
        <v>20.34</v>
      </c>
      <c r="M306" s="21">
        <f>ROUND(ROUND(J306, 2)*I306, 2)</f>
        <v>4515.4799999999996</v>
      </c>
      <c r="P306" s="22">
        <v>20.34</v>
      </c>
      <c r="S306" s="21">
        <f>ROUND(ROUND(P306, 2)*I306, 2)</f>
        <v>4515.4799999999996</v>
      </c>
      <c r="V306" s="9">
        <f>ROUND(ROUND(P306, 2)/1.2, 2)</f>
        <v>16.95</v>
      </c>
      <c r="Y306" s="9">
        <f t="shared" si="21"/>
        <v>3762.9</v>
      </c>
      <c r="AD306" s="4" t="s">
        <v>1233</v>
      </c>
      <c r="AE306" s="4" t="s">
        <v>1234</v>
      </c>
      <c r="AF306" s="4" t="s">
        <v>1223</v>
      </c>
    </row>
    <row r="307" spans="1:35" ht="36" x14ac:dyDescent="0.3">
      <c r="A307" s="10" t="s">
        <v>1235</v>
      </c>
      <c r="B307" s="10"/>
      <c r="C307" s="17" t="s">
        <v>1236</v>
      </c>
      <c r="D307" s="12"/>
      <c r="E307" s="12"/>
      <c r="F307" s="18" t="s">
        <v>139</v>
      </c>
      <c r="G307" s="19">
        <v>7</v>
      </c>
      <c r="H307" s="19"/>
      <c r="I307" s="19">
        <v>259</v>
      </c>
      <c r="J307" s="20">
        <v>11.69</v>
      </c>
      <c r="M307" s="21">
        <f>ROUND(ROUND(J307, 2)*I307, 2)</f>
        <v>3027.71</v>
      </c>
      <c r="P307" s="22">
        <v>11.69</v>
      </c>
      <c r="S307" s="21">
        <f>ROUND(ROUND(P307, 2)*I307, 2)</f>
        <v>3027.71</v>
      </c>
      <c r="V307" s="9">
        <f>ROUND(ROUND(P307, 2)/1.2, 2)</f>
        <v>9.74</v>
      </c>
      <c r="Y307" s="9">
        <f t="shared" si="21"/>
        <v>2523.09</v>
      </c>
      <c r="AD307" s="4" t="s">
        <v>1237</v>
      </c>
      <c r="AE307" s="4" t="s">
        <v>1238</v>
      </c>
      <c r="AF307" s="4" t="s">
        <v>1239</v>
      </c>
    </row>
    <row r="308" spans="1:35" ht="72" x14ac:dyDescent="0.3">
      <c r="A308" s="10" t="s">
        <v>1240</v>
      </c>
      <c r="B308" s="10" t="s">
        <v>1241</v>
      </c>
      <c r="C308" s="11" t="s">
        <v>1242</v>
      </c>
      <c r="D308" s="12"/>
      <c r="E308" s="12" t="s">
        <v>1243</v>
      </c>
      <c r="F308" s="12" t="s">
        <v>58</v>
      </c>
      <c r="G308" s="13">
        <v>1</v>
      </c>
      <c r="H308" s="13"/>
      <c r="I308" s="13">
        <v>601</v>
      </c>
      <c r="J308" s="14">
        <f>IFERROR(ROUND(SUM(M309,M310,M311)/I308, 2),0)</f>
        <v>82.62</v>
      </c>
      <c r="K308" s="15">
        <v>639</v>
      </c>
      <c r="L308" s="14">
        <f>J308+ROUND(K308, 2)</f>
        <v>721.62</v>
      </c>
      <c r="M308" s="14">
        <f>ROUND(J308*I308, 2)</f>
        <v>49654.62</v>
      </c>
      <c r="N308" s="14">
        <f>ROUND(I308*ROUND(K308, 2), 2)</f>
        <v>384039</v>
      </c>
      <c r="O308" s="14">
        <f>M308+N308</f>
        <v>433693.62</v>
      </c>
      <c r="P308" s="14">
        <f>IFERROR(ROUND(SUM(S309,S310,S311)/I308, 2),0)</f>
        <v>82.62</v>
      </c>
      <c r="Q308" s="16">
        <v>912.86</v>
      </c>
      <c r="R308" s="14">
        <f>P308+ROUND(Q308, 2)</f>
        <v>995.48</v>
      </c>
      <c r="S308" s="14">
        <f>ROUND(P308*I308, 2)</f>
        <v>49654.62</v>
      </c>
      <c r="T308" s="14">
        <f>ROUND(I308*ROUND(Q308, 2), 2)</f>
        <v>548628.86</v>
      </c>
      <c r="U308" s="14">
        <f>S308+T308</f>
        <v>598283.48</v>
      </c>
      <c r="V308" s="9">
        <f>ROUND(P308 / 1.2, 2)</f>
        <v>68.849999999999994</v>
      </c>
      <c r="W308" s="9">
        <f>ROUND(Q308 / 1.2, 2)</f>
        <v>760.72</v>
      </c>
      <c r="X308" s="9">
        <f>ROUND(R308 / 1.2, 2)</f>
        <v>829.57</v>
      </c>
      <c r="Y308" s="9">
        <f t="shared" si="21"/>
        <v>41378.85</v>
      </c>
      <c r="Z308" s="9">
        <f>ROUND(T308 / 1.2, 2)</f>
        <v>457190.72</v>
      </c>
      <c r="AA308" s="9">
        <f>Y308+Z308</f>
        <v>498569.56999999995</v>
      </c>
      <c r="AD308" s="4">
        <v>311044372</v>
      </c>
      <c r="AE308" s="4">
        <v>22788873</v>
      </c>
      <c r="AG308" s="4" t="s">
        <v>1244</v>
      </c>
      <c r="AH308" s="4" t="s">
        <v>1245</v>
      </c>
      <c r="AI308" s="4" t="s">
        <v>469</v>
      </c>
    </row>
    <row r="309" spans="1:35" ht="18" x14ac:dyDescent="0.3">
      <c r="A309" s="10" t="s">
        <v>1246</v>
      </c>
      <c r="B309" s="10"/>
      <c r="C309" s="17" t="s">
        <v>1247</v>
      </c>
      <c r="D309" s="12"/>
      <c r="E309" s="12" t="s">
        <v>1248</v>
      </c>
      <c r="F309" s="18" t="s">
        <v>99</v>
      </c>
      <c r="G309" s="19">
        <v>2</v>
      </c>
      <c r="H309" s="19"/>
      <c r="I309" s="19">
        <v>1202</v>
      </c>
      <c r="J309" s="20">
        <v>23.39</v>
      </c>
      <c r="M309" s="21">
        <f>ROUND(ROUND(J309, 2)*I309, 2)</f>
        <v>28114.78</v>
      </c>
      <c r="P309" s="22">
        <v>23.39</v>
      </c>
      <c r="S309" s="21">
        <f>ROUND(ROUND(P309, 2)*I309, 2)</f>
        <v>28114.78</v>
      </c>
      <c r="V309" s="9">
        <f>ROUND(ROUND(P309, 2)/1.2, 2)</f>
        <v>19.489999999999998</v>
      </c>
      <c r="Y309" s="9">
        <f t="shared" si="21"/>
        <v>23428.98</v>
      </c>
      <c r="AD309" s="4" t="s">
        <v>1249</v>
      </c>
      <c r="AE309" s="4" t="s">
        <v>1250</v>
      </c>
      <c r="AF309" s="4" t="s">
        <v>1251</v>
      </c>
    </row>
    <row r="310" spans="1:35" ht="36" x14ac:dyDescent="0.3">
      <c r="A310" s="10" t="s">
        <v>1252</v>
      </c>
      <c r="B310" s="10"/>
      <c r="C310" s="17" t="s">
        <v>1253</v>
      </c>
      <c r="D310" s="12"/>
      <c r="E310" s="12"/>
      <c r="F310" s="18" t="s">
        <v>139</v>
      </c>
      <c r="G310" s="19">
        <v>0.3</v>
      </c>
      <c r="H310" s="19"/>
      <c r="I310" s="19">
        <v>180.3</v>
      </c>
      <c r="J310" s="20">
        <v>74.319999999999993</v>
      </c>
      <c r="M310" s="21">
        <f>ROUND(ROUND(J310, 2)*I310, 2)</f>
        <v>13399.9</v>
      </c>
      <c r="P310" s="22">
        <v>74.319999999999993</v>
      </c>
      <c r="S310" s="21">
        <f>ROUND(ROUND(P310, 2)*I310, 2)</f>
        <v>13399.9</v>
      </c>
      <c r="V310" s="9">
        <f>ROUND(ROUND(P310, 2)/1.2, 2)</f>
        <v>61.93</v>
      </c>
      <c r="Y310" s="9">
        <f t="shared" si="21"/>
        <v>11166.58</v>
      </c>
      <c r="AD310" s="4" t="s">
        <v>1254</v>
      </c>
      <c r="AE310" s="4" t="s">
        <v>1255</v>
      </c>
      <c r="AF310" s="4" t="s">
        <v>1256</v>
      </c>
    </row>
    <row r="311" spans="1:35" ht="36" x14ac:dyDescent="0.3">
      <c r="A311" s="10" t="s">
        <v>1257</v>
      </c>
      <c r="B311" s="10"/>
      <c r="C311" s="17" t="s">
        <v>1057</v>
      </c>
      <c r="D311" s="12"/>
      <c r="E311" s="12"/>
      <c r="F311" s="18" t="s">
        <v>99</v>
      </c>
      <c r="G311" s="19">
        <v>0.15</v>
      </c>
      <c r="H311" s="19"/>
      <c r="I311" s="19">
        <v>90.15</v>
      </c>
      <c r="J311" s="20">
        <v>90.28</v>
      </c>
      <c r="M311" s="21">
        <f>ROUND(ROUND(J311, 2)*I311, 2)</f>
        <v>8138.74</v>
      </c>
      <c r="P311" s="22">
        <v>90.28</v>
      </c>
      <c r="S311" s="21">
        <f>ROUND(ROUND(P311, 2)*I311, 2)</f>
        <v>8138.74</v>
      </c>
      <c r="V311" s="9">
        <f>ROUND(ROUND(P311, 2)/1.2, 2)</f>
        <v>75.23</v>
      </c>
      <c r="Y311" s="9">
        <f t="shared" si="21"/>
        <v>6782.28</v>
      </c>
      <c r="AD311" s="4" t="s">
        <v>1258</v>
      </c>
      <c r="AE311" s="4" t="s">
        <v>1259</v>
      </c>
      <c r="AF311" s="4" t="s">
        <v>1060</v>
      </c>
    </row>
    <row r="312" spans="1:35" ht="54" x14ac:dyDescent="0.3">
      <c r="A312" s="10" t="s">
        <v>1260</v>
      </c>
      <c r="B312" s="10" t="s">
        <v>1241</v>
      </c>
      <c r="C312" s="11" t="s">
        <v>1242</v>
      </c>
      <c r="D312" s="12"/>
      <c r="E312" s="12" t="s">
        <v>1261</v>
      </c>
      <c r="F312" s="12" t="s">
        <v>58</v>
      </c>
      <c r="G312" s="13">
        <v>1</v>
      </c>
      <c r="H312" s="13"/>
      <c r="I312" s="13">
        <v>405</v>
      </c>
      <c r="J312" s="14">
        <f>IFERROR(ROUND(SUM(M313,M314,M315)/I312, 2),0)</f>
        <v>54.23</v>
      </c>
      <c r="K312" s="15">
        <v>639</v>
      </c>
      <c r="L312" s="14">
        <f>J312+ROUND(K312, 2)</f>
        <v>693.23</v>
      </c>
      <c r="M312" s="14">
        <f>ROUND(J312*I312, 2)</f>
        <v>21963.15</v>
      </c>
      <c r="N312" s="14">
        <f>ROUND(I312*ROUND(K312, 2), 2)</f>
        <v>258795</v>
      </c>
      <c r="O312" s="14">
        <f>M312+N312</f>
        <v>280758.15000000002</v>
      </c>
      <c r="P312" s="14">
        <f>IFERROR(ROUND(SUM(S313,S314,S315)/I312, 2),0)</f>
        <v>54.23</v>
      </c>
      <c r="Q312" s="16">
        <v>912.86</v>
      </c>
      <c r="R312" s="14">
        <f>P312+ROUND(Q312, 2)</f>
        <v>967.09</v>
      </c>
      <c r="S312" s="14">
        <f>ROUND(P312*I312, 2)</f>
        <v>21963.15</v>
      </c>
      <c r="T312" s="14">
        <f>ROUND(I312*ROUND(Q312, 2), 2)</f>
        <v>369708.3</v>
      </c>
      <c r="U312" s="14">
        <f>S312+T312</f>
        <v>391671.45</v>
      </c>
      <c r="V312" s="9">
        <f>ROUND(P312 / 1.2, 2)</f>
        <v>45.19</v>
      </c>
      <c r="W312" s="9">
        <f>ROUND(Q312 / 1.2, 2)</f>
        <v>760.72</v>
      </c>
      <c r="X312" s="9">
        <f>ROUND(R312 / 1.2, 2)</f>
        <v>805.91</v>
      </c>
      <c r="Y312" s="9">
        <f t="shared" si="21"/>
        <v>18302.63</v>
      </c>
      <c r="Z312" s="9">
        <f>ROUND(T312 / 1.2, 2)</f>
        <v>308090.25</v>
      </c>
      <c r="AA312" s="9">
        <f>Y312+Z312</f>
        <v>326392.88</v>
      </c>
      <c r="AD312" s="4">
        <v>311044446</v>
      </c>
      <c r="AE312" s="4">
        <v>22788868</v>
      </c>
      <c r="AG312" s="4" t="s">
        <v>1244</v>
      </c>
      <c r="AH312" s="4" t="s">
        <v>1245</v>
      </c>
      <c r="AI312" s="4" t="s">
        <v>469</v>
      </c>
    </row>
    <row r="313" spans="1:35" ht="36" x14ac:dyDescent="0.3">
      <c r="A313" s="10" t="s">
        <v>1262</v>
      </c>
      <c r="B313" s="10"/>
      <c r="C313" s="17" t="s">
        <v>1057</v>
      </c>
      <c r="D313" s="12"/>
      <c r="E313" s="12"/>
      <c r="F313" s="18" t="s">
        <v>99</v>
      </c>
      <c r="G313" s="19">
        <v>0.15</v>
      </c>
      <c r="H313" s="19"/>
      <c r="I313" s="19">
        <v>60.75</v>
      </c>
      <c r="J313" s="20">
        <v>90.28</v>
      </c>
      <c r="M313" s="21">
        <f>ROUND(ROUND(J313, 2)*I313, 2)</f>
        <v>5484.51</v>
      </c>
      <c r="P313" s="22">
        <v>90.28</v>
      </c>
      <c r="S313" s="21">
        <f>ROUND(ROUND(P313, 2)*I313, 2)</f>
        <v>5484.51</v>
      </c>
      <c r="V313" s="9">
        <f>ROUND(ROUND(P313, 2)/1.2, 2)</f>
        <v>75.23</v>
      </c>
      <c r="Y313" s="9">
        <f t="shared" si="21"/>
        <v>4570.43</v>
      </c>
      <c r="AD313" s="4" t="s">
        <v>1263</v>
      </c>
      <c r="AE313" s="4" t="s">
        <v>1264</v>
      </c>
      <c r="AF313" s="4" t="s">
        <v>1060</v>
      </c>
    </row>
    <row r="314" spans="1:35" ht="36" x14ac:dyDescent="0.3">
      <c r="A314" s="10" t="s">
        <v>1265</v>
      </c>
      <c r="B314" s="10"/>
      <c r="C314" s="17" t="s">
        <v>1253</v>
      </c>
      <c r="D314" s="12"/>
      <c r="E314" s="12"/>
      <c r="F314" s="18" t="s">
        <v>139</v>
      </c>
      <c r="G314" s="19">
        <v>0.3</v>
      </c>
      <c r="H314" s="19"/>
      <c r="I314" s="19">
        <v>121.5</v>
      </c>
      <c r="J314" s="20">
        <v>74.319999999999993</v>
      </c>
      <c r="M314" s="21">
        <f>ROUND(ROUND(J314, 2)*I314, 2)</f>
        <v>9029.8799999999992</v>
      </c>
      <c r="P314" s="22">
        <v>74.319999999999993</v>
      </c>
      <c r="S314" s="21">
        <f>ROUND(ROUND(P314, 2)*I314, 2)</f>
        <v>9029.8799999999992</v>
      </c>
      <c r="V314" s="9">
        <f>ROUND(ROUND(P314, 2)/1.2, 2)</f>
        <v>61.93</v>
      </c>
      <c r="Y314" s="9">
        <f t="shared" si="21"/>
        <v>7524.9</v>
      </c>
      <c r="AD314" s="4" t="s">
        <v>1266</v>
      </c>
      <c r="AE314" s="4" t="s">
        <v>1267</v>
      </c>
      <c r="AF314" s="4" t="s">
        <v>1256</v>
      </c>
    </row>
    <row r="315" spans="1:35" ht="36" x14ac:dyDescent="0.3">
      <c r="A315" s="10" t="s">
        <v>1268</v>
      </c>
      <c r="B315" s="10"/>
      <c r="C315" s="23" t="s">
        <v>1269</v>
      </c>
      <c r="D315" s="12"/>
      <c r="E315" s="12"/>
      <c r="F315" s="18" t="s">
        <v>99</v>
      </c>
      <c r="G315" s="19">
        <v>1.5</v>
      </c>
      <c r="H315" s="19"/>
      <c r="I315" s="19">
        <v>607.5</v>
      </c>
      <c r="J315" s="20">
        <v>12.26</v>
      </c>
      <c r="M315" s="21">
        <f>ROUND(ROUND(J315, 2)*I315, 2)</f>
        <v>7447.95</v>
      </c>
      <c r="P315" s="22">
        <v>12.26</v>
      </c>
      <c r="S315" s="21">
        <f>ROUND(ROUND(P315, 2)*I315, 2)</f>
        <v>7447.95</v>
      </c>
      <c r="V315" s="9">
        <f>ROUND(ROUND(P315, 2)/1.2, 2)</f>
        <v>10.220000000000001</v>
      </c>
      <c r="Y315" s="9">
        <f t="shared" si="21"/>
        <v>6206.63</v>
      </c>
      <c r="AD315" s="4" t="s">
        <v>1270</v>
      </c>
      <c r="AE315" s="4" t="s">
        <v>1271</v>
      </c>
      <c r="AF315" s="4" t="s">
        <v>1272</v>
      </c>
    </row>
    <row r="316" spans="1:35" ht="36" x14ac:dyDescent="0.3">
      <c r="A316" s="10" t="s">
        <v>1273</v>
      </c>
      <c r="B316" s="10" t="s">
        <v>1241</v>
      </c>
      <c r="C316" s="11" t="s">
        <v>1242</v>
      </c>
      <c r="D316" s="12"/>
      <c r="E316" s="12" t="s">
        <v>1274</v>
      </c>
      <c r="F316" s="12" t="s">
        <v>58</v>
      </c>
      <c r="G316" s="13">
        <v>1</v>
      </c>
      <c r="H316" s="13"/>
      <c r="I316" s="13">
        <v>405</v>
      </c>
      <c r="J316" s="14">
        <f>IFERROR(ROUND(SUM(M317,M318)/I316, 2),0)</f>
        <v>31.93</v>
      </c>
      <c r="K316" s="15">
        <v>639</v>
      </c>
      <c r="L316" s="14">
        <f>J316+ROUND(K316, 2)</f>
        <v>670.93</v>
      </c>
      <c r="M316" s="14">
        <f>ROUND(J316*I316, 2)</f>
        <v>12931.65</v>
      </c>
      <c r="N316" s="14">
        <f>ROUND(I316*ROUND(K316, 2), 2)</f>
        <v>258795</v>
      </c>
      <c r="O316" s="14">
        <f>M316+N316</f>
        <v>271726.65000000002</v>
      </c>
      <c r="P316" s="14">
        <f>IFERROR(ROUND(SUM(S317,S318)/I316, 2),0)</f>
        <v>31.93</v>
      </c>
      <c r="Q316" s="16">
        <v>912.86</v>
      </c>
      <c r="R316" s="14">
        <f>P316+ROUND(Q316, 2)</f>
        <v>944.79</v>
      </c>
      <c r="S316" s="14">
        <f>ROUND(P316*I316, 2)</f>
        <v>12931.65</v>
      </c>
      <c r="T316" s="14">
        <f>ROUND(I316*ROUND(Q316, 2), 2)</f>
        <v>369708.3</v>
      </c>
      <c r="U316" s="14">
        <f>S316+T316</f>
        <v>382639.95</v>
      </c>
      <c r="V316" s="9">
        <f>ROUND(P316 / 1.2, 2)</f>
        <v>26.61</v>
      </c>
      <c r="W316" s="9">
        <f>ROUND(Q316 / 1.2, 2)</f>
        <v>760.72</v>
      </c>
      <c r="X316" s="9">
        <f>ROUND(R316 / 1.2, 2)</f>
        <v>787.33</v>
      </c>
      <c r="Y316" s="9">
        <f t="shared" si="21"/>
        <v>10776.38</v>
      </c>
      <c r="Z316" s="9">
        <f>ROUND(T316 / 1.2, 2)</f>
        <v>308090.25</v>
      </c>
      <c r="AA316" s="9">
        <f>Y316+Z316</f>
        <v>318866.63</v>
      </c>
      <c r="AD316" s="4">
        <v>311044447</v>
      </c>
      <c r="AE316" s="4">
        <v>22788870</v>
      </c>
      <c r="AG316" s="4" t="s">
        <v>1244</v>
      </c>
      <c r="AH316" s="4" t="s">
        <v>1245</v>
      </c>
      <c r="AI316" s="4" t="s">
        <v>469</v>
      </c>
    </row>
    <row r="317" spans="1:35" ht="36" x14ac:dyDescent="0.3">
      <c r="A317" s="10" t="s">
        <v>1275</v>
      </c>
      <c r="B317" s="10"/>
      <c r="C317" s="23" t="s">
        <v>1269</v>
      </c>
      <c r="D317" s="12"/>
      <c r="E317" s="12"/>
      <c r="F317" s="18" t="s">
        <v>99</v>
      </c>
      <c r="G317" s="19">
        <v>1.5</v>
      </c>
      <c r="H317" s="19"/>
      <c r="I317" s="19">
        <v>607.5</v>
      </c>
      <c r="J317" s="20">
        <v>12.26</v>
      </c>
      <c r="M317" s="21">
        <f>ROUND(ROUND(J317, 2)*I317, 2)</f>
        <v>7447.95</v>
      </c>
      <c r="P317" s="22">
        <v>12.26</v>
      </c>
      <c r="S317" s="21">
        <f>ROUND(ROUND(P317, 2)*I317, 2)</f>
        <v>7447.95</v>
      </c>
      <c r="V317" s="9">
        <f>ROUND(ROUND(P317, 2)/1.2, 2)</f>
        <v>10.220000000000001</v>
      </c>
      <c r="Y317" s="9">
        <f t="shared" si="21"/>
        <v>6206.63</v>
      </c>
      <c r="AD317" s="4" t="s">
        <v>1276</v>
      </c>
      <c r="AE317" s="4" t="s">
        <v>1277</v>
      </c>
      <c r="AF317" s="4" t="s">
        <v>1272</v>
      </c>
    </row>
    <row r="318" spans="1:35" ht="36" x14ac:dyDescent="0.3">
      <c r="A318" s="10" t="s">
        <v>1278</v>
      </c>
      <c r="B318" s="10"/>
      <c r="C318" s="17" t="s">
        <v>1057</v>
      </c>
      <c r="D318" s="12"/>
      <c r="E318" s="12"/>
      <c r="F318" s="18" t="s">
        <v>99</v>
      </c>
      <c r="G318" s="19">
        <v>0.15</v>
      </c>
      <c r="H318" s="19"/>
      <c r="I318" s="19">
        <v>60.75</v>
      </c>
      <c r="J318" s="20">
        <v>90.28</v>
      </c>
      <c r="M318" s="21">
        <f>ROUND(ROUND(J318, 2)*I318, 2)</f>
        <v>5484.51</v>
      </c>
      <c r="P318" s="22">
        <v>90.28</v>
      </c>
      <c r="S318" s="21">
        <f>ROUND(ROUND(P318, 2)*I318, 2)</f>
        <v>5484.51</v>
      </c>
      <c r="V318" s="9">
        <f>ROUND(ROUND(P318, 2)/1.2, 2)</f>
        <v>75.23</v>
      </c>
      <c r="Y318" s="9">
        <f t="shared" si="21"/>
        <v>4570.43</v>
      </c>
      <c r="AD318" s="4" t="s">
        <v>1279</v>
      </c>
      <c r="AE318" s="4" t="s">
        <v>1280</v>
      </c>
      <c r="AF318" s="4" t="s">
        <v>1060</v>
      </c>
    </row>
    <row r="319" spans="1:35" ht="54" x14ac:dyDescent="0.3">
      <c r="A319" s="10" t="s">
        <v>1281</v>
      </c>
      <c r="B319" s="10" t="s">
        <v>1282</v>
      </c>
      <c r="C319" s="11" t="s">
        <v>1283</v>
      </c>
      <c r="D319" s="12"/>
      <c r="E319" s="12" t="s">
        <v>1284</v>
      </c>
      <c r="F319" s="12" t="s">
        <v>58</v>
      </c>
      <c r="G319" s="13">
        <v>1</v>
      </c>
      <c r="H319" s="13"/>
      <c r="I319" s="13">
        <v>15093.2</v>
      </c>
      <c r="J319" s="14">
        <f>IFERROR(ROUND(SUM(M320,M321,M322)/I319, 2),0)</f>
        <v>57.91</v>
      </c>
      <c r="K319" s="15">
        <v>508</v>
      </c>
      <c r="L319" s="14">
        <f>J319+ROUND(K319, 2)</f>
        <v>565.91</v>
      </c>
      <c r="M319" s="14">
        <f>ROUND(J319*I319, 2)</f>
        <v>874047.21</v>
      </c>
      <c r="N319" s="14">
        <f>ROUND(I319*ROUND(K319, 2), 2)</f>
        <v>7667345.5999999996</v>
      </c>
      <c r="O319" s="14">
        <f>M319+N319</f>
        <v>8541392.8099999987</v>
      </c>
      <c r="P319" s="14">
        <f>IFERROR(ROUND(SUM(S320,S321,S322)/I319, 2),0)</f>
        <v>57.91</v>
      </c>
      <c r="Q319" s="16">
        <v>725.71</v>
      </c>
      <c r="R319" s="14">
        <f>P319+ROUND(Q319, 2)</f>
        <v>783.62</v>
      </c>
      <c r="S319" s="14">
        <f>ROUND(P319*I319, 2)</f>
        <v>874047.21</v>
      </c>
      <c r="T319" s="14">
        <f>ROUND(I319*ROUND(Q319, 2), 2)</f>
        <v>10953286.17</v>
      </c>
      <c r="U319" s="14">
        <f>S319+T319</f>
        <v>11827333.379999999</v>
      </c>
      <c r="V319" s="9">
        <f>ROUND(P319 / 1.2, 2)</f>
        <v>48.26</v>
      </c>
      <c r="W319" s="9">
        <f>ROUND(Q319 / 1.2, 2)</f>
        <v>604.76</v>
      </c>
      <c r="X319" s="9">
        <f>ROUND(R319 / 1.2, 2)</f>
        <v>653.02</v>
      </c>
      <c r="Y319" s="9">
        <f t="shared" si="21"/>
        <v>728372.68</v>
      </c>
      <c r="Z319" s="9">
        <f>ROUND(T319 / 1.2, 2)</f>
        <v>9127738.4800000004</v>
      </c>
      <c r="AA319" s="9">
        <f>Y319+Z319</f>
        <v>9856111.1600000001</v>
      </c>
      <c r="AD319" s="4">
        <v>311044373</v>
      </c>
      <c r="AE319" s="4">
        <v>22788869</v>
      </c>
      <c r="AG319" s="4" t="s">
        <v>1285</v>
      </c>
      <c r="AH319" s="4" t="s">
        <v>1286</v>
      </c>
      <c r="AI319" s="4" t="s">
        <v>469</v>
      </c>
    </row>
    <row r="320" spans="1:35" ht="36" x14ac:dyDescent="0.3">
      <c r="A320" s="10" t="s">
        <v>1287</v>
      </c>
      <c r="B320" s="10"/>
      <c r="C320" s="23" t="s">
        <v>1269</v>
      </c>
      <c r="D320" s="12"/>
      <c r="E320" s="12"/>
      <c r="F320" s="18" t="s">
        <v>99</v>
      </c>
      <c r="G320" s="19">
        <v>1.8</v>
      </c>
      <c r="H320" s="19"/>
      <c r="I320" s="19">
        <v>27167.759999999998</v>
      </c>
      <c r="J320" s="20">
        <v>12.26</v>
      </c>
      <c r="M320" s="21">
        <f>ROUND(ROUND(J320, 2)*I320, 2)</f>
        <v>333076.74</v>
      </c>
      <c r="P320" s="22">
        <v>12.26</v>
      </c>
      <c r="S320" s="21">
        <f>ROUND(ROUND(P320, 2)*I320, 2)</f>
        <v>333076.74</v>
      </c>
      <c r="V320" s="9">
        <f>ROUND(ROUND(P320, 2)/1.2, 2)</f>
        <v>10.220000000000001</v>
      </c>
      <c r="Y320" s="9">
        <f t="shared" si="21"/>
        <v>277563.95</v>
      </c>
      <c r="AD320" s="4" t="s">
        <v>1288</v>
      </c>
      <c r="AE320" s="4" t="s">
        <v>1289</v>
      </c>
      <c r="AF320" s="4" t="s">
        <v>1290</v>
      </c>
    </row>
    <row r="321" spans="1:35" ht="18" x14ac:dyDescent="0.3">
      <c r="A321" s="10" t="s">
        <v>1291</v>
      </c>
      <c r="B321" s="10"/>
      <c r="C321" s="17" t="s">
        <v>1292</v>
      </c>
      <c r="D321" s="12"/>
      <c r="E321" s="12"/>
      <c r="F321" s="18" t="s">
        <v>139</v>
      </c>
      <c r="G321" s="19">
        <v>0.3</v>
      </c>
      <c r="H321" s="19"/>
      <c r="I321" s="19">
        <v>4527.96</v>
      </c>
      <c r="J321" s="20">
        <v>74.319999999999993</v>
      </c>
      <c r="M321" s="21">
        <f>ROUND(ROUND(J321, 2)*I321, 2)</f>
        <v>336517.99</v>
      </c>
      <c r="P321" s="22">
        <v>74.319999999999993</v>
      </c>
      <c r="S321" s="21">
        <f>ROUND(ROUND(P321, 2)*I321, 2)</f>
        <v>336517.99</v>
      </c>
      <c r="V321" s="9">
        <f>ROUND(ROUND(P321, 2)/1.2, 2)</f>
        <v>61.93</v>
      </c>
      <c r="Y321" s="9">
        <f t="shared" si="21"/>
        <v>280431.65999999997</v>
      </c>
      <c r="AD321" s="4" t="s">
        <v>1293</v>
      </c>
      <c r="AE321" s="4" t="s">
        <v>1294</v>
      </c>
      <c r="AF321" s="4" t="s">
        <v>1295</v>
      </c>
    </row>
    <row r="322" spans="1:35" ht="36" x14ac:dyDescent="0.3">
      <c r="A322" s="10" t="s">
        <v>1296</v>
      </c>
      <c r="B322" s="10"/>
      <c r="C322" s="17" t="s">
        <v>1057</v>
      </c>
      <c r="D322" s="12"/>
      <c r="E322" s="12"/>
      <c r="F322" s="18" t="s">
        <v>99</v>
      </c>
      <c r="G322" s="19">
        <v>0.15</v>
      </c>
      <c r="H322" s="19"/>
      <c r="I322" s="19">
        <v>2263.98</v>
      </c>
      <c r="J322" s="20">
        <v>90.28</v>
      </c>
      <c r="M322" s="21">
        <f>ROUND(ROUND(J322, 2)*I322, 2)</f>
        <v>204392.11</v>
      </c>
      <c r="P322" s="22">
        <v>90.28</v>
      </c>
      <c r="S322" s="21">
        <f>ROUND(ROUND(P322, 2)*I322, 2)</f>
        <v>204392.11</v>
      </c>
      <c r="V322" s="9">
        <f>ROUND(ROUND(P322, 2)/1.2, 2)</f>
        <v>75.23</v>
      </c>
      <c r="Y322" s="9">
        <f t="shared" si="21"/>
        <v>170326.76</v>
      </c>
      <c r="AD322" s="4" t="s">
        <v>1297</v>
      </c>
      <c r="AE322" s="4" t="s">
        <v>1298</v>
      </c>
      <c r="AF322" s="4" t="s">
        <v>1060</v>
      </c>
    </row>
    <row r="323" spans="1:35" ht="54" x14ac:dyDescent="0.3">
      <c r="A323" s="10" t="s">
        <v>1299</v>
      </c>
      <c r="B323" s="10" t="s">
        <v>1282</v>
      </c>
      <c r="C323" s="11" t="s">
        <v>1283</v>
      </c>
      <c r="D323" s="12"/>
      <c r="E323" s="12" t="s">
        <v>1300</v>
      </c>
      <c r="F323" s="12" t="s">
        <v>58</v>
      </c>
      <c r="G323" s="13">
        <v>1</v>
      </c>
      <c r="H323" s="13"/>
      <c r="I323" s="13">
        <v>15093.2</v>
      </c>
      <c r="J323" s="14">
        <f>IFERROR(ROUND(SUM(M324,M325)/I323, 2),0)</f>
        <v>35.61</v>
      </c>
      <c r="K323" s="15">
        <v>508</v>
      </c>
      <c r="L323" s="14">
        <f>J323+ROUND(K323, 2)</f>
        <v>543.61</v>
      </c>
      <c r="M323" s="14">
        <f>ROUND(J323*I323, 2)</f>
        <v>537468.85</v>
      </c>
      <c r="N323" s="14">
        <f>ROUND(I323*ROUND(K323, 2), 2)</f>
        <v>7667345.5999999996</v>
      </c>
      <c r="O323" s="14">
        <f>M323+N323</f>
        <v>8204814.4499999993</v>
      </c>
      <c r="P323" s="14">
        <f>IFERROR(ROUND(SUM(S324,S325)/I323, 2),0)</f>
        <v>35.61</v>
      </c>
      <c r="Q323" s="16">
        <v>725.71</v>
      </c>
      <c r="R323" s="14">
        <f>P323+ROUND(Q323, 2)</f>
        <v>761.32</v>
      </c>
      <c r="S323" s="14">
        <f>ROUND(P323*I323, 2)</f>
        <v>537468.85</v>
      </c>
      <c r="T323" s="14">
        <f>ROUND(I323*ROUND(Q323, 2), 2)</f>
        <v>10953286.17</v>
      </c>
      <c r="U323" s="14">
        <f>S323+T323</f>
        <v>11490755.02</v>
      </c>
      <c r="V323" s="9">
        <f>ROUND(P323 / 1.2, 2)</f>
        <v>29.68</v>
      </c>
      <c r="W323" s="9">
        <f>ROUND(Q323 / 1.2, 2)</f>
        <v>604.76</v>
      </c>
      <c r="X323" s="9">
        <f>ROUND(R323 / 1.2, 2)</f>
        <v>634.42999999999995</v>
      </c>
      <c r="Y323" s="9">
        <f t="shared" ref="Y323:Y354" si="22">ROUND(S323 / 1.2, 2)</f>
        <v>447890.71</v>
      </c>
      <c r="Z323" s="9">
        <f>ROUND(T323 / 1.2, 2)</f>
        <v>9127738.4800000004</v>
      </c>
      <c r="AA323" s="9">
        <f>Y323+Z323</f>
        <v>9575629.1900000013</v>
      </c>
      <c r="AD323" s="4">
        <v>311044448</v>
      </c>
      <c r="AE323" s="4">
        <v>22788871</v>
      </c>
      <c r="AG323" s="4" t="s">
        <v>1285</v>
      </c>
      <c r="AH323" s="4" t="s">
        <v>1286</v>
      </c>
      <c r="AI323" s="4" t="s">
        <v>469</v>
      </c>
    </row>
    <row r="324" spans="1:35" ht="36" x14ac:dyDescent="0.3">
      <c r="A324" s="10" t="s">
        <v>1301</v>
      </c>
      <c r="B324" s="10"/>
      <c r="C324" s="17" t="s">
        <v>1057</v>
      </c>
      <c r="D324" s="12"/>
      <c r="E324" s="12"/>
      <c r="F324" s="18" t="s">
        <v>99</v>
      </c>
      <c r="G324" s="19">
        <v>0.15</v>
      </c>
      <c r="H324" s="19"/>
      <c r="I324" s="19">
        <v>2263.98</v>
      </c>
      <c r="J324" s="20">
        <v>90.28</v>
      </c>
      <c r="M324" s="21">
        <f>ROUND(ROUND(J324, 2)*I324, 2)</f>
        <v>204392.11</v>
      </c>
      <c r="P324" s="22">
        <v>90.28</v>
      </c>
      <c r="S324" s="21">
        <f>ROUND(ROUND(P324, 2)*I324, 2)</f>
        <v>204392.11</v>
      </c>
      <c r="V324" s="9">
        <f>ROUND(ROUND(P324, 2)/1.2, 2)</f>
        <v>75.23</v>
      </c>
      <c r="Y324" s="9">
        <f t="shared" si="22"/>
        <v>170326.76</v>
      </c>
      <c r="AD324" s="4" t="s">
        <v>1302</v>
      </c>
      <c r="AE324" s="4" t="s">
        <v>1303</v>
      </c>
      <c r="AF324" s="4" t="s">
        <v>1060</v>
      </c>
    </row>
    <row r="325" spans="1:35" ht="36" x14ac:dyDescent="0.3">
      <c r="A325" s="10" t="s">
        <v>1304</v>
      </c>
      <c r="B325" s="10"/>
      <c r="C325" s="23" t="s">
        <v>1269</v>
      </c>
      <c r="D325" s="12"/>
      <c r="E325" s="12"/>
      <c r="F325" s="18" t="s">
        <v>99</v>
      </c>
      <c r="G325" s="19">
        <v>1.8</v>
      </c>
      <c r="H325" s="19"/>
      <c r="I325" s="19">
        <v>27167.759999999998</v>
      </c>
      <c r="J325" s="20">
        <v>12.26</v>
      </c>
      <c r="M325" s="21">
        <f>ROUND(ROUND(J325, 2)*I325, 2)</f>
        <v>333076.74</v>
      </c>
      <c r="P325" s="22">
        <v>12.26</v>
      </c>
      <c r="S325" s="21">
        <f>ROUND(ROUND(P325, 2)*I325, 2)</f>
        <v>333076.74</v>
      </c>
      <c r="V325" s="9">
        <f>ROUND(ROUND(P325, 2)/1.2, 2)</f>
        <v>10.220000000000001</v>
      </c>
      <c r="Y325" s="9">
        <f t="shared" si="22"/>
        <v>277563.95</v>
      </c>
      <c r="AD325" s="4" t="s">
        <v>1305</v>
      </c>
      <c r="AE325" s="4" t="s">
        <v>1306</v>
      </c>
      <c r="AF325" s="4" t="s">
        <v>1290</v>
      </c>
    </row>
    <row r="326" spans="1:35" ht="54" x14ac:dyDescent="0.3">
      <c r="A326" s="10" t="s">
        <v>1307</v>
      </c>
      <c r="B326" s="10" t="s">
        <v>1282</v>
      </c>
      <c r="C326" s="11" t="s">
        <v>1283</v>
      </c>
      <c r="D326" s="12"/>
      <c r="E326" s="12" t="s">
        <v>1308</v>
      </c>
      <c r="F326" s="12" t="s">
        <v>58</v>
      </c>
      <c r="G326" s="13">
        <v>1</v>
      </c>
      <c r="H326" s="13"/>
      <c r="I326" s="13">
        <v>3992.4</v>
      </c>
      <c r="J326" s="14">
        <f>IFERROR(ROUND(SUM(M327,M328,M329)/I326, 2),0)</f>
        <v>82.62</v>
      </c>
      <c r="K326" s="15">
        <v>508</v>
      </c>
      <c r="L326" s="14">
        <f>J326+ROUND(K326, 2)</f>
        <v>590.62</v>
      </c>
      <c r="M326" s="14">
        <f>ROUND(J326*I326, 2)</f>
        <v>329852.09000000003</v>
      </c>
      <c r="N326" s="14">
        <f>ROUND(I326*ROUND(K326, 2), 2)</f>
        <v>2028139.2</v>
      </c>
      <c r="O326" s="14">
        <f>M326+N326</f>
        <v>2357991.29</v>
      </c>
      <c r="P326" s="14">
        <f>IFERROR(ROUND(SUM(S327,S328,S329)/I326, 2),0)</f>
        <v>82.62</v>
      </c>
      <c r="Q326" s="16">
        <v>725.71</v>
      </c>
      <c r="R326" s="14">
        <f>P326+ROUND(Q326, 2)</f>
        <v>808.33</v>
      </c>
      <c r="S326" s="14">
        <f>ROUND(P326*I326, 2)</f>
        <v>329852.09000000003</v>
      </c>
      <c r="T326" s="14">
        <f>ROUND(I326*ROUND(Q326, 2), 2)</f>
        <v>2897324.6</v>
      </c>
      <c r="U326" s="14">
        <f>S326+T326</f>
        <v>3227176.69</v>
      </c>
      <c r="V326" s="9">
        <f>ROUND(P326 / 1.2, 2)</f>
        <v>68.849999999999994</v>
      </c>
      <c r="W326" s="9">
        <f>ROUND(Q326 / 1.2, 2)</f>
        <v>604.76</v>
      </c>
      <c r="X326" s="9">
        <f>ROUND(R326 / 1.2, 2)</f>
        <v>673.61</v>
      </c>
      <c r="Y326" s="9">
        <f t="shared" si="22"/>
        <v>274876.74</v>
      </c>
      <c r="Z326" s="9">
        <f>ROUND(T326 / 1.2, 2)</f>
        <v>2414437.17</v>
      </c>
      <c r="AA326" s="9">
        <f>Y326+Z326</f>
        <v>2689313.91</v>
      </c>
      <c r="AD326" s="4">
        <v>311044449</v>
      </c>
      <c r="AE326" s="4">
        <v>22789138</v>
      </c>
      <c r="AG326" s="4" t="s">
        <v>1285</v>
      </c>
      <c r="AH326" s="4" t="s">
        <v>1286</v>
      </c>
      <c r="AI326" s="4" t="s">
        <v>469</v>
      </c>
    </row>
    <row r="327" spans="1:35" ht="18" x14ac:dyDescent="0.3">
      <c r="A327" s="10" t="s">
        <v>1309</v>
      </c>
      <c r="B327" s="10"/>
      <c r="C327" s="17" t="s">
        <v>1247</v>
      </c>
      <c r="D327" s="12"/>
      <c r="E327" s="12"/>
      <c r="F327" s="18" t="s">
        <v>99</v>
      </c>
      <c r="G327" s="19">
        <v>2</v>
      </c>
      <c r="H327" s="19"/>
      <c r="I327" s="19">
        <v>7984.8</v>
      </c>
      <c r="J327" s="20">
        <v>23.39</v>
      </c>
      <c r="M327" s="21">
        <f>ROUND(ROUND(J327, 2)*I327, 2)</f>
        <v>186764.47</v>
      </c>
      <c r="P327" s="22">
        <v>23.39</v>
      </c>
      <c r="S327" s="21">
        <f>ROUND(ROUND(P327, 2)*I327, 2)</f>
        <v>186764.47</v>
      </c>
      <c r="V327" s="9">
        <f>ROUND(ROUND(P327, 2)/1.2, 2)</f>
        <v>19.489999999999998</v>
      </c>
      <c r="Y327" s="9">
        <f t="shared" si="22"/>
        <v>155637.06</v>
      </c>
      <c r="AD327" s="4" t="s">
        <v>1310</v>
      </c>
      <c r="AE327" s="4" t="s">
        <v>1311</v>
      </c>
      <c r="AF327" s="4" t="s">
        <v>1251</v>
      </c>
    </row>
    <row r="328" spans="1:35" ht="18" x14ac:dyDescent="0.3">
      <c r="A328" s="10" t="s">
        <v>1312</v>
      </c>
      <c r="B328" s="10"/>
      <c r="C328" s="17" t="s">
        <v>1292</v>
      </c>
      <c r="D328" s="12"/>
      <c r="E328" s="12"/>
      <c r="F328" s="18" t="s">
        <v>139</v>
      </c>
      <c r="G328" s="19">
        <v>0.3</v>
      </c>
      <c r="H328" s="19"/>
      <c r="I328" s="19">
        <v>1197.72</v>
      </c>
      <c r="J328" s="20">
        <v>74.319999999999993</v>
      </c>
      <c r="M328" s="21">
        <f>ROUND(ROUND(J328, 2)*I328, 2)</f>
        <v>89014.55</v>
      </c>
      <c r="P328" s="22">
        <v>74.319999999999993</v>
      </c>
      <c r="S328" s="21">
        <f>ROUND(ROUND(P328, 2)*I328, 2)</f>
        <v>89014.55</v>
      </c>
      <c r="V328" s="9">
        <f>ROUND(ROUND(P328, 2)/1.2, 2)</f>
        <v>61.93</v>
      </c>
      <c r="Y328" s="9">
        <f t="shared" si="22"/>
        <v>74178.789999999994</v>
      </c>
      <c r="AD328" s="4" t="s">
        <v>1313</v>
      </c>
      <c r="AE328" s="4" t="s">
        <v>1314</v>
      </c>
      <c r="AF328" s="4" t="s">
        <v>1295</v>
      </c>
    </row>
    <row r="329" spans="1:35" ht="36" x14ac:dyDescent="0.3">
      <c r="A329" s="10" t="s">
        <v>1315</v>
      </c>
      <c r="B329" s="10"/>
      <c r="C329" s="17" t="s">
        <v>1057</v>
      </c>
      <c r="D329" s="12"/>
      <c r="E329" s="12"/>
      <c r="F329" s="18" t="s">
        <v>99</v>
      </c>
      <c r="G329" s="19">
        <v>0.15</v>
      </c>
      <c r="H329" s="19"/>
      <c r="I329" s="19">
        <v>598.86</v>
      </c>
      <c r="J329" s="20">
        <v>90.28</v>
      </c>
      <c r="M329" s="21">
        <f>ROUND(ROUND(J329, 2)*I329, 2)</f>
        <v>54065.08</v>
      </c>
      <c r="P329" s="22">
        <v>90.28</v>
      </c>
      <c r="S329" s="21">
        <f>ROUND(ROUND(P329, 2)*I329, 2)</f>
        <v>54065.08</v>
      </c>
      <c r="V329" s="9">
        <f>ROUND(ROUND(P329, 2)/1.2, 2)</f>
        <v>75.23</v>
      </c>
      <c r="Y329" s="9">
        <f t="shared" si="22"/>
        <v>45054.23</v>
      </c>
      <c r="AD329" s="4" t="s">
        <v>1316</v>
      </c>
      <c r="AE329" s="4" t="s">
        <v>1317</v>
      </c>
      <c r="AF329" s="4" t="s">
        <v>1060</v>
      </c>
    </row>
    <row r="330" spans="1:35" ht="54" x14ac:dyDescent="0.3">
      <c r="A330" s="10" t="s">
        <v>1318</v>
      </c>
      <c r="B330" s="10" t="s">
        <v>1282</v>
      </c>
      <c r="C330" s="11" t="s">
        <v>1283</v>
      </c>
      <c r="D330" s="12"/>
      <c r="E330" s="12" t="s">
        <v>1319</v>
      </c>
      <c r="F330" s="12" t="s">
        <v>58</v>
      </c>
      <c r="G330" s="13">
        <v>1</v>
      </c>
      <c r="H330" s="13"/>
      <c r="I330" s="13">
        <v>3992.4</v>
      </c>
      <c r="J330" s="14">
        <f>IFERROR(ROUND(SUM(M331,M332)/I330, 2),0)</f>
        <v>60.32</v>
      </c>
      <c r="K330" s="15">
        <v>508</v>
      </c>
      <c r="L330" s="14">
        <f>J330+ROUND(K330, 2)</f>
        <v>568.32000000000005</v>
      </c>
      <c r="M330" s="14">
        <f>ROUND(J330*I330, 2)</f>
        <v>240821.57</v>
      </c>
      <c r="N330" s="14">
        <f>ROUND(I330*ROUND(K330, 2), 2)</f>
        <v>2028139.2</v>
      </c>
      <c r="O330" s="14">
        <f>M330+N330</f>
        <v>2268960.77</v>
      </c>
      <c r="P330" s="14">
        <f>IFERROR(ROUND(SUM(S331,S332)/I330, 2),0)</f>
        <v>60.32</v>
      </c>
      <c r="Q330" s="16">
        <v>725.71</v>
      </c>
      <c r="R330" s="14">
        <f>P330+ROUND(Q330, 2)</f>
        <v>786.03000000000009</v>
      </c>
      <c r="S330" s="14">
        <f>ROUND(P330*I330, 2)</f>
        <v>240821.57</v>
      </c>
      <c r="T330" s="14">
        <f>ROUND(I330*ROUND(Q330, 2), 2)</f>
        <v>2897324.6</v>
      </c>
      <c r="U330" s="14">
        <f>S330+T330</f>
        <v>3138146.17</v>
      </c>
      <c r="V330" s="9">
        <f>ROUND(P330 / 1.2, 2)</f>
        <v>50.27</v>
      </c>
      <c r="W330" s="9">
        <f>ROUND(Q330 / 1.2, 2)</f>
        <v>604.76</v>
      </c>
      <c r="X330" s="9">
        <f>ROUND(R330 / 1.2, 2)</f>
        <v>655.03</v>
      </c>
      <c r="Y330" s="9">
        <f t="shared" si="22"/>
        <v>200684.64</v>
      </c>
      <c r="Z330" s="9">
        <f>ROUND(T330 / 1.2, 2)</f>
        <v>2414437.17</v>
      </c>
      <c r="AA330" s="9">
        <f>Y330+Z330</f>
        <v>2615121.81</v>
      </c>
      <c r="AD330" s="4">
        <v>311044450</v>
      </c>
      <c r="AE330" s="4">
        <v>22789139</v>
      </c>
      <c r="AG330" s="4" t="s">
        <v>1285</v>
      </c>
      <c r="AH330" s="4" t="s">
        <v>1286</v>
      </c>
      <c r="AI330" s="4" t="s">
        <v>469</v>
      </c>
    </row>
    <row r="331" spans="1:35" ht="36" x14ac:dyDescent="0.3">
      <c r="A331" s="10" t="s">
        <v>1320</v>
      </c>
      <c r="B331" s="10"/>
      <c r="C331" s="17" t="s">
        <v>1057</v>
      </c>
      <c r="D331" s="12"/>
      <c r="E331" s="12"/>
      <c r="F331" s="18" t="s">
        <v>99</v>
      </c>
      <c r="G331" s="19">
        <v>0.15</v>
      </c>
      <c r="H331" s="19"/>
      <c r="I331" s="19">
        <v>598.86</v>
      </c>
      <c r="J331" s="20">
        <v>90.28</v>
      </c>
      <c r="M331" s="21">
        <f>ROUND(ROUND(J331, 2)*I331, 2)</f>
        <v>54065.08</v>
      </c>
      <c r="P331" s="22">
        <v>90.28</v>
      </c>
      <c r="S331" s="21">
        <f>ROUND(ROUND(P331, 2)*I331, 2)</f>
        <v>54065.08</v>
      </c>
      <c r="V331" s="9">
        <f>ROUND(ROUND(P331, 2)/1.2, 2)</f>
        <v>75.23</v>
      </c>
      <c r="Y331" s="9">
        <f t="shared" si="22"/>
        <v>45054.23</v>
      </c>
      <c r="AD331" s="4" t="s">
        <v>1321</v>
      </c>
      <c r="AE331" s="4" t="s">
        <v>1322</v>
      </c>
      <c r="AF331" s="4" t="s">
        <v>1060</v>
      </c>
    </row>
    <row r="332" spans="1:35" ht="18" x14ac:dyDescent="0.3">
      <c r="A332" s="10" t="s">
        <v>1323</v>
      </c>
      <c r="B332" s="10"/>
      <c r="C332" s="17" t="s">
        <v>1247</v>
      </c>
      <c r="D332" s="12"/>
      <c r="E332" s="12"/>
      <c r="F332" s="18" t="s">
        <v>99</v>
      </c>
      <c r="G332" s="19">
        <v>2</v>
      </c>
      <c r="H332" s="19"/>
      <c r="I332" s="19">
        <v>7984.8</v>
      </c>
      <c r="J332" s="20">
        <v>23.39</v>
      </c>
      <c r="M332" s="21">
        <f>ROUND(ROUND(J332, 2)*I332, 2)</f>
        <v>186764.47</v>
      </c>
      <c r="P332" s="22">
        <v>23.39</v>
      </c>
      <c r="S332" s="21">
        <f>ROUND(ROUND(P332, 2)*I332, 2)</f>
        <v>186764.47</v>
      </c>
      <c r="V332" s="9">
        <f>ROUND(ROUND(P332, 2)/1.2, 2)</f>
        <v>19.489999999999998</v>
      </c>
      <c r="Y332" s="9">
        <f t="shared" si="22"/>
        <v>155637.06</v>
      </c>
      <c r="AD332" s="4" t="s">
        <v>1324</v>
      </c>
      <c r="AE332" s="4" t="s">
        <v>1325</v>
      </c>
      <c r="AF332" s="4" t="s">
        <v>1251</v>
      </c>
    </row>
    <row r="333" spans="1:35" ht="90" x14ac:dyDescent="0.3">
      <c r="A333" s="10" t="s">
        <v>1326</v>
      </c>
      <c r="B333" s="10" t="s">
        <v>1327</v>
      </c>
      <c r="C333" s="11" t="s">
        <v>1328</v>
      </c>
      <c r="D333" s="12"/>
      <c r="E333" s="12" t="s">
        <v>1329</v>
      </c>
      <c r="F333" s="12" t="s">
        <v>58</v>
      </c>
      <c r="G333" s="13">
        <v>1</v>
      </c>
      <c r="H333" s="13"/>
      <c r="I333" s="13">
        <v>1083.0999999999999</v>
      </c>
      <c r="J333" s="14">
        <f>IFERROR(ROUND(SUM(M334,M335,M336)/I333, 2),0)</f>
        <v>143.31</v>
      </c>
      <c r="K333" s="15">
        <v>873</v>
      </c>
      <c r="L333" s="14">
        <f>J333+ROUND(K333, 2)</f>
        <v>1016.31</v>
      </c>
      <c r="M333" s="14">
        <f>ROUND(J333*I333, 2)</f>
        <v>155219.06</v>
      </c>
      <c r="N333" s="14">
        <f>ROUND(I333*ROUND(K333, 2), 2)</f>
        <v>945546.3</v>
      </c>
      <c r="O333" s="14">
        <f>M333+N333</f>
        <v>1100765.3600000001</v>
      </c>
      <c r="P333" s="14">
        <f>IFERROR(ROUND(SUM(S334,S335,S336)/I333, 2),0)</f>
        <v>143.31</v>
      </c>
      <c r="Q333" s="16">
        <v>1247.1400000000001</v>
      </c>
      <c r="R333" s="14">
        <f>P333+ROUND(Q333, 2)</f>
        <v>1390.45</v>
      </c>
      <c r="S333" s="14">
        <f>ROUND(P333*I333, 2)</f>
        <v>155219.06</v>
      </c>
      <c r="T333" s="14">
        <f>ROUND(I333*ROUND(Q333, 2), 2)</f>
        <v>1350777.33</v>
      </c>
      <c r="U333" s="14">
        <f>S333+T333</f>
        <v>1505996.3900000001</v>
      </c>
      <c r="V333" s="9">
        <f>ROUND(P333 / 1.2, 2)</f>
        <v>119.43</v>
      </c>
      <c r="W333" s="9">
        <f>ROUND(Q333 / 1.2, 2)</f>
        <v>1039.28</v>
      </c>
      <c r="X333" s="9">
        <f>ROUND(R333 / 1.2, 2)</f>
        <v>1158.71</v>
      </c>
      <c r="Y333" s="9">
        <f t="shared" si="22"/>
        <v>129349.22</v>
      </c>
      <c r="Z333" s="9">
        <f>ROUND(T333 / 1.2, 2)</f>
        <v>1125647.78</v>
      </c>
      <c r="AA333" s="9">
        <f>Y333+Z333</f>
        <v>1254997</v>
      </c>
      <c r="AD333" s="4">
        <v>311044375</v>
      </c>
      <c r="AE333" s="4">
        <v>22789191</v>
      </c>
      <c r="AG333" s="4" t="s">
        <v>1330</v>
      </c>
      <c r="AH333" s="4" t="s">
        <v>1331</v>
      </c>
      <c r="AI333" s="4" t="s">
        <v>469</v>
      </c>
    </row>
    <row r="334" spans="1:35" ht="18" x14ac:dyDescent="0.3">
      <c r="A334" s="10" t="s">
        <v>1332</v>
      </c>
      <c r="B334" s="10"/>
      <c r="C334" s="17" t="s">
        <v>1333</v>
      </c>
      <c r="D334" s="12"/>
      <c r="E334" s="12" t="s">
        <v>1334</v>
      </c>
      <c r="F334" s="18" t="s">
        <v>99</v>
      </c>
      <c r="G334" s="19">
        <v>1.3</v>
      </c>
      <c r="H334" s="24"/>
      <c r="I334" s="24">
        <v>14080.3</v>
      </c>
      <c r="J334" s="20">
        <v>8.75</v>
      </c>
      <c r="M334" s="21">
        <f>ROUND(ROUND(J334, 2)*I334, 2)</f>
        <v>123202.63</v>
      </c>
      <c r="P334" s="22">
        <v>8.75</v>
      </c>
      <c r="S334" s="21">
        <f>ROUND(ROUND(P334, 2)*I334, 2)</f>
        <v>123202.63</v>
      </c>
      <c r="V334" s="9">
        <f>ROUND(ROUND(P334, 2)/1.2, 2)</f>
        <v>7.29</v>
      </c>
      <c r="Y334" s="9">
        <f t="shared" si="22"/>
        <v>102668.86</v>
      </c>
      <c r="AD334" s="4" t="s">
        <v>1335</v>
      </c>
      <c r="AE334" s="4" t="s">
        <v>1336</v>
      </c>
      <c r="AF334" s="4" t="s">
        <v>1337</v>
      </c>
    </row>
    <row r="335" spans="1:35" ht="18" x14ac:dyDescent="0.3">
      <c r="A335" s="10" t="s">
        <v>1338</v>
      </c>
      <c r="B335" s="10"/>
      <c r="C335" s="17" t="s">
        <v>1192</v>
      </c>
      <c r="D335" s="12"/>
      <c r="E335" s="12"/>
      <c r="F335" s="18" t="s">
        <v>258</v>
      </c>
      <c r="G335" s="19">
        <v>1</v>
      </c>
      <c r="H335" s="24"/>
      <c r="I335" s="24">
        <v>1083.0999999999999</v>
      </c>
      <c r="J335" s="20">
        <v>16.02</v>
      </c>
      <c r="M335" s="21">
        <f>ROUND(ROUND(J335, 2)*I335, 2)</f>
        <v>17351.259999999998</v>
      </c>
      <c r="P335" s="22">
        <v>16.02</v>
      </c>
      <c r="S335" s="21">
        <f>ROUND(ROUND(P335, 2)*I335, 2)</f>
        <v>17351.259999999998</v>
      </c>
      <c r="V335" s="9">
        <f>ROUND(ROUND(P335, 2)/1.2, 2)</f>
        <v>13.35</v>
      </c>
      <c r="Y335" s="9">
        <f t="shared" si="22"/>
        <v>14459.38</v>
      </c>
      <c r="AD335" s="4" t="s">
        <v>1339</v>
      </c>
      <c r="AE335" s="4" t="s">
        <v>1340</v>
      </c>
      <c r="AF335" s="4" t="s">
        <v>1195</v>
      </c>
    </row>
    <row r="336" spans="1:35" ht="36" x14ac:dyDescent="0.3">
      <c r="A336" s="10" t="s">
        <v>1341</v>
      </c>
      <c r="B336" s="10"/>
      <c r="C336" s="17" t="s">
        <v>1057</v>
      </c>
      <c r="D336" s="12"/>
      <c r="E336" s="12" t="s">
        <v>1342</v>
      </c>
      <c r="F336" s="18" t="s">
        <v>99</v>
      </c>
      <c r="G336" s="19">
        <v>0.15</v>
      </c>
      <c r="H336" s="19"/>
      <c r="I336" s="19">
        <v>162.465</v>
      </c>
      <c r="J336" s="20">
        <v>90.28</v>
      </c>
      <c r="M336" s="21">
        <f>ROUND(ROUND(J336, 2)*I336, 2)</f>
        <v>14667.34</v>
      </c>
      <c r="P336" s="22">
        <v>90.28</v>
      </c>
      <c r="S336" s="21">
        <f>ROUND(ROUND(P336, 2)*I336, 2)</f>
        <v>14667.34</v>
      </c>
      <c r="V336" s="9">
        <f>ROUND(ROUND(P336, 2)/1.2, 2)</f>
        <v>75.23</v>
      </c>
      <c r="Y336" s="9">
        <f t="shared" si="22"/>
        <v>12222.78</v>
      </c>
      <c r="AD336" s="4" t="s">
        <v>1343</v>
      </c>
      <c r="AE336" s="4" t="s">
        <v>1344</v>
      </c>
      <c r="AF336" s="4" t="s">
        <v>1060</v>
      </c>
    </row>
    <row r="337" spans="1:35" ht="72" x14ac:dyDescent="0.3">
      <c r="A337" s="10" t="s">
        <v>1345</v>
      </c>
      <c r="B337" s="10" t="s">
        <v>1346</v>
      </c>
      <c r="C337" s="11" t="s">
        <v>1347</v>
      </c>
      <c r="D337" s="12"/>
      <c r="E337" s="12" t="s">
        <v>1348</v>
      </c>
      <c r="F337" s="12" t="s">
        <v>58</v>
      </c>
      <c r="G337" s="13">
        <v>1</v>
      </c>
      <c r="H337" s="13"/>
      <c r="I337" s="13">
        <v>2845.3</v>
      </c>
      <c r="J337" s="14">
        <f>IFERROR(ROUND(SUM(M338,M339,M340)/I337, 2),0)</f>
        <v>325.81</v>
      </c>
      <c r="K337" s="15">
        <v>1067</v>
      </c>
      <c r="L337" s="14">
        <f>J337+ROUND(K337, 2)</f>
        <v>1392.81</v>
      </c>
      <c r="M337" s="14">
        <f>ROUND(J337*I337, 2)</f>
        <v>927027.19</v>
      </c>
      <c r="N337" s="14">
        <f>ROUND(I337*ROUND(K337, 2), 2)</f>
        <v>3035935.1</v>
      </c>
      <c r="O337" s="14">
        <f>M337+N337</f>
        <v>3962962.29</v>
      </c>
      <c r="P337" s="14">
        <f>IFERROR(ROUND(SUM(S338,S339,S340)/I337, 2),0)</f>
        <v>325.81</v>
      </c>
      <c r="Q337" s="16">
        <v>1524.29</v>
      </c>
      <c r="R337" s="14">
        <f>P337+ROUND(Q337, 2)</f>
        <v>1850.1</v>
      </c>
      <c r="S337" s="14">
        <f>ROUND(P337*I337, 2)</f>
        <v>927027.19</v>
      </c>
      <c r="T337" s="14">
        <f>ROUND(I337*ROUND(Q337, 2), 2)</f>
        <v>4337062.34</v>
      </c>
      <c r="U337" s="14">
        <f>S337+T337</f>
        <v>5264089.5299999993</v>
      </c>
      <c r="V337" s="9">
        <f>ROUND(P337 / 1.2, 2)</f>
        <v>271.51</v>
      </c>
      <c r="W337" s="9">
        <f>ROUND(Q337 / 1.2, 2)</f>
        <v>1270.24</v>
      </c>
      <c r="X337" s="9">
        <f>ROUND(R337 / 1.2, 2)</f>
        <v>1541.75</v>
      </c>
      <c r="Y337" s="9">
        <f t="shared" si="22"/>
        <v>772522.66</v>
      </c>
      <c r="Z337" s="9">
        <f>ROUND(T337 / 1.2, 2)</f>
        <v>3614218.62</v>
      </c>
      <c r="AA337" s="9">
        <f>Y337+Z337</f>
        <v>4386741.28</v>
      </c>
      <c r="AD337" s="4">
        <v>311044376</v>
      </c>
      <c r="AE337" s="4">
        <v>22789265</v>
      </c>
      <c r="AG337" s="4" t="s">
        <v>1349</v>
      </c>
      <c r="AH337" s="4" t="s">
        <v>1350</v>
      </c>
      <c r="AI337" s="4" t="s">
        <v>469</v>
      </c>
    </row>
    <row r="338" spans="1:35" ht="18" x14ac:dyDescent="0.3">
      <c r="A338" s="10" t="s">
        <v>1351</v>
      </c>
      <c r="B338" s="10"/>
      <c r="C338" s="17" t="s">
        <v>1333</v>
      </c>
      <c r="D338" s="12"/>
      <c r="E338" s="12" t="s">
        <v>1352</v>
      </c>
      <c r="F338" s="18" t="s">
        <v>99</v>
      </c>
      <c r="G338" s="19">
        <v>1.3</v>
      </c>
      <c r="H338" s="24"/>
      <c r="I338" s="24">
        <v>92472.25</v>
      </c>
      <c r="J338" s="20">
        <v>8.75</v>
      </c>
      <c r="M338" s="21">
        <f>ROUND(ROUND(J338, 2)*I338, 2)</f>
        <v>809132.19</v>
      </c>
      <c r="P338" s="22">
        <v>8.75</v>
      </c>
      <c r="S338" s="21">
        <f>ROUND(ROUND(P338, 2)*I338, 2)</f>
        <v>809132.19</v>
      </c>
      <c r="V338" s="9">
        <f>ROUND(ROUND(P338, 2)/1.2, 2)</f>
        <v>7.29</v>
      </c>
      <c r="Y338" s="9">
        <f t="shared" si="22"/>
        <v>674276.83</v>
      </c>
      <c r="AD338" s="4" t="s">
        <v>1353</v>
      </c>
      <c r="AE338" s="4" t="s">
        <v>1354</v>
      </c>
      <c r="AF338" s="4" t="s">
        <v>1337</v>
      </c>
    </row>
    <row r="339" spans="1:35" ht="18" x14ac:dyDescent="0.3">
      <c r="A339" s="10" t="s">
        <v>1355</v>
      </c>
      <c r="B339" s="10"/>
      <c r="C339" s="17" t="s">
        <v>1192</v>
      </c>
      <c r="D339" s="12"/>
      <c r="E339" s="12"/>
      <c r="F339" s="18" t="s">
        <v>258</v>
      </c>
      <c r="G339" s="19">
        <v>1</v>
      </c>
      <c r="H339" s="24"/>
      <c r="I339" s="24">
        <v>2845.3</v>
      </c>
      <c r="J339" s="20">
        <v>16.02</v>
      </c>
      <c r="M339" s="21">
        <f>ROUND(ROUND(J339, 2)*I339, 2)</f>
        <v>45581.71</v>
      </c>
      <c r="P339" s="22">
        <v>16.02</v>
      </c>
      <c r="S339" s="21">
        <f>ROUND(ROUND(P339, 2)*I339, 2)</f>
        <v>45581.71</v>
      </c>
      <c r="V339" s="9">
        <f>ROUND(ROUND(P339, 2)/1.2, 2)</f>
        <v>13.35</v>
      </c>
      <c r="Y339" s="9">
        <f t="shared" si="22"/>
        <v>37984.76</v>
      </c>
      <c r="AD339" s="4" t="s">
        <v>1356</v>
      </c>
      <c r="AE339" s="4" t="s">
        <v>1357</v>
      </c>
      <c r="AF339" s="4" t="s">
        <v>1195</v>
      </c>
    </row>
    <row r="340" spans="1:35" ht="18" x14ac:dyDescent="0.3">
      <c r="A340" s="10" t="s">
        <v>1358</v>
      </c>
      <c r="B340" s="10"/>
      <c r="C340" s="17" t="s">
        <v>1359</v>
      </c>
      <c r="D340" s="12"/>
      <c r="E340" s="12"/>
      <c r="F340" s="18" t="s">
        <v>99</v>
      </c>
      <c r="G340" s="19">
        <v>0.25</v>
      </c>
      <c r="H340" s="19"/>
      <c r="I340" s="19">
        <v>711.32500000000005</v>
      </c>
      <c r="J340" s="20">
        <v>101.66</v>
      </c>
      <c r="M340" s="21">
        <f>ROUND(ROUND(J340, 2)*I340, 2)</f>
        <v>72313.3</v>
      </c>
      <c r="P340" s="22">
        <v>101.66</v>
      </c>
      <c r="S340" s="21">
        <f>ROUND(ROUND(P340, 2)*I340, 2)</f>
        <v>72313.3</v>
      </c>
      <c r="V340" s="9">
        <f>ROUND(ROUND(P340, 2)/1.2, 2)</f>
        <v>84.72</v>
      </c>
      <c r="Y340" s="9">
        <f t="shared" si="22"/>
        <v>60261.08</v>
      </c>
      <c r="AD340" s="4" t="s">
        <v>1360</v>
      </c>
      <c r="AE340" s="4" t="s">
        <v>1361</v>
      </c>
      <c r="AF340" s="4" t="s">
        <v>1362</v>
      </c>
    </row>
    <row r="341" spans="1:35" ht="72" x14ac:dyDescent="0.3">
      <c r="A341" s="10" t="s">
        <v>1363</v>
      </c>
      <c r="B341" s="10" t="s">
        <v>1346</v>
      </c>
      <c r="C341" s="11" t="s">
        <v>1347</v>
      </c>
      <c r="D341" s="12"/>
      <c r="E341" s="12" t="s">
        <v>1364</v>
      </c>
      <c r="F341" s="12" t="s">
        <v>58</v>
      </c>
      <c r="G341" s="13">
        <v>1</v>
      </c>
      <c r="H341" s="13"/>
      <c r="I341" s="13">
        <v>3317.2</v>
      </c>
      <c r="J341" s="14">
        <f>IFERROR(ROUND(SUM(M342,M343,M344)/I341, 2),0)</f>
        <v>313.94</v>
      </c>
      <c r="K341" s="15">
        <v>1067</v>
      </c>
      <c r="L341" s="14">
        <f>J341+ROUND(K341, 2)</f>
        <v>1380.94</v>
      </c>
      <c r="M341" s="14">
        <f>ROUND(J341*I341, 2)</f>
        <v>1041401.77</v>
      </c>
      <c r="N341" s="14">
        <f>ROUND(I341*ROUND(K341, 2), 2)</f>
        <v>3539452.4</v>
      </c>
      <c r="O341" s="14">
        <f>M341+N341</f>
        <v>4580854.17</v>
      </c>
      <c r="P341" s="14">
        <f>IFERROR(ROUND(SUM(S342,S343,S344)/I341, 2),0)</f>
        <v>313.94</v>
      </c>
      <c r="Q341" s="16">
        <v>1524.29</v>
      </c>
      <c r="R341" s="14">
        <f>P341+ROUND(Q341, 2)</f>
        <v>1838.23</v>
      </c>
      <c r="S341" s="14">
        <f>ROUND(P341*I341, 2)</f>
        <v>1041401.77</v>
      </c>
      <c r="T341" s="14">
        <f>ROUND(I341*ROUND(Q341, 2), 2)</f>
        <v>5056374.79</v>
      </c>
      <c r="U341" s="14">
        <f>S341+T341</f>
        <v>6097776.5600000005</v>
      </c>
      <c r="V341" s="9">
        <f>ROUND(P341 / 1.2, 2)</f>
        <v>261.62</v>
      </c>
      <c r="W341" s="9">
        <f>ROUND(Q341 / 1.2, 2)</f>
        <v>1270.24</v>
      </c>
      <c r="X341" s="9">
        <f>ROUND(R341 / 1.2, 2)</f>
        <v>1531.86</v>
      </c>
      <c r="Y341" s="9">
        <f t="shared" si="22"/>
        <v>867834.81</v>
      </c>
      <c r="Z341" s="9">
        <f>ROUND(T341 / 1.2, 2)</f>
        <v>4213645.66</v>
      </c>
      <c r="AA341" s="9">
        <f>Y341+Z341</f>
        <v>5081480.4700000007</v>
      </c>
      <c r="AD341" s="4">
        <v>311044451</v>
      </c>
      <c r="AE341" s="4">
        <v>22789266</v>
      </c>
      <c r="AG341" s="4" t="s">
        <v>1349</v>
      </c>
      <c r="AH341" s="4" t="s">
        <v>1350</v>
      </c>
      <c r="AI341" s="4" t="s">
        <v>469</v>
      </c>
    </row>
    <row r="342" spans="1:35" ht="36" x14ac:dyDescent="0.3">
      <c r="A342" s="10" t="s">
        <v>1365</v>
      </c>
      <c r="B342" s="10"/>
      <c r="C342" s="17" t="s">
        <v>1057</v>
      </c>
      <c r="D342" s="12"/>
      <c r="E342" s="12"/>
      <c r="F342" s="18" t="s">
        <v>99</v>
      </c>
      <c r="G342" s="19">
        <v>0.15</v>
      </c>
      <c r="H342" s="19"/>
      <c r="I342" s="19">
        <v>497.58</v>
      </c>
      <c r="J342" s="20">
        <v>90.28</v>
      </c>
      <c r="M342" s="21">
        <f>ROUND(ROUND(J342, 2)*I342, 2)</f>
        <v>44921.52</v>
      </c>
      <c r="P342" s="22">
        <v>90.28</v>
      </c>
      <c r="S342" s="21">
        <f>ROUND(ROUND(P342, 2)*I342, 2)</f>
        <v>44921.52</v>
      </c>
      <c r="V342" s="9">
        <f>ROUND(ROUND(P342, 2)/1.2, 2)</f>
        <v>75.23</v>
      </c>
      <c r="Y342" s="9">
        <f t="shared" si="22"/>
        <v>37434.6</v>
      </c>
      <c r="AD342" s="4" t="s">
        <v>1366</v>
      </c>
      <c r="AE342" s="4" t="s">
        <v>1367</v>
      </c>
      <c r="AF342" s="4" t="s">
        <v>1060</v>
      </c>
    </row>
    <row r="343" spans="1:35" ht="18" x14ac:dyDescent="0.3">
      <c r="A343" s="10" t="s">
        <v>1368</v>
      </c>
      <c r="B343" s="10"/>
      <c r="C343" s="17" t="s">
        <v>1192</v>
      </c>
      <c r="D343" s="12"/>
      <c r="E343" s="12"/>
      <c r="F343" s="18" t="s">
        <v>258</v>
      </c>
      <c r="G343" s="19">
        <v>1</v>
      </c>
      <c r="H343" s="24"/>
      <c r="I343" s="24">
        <v>3317.2</v>
      </c>
      <c r="J343" s="20">
        <v>16.02</v>
      </c>
      <c r="M343" s="21">
        <f>ROUND(ROUND(J343, 2)*I343, 2)</f>
        <v>53141.54</v>
      </c>
      <c r="P343" s="22">
        <v>16.02</v>
      </c>
      <c r="S343" s="21">
        <f>ROUND(ROUND(P343, 2)*I343, 2)</f>
        <v>53141.54</v>
      </c>
      <c r="V343" s="9">
        <f>ROUND(ROUND(P343, 2)/1.2, 2)</f>
        <v>13.35</v>
      </c>
      <c r="Y343" s="9">
        <f t="shared" si="22"/>
        <v>44284.62</v>
      </c>
      <c r="AD343" s="4" t="s">
        <v>1369</v>
      </c>
      <c r="AE343" s="4" t="s">
        <v>1370</v>
      </c>
      <c r="AF343" s="4" t="s">
        <v>1195</v>
      </c>
    </row>
    <row r="344" spans="1:35" ht="18" x14ac:dyDescent="0.3">
      <c r="A344" s="10" t="s">
        <v>1371</v>
      </c>
      <c r="B344" s="10"/>
      <c r="C344" s="17" t="s">
        <v>1333</v>
      </c>
      <c r="D344" s="12"/>
      <c r="E344" s="12" t="s">
        <v>1352</v>
      </c>
      <c r="F344" s="18" t="s">
        <v>99</v>
      </c>
      <c r="G344" s="19">
        <v>1.3</v>
      </c>
      <c r="H344" s="24"/>
      <c r="I344" s="24">
        <v>107809</v>
      </c>
      <c r="J344" s="20">
        <v>8.75</v>
      </c>
      <c r="M344" s="21">
        <f>ROUND(ROUND(J344, 2)*I344, 2)</f>
        <v>943328.75</v>
      </c>
      <c r="P344" s="22">
        <v>8.75</v>
      </c>
      <c r="S344" s="21">
        <f>ROUND(ROUND(P344, 2)*I344, 2)</f>
        <v>943328.75</v>
      </c>
      <c r="V344" s="9">
        <f>ROUND(ROUND(P344, 2)/1.2, 2)</f>
        <v>7.29</v>
      </c>
      <c r="Y344" s="9">
        <f t="shared" si="22"/>
        <v>786107.29</v>
      </c>
      <c r="AD344" s="4" t="s">
        <v>1372</v>
      </c>
      <c r="AE344" s="4" t="s">
        <v>1373</v>
      </c>
      <c r="AF344" s="4" t="s">
        <v>1337</v>
      </c>
    </row>
    <row r="345" spans="1:35" ht="72" x14ac:dyDescent="0.3">
      <c r="A345" s="10" t="s">
        <v>1374</v>
      </c>
      <c r="B345" s="10" t="s">
        <v>1346</v>
      </c>
      <c r="C345" s="11" t="s">
        <v>1347</v>
      </c>
      <c r="D345" s="12"/>
      <c r="E345" s="12" t="s">
        <v>1375</v>
      </c>
      <c r="F345" s="12" t="s">
        <v>58</v>
      </c>
      <c r="G345" s="13">
        <v>1</v>
      </c>
      <c r="H345" s="13"/>
      <c r="I345" s="13">
        <v>831.6</v>
      </c>
      <c r="J345" s="14">
        <f>IFERROR(ROUND(SUM(M346,M347,M348)/I345, 2),0)</f>
        <v>313.94</v>
      </c>
      <c r="K345" s="15">
        <v>1067</v>
      </c>
      <c r="L345" s="14">
        <f>J345+ROUND(K345, 2)</f>
        <v>1380.94</v>
      </c>
      <c r="M345" s="14">
        <f>ROUND(J345*I345, 2)</f>
        <v>261072.5</v>
      </c>
      <c r="N345" s="14">
        <f>ROUND(I345*ROUND(K345, 2), 2)</f>
        <v>887317.2</v>
      </c>
      <c r="O345" s="14">
        <f>M345+N345</f>
        <v>1148389.7</v>
      </c>
      <c r="P345" s="14">
        <f>IFERROR(ROUND(SUM(S346,S347,S348)/I345, 2),0)</f>
        <v>313.94</v>
      </c>
      <c r="Q345" s="16">
        <v>1524.29</v>
      </c>
      <c r="R345" s="14">
        <f>P345+ROUND(Q345, 2)</f>
        <v>1838.23</v>
      </c>
      <c r="S345" s="14">
        <f>ROUND(P345*I345, 2)</f>
        <v>261072.5</v>
      </c>
      <c r="T345" s="14">
        <f>ROUND(I345*ROUND(Q345, 2), 2)</f>
        <v>1267599.56</v>
      </c>
      <c r="U345" s="14">
        <f>S345+T345</f>
        <v>1528672.06</v>
      </c>
      <c r="V345" s="9">
        <f>ROUND(P345 / 1.2, 2)</f>
        <v>261.62</v>
      </c>
      <c r="W345" s="9">
        <f>ROUND(Q345 / 1.2, 2)</f>
        <v>1270.24</v>
      </c>
      <c r="X345" s="9">
        <f>ROUND(R345 / 1.2, 2)</f>
        <v>1531.86</v>
      </c>
      <c r="Y345" s="9">
        <f t="shared" si="22"/>
        <v>217560.42</v>
      </c>
      <c r="Z345" s="9">
        <f>ROUND(T345 / 1.2, 2)</f>
        <v>1056332.97</v>
      </c>
      <c r="AA345" s="9">
        <f>Y345+Z345</f>
        <v>1273893.3899999999</v>
      </c>
      <c r="AD345" s="4">
        <v>311044452</v>
      </c>
      <c r="AE345" s="4">
        <v>22846125</v>
      </c>
      <c r="AG345" s="4" t="s">
        <v>1349</v>
      </c>
      <c r="AH345" s="4" t="s">
        <v>1350</v>
      </c>
      <c r="AI345" s="4" t="s">
        <v>469</v>
      </c>
    </row>
    <row r="346" spans="1:35" ht="18" x14ac:dyDescent="0.3">
      <c r="A346" s="10" t="s">
        <v>1376</v>
      </c>
      <c r="B346" s="10"/>
      <c r="C346" s="17" t="s">
        <v>1333</v>
      </c>
      <c r="D346" s="12"/>
      <c r="E346" s="12" t="s">
        <v>1352</v>
      </c>
      <c r="F346" s="18" t="s">
        <v>99</v>
      </c>
      <c r="G346" s="19">
        <v>1.3</v>
      </c>
      <c r="H346" s="24"/>
      <c r="I346" s="24">
        <v>27027</v>
      </c>
      <c r="J346" s="20">
        <v>8.75</v>
      </c>
      <c r="M346" s="21">
        <f>ROUND(ROUND(J346, 2)*I346, 2)</f>
        <v>236486.25</v>
      </c>
      <c r="P346" s="22">
        <v>8.75</v>
      </c>
      <c r="S346" s="21">
        <f>ROUND(ROUND(P346, 2)*I346, 2)</f>
        <v>236486.25</v>
      </c>
      <c r="V346" s="9">
        <f>ROUND(ROUND(P346, 2)/1.2, 2)</f>
        <v>7.29</v>
      </c>
      <c r="Y346" s="9">
        <f t="shared" si="22"/>
        <v>197071.88</v>
      </c>
      <c r="AD346" s="4" t="s">
        <v>1377</v>
      </c>
      <c r="AE346" s="4" t="s">
        <v>1378</v>
      </c>
      <c r="AF346" s="4" t="s">
        <v>1337</v>
      </c>
    </row>
    <row r="347" spans="1:35" ht="18" x14ac:dyDescent="0.3">
      <c r="A347" s="10" t="s">
        <v>1379</v>
      </c>
      <c r="B347" s="10"/>
      <c r="C347" s="17" t="s">
        <v>1192</v>
      </c>
      <c r="D347" s="12"/>
      <c r="E347" s="12"/>
      <c r="F347" s="18" t="s">
        <v>258</v>
      </c>
      <c r="G347" s="19">
        <v>1</v>
      </c>
      <c r="H347" s="24"/>
      <c r="I347" s="24">
        <v>831.6</v>
      </c>
      <c r="J347" s="20">
        <v>16.02</v>
      </c>
      <c r="M347" s="21">
        <f>ROUND(ROUND(J347, 2)*I347, 2)</f>
        <v>13322.23</v>
      </c>
      <c r="P347" s="22">
        <v>16.02</v>
      </c>
      <c r="S347" s="21">
        <f>ROUND(ROUND(P347, 2)*I347, 2)</f>
        <v>13322.23</v>
      </c>
      <c r="V347" s="9">
        <f>ROUND(ROUND(P347, 2)/1.2, 2)</f>
        <v>13.35</v>
      </c>
      <c r="Y347" s="9">
        <f t="shared" si="22"/>
        <v>11101.86</v>
      </c>
      <c r="AD347" s="4" t="s">
        <v>1380</v>
      </c>
      <c r="AE347" s="4" t="s">
        <v>1381</v>
      </c>
      <c r="AF347" s="4" t="s">
        <v>1195</v>
      </c>
    </row>
    <row r="348" spans="1:35" ht="36" x14ac:dyDescent="0.3">
      <c r="A348" s="10" t="s">
        <v>1382</v>
      </c>
      <c r="B348" s="10"/>
      <c r="C348" s="17" t="s">
        <v>1057</v>
      </c>
      <c r="D348" s="12"/>
      <c r="E348" s="12"/>
      <c r="F348" s="18" t="s">
        <v>99</v>
      </c>
      <c r="G348" s="19">
        <v>0.15</v>
      </c>
      <c r="H348" s="19"/>
      <c r="I348" s="19">
        <v>124.74</v>
      </c>
      <c r="J348" s="20">
        <v>90.28</v>
      </c>
      <c r="M348" s="21">
        <f>ROUND(ROUND(J348, 2)*I348, 2)</f>
        <v>11261.53</v>
      </c>
      <c r="P348" s="22">
        <v>90.28</v>
      </c>
      <c r="S348" s="21">
        <f>ROUND(ROUND(P348, 2)*I348, 2)</f>
        <v>11261.53</v>
      </c>
      <c r="V348" s="9">
        <f>ROUND(ROUND(P348, 2)/1.2, 2)</f>
        <v>75.23</v>
      </c>
      <c r="Y348" s="9">
        <f t="shared" si="22"/>
        <v>9384.61</v>
      </c>
      <c r="AD348" s="4" t="s">
        <v>1383</v>
      </c>
      <c r="AE348" s="4" t="s">
        <v>1384</v>
      </c>
      <c r="AF348" s="4" t="s">
        <v>1060</v>
      </c>
    </row>
    <row r="349" spans="1:35" ht="72" x14ac:dyDescent="0.3">
      <c r="A349" s="10" t="s">
        <v>1385</v>
      </c>
      <c r="B349" s="10" t="s">
        <v>1346</v>
      </c>
      <c r="C349" s="11" t="s">
        <v>1347</v>
      </c>
      <c r="D349" s="12"/>
      <c r="E349" s="12" t="s">
        <v>1386</v>
      </c>
      <c r="F349" s="12" t="s">
        <v>58</v>
      </c>
      <c r="G349" s="13">
        <v>1</v>
      </c>
      <c r="H349" s="13"/>
      <c r="I349" s="13">
        <v>789.7</v>
      </c>
      <c r="J349" s="14">
        <f>IFERROR(ROUND(SUM(M350,M351,M352)/I349, 2),0)</f>
        <v>325.81</v>
      </c>
      <c r="K349" s="15">
        <v>1067</v>
      </c>
      <c r="L349" s="14">
        <f>J349+ROUND(K349, 2)</f>
        <v>1392.81</v>
      </c>
      <c r="M349" s="14">
        <f>ROUND(J349*I349, 2)</f>
        <v>257292.16</v>
      </c>
      <c r="N349" s="14">
        <f>ROUND(I349*ROUND(K349, 2), 2)</f>
        <v>842609.9</v>
      </c>
      <c r="O349" s="14">
        <f>M349+N349</f>
        <v>1099902.06</v>
      </c>
      <c r="P349" s="14">
        <f>IFERROR(ROUND(SUM(S350,S351,S352)/I349, 2),0)</f>
        <v>325.81</v>
      </c>
      <c r="Q349" s="16">
        <v>1524.29</v>
      </c>
      <c r="R349" s="14">
        <f>P349+ROUND(Q349, 2)</f>
        <v>1850.1</v>
      </c>
      <c r="S349" s="14">
        <f>ROUND(P349*I349, 2)</f>
        <v>257292.16</v>
      </c>
      <c r="T349" s="14">
        <f>ROUND(I349*ROUND(Q349, 2), 2)</f>
        <v>1203731.81</v>
      </c>
      <c r="U349" s="14">
        <f>S349+T349</f>
        <v>1461023.97</v>
      </c>
      <c r="V349" s="9">
        <f>ROUND(P349 / 1.2, 2)</f>
        <v>271.51</v>
      </c>
      <c r="W349" s="9">
        <f>ROUND(Q349 / 1.2, 2)</f>
        <v>1270.24</v>
      </c>
      <c r="X349" s="9">
        <f>ROUND(R349 / 1.2, 2)</f>
        <v>1541.75</v>
      </c>
      <c r="Y349" s="9">
        <f t="shared" si="22"/>
        <v>214410.13</v>
      </c>
      <c r="Z349" s="9">
        <f>ROUND(T349 / 1.2, 2)</f>
        <v>1003109.84</v>
      </c>
      <c r="AA349" s="9">
        <f>Y349+Z349</f>
        <v>1217519.97</v>
      </c>
      <c r="AD349" s="4">
        <v>311044453</v>
      </c>
      <c r="AE349" s="4">
        <v>22846124</v>
      </c>
      <c r="AG349" s="4" t="s">
        <v>1349</v>
      </c>
      <c r="AH349" s="4" t="s">
        <v>1350</v>
      </c>
      <c r="AI349" s="4" t="s">
        <v>469</v>
      </c>
    </row>
    <row r="350" spans="1:35" ht="18" x14ac:dyDescent="0.3">
      <c r="A350" s="10" t="s">
        <v>1387</v>
      </c>
      <c r="B350" s="10"/>
      <c r="C350" s="17" t="s">
        <v>1359</v>
      </c>
      <c r="D350" s="12"/>
      <c r="E350" s="12"/>
      <c r="F350" s="18" t="s">
        <v>99</v>
      </c>
      <c r="G350" s="19">
        <v>0.25</v>
      </c>
      <c r="H350" s="19"/>
      <c r="I350" s="19">
        <v>197.42500000000001</v>
      </c>
      <c r="J350" s="20">
        <v>101.66</v>
      </c>
      <c r="M350" s="21">
        <f>ROUND(ROUND(J350, 2)*I350, 2)</f>
        <v>20070.23</v>
      </c>
      <c r="P350" s="22">
        <v>101.66</v>
      </c>
      <c r="S350" s="21">
        <f>ROUND(ROUND(P350, 2)*I350, 2)</f>
        <v>20070.23</v>
      </c>
      <c r="V350" s="9">
        <f>ROUND(ROUND(P350, 2)/1.2, 2)</f>
        <v>84.72</v>
      </c>
      <c r="Y350" s="9">
        <f t="shared" si="22"/>
        <v>16725.189999999999</v>
      </c>
      <c r="AD350" s="4" t="s">
        <v>1388</v>
      </c>
      <c r="AE350" s="4" t="s">
        <v>1389</v>
      </c>
      <c r="AF350" s="4" t="s">
        <v>1362</v>
      </c>
    </row>
    <row r="351" spans="1:35" ht="18" x14ac:dyDescent="0.3">
      <c r="A351" s="10" t="s">
        <v>1390</v>
      </c>
      <c r="B351" s="10"/>
      <c r="C351" s="17" t="s">
        <v>1192</v>
      </c>
      <c r="D351" s="12"/>
      <c r="E351" s="12"/>
      <c r="F351" s="18" t="s">
        <v>258</v>
      </c>
      <c r="G351" s="19">
        <v>1</v>
      </c>
      <c r="H351" s="24"/>
      <c r="I351" s="24">
        <v>789.7</v>
      </c>
      <c r="J351" s="20">
        <v>16.02</v>
      </c>
      <c r="M351" s="21">
        <f>ROUND(ROUND(J351, 2)*I351, 2)</f>
        <v>12650.99</v>
      </c>
      <c r="P351" s="22">
        <v>16.02</v>
      </c>
      <c r="S351" s="21">
        <f>ROUND(ROUND(P351, 2)*I351, 2)</f>
        <v>12650.99</v>
      </c>
      <c r="V351" s="9">
        <f>ROUND(ROUND(P351, 2)/1.2, 2)</f>
        <v>13.35</v>
      </c>
      <c r="Y351" s="9">
        <f t="shared" si="22"/>
        <v>10542.49</v>
      </c>
      <c r="AD351" s="4" t="s">
        <v>1391</v>
      </c>
      <c r="AE351" s="4" t="s">
        <v>1392</v>
      </c>
      <c r="AF351" s="4" t="s">
        <v>1195</v>
      </c>
    </row>
    <row r="352" spans="1:35" ht="18" x14ac:dyDescent="0.3">
      <c r="A352" s="10" t="s">
        <v>1393</v>
      </c>
      <c r="B352" s="10"/>
      <c r="C352" s="17" t="s">
        <v>1333</v>
      </c>
      <c r="D352" s="12"/>
      <c r="E352" s="12" t="s">
        <v>1352</v>
      </c>
      <c r="F352" s="18" t="s">
        <v>99</v>
      </c>
      <c r="G352" s="19">
        <v>1.3</v>
      </c>
      <c r="H352" s="24"/>
      <c r="I352" s="24">
        <v>25665.25</v>
      </c>
      <c r="J352" s="20">
        <v>8.75</v>
      </c>
      <c r="M352" s="21">
        <f>ROUND(ROUND(J352, 2)*I352, 2)</f>
        <v>224570.94</v>
      </c>
      <c r="P352" s="22">
        <v>8.75</v>
      </c>
      <c r="S352" s="21">
        <f>ROUND(ROUND(P352, 2)*I352, 2)</f>
        <v>224570.94</v>
      </c>
      <c r="V352" s="9">
        <f>ROUND(ROUND(P352, 2)/1.2, 2)</f>
        <v>7.29</v>
      </c>
      <c r="Y352" s="9">
        <f t="shared" si="22"/>
        <v>187142.45</v>
      </c>
      <c r="AD352" s="4" t="s">
        <v>1394</v>
      </c>
      <c r="AE352" s="4" t="s">
        <v>1395</v>
      </c>
      <c r="AF352" s="4" t="s">
        <v>1337</v>
      </c>
    </row>
    <row r="353" spans="1:35" ht="72" x14ac:dyDescent="0.3">
      <c r="A353" s="10" t="s">
        <v>1396</v>
      </c>
      <c r="B353" s="10" t="s">
        <v>1397</v>
      </c>
      <c r="C353" s="11" t="s">
        <v>1398</v>
      </c>
      <c r="D353" s="12" t="s">
        <v>1399</v>
      </c>
      <c r="E353" s="12" t="s">
        <v>1400</v>
      </c>
      <c r="F353" s="12" t="s">
        <v>58</v>
      </c>
      <c r="G353" s="13">
        <v>1</v>
      </c>
      <c r="H353" s="13"/>
      <c r="I353" s="13">
        <v>82</v>
      </c>
      <c r="J353" s="14">
        <f>IFERROR(ROUND(SUM(M354,M355,M356)/I353, 2),0)</f>
        <v>325.81</v>
      </c>
      <c r="K353" s="15">
        <v>1165</v>
      </c>
      <c r="L353" s="14">
        <f>J353+ROUND(K353, 2)</f>
        <v>1490.81</v>
      </c>
      <c r="M353" s="14">
        <f>ROUND(J353*I353, 2)</f>
        <v>26716.42</v>
      </c>
      <c r="N353" s="14">
        <f>ROUND(I353*ROUND(K353, 2), 2)</f>
        <v>95530</v>
      </c>
      <c r="O353" s="14">
        <f>M353+N353</f>
        <v>122246.42</v>
      </c>
      <c r="P353" s="14">
        <f>IFERROR(ROUND(SUM(S354,S355,S356)/I353, 2),0)</f>
        <v>325.81</v>
      </c>
      <c r="Q353" s="16">
        <v>1664.29</v>
      </c>
      <c r="R353" s="14">
        <f>P353+ROUND(Q353, 2)</f>
        <v>1990.1</v>
      </c>
      <c r="S353" s="14">
        <f>ROUND(P353*I353, 2)</f>
        <v>26716.42</v>
      </c>
      <c r="T353" s="14">
        <f>ROUND(I353*ROUND(Q353, 2), 2)</f>
        <v>136471.78</v>
      </c>
      <c r="U353" s="14">
        <f>S353+T353</f>
        <v>163188.20000000001</v>
      </c>
      <c r="V353" s="9">
        <f>ROUND(P353 / 1.2, 2)</f>
        <v>271.51</v>
      </c>
      <c r="W353" s="9">
        <f>ROUND(Q353 / 1.2, 2)</f>
        <v>1386.91</v>
      </c>
      <c r="X353" s="9">
        <f>ROUND(R353 / 1.2, 2)</f>
        <v>1658.42</v>
      </c>
      <c r="Y353" s="9">
        <f t="shared" si="22"/>
        <v>22263.68</v>
      </c>
      <c r="Z353" s="9">
        <f>ROUND(T353 / 1.2, 2)</f>
        <v>113726.48</v>
      </c>
      <c r="AA353" s="9">
        <f>Y353+Z353</f>
        <v>135990.16</v>
      </c>
      <c r="AD353" s="4">
        <v>311044377</v>
      </c>
      <c r="AE353" s="4">
        <v>22789960</v>
      </c>
      <c r="AG353" s="4" t="s">
        <v>1401</v>
      </c>
      <c r="AH353" s="4" t="s">
        <v>1402</v>
      </c>
      <c r="AI353" s="4" t="s">
        <v>469</v>
      </c>
    </row>
    <row r="354" spans="1:35" ht="18" x14ac:dyDescent="0.3">
      <c r="A354" s="10" t="s">
        <v>1403</v>
      </c>
      <c r="B354" s="10"/>
      <c r="C354" s="17" t="s">
        <v>1333</v>
      </c>
      <c r="D354" s="12"/>
      <c r="E354" s="12" t="s">
        <v>1352</v>
      </c>
      <c r="F354" s="18" t="s">
        <v>99</v>
      </c>
      <c r="G354" s="19">
        <v>1.3</v>
      </c>
      <c r="H354" s="24"/>
      <c r="I354" s="24">
        <v>2665</v>
      </c>
      <c r="J354" s="20">
        <v>8.75</v>
      </c>
      <c r="M354" s="21">
        <f>ROUND(ROUND(J354, 2)*I354, 2)</f>
        <v>23318.75</v>
      </c>
      <c r="P354" s="22">
        <v>8.75</v>
      </c>
      <c r="S354" s="21">
        <f>ROUND(ROUND(P354, 2)*I354, 2)</f>
        <v>23318.75</v>
      </c>
      <c r="V354" s="9">
        <f>ROUND(ROUND(P354, 2)/1.2, 2)</f>
        <v>7.29</v>
      </c>
      <c r="Y354" s="9">
        <f t="shared" si="22"/>
        <v>19432.29</v>
      </c>
      <c r="AD354" s="4" t="s">
        <v>1404</v>
      </c>
      <c r="AE354" s="4" t="s">
        <v>1405</v>
      </c>
      <c r="AF354" s="4" t="s">
        <v>1337</v>
      </c>
    </row>
    <row r="355" spans="1:35" ht="18" x14ac:dyDescent="0.3">
      <c r="A355" s="10" t="s">
        <v>1406</v>
      </c>
      <c r="B355" s="10"/>
      <c r="C355" s="17" t="s">
        <v>1192</v>
      </c>
      <c r="D355" s="12"/>
      <c r="E355" s="12"/>
      <c r="F355" s="18" t="s">
        <v>258</v>
      </c>
      <c r="G355" s="19">
        <v>1</v>
      </c>
      <c r="H355" s="24"/>
      <c r="I355" s="24">
        <v>82</v>
      </c>
      <c r="J355" s="20">
        <v>16.02</v>
      </c>
      <c r="M355" s="21">
        <f>ROUND(ROUND(J355, 2)*I355, 2)</f>
        <v>1313.64</v>
      </c>
      <c r="P355" s="22">
        <v>16.02</v>
      </c>
      <c r="S355" s="21">
        <f>ROUND(ROUND(P355, 2)*I355, 2)</f>
        <v>1313.64</v>
      </c>
      <c r="V355" s="9">
        <f>ROUND(ROUND(P355, 2)/1.2, 2)</f>
        <v>13.35</v>
      </c>
      <c r="Y355" s="9">
        <f t="shared" ref="Y355:Y372" si="23">ROUND(S355 / 1.2, 2)</f>
        <v>1094.7</v>
      </c>
      <c r="AD355" s="4" t="s">
        <v>1407</v>
      </c>
      <c r="AE355" s="4" t="s">
        <v>1408</v>
      </c>
      <c r="AF355" s="4" t="s">
        <v>1195</v>
      </c>
    </row>
    <row r="356" spans="1:35" ht="18" x14ac:dyDescent="0.3">
      <c r="A356" s="10" t="s">
        <v>1409</v>
      </c>
      <c r="B356" s="10"/>
      <c r="C356" s="17" t="s">
        <v>1359</v>
      </c>
      <c r="D356" s="12"/>
      <c r="E356" s="12"/>
      <c r="F356" s="18" t="s">
        <v>99</v>
      </c>
      <c r="G356" s="19">
        <v>0.25</v>
      </c>
      <c r="H356" s="19"/>
      <c r="I356" s="19">
        <v>20.5</v>
      </c>
      <c r="J356" s="20">
        <v>101.66</v>
      </c>
      <c r="M356" s="21">
        <f>ROUND(ROUND(J356, 2)*I356, 2)</f>
        <v>2084.0300000000002</v>
      </c>
      <c r="P356" s="22">
        <v>101.66</v>
      </c>
      <c r="S356" s="21">
        <f>ROUND(ROUND(P356, 2)*I356, 2)</f>
        <v>2084.0300000000002</v>
      </c>
      <c r="V356" s="9">
        <f>ROUND(ROUND(P356, 2)/1.2, 2)</f>
        <v>84.72</v>
      </c>
      <c r="Y356" s="9">
        <f t="shared" si="23"/>
        <v>1736.69</v>
      </c>
      <c r="AD356" s="4" t="s">
        <v>1410</v>
      </c>
      <c r="AE356" s="4" t="s">
        <v>1411</v>
      </c>
      <c r="AF356" s="4" t="s">
        <v>1362</v>
      </c>
    </row>
    <row r="357" spans="1:35" ht="72" x14ac:dyDescent="0.3">
      <c r="A357" s="10" t="s">
        <v>1412</v>
      </c>
      <c r="B357" s="10" t="s">
        <v>1413</v>
      </c>
      <c r="C357" s="11" t="s">
        <v>1414</v>
      </c>
      <c r="D357" s="12" t="s">
        <v>1399</v>
      </c>
      <c r="E357" s="12" t="s">
        <v>1415</v>
      </c>
      <c r="F357" s="12" t="s">
        <v>58</v>
      </c>
      <c r="G357" s="13">
        <v>1</v>
      </c>
      <c r="H357" s="13"/>
      <c r="I357" s="13">
        <v>30.4</v>
      </c>
      <c r="J357" s="14">
        <f>IFERROR(ROUND(SUM(M358,M359,M360)/I357, 2),0)</f>
        <v>313.94</v>
      </c>
      <c r="K357" s="15">
        <v>1312</v>
      </c>
      <c r="L357" s="14">
        <f>J357+ROUND(K357, 2)</f>
        <v>1625.94</v>
      </c>
      <c r="M357" s="14">
        <f>ROUND(J357*I357, 2)</f>
        <v>9543.7800000000007</v>
      </c>
      <c r="N357" s="14">
        <f>ROUND(I357*ROUND(K357, 2), 2)</f>
        <v>39884.800000000003</v>
      </c>
      <c r="O357" s="14">
        <f>M357+N357</f>
        <v>49428.58</v>
      </c>
      <c r="P357" s="14">
        <f>IFERROR(ROUND(SUM(S358,S359,S360)/I357, 2),0)</f>
        <v>313.94</v>
      </c>
      <c r="Q357" s="16">
        <v>1874.29</v>
      </c>
      <c r="R357" s="14">
        <f>P357+ROUND(Q357, 2)</f>
        <v>2188.23</v>
      </c>
      <c r="S357" s="14">
        <f>ROUND(P357*I357, 2)</f>
        <v>9543.7800000000007</v>
      </c>
      <c r="T357" s="14">
        <f>ROUND(I357*ROUND(Q357, 2), 2)</f>
        <v>56978.42</v>
      </c>
      <c r="U357" s="14">
        <f>S357+T357</f>
        <v>66522.2</v>
      </c>
      <c r="V357" s="9">
        <f>ROUND(P357 / 1.2, 2)</f>
        <v>261.62</v>
      </c>
      <c r="W357" s="9">
        <f>ROUND(Q357 / 1.2, 2)</f>
        <v>1561.91</v>
      </c>
      <c r="X357" s="9">
        <f>ROUND(R357 / 1.2, 2)</f>
        <v>1823.53</v>
      </c>
      <c r="Y357" s="9">
        <f t="shared" si="23"/>
        <v>7953.15</v>
      </c>
      <c r="Z357" s="9">
        <f>ROUND(T357 / 1.2, 2)</f>
        <v>47482.02</v>
      </c>
      <c r="AA357" s="9">
        <f>Y357+Z357</f>
        <v>55435.17</v>
      </c>
      <c r="AD357" s="4">
        <v>311044378</v>
      </c>
      <c r="AE357" s="4">
        <v>22789961</v>
      </c>
      <c r="AG357" s="4" t="s">
        <v>1416</v>
      </c>
      <c r="AH357" s="4" t="s">
        <v>1417</v>
      </c>
      <c r="AI357" s="4" t="s">
        <v>469</v>
      </c>
    </row>
    <row r="358" spans="1:35" ht="18" x14ac:dyDescent="0.3">
      <c r="A358" s="10" t="s">
        <v>1418</v>
      </c>
      <c r="B358" s="10"/>
      <c r="C358" s="17" t="s">
        <v>1333</v>
      </c>
      <c r="D358" s="12"/>
      <c r="E358" s="12" t="s">
        <v>1352</v>
      </c>
      <c r="F358" s="18" t="s">
        <v>99</v>
      </c>
      <c r="G358" s="19">
        <v>1.3</v>
      </c>
      <c r="H358" s="24"/>
      <c r="I358" s="24">
        <v>988</v>
      </c>
      <c r="J358" s="20">
        <v>8.75</v>
      </c>
      <c r="M358" s="21">
        <f>ROUND(ROUND(J358, 2)*I358, 2)</f>
        <v>8645</v>
      </c>
      <c r="P358" s="22">
        <v>8.75</v>
      </c>
      <c r="S358" s="21">
        <f>ROUND(ROUND(P358, 2)*I358, 2)</f>
        <v>8645</v>
      </c>
      <c r="V358" s="9">
        <f>ROUND(ROUND(P358, 2)/1.2, 2)</f>
        <v>7.29</v>
      </c>
      <c r="Y358" s="9">
        <f t="shared" si="23"/>
        <v>7204.17</v>
      </c>
      <c r="AD358" s="4" t="s">
        <v>1419</v>
      </c>
      <c r="AE358" s="4" t="s">
        <v>1420</v>
      </c>
      <c r="AF358" s="4" t="s">
        <v>1337</v>
      </c>
    </row>
    <row r="359" spans="1:35" ht="36" x14ac:dyDescent="0.3">
      <c r="A359" s="10" t="s">
        <v>1421</v>
      </c>
      <c r="B359" s="10"/>
      <c r="C359" s="17" t="s">
        <v>1057</v>
      </c>
      <c r="D359" s="12"/>
      <c r="E359" s="12"/>
      <c r="F359" s="18" t="s">
        <v>99</v>
      </c>
      <c r="G359" s="19">
        <v>0.15</v>
      </c>
      <c r="H359" s="19"/>
      <c r="I359" s="19">
        <v>4.5599999999999996</v>
      </c>
      <c r="J359" s="20">
        <v>90.28</v>
      </c>
      <c r="M359" s="21">
        <f>ROUND(ROUND(J359, 2)*I359, 2)</f>
        <v>411.68</v>
      </c>
      <c r="P359" s="22">
        <v>90.28</v>
      </c>
      <c r="S359" s="21">
        <f>ROUND(ROUND(P359, 2)*I359, 2)</f>
        <v>411.68</v>
      </c>
      <c r="V359" s="9">
        <f>ROUND(ROUND(P359, 2)/1.2, 2)</f>
        <v>75.23</v>
      </c>
      <c r="Y359" s="9">
        <f t="shared" si="23"/>
        <v>343.07</v>
      </c>
      <c r="AD359" s="4" t="s">
        <v>1422</v>
      </c>
      <c r="AE359" s="4" t="s">
        <v>1423</v>
      </c>
      <c r="AF359" s="4" t="s">
        <v>1060</v>
      </c>
    </row>
    <row r="360" spans="1:35" ht="18" x14ac:dyDescent="0.3">
      <c r="A360" s="10" t="s">
        <v>1424</v>
      </c>
      <c r="B360" s="10"/>
      <c r="C360" s="17" t="s">
        <v>1192</v>
      </c>
      <c r="D360" s="12"/>
      <c r="E360" s="12"/>
      <c r="F360" s="18" t="s">
        <v>258</v>
      </c>
      <c r="G360" s="19">
        <v>1</v>
      </c>
      <c r="H360" s="24"/>
      <c r="I360" s="24">
        <v>30.4</v>
      </c>
      <c r="J360" s="20">
        <v>16.02</v>
      </c>
      <c r="M360" s="21">
        <f>ROUND(ROUND(J360, 2)*I360, 2)</f>
        <v>487.01</v>
      </c>
      <c r="P360" s="22">
        <v>16.02</v>
      </c>
      <c r="S360" s="21">
        <f>ROUND(ROUND(P360, 2)*I360, 2)</f>
        <v>487.01</v>
      </c>
      <c r="V360" s="9">
        <f>ROUND(ROUND(P360, 2)/1.2, 2)</f>
        <v>13.35</v>
      </c>
      <c r="Y360" s="9">
        <f t="shared" si="23"/>
        <v>405.84</v>
      </c>
      <c r="AD360" s="4" t="s">
        <v>1425</v>
      </c>
      <c r="AE360" s="4" t="s">
        <v>1426</v>
      </c>
      <c r="AF360" s="4" t="s">
        <v>1195</v>
      </c>
    </row>
    <row r="361" spans="1:35" ht="54" x14ac:dyDescent="0.3">
      <c r="A361" s="10" t="s">
        <v>1427</v>
      </c>
      <c r="B361" s="10" t="s">
        <v>1428</v>
      </c>
      <c r="C361" s="11" t="s">
        <v>1429</v>
      </c>
      <c r="D361" s="12"/>
      <c r="E361" s="12" t="s">
        <v>1430</v>
      </c>
      <c r="F361" s="12" t="s">
        <v>58</v>
      </c>
      <c r="G361" s="13">
        <v>1</v>
      </c>
      <c r="H361" s="13"/>
      <c r="I361" s="13">
        <v>389.2</v>
      </c>
      <c r="J361" s="14">
        <f>IFERROR(ROUND(SUM(M362,M363,M364)/I361, 2),0)</f>
        <v>108.76</v>
      </c>
      <c r="K361" s="15">
        <v>873</v>
      </c>
      <c r="L361" s="14">
        <f>J361+ROUND(K361, 2)</f>
        <v>981.76</v>
      </c>
      <c r="M361" s="14">
        <f>ROUND(J361*I361, 2)</f>
        <v>42329.39</v>
      </c>
      <c r="N361" s="14">
        <f>ROUND(I361*ROUND(K361, 2), 2)</f>
        <v>339771.6</v>
      </c>
      <c r="O361" s="14">
        <f>M361+N361</f>
        <v>382100.99</v>
      </c>
      <c r="P361" s="14">
        <f>IFERROR(ROUND(SUM(S362,S363,S364)/I361, 2),0)</f>
        <v>108.76</v>
      </c>
      <c r="Q361" s="16">
        <v>1247.1400000000001</v>
      </c>
      <c r="R361" s="14">
        <f>P361+ROUND(Q361, 2)</f>
        <v>1355.9</v>
      </c>
      <c r="S361" s="14">
        <f>ROUND(P361*I361, 2)</f>
        <v>42329.39</v>
      </c>
      <c r="T361" s="14">
        <f>ROUND(I361*ROUND(Q361, 2), 2)</f>
        <v>485386.89</v>
      </c>
      <c r="U361" s="14">
        <f>S361+T361</f>
        <v>527716.28</v>
      </c>
      <c r="V361" s="9">
        <f>ROUND(P361 / 1.2, 2)</f>
        <v>90.63</v>
      </c>
      <c r="W361" s="9">
        <f>ROUND(Q361 / 1.2, 2)</f>
        <v>1039.28</v>
      </c>
      <c r="X361" s="9">
        <f>ROUND(R361 / 1.2, 2)</f>
        <v>1129.92</v>
      </c>
      <c r="Y361" s="9">
        <f t="shared" si="23"/>
        <v>35274.49</v>
      </c>
      <c r="Z361" s="9">
        <f>ROUND(T361 / 1.2, 2)</f>
        <v>404489.08</v>
      </c>
      <c r="AA361" s="9">
        <f>Y361+Z361</f>
        <v>439763.57</v>
      </c>
      <c r="AD361" s="4">
        <v>311044380</v>
      </c>
      <c r="AE361" s="4">
        <v>22789959</v>
      </c>
      <c r="AG361" s="4" t="s">
        <v>1431</v>
      </c>
      <c r="AH361" s="4" t="s">
        <v>1432</v>
      </c>
      <c r="AI361" s="4" t="s">
        <v>469</v>
      </c>
    </row>
    <row r="362" spans="1:35" ht="36" x14ac:dyDescent="0.3">
      <c r="A362" s="10" t="s">
        <v>1433</v>
      </c>
      <c r="B362" s="10"/>
      <c r="C362" s="23" t="s">
        <v>1164</v>
      </c>
      <c r="D362" s="12"/>
      <c r="E362" s="12" t="s">
        <v>1434</v>
      </c>
      <c r="F362" s="18" t="s">
        <v>99</v>
      </c>
      <c r="G362" s="19">
        <v>1</v>
      </c>
      <c r="H362" s="24"/>
      <c r="I362" s="24">
        <v>3892</v>
      </c>
      <c r="J362" s="20">
        <v>7.92</v>
      </c>
      <c r="M362" s="21">
        <f>ROUND(ROUND(J362, 2)*I362, 2)</f>
        <v>30824.639999999999</v>
      </c>
      <c r="P362" s="22">
        <v>7.92</v>
      </c>
      <c r="S362" s="21">
        <f>ROUND(ROUND(P362, 2)*I362, 2)</f>
        <v>30824.639999999999</v>
      </c>
      <c r="V362" s="9">
        <f>ROUND(ROUND(P362, 2)/1.2, 2)</f>
        <v>6.6</v>
      </c>
      <c r="Y362" s="9">
        <f t="shared" si="23"/>
        <v>25687.200000000001</v>
      </c>
      <c r="AD362" s="4" t="s">
        <v>1435</v>
      </c>
      <c r="AE362" s="4" t="s">
        <v>1436</v>
      </c>
      <c r="AF362" s="4" t="s">
        <v>1168</v>
      </c>
    </row>
    <row r="363" spans="1:35" ht="36" x14ac:dyDescent="0.3">
      <c r="A363" s="10" t="s">
        <v>1437</v>
      </c>
      <c r="B363" s="10"/>
      <c r="C363" s="17" t="s">
        <v>1057</v>
      </c>
      <c r="D363" s="12"/>
      <c r="E363" s="12"/>
      <c r="F363" s="18" t="s">
        <v>99</v>
      </c>
      <c r="G363" s="19">
        <v>0.15</v>
      </c>
      <c r="H363" s="24"/>
      <c r="I363" s="24">
        <v>58.38</v>
      </c>
      <c r="J363" s="20">
        <v>90.28</v>
      </c>
      <c r="M363" s="21">
        <f>ROUND(ROUND(J363, 2)*I363, 2)</f>
        <v>5270.55</v>
      </c>
      <c r="P363" s="22">
        <v>90.28</v>
      </c>
      <c r="S363" s="21">
        <f>ROUND(ROUND(P363, 2)*I363, 2)</f>
        <v>5270.55</v>
      </c>
      <c r="V363" s="9">
        <f>ROUND(ROUND(P363, 2)/1.2, 2)</f>
        <v>75.23</v>
      </c>
      <c r="Y363" s="9">
        <f t="shared" si="23"/>
        <v>4392.13</v>
      </c>
      <c r="AD363" s="4" t="s">
        <v>1438</v>
      </c>
      <c r="AE363" s="4" t="s">
        <v>1439</v>
      </c>
      <c r="AF363" s="4" t="s">
        <v>1060</v>
      </c>
    </row>
    <row r="364" spans="1:35" ht="18" x14ac:dyDescent="0.3">
      <c r="A364" s="10" t="s">
        <v>1440</v>
      </c>
      <c r="B364" s="10"/>
      <c r="C364" s="17" t="s">
        <v>1192</v>
      </c>
      <c r="D364" s="12"/>
      <c r="E364" s="12"/>
      <c r="F364" s="18" t="s">
        <v>258</v>
      </c>
      <c r="G364" s="19">
        <v>1</v>
      </c>
      <c r="H364" s="24"/>
      <c r="I364" s="24">
        <v>389.2</v>
      </c>
      <c r="J364" s="20">
        <v>16.02</v>
      </c>
      <c r="M364" s="21">
        <f>ROUND(ROUND(J364, 2)*I364, 2)</f>
        <v>6234.98</v>
      </c>
      <c r="P364" s="22">
        <v>16.02</v>
      </c>
      <c r="S364" s="21">
        <f>ROUND(ROUND(P364, 2)*I364, 2)</f>
        <v>6234.98</v>
      </c>
      <c r="V364" s="9">
        <f>ROUND(ROUND(P364, 2)/1.2, 2)</f>
        <v>13.35</v>
      </c>
      <c r="Y364" s="9">
        <f t="shared" si="23"/>
        <v>5195.82</v>
      </c>
      <c r="AD364" s="4" t="s">
        <v>1441</v>
      </c>
      <c r="AE364" s="4" t="s">
        <v>1442</v>
      </c>
      <c r="AF364" s="4" t="s">
        <v>1195</v>
      </c>
    </row>
    <row r="365" spans="1:35" ht="54" x14ac:dyDescent="0.3">
      <c r="A365" s="10" t="s">
        <v>1443</v>
      </c>
      <c r="B365" s="10" t="s">
        <v>1444</v>
      </c>
      <c r="C365" s="11" t="s">
        <v>1445</v>
      </c>
      <c r="D365" s="12"/>
      <c r="E365" s="12" t="s">
        <v>1446</v>
      </c>
      <c r="F365" s="12" t="s">
        <v>58</v>
      </c>
      <c r="G365" s="13">
        <v>1</v>
      </c>
      <c r="H365" s="13"/>
      <c r="I365" s="13">
        <v>5132.22</v>
      </c>
      <c r="J365" s="14">
        <f>IFERROR(ROUND(SUM(M366,M367,M368)/I365, 2),0)</f>
        <v>215.05</v>
      </c>
      <c r="K365" s="15">
        <v>1073</v>
      </c>
      <c r="L365" s="14">
        <f>J365+ROUND(K365, 2)</f>
        <v>1288.05</v>
      </c>
      <c r="M365" s="14">
        <f>ROUND(J365*I365, 2)</f>
        <v>1103683.9099999999</v>
      </c>
      <c r="N365" s="14">
        <f>ROUND(I365*ROUND(K365, 2), 2)</f>
        <v>5506872.0599999996</v>
      </c>
      <c r="O365" s="14">
        <f>M365+N365</f>
        <v>6610555.9699999997</v>
      </c>
      <c r="P365" s="14">
        <f>IFERROR(ROUND(SUM(S366,S367,S368)/I365, 2),0)</f>
        <v>215.05</v>
      </c>
      <c r="Q365" s="16">
        <v>1532.86</v>
      </c>
      <c r="R365" s="14">
        <f>P365+ROUND(Q365, 2)</f>
        <v>1747.9099999999999</v>
      </c>
      <c r="S365" s="14">
        <f>ROUND(P365*I365, 2)</f>
        <v>1103683.9099999999</v>
      </c>
      <c r="T365" s="14">
        <f>ROUND(I365*ROUND(Q365, 2), 2)</f>
        <v>7866974.75</v>
      </c>
      <c r="U365" s="14">
        <f>S365+T365</f>
        <v>8970658.6600000001</v>
      </c>
      <c r="V365" s="9">
        <f>ROUND(P365 / 1.2, 2)</f>
        <v>179.21</v>
      </c>
      <c r="W365" s="9">
        <f>ROUND(Q365 / 1.2, 2)</f>
        <v>1277.3800000000001</v>
      </c>
      <c r="X365" s="9">
        <f>ROUND(R365 / 1.2, 2)</f>
        <v>1456.59</v>
      </c>
      <c r="Y365" s="9">
        <f t="shared" si="23"/>
        <v>919736.59</v>
      </c>
      <c r="Z365" s="9">
        <f>ROUND(T365 / 1.2, 2)</f>
        <v>6555812.29</v>
      </c>
      <c r="AA365" s="9">
        <f>Y365+Z365</f>
        <v>7475548.8799999999</v>
      </c>
      <c r="AD365" s="4">
        <v>311044381</v>
      </c>
      <c r="AE365" s="4">
        <v>22791072</v>
      </c>
      <c r="AG365" s="4" t="s">
        <v>1447</v>
      </c>
      <c r="AH365" s="4" t="s">
        <v>1448</v>
      </c>
      <c r="AI365" s="4" t="s">
        <v>469</v>
      </c>
    </row>
    <row r="366" spans="1:35" ht="36" x14ac:dyDescent="0.3">
      <c r="A366" s="10" t="s">
        <v>1449</v>
      </c>
      <c r="B366" s="10"/>
      <c r="C366" s="23" t="s">
        <v>1164</v>
      </c>
      <c r="D366" s="12"/>
      <c r="E366" s="12" t="s">
        <v>1352</v>
      </c>
      <c r="F366" s="18" t="s">
        <v>99</v>
      </c>
      <c r="G366" s="19">
        <v>1</v>
      </c>
      <c r="H366" s="24"/>
      <c r="I366" s="24">
        <v>128305.5</v>
      </c>
      <c r="J366" s="20">
        <v>7.92</v>
      </c>
      <c r="M366" s="21">
        <f>ROUND(ROUND(J366, 2)*I366, 2)</f>
        <v>1016179.56</v>
      </c>
      <c r="P366" s="22">
        <v>7.92</v>
      </c>
      <c r="S366" s="21">
        <f>ROUND(ROUND(P366, 2)*I366, 2)</f>
        <v>1016179.56</v>
      </c>
      <c r="V366" s="9">
        <f>ROUND(ROUND(P366, 2)/1.2, 2)</f>
        <v>6.6</v>
      </c>
      <c r="Y366" s="9">
        <f t="shared" si="23"/>
        <v>846816.3</v>
      </c>
      <c r="AD366" s="4" t="s">
        <v>1450</v>
      </c>
      <c r="AE366" s="4" t="s">
        <v>1451</v>
      </c>
      <c r="AF366" s="4" t="s">
        <v>1168</v>
      </c>
    </row>
    <row r="367" spans="1:35" ht="18" x14ac:dyDescent="0.3">
      <c r="A367" s="10" t="s">
        <v>1452</v>
      </c>
      <c r="B367" s="10"/>
      <c r="C367" s="17" t="s">
        <v>1192</v>
      </c>
      <c r="D367" s="12"/>
      <c r="E367" s="12"/>
      <c r="F367" s="18" t="s">
        <v>258</v>
      </c>
      <c r="G367" s="19">
        <v>1</v>
      </c>
      <c r="H367" s="24"/>
      <c r="I367" s="24">
        <v>5132.22</v>
      </c>
      <c r="J367" s="20">
        <v>16.02</v>
      </c>
      <c r="M367" s="21">
        <f>ROUND(ROUND(J367, 2)*I367, 2)</f>
        <v>82218.16</v>
      </c>
      <c r="P367" s="22">
        <v>16.02</v>
      </c>
      <c r="S367" s="21">
        <f>ROUND(ROUND(P367, 2)*I367, 2)</f>
        <v>82218.16</v>
      </c>
      <c r="V367" s="9">
        <f>ROUND(ROUND(P367, 2)/1.2, 2)</f>
        <v>13.35</v>
      </c>
      <c r="Y367" s="9">
        <f t="shared" si="23"/>
        <v>68515.13</v>
      </c>
      <c r="AD367" s="4" t="s">
        <v>1453</v>
      </c>
      <c r="AE367" s="4" t="s">
        <v>1454</v>
      </c>
      <c r="AF367" s="4" t="s">
        <v>1195</v>
      </c>
    </row>
    <row r="368" spans="1:35" ht="36" x14ac:dyDescent="0.3">
      <c r="A368" s="10" t="s">
        <v>1455</v>
      </c>
      <c r="B368" s="10"/>
      <c r="C368" s="17" t="s">
        <v>1057</v>
      </c>
      <c r="D368" s="12"/>
      <c r="E368" s="12"/>
      <c r="F368" s="18" t="s">
        <v>99</v>
      </c>
      <c r="G368" s="19">
        <v>0.15</v>
      </c>
      <c r="H368" s="24"/>
      <c r="I368" s="24">
        <v>58.38</v>
      </c>
      <c r="J368" s="20">
        <v>90.28</v>
      </c>
      <c r="M368" s="21">
        <f>ROUND(ROUND(J368, 2)*I368, 2)</f>
        <v>5270.55</v>
      </c>
      <c r="P368" s="22">
        <v>90.28</v>
      </c>
      <c r="S368" s="21">
        <f>ROUND(ROUND(P368, 2)*I368, 2)</f>
        <v>5270.55</v>
      </c>
      <c r="V368" s="9">
        <f>ROUND(ROUND(P368, 2)/1.2, 2)</f>
        <v>75.23</v>
      </c>
      <c r="Y368" s="9">
        <f t="shared" si="23"/>
        <v>4392.13</v>
      </c>
      <c r="AD368" s="4" t="s">
        <v>1456</v>
      </c>
      <c r="AE368" s="4" t="s">
        <v>1457</v>
      </c>
      <c r="AF368" s="4" t="s">
        <v>1060</v>
      </c>
    </row>
    <row r="369" spans="1:35" ht="54" x14ac:dyDescent="0.3">
      <c r="A369" s="10" t="s">
        <v>1458</v>
      </c>
      <c r="B369" s="10" t="s">
        <v>1444</v>
      </c>
      <c r="C369" s="11" t="s">
        <v>1445</v>
      </c>
      <c r="D369" s="12"/>
      <c r="E369" s="12" t="s">
        <v>1459</v>
      </c>
      <c r="F369" s="12" t="s">
        <v>58</v>
      </c>
      <c r="G369" s="13">
        <v>1</v>
      </c>
      <c r="H369" s="13"/>
      <c r="I369" s="13">
        <v>2106.7840000000001</v>
      </c>
      <c r="J369" s="14">
        <f>IFERROR(ROUND(SUM(M370,M371,M372)/I369, 2),0)</f>
        <v>239.44</v>
      </c>
      <c r="K369" s="15">
        <v>1073</v>
      </c>
      <c r="L369" s="14">
        <f>J369+ROUND(K369, 2)</f>
        <v>1312.44</v>
      </c>
      <c r="M369" s="14">
        <f>ROUND(J369*I369, 2)</f>
        <v>504448.36</v>
      </c>
      <c r="N369" s="14">
        <f>ROUND(I369*ROUND(K369, 2), 2)</f>
        <v>2260579.23</v>
      </c>
      <c r="O369" s="14">
        <f>M369+N369</f>
        <v>2765027.59</v>
      </c>
      <c r="P369" s="14">
        <f>IFERROR(ROUND(SUM(S370,S371,S372)/I369, 2),0)</f>
        <v>239.44</v>
      </c>
      <c r="Q369" s="16">
        <v>1532.86</v>
      </c>
      <c r="R369" s="14">
        <f>P369+ROUND(Q369, 2)</f>
        <v>1772.3</v>
      </c>
      <c r="S369" s="14">
        <f>ROUND(P369*I369, 2)</f>
        <v>504448.36</v>
      </c>
      <c r="T369" s="14">
        <f>ROUND(I369*ROUND(Q369, 2), 2)</f>
        <v>3229404.92</v>
      </c>
      <c r="U369" s="14">
        <f>S369+T369</f>
        <v>3733853.28</v>
      </c>
      <c r="V369" s="9">
        <f>ROUND(P369 / 1.2, 2)</f>
        <v>199.53</v>
      </c>
      <c r="W369" s="9">
        <f>ROUND(Q369 / 1.2, 2)</f>
        <v>1277.3800000000001</v>
      </c>
      <c r="X369" s="9">
        <f>ROUND(R369 / 1.2, 2)</f>
        <v>1476.92</v>
      </c>
      <c r="Y369" s="9">
        <f t="shared" si="23"/>
        <v>420373.63</v>
      </c>
      <c r="Z369" s="9">
        <f>ROUND(T369 / 1.2, 2)</f>
        <v>2691170.77</v>
      </c>
      <c r="AA369" s="9">
        <f>Y369+Z369</f>
        <v>3111544.4</v>
      </c>
      <c r="AD369" s="4">
        <v>311044454</v>
      </c>
      <c r="AE369" s="4">
        <v>22791073</v>
      </c>
      <c r="AG369" s="4" t="s">
        <v>1447</v>
      </c>
      <c r="AH369" s="4" t="s">
        <v>1448</v>
      </c>
      <c r="AI369" s="4" t="s">
        <v>469</v>
      </c>
    </row>
    <row r="370" spans="1:35" ht="18" x14ac:dyDescent="0.3">
      <c r="A370" s="10" t="s">
        <v>1460</v>
      </c>
      <c r="B370" s="10"/>
      <c r="C370" s="17" t="s">
        <v>1359</v>
      </c>
      <c r="D370" s="12"/>
      <c r="E370" s="12"/>
      <c r="F370" s="18" t="s">
        <v>99</v>
      </c>
      <c r="G370" s="19">
        <v>0.25</v>
      </c>
      <c r="H370" s="19"/>
      <c r="I370" s="19">
        <v>526.69600000000003</v>
      </c>
      <c r="J370" s="20">
        <v>101.66</v>
      </c>
      <c r="M370" s="21">
        <f>ROUND(ROUND(J370, 2)*I370, 2)</f>
        <v>53543.92</v>
      </c>
      <c r="P370" s="22">
        <v>101.66</v>
      </c>
      <c r="S370" s="21">
        <f>ROUND(ROUND(P370, 2)*I370, 2)</f>
        <v>53543.92</v>
      </c>
      <c r="V370" s="9">
        <f>ROUND(ROUND(P370, 2)/1.2, 2)</f>
        <v>84.72</v>
      </c>
      <c r="Y370" s="9">
        <f t="shared" si="23"/>
        <v>44619.93</v>
      </c>
      <c r="AD370" s="4" t="s">
        <v>1461</v>
      </c>
      <c r="AE370" s="4" t="s">
        <v>1462</v>
      </c>
      <c r="AF370" s="4" t="s">
        <v>1362</v>
      </c>
    </row>
    <row r="371" spans="1:35" ht="18" x14ac:dyDescent="0.3">
      <c r="A371" s="10" t="s">
        <v>1463</v>
      </c>
      <c r="B371" s="10"/>
      <c r="C371" s="17" t="s">
        <v>1192</v>
      </c>
      <c r="D371" s="12"/>
      <c r="E371" s="12"/>
      <c r="F371" s="18" t="s">
        <v>258</v>
      </c>
      <c r="G371" s="19">
        <v>1</v>
      </c>
      <c r="H371" s="24"/>
      <c r="I371" s="24">
        <v>2106.7840000000001</v>
      </c>
      <c r="J371" s="20">
        <v>16.02</v>
      </c>
      <c r="M371" s="21">
        <f>ROUND(ROUND(J371, 2)*I371, 2)</f>
        <v>33750.68</v>
      </c>
      <c r="P371" s="22">
        <v>16.02</v>
      </c>
      <c r="S371" s="21">
        <f>ROUND(ROUND(P371, 2)*I371, 2)</f>
        <v>33750.68</v>
      </c>
      <c r="V371" s="9">
        <f>ROUND(ROUND(P371, 2)/1.2, 2)</f>
        <v>13.35</v>
      </c>
      <c r="Y371" s="9">
        <f t="shared" si="23"/>
        <v>28125.57</v>
      </c>
      <c r="AD371" s="4" t="s">
        <v>1464</v>
      </c>
      <c r="AE371" s="4" t="s">
        <v>1465</v>
      </c>
      <c r="AF371" s="4" t="s">
        <v>1195</v>
      </c>
    </row>
    <row r="372" spans="1:35" ht="36" x14ac:dyDescent="0.3">
      <c r="A372" s="10" t="s">
        <v>1466</v>
      </c>
      <c r="B372" s="10"/>
      <c r="C372" s="23" t="s">
        <v>1164</v>
      </c>
      <c r="D372" s="12"/>
      <c r="E372" s="12" t="s">
        <v>1352</v>
      </c>
      <c r="F372" s="18" t="s">
        <v>99</v>
      </c>
      <c r="G372" s="19">
        <v>1</v>
      </c>
      <c r="H372" s="24"/>
      <c r="I372" s="24">
        <v>52669.599999999999</v>
      </c>
      <c r="J372" s="20">
        <v>7.92</v>
      </c>
      <c r="M372" s="21">
        <f>ROUND(ROUND(J372, 2)*I372, 2)</f>
        <v>417143.23</v>
      </c>
      <c r="P372" s="22">
        <v>7.92</v>
      </c>
      <c r="S372" s="21">
        <f>ROUND(ROUND(P372, 2)*I372, 2)</f>
        <v>417143.23</v>
      </c>
      <c r="V372" s="9">
        <f>ROUND(ROUND(P372, 2)/1.2, 2)</f>
        <v>6.6</v>
      </c>
      <c r="Y372" s="9">
        <f t="shared" si="23"/>
        <v>347619.36</v>
      </c>
      <c r="AD372" s="4" t="s">
        <v>1467</v>
      </c>
      <c r="AE372" s="4" t="s">
        <v>1468</v>
      </c>
      <c r="AF372" s="4" t="s">
        <v>1168</v>
      </c>
    </row>
    <row r="373" spans="1:35" ht="16.95" customHeight="1" x14ac:dyDescent="0.3">
      <c r="A373" s="10" t="s">
        <v>1469</v>
      </c>
      <c r="B373" s="10" t="s">
        <v>1470</v>
      </c>
      <c r="C373" s="51" t="s">
        <v>1471</v>
      </c>
      <c r="D373" s="52"/>
      <c r="E373" s="52"/>
      <c r="F373" s="52"/>
      <c r="G373" s="52"/>
      <c r="H373" s="52"/>
      <c r="I373" s="53"/>
      <c r="M373" s="6">
        <f>SUM(M374,M376,M378,M380,M383,M386,M389,M392,M395,M398,M401,M404,M407,M410,M413,M416,M419,M422,M425,M430,M435,M440,M445,M450,M455,M460,M464,M469)</f>
        <v>7852151.7699999996</v>
      </c>
      <c r="N373" s="6">
        <f>SUM(N374,N376,N378,N380,N383,N386,N389,N392,N395,N398,N401,N404,N407,N410,N413,N416,N419,N422,N425,N430,N435,N440,N445,N450,N455,N460,N464,N469)</f>
        <v>20816857.489999998</v>
      </c>
      <c r="O373" s="6">
        <f>SUM(O374,O376,O378,O380,O383,O386,O389,O392,O395,O398,O401,O404,O407,O410,O413,O416,O419,O422,O425,O430,O435,O440,O445,O450,O455,O460,O464,O469)</f>
        <v>28669009.260000002</v>
      </c>
      <c r="S373" s="6">
        <f>SUM(S374,S376,S378,S380,S383,S386,S389,S392,S395,S398,S401,S404,S407,S410,S413,S416,S419,S422,S425,S430,S435,S440,S445,S450,S455,S460,S464,S469)</f>
        <v>10918712.41</v>
      </c>
      <c r="T373" s="6">
        <f>SUM(T374,T376,T378,T380,T383,T386,T389,T392,T395,T398,T401,T404,T407,T410,T413,T416,T419,T422,T425,T430,T435,T440,T445,T450,T455,T460,T464,T469)</f>
        <v>29738409.250000007</v>
      </c>
      <c r="U373" s="6">
        <f>SUM(U374,U376,U378,U380,U383,U386,U389,U392,U395,U398,U401,U404,U407,U410,U413,U416,U419,U422,U425,U430,U435,U440,U445,U450,U455,U460,U464,U469)</f>
        <v>40657121.659999996</v>
      </c>
      <c r="Y373" s="9">
        <f>SUM(Y374,Y376,Y378,Y380,Y383,Y386,Y389,Y392,Y395,Y398,Y401,Y404,Y407,Y410,Y413,Y416,Y419,Y422,Y425,Y430,Y435,Y440,Y445,Y450,Y455,Y460,Y464,Y469)</f>
        <v>9098927.0500000007</v>
      </c>
      <c r="Z373" s="9">
        <f>SUM(Z374,Z376,Z378,Z380,Z383,Z386,Z389,Z392,Z395,Z398,Z401,Z404,Z407,Z410,Z413,Z416,Z419,Z422,Z425,Z430,Z435,Z440,Z445,Z450,Z455,Z460,Z464,Z469)</f>
        <v>24782007.739999998</v>
      </c>
      <c r="AA373" s="9">
        <f>SUM(AA374,AA376,AA378,AA380,AA383,AA386,AA389,AA392,AA395,AA398,AA401,AA404,AA407,AA410,AA413,AA416,AA419,AA422,AA425,AA430,AA435,AA440,AA445,AA450,AA455,AA460,AA464,AA469)</f>
        <v>33880934.790000007</v>
      </c>
      <c r="AD373" s="4">
        <v>311044382</v>
      </c>
      <c r="AE373" s="4">
        <v>22875063</v>
      </c>
    </row>
    <row r="374" spans="1:35" ht="90" x14ac:dyDescent="0.3">
      <c r="A374" s="10" t="s">
        <v>1472</v>
      </c>
      <c r="B374" s="10" t="s">
        <v>1473</v>
      </c>
      <c r="C374" s="11" t="s">
        <v>1474</v>
      </c>
      <c r="D374" s="12"/>
      <c r="E374" s="12" t="s">
        <v>1475</v>
      </c>
      <c r="F374" s="12" t="s">
        <v>58</v>
      </c>
      <c r="G374" s="13">
        <v>1</v>
      </c>
      <c r="H374" s="13"/>
      <c r="I374" s="13">
        <v>320.79000000000002</v>
      </c>
      <c r="J374" s="14">
        <f>IFERROR(ROUND(SUM(M375)/I374, 2),0)</f>
        <v>424.96</v>
      </c>
      <c r="K374" s="15">
        <v>1010</v>
      </c>
      <c r="L374" s="14">
        <f>J374+ROUND(K374, 2)</f>
        <v>1434.96</v>
      </c>
      <c r="M374" s="14">
        <f>ROUND(J374*I374, 2)</f>
        <v>136322.92000000001</v>
      </c>
      <c r="N374" s="14">
        <f>ROUND(I374*ROUND(K374, 2), 2)</f>
        <v>323997.90000000002</v>
      </c>
      <c r="O374" s="14">
        <f>M374+N374</f>
        <v>460320.82000000007</v>
      </c>
      <c r="P374" s="14">
        <f>IFERROR(ROUND(SUM(S375)/I374, 2),0)</f>
        <v>7970</v>
      </c>
      <c r="Q374" s="16">
        <v>1442.86</v>
      </c>
      <c r="R374" s="14">
        <f>P374+ROUND(Q374, 2)</f>
        <v>9412.86</v>
      </c>
      <c r="S374" s="14">
        <f>ROUND(P374*I374, 2)</f>
        <v>2556696.2999999998</v>
      </c>
      <c r="T374" s="14">
        <f>ROUND(I374*ROUND(Q374, 2), 2)</f>
        <v>462855.06</v>
      </c>
      <c r="U374" s="14">
        <f>S374+T374</f>
        <v>3019551.36</v>
      </c>
      <c r="V374" s="9">
        <f>ROUND(P374 / 1.2, 2)</f>
        <v>6641.67</v>
      </c>
      <c r="W374" s="9">
        <f>ROUND(Q374 / 1.2, 2)</f>
        <v>1202.3800000000001</v>
      </c>
      <c r="X374" s="9">
        <f>ROUND(R374 / 1.2, 2)</f>
        <v>7844.05</v>
      </c>
      <c r="Y374" s="9">
        <f>ROUND(S374 / 1.2, 2)</f>
        <v>2130580.25</v>
      </c>
      <c r="Z374" s="9">
        <f>ROUND(T374 / 1.2, 2)</f>
        <v>385712.55</v>
      </c>
      <c r="AA374" s="9">
        <f>Y374+Z374</f>
        <v>2516292.7999999998</v>
      </c>
      <c r="AD374" s="4">
        <v>311044384</v>
      </c>
      <c r="AE374" s="4">
        <v>22879050</v>
      </c>
      <c r="AG374" s="4" t="s">
        <v>1476</v>
      </c>
      <c r="AH374" s="4" t="s">
        <v>1477</v>
      </c>
      <c r="AI374" s="4" t="s">
        <v>469</v>
      </c>
    </row>
    <row r="375" spans="1:35" ht="90" x14ac:dyDescent="0.3">
      <c r="A375" s="10" t="s">
        <v>1478</v>
      </c>
      <c r="B375" s="10"/>
      <c r="C375" s="17" t="s">
        <v>1479</v>
      </c>
      <c r="D375" s="12"/>
      <c r="E375" s="12" t="s">
        <v>1480</v>
      </c>
      <c r="F375" s="18" t="s">
        <v>139</v>
      </c>
      <c r="G375" s="19">
        <v>1</v>
      </c>
      <c r="H375" s="19"/>
      <c r="I375" s="19">
        <v>320.79000000000002</v>
      </c>
      <c r="J375" s="20">
        <v>424.96</v>
      </c>
      <c r="M375" s="21">
        <f>ROUND(ROUND(J375, 2)*I375, 2)</f>
        <v>136322.92000000001</v>
      </c>
      <c r="P375" s="22">
        <v>7970</v>
      </c>
      <c r="S375" s="21">
        <f>ROUND(ROUND(P375, 2)*I375, 2)</f>
        <v>2556696.2999999998</v>
      </c>
      <c r="V375" s="9">
        <f>ROUND(ROUND(P375, 2)/1.2, 2)</f>
        <v>6641.67</v>
      </c>
      <c r="Y375" s="9">
        <f t="shared" ref="Y375:Y406" si="24">ROUND(S375 / 1.2, 2)</f>
        <v>2130580.25</v>
      </c>
      <c r="AD375" s="4" t="s">
        <v>1481</v>
      </c>
      <c r="AE375" s="4" t="s">
        <v>1482</v>
      </c>
      <c r="AF375" s="4" t="s">
        <v>1483</v>
      </c>
    </row>
    <row r="376" spans="1:35" ht="90" x14ac:dyDescent="0.3">
      <c r="A376" s="10" t="s">
        <v>1484</v>
      </c>
      <c r="B376" s="10" t="s">
        <v>1473</v>
      </c>
      <c r="C376" s="11" t="s">
        <v>1474</v>
      </c>
      <c r="D376" s="12"/>
      <c r="E376" s="12" t="s">
        <v>1485</v>
      </c>
      <c r="F376" s="12" t="s">
        <v>58</v>
      </c>
      <c r="G376" s="13">
        <v>1</v>
      </c>
      <c r="H376" s="13"/>
      <c r="I376" s="13">
        <v>43.92</v>
      </c>
      <c r="J376" s="14">
        <f>IFERROR(ROUND(SUM(M377)/I376, 2),0)</f>
        <v>424.96</v>
      </c>
      <c r="K376" s="15">
        <v>1010</v>
      </c>
      <c r="L376" s="14">
        <f>J376+ROUND(K376, 2)</f>
        <v>1434.96</v>
      </c>
      <c r="M376" s="14">
        <f>ROUND(J376*I376, 2)</f>
        <v>18664.240000000002</v>
      </c>
      <c r="N376" s="14">
        <f>ROUND(I376*ROUND(K376, 2), 2)</f>
        <v>44359.199999999997</v>
      </c>
      <c r="O376" s="14">
        <f>M376+N376</f>
        <v>63023.44</v>
      </c>
      <c r="P376" s="14">
        <f>IFERROR(ROUND(SUM(S377)/I376, 2),0)</f>
        <v>6396.61</v>
      </c>
      <c r="Q376" s="16">
        <v>1442.86</v>
      </c>
      <c r="R376" s="14">
        <f>P376+ROUND(Q376, 2)</f>
        <v>7839.4699999999993</v>
      </c>
      <c r="S376" s="14">
        <f>ROUND(P376*I376, 2)</f>
        <v>280939.11</v>
      </c>
      <c r="T376" s="14">
        <f>ROUND(I376*ROUND(Q376, 2), 2)</f>
        <v>63370.41</v>
      </c>
      <c r="U376" s="14">
        <f>S376+T376</f>
        <v>344309.52</v>
      </c>
      <c r="V376" s="9">
        <f>ROUND(P376 / 1.2, 2)</f>
        <v>5330.51</v>
      </c>
      <c r="W376" s="9">
        <f>ROUND(Q376 / 1.2, 2)</f>
        <v>1202.3800000000001</v>
      </c>
      <c r="X376" s="9">
        <f>ROUND(R376 / 1.2, 2)</f>
        <v>6532.89</v>
      </c>
      <c r="Y376" s="9">
        <f t="shared" si="24"/>
        <v>234115.93</v>
      </c>
      <c r="Z376" s="9">
        <f>ROUND(T376 / 1.2, 2)</f>
        <v>52808.68</v>
      </c>
      <c r="AA376" s="9">
        <f>Y376+Z376</f>
        <v>286924.61</v>
      </c>
      <c r="AD376" s="4">
        <v>311044455</v>
      </c>
      <c r="AE376" s="4">
        <v>22879051</v>
      </c>
      <c r="AG376" s="4" t="s">
        <v>1476</v>
      </c>
      <c r="AH376" s="4" t="s">
        <v>1477</v>
      </c>
      <c r="AI376" s="4" t="s">
        <v>469</v>
      </c>
    </row>
    <row r="377" spans="1:35" ht="90" x14ac:dyDescent="0.3">
      <c r="A377" s="10" t="s">
        <v>1486</v>
      </c>
      <c r="B377" s="10"/>
      <c r="C377" s="17" t="s">
        <v>1479</v>
      </c>
      <c r="D377" s="12"/>
      <c r="E377" s="12" t="s">
        <v>1487</v>
      </c>
      <c r="F377" s="18" t="s">
        <v>139</v>
      </c>
      <c r="G377" s="19">
        <v>1</v>
      </c>
      <c r="H377" s="19"/>
      <c r="I377" s="19">
        <v>43.92</v>
      </c>
      <c r="J377" s="20">
        <v>424.96</v>
      </c>
      <c r="M377" s="21">
        <f>ROUND(ROUND(J377, 2)*I377, 2)</f>
        <v>18664.240000000002</v>
      </c>
      <c r="P377" s="22">
        <v>6396.61</v>
      </c>
      <c r="S377" s="21">
        <f>ROUND(ROUND(P377, 2)*I377, 2)</f>
        <v>280939.11</v>
      </c>
      <c r="V377" s="9">
        <f>ROUND(ROUND(P377, 2)/1.2, 2)</f>
        <v>5330.51</v>
      </c>
      <c r="Y377" s="9">
        <f t="shared" si="24"/>
        <v>234115.93</v>
      </c>
      <c r="AD377" s="4" t="s">
        <v>1488</v>
      </c>
      <c r="AE377" s="4" t="s">
        <v>1489</v>
      </c>
      <c r="AF377" s="4" t="s">
        <v>1483</v>
      </c>
    </row>
    <row r="378" spans="1:35" ht="90" x14ac:dyDescent="0.3">
      <c r="A378" s="10" t="s">
        <v>1490</v>
      </c>
      <c r="B378" s="10" t="s">
        <v>1473</v>
      </c>
      <c r="C378" s="11" t="s">
        <v>1474</v>
      </c>
      <c r="D378" s="12"/>
      <c r="E378" s="12" t="s">
        <v>1491</v>
      </c>
      <c r="F378" s="12" t="s">
        <v>58</v>
      </c>
      <c r="G378" s="13">
        <v>1</v>
      </c>
      <c r="H378" s="13"/>
      <c r="I378" s="13">
        <v>150.01</v>
      </c>
      <c r="J378" s="14">
        <f>IFERROR(ROUND(SUM(M379)/I378, 2),0)</f>
        <v>424.96</v>
      </c>
      <c r="K378" s="15">
        <v>1010</v>
      </c>
      <c r="L378" s="14">
        <f>J378+ROUND(K378, 2)</f>
        <v>1434.96</v>
      </c>
      <c r="M378" s="14">
        <f>ROUND(J378*I378, 2)</f>
        <v>63748.25</v>
      </c>
      <c r="N378" s="14">
        <f>ROUND(I378*ROUND(K378, 2), 2)</f>
        <v>151510.1</v>
      </c>
      <c r="O378" s="14">
        <f>M378+N378</f>
        <v>215258.35</v>
      </c>
      <c r="P378" s="14">
        <f>IFERROR(ROUND(SUM(S379)/I378, 2),0)</f>
        <v>6396.61</v>
      </c>
      <c r="Q378" s="16">
        <v>1442.86</v>
      </c>
      <c r="R378" s="14">
        <f>P378+ROUND(Q378, 2)</f>
        <v>7839.4699999999993</v>
      </c>
      <c r="S378" s="14">
        <f>ROUND(P378*I378, 2)</f>
        <v>959555.47</v>
      </c>
      <c r="T378" s="14">
        <f>ROUND(I378*ROUND(Q378, 2), 2)</f>
        <v>216443.43</v>
      </c>
      <c r="U378" s="14">
        <f>S378+T378</f>
        <v>1175998.8999999999</v>
      </c>
      <c r="V378" s="9">
        <f>ROUND(P378 / 1.2, 2)</f>
        <v>5330.51</v>
      </c>
      <c r="W378" s="9">
        <f>ROUND(Q378 / 1.2, 2)</f>
        <v>1202.3800000000001</v>
      </c>
      <c r="X378" s="9">
        <f>ROUND(R378 / 1.2, 2)</f>
        <v>6532.89</v>
      </c>
      <c r="Y378" s="9">
        <f t="shared" si="24"/>
        <v>799629.56</v>
      </c>
      <c r="Z378" s="9">
        <f>ROUND(T378 / 1.2, 2)</f>
        <v>180369.53</v>
      </c>
      <c r="AA378" s="9">
        <f>Y378+Z378</f>
        <v>979999.09000000008</v>
      </c>
      <c r="AD378" s="4">
        <v>311044456</v>
      </c>
      <c r="AE378" s="4">
        <v>22879052</v>
      </c>
      <c r="AG378" s="4" t="s">
        <v>1476</v>
      </c>
      <c r="AH378" s="4" t="s">
        <v>1477</v>
      </c>
      <c r="AI378" s="4" t="s">
        <v>469</v>
      </c>
    </row>
    <row r="379" spans="1:35" ht="90" x14ac:dyDescent="0.3">
      <c r="A379" s="10" t="s">
        <v>1492</v>
      </c>
      <c r="B379" s="10"/>
      <c r="C379" s="17" t="s">
        <v>1479</v>
      </c>
      <c r="D379" s="12"/>
      <c r="E379" s="12" t="s">
        <v>1493</v>
      </c>
      <c r="F379" s="18" t="s">
        <v>139</v>
      </c>
      <c r="G379" s="19">
        <v>1</v>
      </c>
      <c r="H379" s="19"/>
      <c r="I379" s="19">
        <v>150.01</v>
      </c>
      <c r="J379" s="20">
        <v>424.96</v>
      </c>
      <c r="M379" s="21">
        <f>ROUND(ROUND(J379, 2)*I379, 2)</f>
        <v>63748.25</v>
      </c>
      <c r="P379" s="22">
        <v>6396.61</v>
      </c>
      <c r="S379" s="21">
        <f>ROUND(ROUND(P379, 2)*I379, 2)</f>
        <v>959555.47</v>
      </c>
      <c r="V379" s="9">
        <f>ROUND(ROUND(P379, 2)/1.2, 2)</f>
        <v>5330.51</v>
      </c>
      <c r="Y379" s="9">
        <f t="shared" si="24"/>
        <v>799629.56</v>
      </c>
      <c r="AD379" s="4" t="s">
        <v>1494</v>
      </c>
      <c r="AE379" s="4" t="s">
        <v>1495</v>
      </c>
      <c r="AF379" s="4" t="s">
        <v>1483</v>
      </c>
    </row>
    <row r="380" spans="1:35" ht="126" x14ac:dyDescent="0.3">
      <c r="A380" s="10" t="s">
        <v>1496</v>
      </c>
      <c r="B380" s="10" t="s">
        <v>1497</v>
      </c>
      <c r="C380" s="11" t="s">
        <v>1498</v>
      </c>
      <c r="D380" s="12"/>
      <c r="E380" s="12" t="s">
        <v>1499</v>
      </c>
      <c r="F380" s="12" t="s">
        <v>58</v>
      </c>
      <c r="G380" s="13">
        <v>1</v>
      </c>
      <c r="H380" s="13"/>
      <c r="I380" s="13">
        <v>12648.21</v>
      </c>
      <c r="J380" s="14">
        <f>IFERROR(ROUND(SUM(M381,M382)/I380, 2),0)</f>
        <v>82.68</v>
      </c>
      <c r="K380" s="15">
        <v>428</v>
      </c>
      <c r="L380" s="14">
        <f>J380+ROUND(K380, 2)</f>
        <v>510.68</v>
      </c>
      <c r="M380" s="14">
        <f>ROUND(J380*I380, 2)</f>
        <v>1045754</v>
      </c>
      <c r="N380" s="14">
        <f>ROUND(I380*ROUND(K380, 2), 2)</f>
        <v>5413433.8799999999</v>
      </c>
      <c r="O380" s="14">
        <f>M380+N380</f>
        <v>6459187.8799999999</v>
      </c>
      <c r="P380" s="14">
        <f>IFERROR(ROUND(SUM(S381,S382)/I380, 2),0)</f>
        <v>82.68</v>
      </c>
      <c r="Q380" s="16">
        <v>611.42999999999995</v>
      </c>
      <c r="R380" s="14">
        <f>P380+ROUND(Q380, 2)</f>
        <v>694.1099999999999</v>
      </c>
      <c r="S380" s="14">
        <f>ROUND(P380*I380, 2)</f>
        <v>1045754</v>
      </c>
      <c r="T380" s="14">
        <f>ROUND(I380*ROUND(Q380, 2), 2)</f>
        <v>7733495.04</v>
      </c>
      <c r="U380" s="14">
        <f>S380+T380</f>
        <v>8779249.0399999991</v>
      </c>
      <c r="V380" s="9">
        <f>ROUND(P380 / 1.2, 2)</f>
        <v>68.900000000000006</v>
      </c>
      <c r="W380" s="9">
        <f>ROUND(Q380 / 1.2, 2)</f>
        <v>509.53</v>
      </c>
      <c r="X380" s="9">
        <f>ROUND(R380 / 1.2, 2)</f>
        <v>578.42999999999995</v>
      </c>
      <c r="Y380" s="9">
        <f t="shared" si="24"/>
        <v>871461.67</v>
      </c>
      <c r="Z380" s="9">
        <f>ROUND(T380 / 1.2, 2)</f>
        <v>6444579.2000000002</v>
      </c>
      <c r="AA380" s="9">
        <f>Y380+Z380</f>
        <v>7316040.8700000001</v>
      </c>
      <c r="AD380" s="4">
        <v>311044386</v>
      </c>
      <c r="AE380" s="4">
        <v>22875080</v>
      </c>
      <c r="AG380" s="4" t="s">
        <v>1500</v>
      </c>
      <c r="AH380" s="4" t="s">
        <v>1501</v>
      </c>
      <c r="AI380" s="4" t="s">
        <v>469</v>
      </c>
    </row>
    <row r="381" spans="1:35" ht="36" x14ac:dyDescent="0.3">
      <c r="A381" s="10" t="s">
        <v>1502</v>
      </c>
      <c r="B381" s="10"/>
      <c r="C381" s="17" t="s">
        <v>1503</v>
      </c>
      <c r="D381" s="12"/>
      <c r="E381" s="12" t="s">
        <v>1504</v>
      </c>
      <c r="F381" s="18" t="s">
        <v>99</v>
      </c>
      <c r="G381" s="19">
        <v>0.3</v>
      </c>
      <c r="H381" s="19"/>
      <c r="I381" s="19">
        <v>3794.4630000000002</v>
      </c>
      <c r="J381" s="20">
        <v>230.45</v>
      </c>
      <c r="M381" s="21">
        <f>ROUND(ROUND(J381, 2)*I381, 2)</f>
        <v>874434</v>
      </c>
      <c r="P381" s="22">
        <v>230.45</v>
      </c>
      <c r="S381" s="21">
        <f>ROUND(ROUND(P381, 2)*I381, 2)</f>
        <v>874434</v>
      </c>
      <c r="V381" s="9">
        <f>ROUND(ROUND(P381, 2)/1.2, 2)</f>
        <v>192.04</v>
      </c>
      <c r="Y381" s="9">
        <f t="shared" si="24"/>
        <v>728695</v>
      </c>
      <c r="AD381" s="4" t="s">
        <v>1505</v>
      </c>
      <c r="AE381" s="4" t="s">
        <v>1506</v>
      </c>
      <c r="AF381" s="4" t="s">
        <v>1507</v>
      </c>
    </row>
    <row r="382" spans="1:35" ht="36" x14ac:dyDescent="0.3">
      <c r="A382" s="10" t="s">
        <v>1508</v>
      </c>
      <c r="B382" s="10"/>
      <c r="C382" s="17" t="s">
        <v>1057</v>
      </c>
      <c r="D382" s="12"/>
      <c r="E382" s="12"/>
      <c r="F382" s="18" t="s">
        <v>99</v>
      </c>
      <c r="G382" s="19">
        <v>0.15</v>
      </c>
      <c r="H382" s="19"/>
      <c r="I382" s="19">
        <v>1897.232</v>
      </c>
      <c r="J382" s="20">
        <v>90.28</v>
      </c>
      <c r="M382" s="21">
        <f>ROUND(ROUND(J382, 2)*I382, 2)</f>
        <v>171282.1</v>
      </c>
      <c r="P382" s="22">
        <v>90.28</v>
      </c>
      <c r="S382" s="21">
        <f>ROUND(ROUND(P382, 2)*I382, 2)</f>
        <v>171282.1</v>
      </c>
      <c r="V382" s="9">
        <f>ROUND(ROUND(P382, 2)/1.2, 2)</f>
        <v>75.23</v>
      </c>
      <c r="Y382" s="9">
        <f t="shared" si="24"/>
        <v>142735.07999999999</v>
      </c>
      <c r="AD382" s="4" t="s">
        <v>1509</v>
      </c>
      <c r="AE382" s="4" t="s">
        <v>1510</v>
      </c>
      <c r="AF382" s="4" t="s">
        <v>1060</v>
      </c>
    </row>
    <row r="383" spans="1:35" ht="126" x14ac:dyDescent="0.3">
      <c r="A383" s="10" t="s">
        <v>1511</v>
      </c>
      <c r="B383" s="10" t="s">
        <v>1497</v>
      </c>
      <c r="C383" s="11" t="s">
        <v>1498</v>
      </c>
      <c r="D383" s="12"/>
      <c r="E383" s="12" t="s">
        <v>1512</v>
      </c>
      <c r="F383" s="12" t="s">
        <v>58</v>
      </c>
      <c r="G383" s="13">
        <v>1</v>
      </c>
      <c r="H383" s="13"/>
      <c r="I383" s="13">
        <v>74.37</v>
      </c>
      <c r="J383" s="14">
        <f>IFERROR(ROUND(SUM(M384,M385)/I383, 2),0)</f>
        <v>82.68</v>
      </c>
      <c r="K383" s="15">
        <v>428</v>
      </c>
      <c r="L383" s="14">
        <f>J383+ROUND(K383, 2)</f>
        <v>510.68</v>
      </c>
      <c r="M383" s="14">
        <f>ROUND(J383*I383, 2)</f>
        <v>6148.91</v>
      </c>
      <c r="N383" s="14">
        <f>ROUND(I383*ROUND(K383, 2), 2)</f>
        <v>31830.36</v>
      </c>
      <c r="O383" s="14">
        <f>M383+N383</f>
        <v>37979.270000000004</v>
      </c>
      <c r="P383" s="14">
        <f>IFERROR(ROUND(SUM(S384,S385)/I383, 2),0)</f>
        <v>82.68</v>
      </c>
      <c r="Q383" s="16">
        <v>611.42999999999995</v>
      </c>
      <c r="R383" s="14">
        <f>P383+ROUND(Q383, 2)</f>
        <v>694.1099999999999</v>
      </c>
      <c r="S383" s="14">
        <f>ROUND(P383*I383, 2)</f>
        <v>6148.91</v>
      </c>
      <c r="T383" s="14">
        <f>ROUND(I383*ROUND(Q383, 2), 2)</f>
        <v>45472.05</v>
      </c>
      <c r="U383" s="14">
        <f>S383+T383</f>
        <v>51620.960000000006</v>
      </c>
      <c r="V383" s="9">
        <f>ROUND(P383 / 1.2, 2)</f>
        <v>68.900000000000006</v>
      </c>
      <c r="W383" s="9">
        <f>ROUND(Q383 / 1.2, 2)</f>
        <v>509.53</v>
      </c>
      <c r="X383" s="9">
        <f>ROUND(R383 / 1.2, 2)</f>
        <v>578.42999999999995</v>
      </c>
      <c r="Y383" s="9">
        <f t="shared" si="24"/>
        <v>5124.09</v>
      </c>
      <c r="Z383" s="9">
        <f>ROUND(T383 / 1.2, 2)</f>
        <v>37893.379999999997</v>
      </c>
      <c r="AA383" s="9">
        <f>Y383+Z383</f>
        <v>43017.47</v>
      </c>
      <c r="AD383" s="4">
        <v>311044457</v>
      </c>
      <c r="AE383" s="4">
        <v>22875073</v>
      </c>
      <c r="AG383" s="4" t="s">
        <v>1500</v>
      </c>
      <c r="AH383" s="4" t="s">
        <v>1501</v>
      </c>
      <c r="AI383" s="4" t="s">
        <v>469</v>
      </c>
    </row>
    <row r="384" spans="1:35" ht="36" x14ac:dyDescent="0.3">
      <c r="A384" s="10" t="s">
        <v>1513</v>
      </c>
      <c r="B384" s="10"/>
      <c r="C384" s="17" t="s">
        <v>1057</v>
      </c>
      <c r="D384" s="12"/>
      <c r="E384" s="12"/>
      <c r="F384" s="18" t="s">
        <v>99</v>
      </c>
      <c r="G384" s="19">
        <v>0.15</v>
      </c>
      <c r="H384" s="19"/>
      <c r="I384" s="19">
        <v>11.156000000000001</v>
      </c>
      <c r="J384" s="20">
        <v>90.28</v>
      </c>
      <c r="M384" s="21">
        <f>ROUND(ROUND(J384, 2)*I384, 2)</f>
        <v>1007.16</v>
      </c>
      <c r="P384" s="22">
        <v>90.28</v>
      </c>
      <c r="S384" s="21">
        <f>ROUND(ROUND(P384, 2)*I384, 2)</f>
        <v>1007.16</v>
      </c>
      <c r="V384" s="9">
        <f>ROUND(ROUND(P384, 2)/1.2, 2)</f>
        <v>75.23</v>
      </c>
      <c r="Y384" s="9">
        <f t="shared" si="24"/>
        <v>839.3</v>
      </c>
      <c r="AD384" s="4" t="s">
        <v>1514</v>
      </c>
      <c r="AE384" s="4" t="s">
        <v>1515</v>
      </c>
      <c r="AF384" s="4" t="s">
        <v>1060</v>
      </c>
    </row>
    <row r="385" spans="1:35" ht="36" x14ac:dyDescent="0.3">
      <c r="A385" s="10" t="s">
        <v>1516</v>
      </c>
      <c r="B385" s="10"/>
      <c r="C385" s="17" t="s">
        <v>1503</v>
      </c>
      <c r="D385" s="12"/>
      <c r="E385" s="12" t="s">
        <v>1517</v>
      </c>
      <c r="F385" s="18" t="s">
        <v>99</v>
      </c>
      <c r="G385" s="19">
        <v>0.3</v>
      </c>
      <c r="H385" s="19"/>
      <c r="I385" s="19">
        <v>22.311</v>
      </c>
      <c r="J385" s="20">
        <v>230.45</v>
      </c>
      <c r="M385" s="21">
        <f>ROUND(ROUND(J385, 2)*I385, 2)</f>
        <v>5141.57</v>
      </c>
      <c r="P385" s="22">
        <v>230.45</v>
      </c>
      <c r="S385" s="21">
        <f>ROUND(ROUND(P385, 2)*I385, 2)</f>
        <v>5141.57</v>
      </c>
      <c r="V385" s="9">
        <f>ROUND(ROUND(P385, 2)/1.2, 2)</f>
        <v>192.04</v>
      </c>
      <c r="Y385" s="9">
        <f t="shared" si="24"/>
        <v>4284.6400000000003</v>
      </c>
      <c r="AD385" s="4" t="s">
        <v>1518</v>
      </c>
      <c r="AE385" s="4" t="s">
        <v>1519</v>
      </c>
      <c r="AF385" s="4" t="s">
        <v>1507</v>
      </c>
    </row>
    <row r="386" spans="1:35" ht="126" x14ac:dyDescent="0.3">
      <c r="A386" s="10" t="s">
        <v>1520</v>
      </c>
      <c r="B386" s="10" t="s">
        <v>1497</v>
      </c>
      <c r="C386" s="11" t="s">
        <v>1498</v>
      </c>
      <c r="D386" s="12"/>
      <c r="E386" s="12" t="s">
        <v>1521</v>
      </c>
      <c r="F386" s="12" t="s">
        <v>58</v>
      </c>
      <c r="G386" s="13">
        <v>1</v>
      </c>
      <c r="H386" s="13"/>
      <c r="I386" s="13">
        <v>68.260000000000005</v>
      </c>
      <c r="J386" s="14">
        <f>IFERROR(ROUND(SUM(M387,M388)/I386, 2),0)</f>
        <v>82.68</v>
      </c>
      <c r="K386" s="15">
        <v>428</v>
      </c>
      <c r="L386" s="14">
        <f>J386+ROUND(K386, 2)</f>
        <v>510.68</v>
      </c>
      <c r="M386" s="14">
        <f>ROUND(J386*I386, 2)</f>
        <v>5643.74</v>
      </c>
      <c r="N386" s="14">
        <f>ROUND(I386*ROUND(K386, 2), 2)</f>
        <v>29215.279999999999</v>
      </c>
      <c r="O386" s="14">
        <f>M386+N386</f>
        <v>34859.019999999997</v>
      </c>
      <c r="P386" s="14">
        <f>IFERROR(ROUND(SUM(S387,S388)/I386, 2),0)</f>
        <v>82.68</v>
      </c>
      <c r="Q386" s="16">
        <v>611.42999999999995</v>
      </c>
      <c r="R386" s="14">
        <f>P386+ROUND(Q386, 2)</f>
        <v>694.1099999999999</v>
      </c>
      <c r="S386" s="14">
        <f>ROUND(P386*I386, 2)</f>
        <v>5643.74</v>
      </c>
      <c r="T386" s="14">
        <f>ROUND(I386*ROUND(Q386, 2), 2)</f>
        <v>41736.21</v>
      </c>
      <c r="U386" s="14">
        <f>S386+T386</f>
        <v>47379.95</v>
      </c>
      <c r="V386" s="9">
        <f>ROUND(P386 / 1.2, 2)</f>
        <v>68.900000000000006</v>
      </c>
      <c r="W386" s="9">
        <f>ROUND(Q386 / 1.2, 2)</f>
        <v>509.53</v>
      </c>
      <c r="X386" s="9">
        <f>ROUND(R386 / 1.2, 2)</f>
        <v>578.42999999999995</v>
      </c>
      <c r="Y386" s="9">
        <f t="shared" si="24"/>
        <v>4703.12</v>
      </c>
      <c r="Z386" s="9">
        <f>ROUND(T386 / 1.2, 2)</f>
        <v>34780.18</v>
      </c>
      <c r="AA386" s="9">
        <f>Y386+Z386</f>
        <v>39483.300000000003</v>
      </c>
      <c r="AD386" s="4">
        <v>311044458</v>
      </c>
      <c r="AE386" s="4">
        <v>22875072</v>
      </c>
      <c r="AG386" s="4" t="s">
        <v>1500</v>
      </c>
      <c r="AH386" s="4" t="s">
        <v>1501</v>
      </c>
      <c r="AI386" s="4" t="s">
        <v>469</v>
      </c>
    </row>
    <row r="387" spans="1:35" ht="36" x14ac:dyDescent="0.3">
      <c r="A387" s="10" t="s">
        <v>1522</v>
      </c>
      <c r="B387" s="10"/>
      <c r="C387" s="17" t="s">
        <v>1503</v>
      </c>
      <c r="D387" s="12"/>
      <c r="E387" s="12" t="s">
        <v>1523</v>
      </c>
      <c r="F387" s="18" t="s">
        <v>99</v>
      </c>
      <c r="G387" s="19">
        <v>0.3</v>
      </c>
      <c r="H387" s="19"/>
      <c r="I387" s="19">
        <v>20.478000000000002</v>
      </c>
      <c r="J387" s="20">
        <v>230.45</v>
      </c>
      <c r="M387" s="21">
        <f>ROUND(ROUND(J387, 2)*I387, 2)</f>
        <v>4719.16</v>
      </c>
      <c r="P387" s="22">
        <v>230.45</v>
      </c>
      <c r="S387" s="21">
        <f>ROUND(ROUND(P387, 2)*I387, 2)</f>
        <v>4719.16</v>
      </c>
      <c r="V387" s="9">
        <f>ROUND(ROUND(P387, 2)/1.2, 2)</f>
        <v>192.04</v>
      </c>
      <c r="Y387" s="9">
        <f t="shared" si="24"/>
        <v>3932.63</v>
      </c>
      <c r="AD387" s="4" t="s">
        <v>1524</v>
      </c>
      <c r="AE387" s="4" t="s">
        <v>1525</v>
      </c>
      <c r="AF387" s="4" t="s">
        <v>1507</v>
      </c>
    </row>
    <row r="388" spans="1:35" ht="36" x14ac:dyDescent="0.3">
      <c r="A388" s="10" t="s">
        <v>1526</v>
      </c>
      <c r="B388" s="10"/>
      <c r="C388" s="17" t="s">
        <v>1057</v>
      </c>
      <c r="D388" s="12"/>
      <c r="E388" s="12"/>
      <c r="F388" s="18" t="s">
        <v>99</v>
      </c>
      <c r="G388" s="19">
        <v>0.15</v>
      </c>
      <c r="H388" s="19"/>
      <c r="I388" s="19">
        <v>10.239000000000001</v>
      </c>
      <c r="J388" s="20">
        <v>90.28</v>
      </c>
      <c r="M388" s="21">
        <f>ROUND(ROUND(J388, 2)*I388, 2)</f>
        <v>924.38</v>
      </c>
      <c r="P388" s="22">
        <v>90.28</v>
      </c>
      <c r="S388" s="21">
        <f>ROUND(ROUND(P388, 2)*I388, 2)</f>
        <v>924.38</v>
      </c>
      <c r="V388" s="9">
        <f>ROUND(ROUND(P388, 2)/1.2, 2)</f>
        <v>75.23</v>
      </c>
      <c r="Y388" s="9">
        <f t="shared" si="24"/>
        <v>770.32</v>
      </c>
      <c r="AD388" s="4" t="s">
        <v>1527</v>
      </c>
      <c r="AE388" s="4" t="s">
        <v>1528</v>
      </c>
      <c r="AF388" s="4" t="s">
        <v>1060</v>
      </c>
    </row>
    <row r="389" spans="1:35" ht="126" x14ac:dyDescent="0.3">
      <c r="A389" s="10" t="s">
        <v>1529</v>
      </c>
      <c r="B389" s="10" t="s">
        <v>1497</v>
      </c>
      <c r="C389" s="11" t="s">
        <v>1498</v>
      </c>
      <c r="D389" s="12"/>
      <c r="E389" s="12" t="s">
        <v>1530</v>
      </c>
      <c r="F389" s="12" t="s">
        <v>58</v>
      </c>
      <c r="G389" s="13">
        <v>1</v>
      </c>
      <c r="H389" s="13"/>
      <c r="I389" s="13">
        <v>74.349999999999994</v>
      </c>
      <c r="J389" s="14">
        <f>IFERROR(ROUND(SUM(M390,M391)/I389, 2),0)</f>
        <v>82.68</v>
      </c>
      <c r="K389" s="15">
        <v>428</v>
      </c>
      <c r="L389" s="14">
        <f>J389+ROUND(K389, 2)</f>
        <v>510.68</v>
      </c>
      <c r="M389" s="14">
        <f>ROUND(J389*I389, 2)</f>
        <v>6147.26</v>
      </c>
      <c r="N389" s="14">
        <f>ROUND(I389*ROUND(K389, 2), 2)</f>
        <v>31821.8</v>
      </c>
      <c r="O389" s="14">
        <f>M389+N389</f>
        <v>37969.06</v>
      </c>
      <c r="P389" s="14">
        <f>IFERROR(ROUND(SUM(S390,S391)/I389, 2),0)</f>
        <v>82.68</v>
      </c>
      <c r="Q389" s="16">
        <v>611.42999999999995</v>
      </c>
      <c r="R389" s="14">
        <f>P389+ROUND(Q389, 2)</f>
        <v>694.1099999999999</v>
      </c>
      <c r="S389" s="14">
        <f>ROUND(P389*I389, 2)</f>
        <v>6147.26</v>
      </c>
      <c r="T389" s="14">
        <f>ROUND(I389*ROUND(Q389, 2), 2)</f>
        <v>45459.82</v>
      </c>
      <c r="U389" s="14">
        <f>S389+T389</f>
        <v>51607.08</v>
      </c>
      <c r="V389" s="9">
        <f>ROUND(P389 / 1.2, 2)</f>
        <v>68.900000000000006</v>
      </c>
      <c r="W389" s="9">
        <f>ROUND(Q389 / 1.2, 2)</f>
        <v>509.53</v>
      </c>
      <c r="X389" s="9">
        <f>ROUND(R389 / 1.2, 2)</f>
        <v>578.42999999999995</v>
      </c>
      <c r="Y389" s="9">
        <f t="shared" si="24"/>
        <v>5122.72</v>
      </c>
      <c r="Z389" s="9">
        <f>ROUND(T389 / 1.2, 2)</f>
        <v>37883.18</v>
      </c>
      <c r="AA389" s="9">
        <f>Y389+Z389</f>
        <v>43005.9</v>
      </c>
      <c r="AD389" s="4">
        <v>311044459</v>
      </c>
      <c r="AE389" s="4">
        <v>22875076</v>
      </c>
      <c r="AG389" s="4" t="s">
        <v>1500</v>
      </c>
      <c r="AH389" s="4" t="s">
        <v>1501</v>
      </c>
      <c r="AI389" s="4" t="s">
        <v>469</v>
      </c>
    </row>
    <row r="390" spans="1:35" ht="36" x14ac:dyDescent="0.3">
      <c r="A390" s="10" t="s">
        <v>1531</v>
      </c>
      <c r="B390" s="10"/>
      <c r="C390" s="17" t="s">
        <v>1057</v>
      </c>
      <c r="D390" s="12"/>
      <c r="E390" s="12"/>
      <c r="F390" s="18" t="s">
        <v>99</v>
      </c>
      <c r="G390" s="19">
        <v>0.15</v>
      </c>
      <c r="H390" s="19"/>
      <c r="I390" s="19">
        <v>11.153</v>
      </c>
      <c r="J390" s="20">
        <v>90.28</v>
      </c>
      <c r="M390" s="21">
        <f>ROUND(ROUND(J390, 2)*I390, 2)</f>
        <v>1006.89</v>
      </c>
      <c r="P390" s="22">
        <v>90.28</v>
      </c>
      <c r="S390" s="21">
        <f>ROUND(ROUND(P390, 2)*I390, 2)</f>
        <v>1006.89</v>
      </c>
      <c r="V390" s="9">
        <f>ROUND(ROUND(P390, 2)/1.2, 2)</f>
        <v>75.23</v>
      </c>
      <c r="Y390" s="9">
        <f t="shared" si="24"/>
        <v>839.08</v>
      </c>
      <c r="AD390" s="4" t="s">
        <v>1532</v>
      </c>
      <c r="AE390" s="4" t="s">
        <v>1533</v>
      </c>
      <c r="AF390" s="4" t="s">
        <v>1060</v>
      </c>
    </row>
    <row r="391" spans="1:35" ht="36" x14ac:dyDescent="0.3">
      <c r="A391" s="10" t="s">
        <v>1534</v>
      </c>
      <c r="B391" s="10"/>
      <c r="C391" s="17" t="s">
        <v>1503</v>
      </c>
      <c r="D391" s="12"/>
      <c r="E391" s="12" t="s">
        <v>1535</v>
      </c>
      <c r="F391" s="18" t="s">
        <v>99</v>
      </c>
      <c r="G391" s="19">
        <v>0.3</v>
      </c>
      <c r="H391" s="19"/>
      <c r="I391" s="19">
        <v>22.305</v>
      </c>
      <c r="J391" s="20">
        <v>230.45</v>
      </c>
      <c r="M391" s="21">
        <f>ROUND(ROUND(J391, 2)*I391, 2)</f>
        <v>5140.1899999999996</v>
      </c>
      <c r="P391" s="22">
        <v>230.45</v>
      </c>
      <c r="S391" s="21">
        <f>ROUND(ROUND(P391, 2)*I391, 2)</f>
        <v>5140.1899999999996</v>
      </c>
      <c r="V391" s="9">
        <f>ROUND(ROUND(P391, 2)/1.2, 2)</f>
        <v>192.04</v>
      </c>
      <c r="Y391" s="9">
        <f t="shared" si="24"/>
        <v>4283.49</v>
      </c>
      <c r="AD391" s="4" t="s">
        <v>1536</v>
      </c>
      <c r="AE391" s="4" t="s">
        <v>1537</v>
      </c>
      <c r="AF391" s="4" t="s">
        <v>1507</v>
      </c>
    </row>
    <row r="392" spans="1:35" ht="126" x14ac:dyDescent="0.3">
      <c r="A392" s="10" t="s">
        <v>1538</v>
      </c>
      <c r="B392" s="10" t="s">
        <v>1497</v>
      </c>
      <c r="C392" s="11" t="s">
        <v>1498</v>
      </c>
      <c r="D392" s="12"/>
      <c r="E392" s="12" t="s">
        <v>1539</v>
      </c>
      <c r="F392" s="12" t="s">
        <v>58</v>
      </c>
      <c r="G392" s="13">
        <v>1</v>
      </c>
      <c r="H392" s="13"/>
      <c r="I392" s="13">
        <v>20.82</v>
      </c>
      <c r="J392" s="14">
        <f>IFERROR(ROUND(SUM(M393,M394)/I392, 2),0)</f>
        <v>82.68</v>
      </c>
      <c r="K392" s="15">
        <v>428</v>
      </c>
      <c r="L392" s="14">
        <f>J392+ROUND(K392, 2)</f>
        <v>510.68</v>
      </c>
      <c r="M392" s="14">
        <f>ROUND(J392*I392, 2)</f>
        <v>1721.4</v>
      </c>
      <c r="N392" s="14">
        <f>ROUND(I392*ROUND(K392, 2), 2)</f>
        <v>8910.9599999999991</v>
      </c>
      <c r="O392" s="14">
        <f>M392+N392</f>
        <v>10632.359999999999</v>
      </c>
      <c r="P392" s="14">
        <f>IFERROR(ROUND(SUM(S393,S394)/I392, 2),0)</f>
        <v>82.68</v>
      </c>
      <c r="Q392" s="16">
        <v>611.42999999999995</v>
      </c>
      <c r="R392" s="14">
        <f>P392+ROUND(Q392, 2)</f>
        <v>694.1099999999999</v>
      </c>
      <c r="S392" s="14">
        <f>ROUND(P392*I392, 2)</f>
        <v>1721.4</v>
      </c>
      <c r="T392" s="14">
        <f>ROUND(I392*ROUND(Q392, 2), 2)</f>
        <v>12729.97</v>
      </c>
      <c r="U392" s="14">
        <f>S392+T392</f>
        <v>14451.369999999999</v>
      </c>
      <c r="V392" s="9">
        <f>ROUND(P392 / 1.2, 2)</f>
        <v>68.900000000000006</v>
      </c>
      <c r="W392" s="9">
        <f>ROUND(Q392 / 1.2, 2)</f>
        <v>509.53</v>
      </c>
      <c r="X392" s="9">
        <f>ROUND(R392 / 1.2, 2)</f>
        <v>578.42999999999995</v>
      </c>
      <c r="Y392" s="9">
        <f t="shared" si="24"/>
        <v>1434.5</v>
      </c>
      <c r="Z392" s="9">
        <f>ROUND(T392 / 1.2, 2)</f>
        <v>10608.31</v>
      </c>
      <c r="AA392" s="9">
        <f>Y392+Z392</f>
        <v>12042.81</v>
      </c>
      <c r="AD392" s="4">
        <v>311044460</v>
      </c>
      <c r="AE392" s="4">
        <v>22875078</v>
      </c>
      <c r="AG392" s="4" t="s">
        <v>1500</v>
      </c>
      <c r="AH392" s="4" t="s">
        <v>1501</v>
      </c>
      <c r="AI392" s="4" t="s">
        <v>469</v>
      </c>
    </row>
    <row r="393" spans="1:35" ht="36" x14ac:dyDescent="0.3">
      <c r="A393" s="10" t="s">
        <v>1540</v>
      </c>
      <c r="B393" s="10"/>
      <c r="C393" s="17" t="s">
        <v>1503</v>
      </c>
      <c r="D393" s="12"/>
      <c r="E393" s="12" t="s">
        <v>1541</v>
      </c>
      <c r="F393" s="18" t="s">
        <v>99</v>
      </c>
      <c r="G393" s="19">
        <v>0.3</v>
      </c>
      <c r="H393" s="19"/>
      <c r="I393" s="19">
        <v>6.2460000000000004</v>
      </c>
      <c r="J393" s="20">
        <v>230.45</v>
      </c>
      <c r="M393" s="21">
        <f>ROUND(ROUND(J393, 2)*I393, 2)</f>
        <v>1439.39</v>
      </c>
      <c r="P393" s="22">
        <v>230.45</v>
      </c>
      <c r="S393" s="21">
        <f>ROUND(ROUND(P393, 2)*I393, 2)</f>
        <v>1439.39</v>
      </c>
      <c r="V393" s="9">
        <f>ROUND(ROUND(P393, 2)/1.2, 2)</f>
        <v>192.04</v>
      </c>
      <c r="Y393" s="9">
        <f t="shared" si="24"/>
        <v>1199.49</v>
      </c>
      <c r="AD393" s="4" t="s">
        <v>1542</v>
      </c>
      <c r="AE393" s="4" t="s">
        <v>1543</v>
      </c>
      <c r="AF393" s="4" t="s">
        <v>1507</v>
      </c>
    </row>
    <row r="394" spans="1:35" ht="36" x14ac:dyDescent="0.3">
      <c r="A394" s="10" t="s">
        <v>1544</v>
      </c>
      <c r="B394" s="10"/>
      <c r="C394" s="17" t="s">
        <v>1057</v>
      </c>
      <c r="D394" s="12"/>
      <c r="E394" s="12"/>
      <c r="F394" s="18" t="s">
        <v>99</v>
      </c>
      <c r="G394" s="19">
        <v>0.15</v>
      </c>
      <c r="H394" s="19"/>
      <c r="I394" s="19">
        <v>3.1230000000000002</v>
      </c>
      <c r="J394" s="20">
        <v>90.28</v>
      </c>
      <c r="M394" s="21">
        <f>ROUND(ROUND(J394, 2)*I394, 2)</f>
        <v>281.94</v>
      </c>
      <c r="P394" s="22">
        <v>90.28</v>
      </c>
      <c r="S394" s="21">
        <f>ROUND(ROUND(P394, 2)*I394, 2)</f>
        <v>281.94</v>
      </c>
      <c r="V394" s="9">
        <f>ROUND(ROUND(P394, 2)/1.2, 2)</f>
        <v>75.23</v>
      </c>
      <c r="Y394" s="9">
        <f t="shared" si="24"/>
        <v>234.95</v>
      </c>
      <c r="AD394" s="4" t="s">
        <v>1545</v>
      </c>
      <c r="AE394" s="4" t="s">
        <v>1546</v>
      </c>
      <c r="AF394" s="4" t="s">
        <v>1060</v>
      </c>
    </row>
    <row r="395" spans="1:35" ht="126" x14ac:dyDescent="0.3">
      <c r="A395" s="10" t="s">
        <v>1547</v>
      </c>
      <c r="B395" s="10" t="s">
        <v>1497</v>
      </c>
      <c r="C395" s="11" t="s">
        <v>1498</v>
      </c>
      <c r="D395" s="12"/>
      <c r="E395" s="12" t="s">
        <v>1548</v>
      </c>
      <c r="F395" s="12" t="s">
        <v>58</v>
      </c>
      <c r="G395" s="13">
        <v>1</v>
      </c>
      <c r="H395" s="13"/>
      <c r="I395" s="13">
        <v>14.74</v>
      </c>
      <c r="J395" s="14">
        <f>IFERROR(ROUND(SUM(M396,M397)/I395, 2),0)</f>
        <v>82.68</v>
      </c>
      <c r="K395" s="15">
        <v>428</v>
      </c>
      <c r="L395" s="14">
        <f>J395+ROUND(K395, 2)</f>
        <v>510.68</v>
      </c>
      <c r="M395" s="14">
        <f>ROUND(J395*I395, 2)</f>
        <v>1218.7</v>
      </c>
      <c r="N395" s="14">
        <f>ROUND(I395*ROUND(K395, 2), 2)</f>
        <v>6308.72</v>
      </c>
      <c r="O395" s="14">
        <f>M395+N395</f>
        <v>7527.42</v>
      </c>
      <c r="P395" s="14">
        <f>IFERROR(ROUND(SUM(S396,S397)/I395, 2),0)</f>
        <v>82.68</v>
      </c>
      <c r="Q395" s="16">
        <v>611.42999999999995</v>
      </c>
      <c r="R395" s="14">
        <f>P395+ROUND(Q395, 2)</f>
        <v>694.1099999999999</v>
      </c>
      <c r="S395" s="14">
        <f>ROUND(P395*I395, 2)</f>
        <v>1218.7</v>
      </c>
      <c r="T395" s="14">
        <f>ROUND(I395*ROUND(Q395, 2), 2)</f>
        <v>9012.48</v>
      </c>
      <c r="U395" s="14">
        <f>S395+T395</f>
        <v>10231.18</v>
      </c>
      <c r="V395" s="9">
        <f>ROUND(P395 / 1.2, 2)</f>
        <v>68.900000000000006</v>
      </c>
      <c r="W395" s="9">
        <f>ROUND(Q395 / 1.2, 2)</f>
        <v>509.53</v>
      </c>
      <c r="X395" s="9">
        <f>ROUND(R395 / 1.2, 2)</f>
        <v>578.42999999999995</v>
      </c>
      <c r="Y395" s="9">
        <f t="shared" si="24"/>
        <v>1015.58</v>
      </c>
      <c r="Z395" s="9">
        <f>ROUND(T395 / 1.2, 2)</f>
        <v>7510.4</v>
      </c>
      <c r="AA395" s="9">
        <f>Y395+Z395</f>
        <v>8525.98</v>
      </c>
      <c r="AD395" s="4">
        <v>311044461</v>
      </c>
      <c r="AE395" s="4">
        <v>22875079</v>
      </c>
      <c r="AG395" s="4" t="s">
        <v>1500</v>
      </c>
      <c r="AH395" s="4" t="s">
        <v>1501</v>
      </c>
      <c r="AI395" s="4" t="s">
        <v>469</v>
      </c>
    </row>
    <row r="396" spans="1:35" ht="36" x14ac:dyDescent="0.3">
      <c r="A396" s="10" t="s">
        <v>1549</v>
      </c>
      <c r="B396" s="10"/>
      <c r="C396" s="17" t="s">
        <v>1057</v>
      </c>
      <c r="D396" s="12"/>
      <c r="E396" s="12"/>
      <c r="F396" s="18" t="s">
        <v>99</v>
      </c>
      <c r="G396" s="19">
        <v>0.15</v>
      </c>
      <c r="H396" s="19"/>
      <c r="I396" s="19">
        <v>2.2109999999999999</v>
      </c>
      <c r="J396" s="20">
        <v>90.28</v>
      </c>
      <c r="M396" s="21">
        <f>ROUND(ROUND(J396, 2)*I396, 2)</f>
        <v>199.61</v>
      </c>
      <c r="P396" s="22">
        <v>90.28</v>
      </c>
      <c r="S396" s="21">
        <f>ROUND(ROUND(P396, 2)*I396, 2)</f>
        <v>199.61</v>
      </c>
      <c r="V396" s="9">
        <f>ROUND(ROUND(P396, 2)/1.2, 2)</f>
        <v>75.23</v>
      </c>
      <c r="Y396" s="9">
        <f t="shared" si="24"/>
        <v>166.34</v>
      </c>
      <c r="AD396" s="4" t="s">
        <v>1550</v>
      </c>
      <c r="AE396" s="4" t="s">
        <v>1551</v>
      </c>
      <c r="AF396" s="4" t="s">
        <v>1060</v>
      </c>
    </row>
    <row r="397" spans="1:35" ht="36" x14ac:dyDescent="0.3">
      <c r="A397" s="10" t="s">
        <v>1552</v>
      </c>
      <c r="B397" s="10"/>
      <c r="C397" s="17" t="s">
        <v>1503</v>
      </c>
      <c r="D397" s="12"/>
      <c r="E397" s="12" t="s">
        <v>1553</v>
      </c>
      <c r="F397" s="18" t="s">
        <v>99</v>
      </c>
      <c r="G397" s="19">
        <v>0.3</v>
      </c>
      <c r="H397" s="19"/>
      <c r="I397" s="19">
        <v>4.4219999999999997</v>
      </c>
      <c r="J397" s="20">
        <v>230.45</v>
      </c>
      <c r="M397" s="21">
        <f>ROUND(ROUND(J397, 2)*I397, 2)</f>
        <v>1019.05</v>
      </c>
      <c r="P397" s="22">
        <v>230.45</v>
      </c>
      <c r="S397" s="21">
        <f>ROUND(ROUND(P397, 2)*I397, 2)</f>
        <v>1019.05</v>
      </c>
      <c r="V397" s="9">
        <f>ROUND(ROUND(P397, 2)/1.2, 2)</f>
        <v>192.04</v>
      </c>
      <c r="Y397" s="9">
        <f t="shared" si="24"/>
        <v>849.21</v>
      </c>
      <c r="AD397" s="4" t="s">
        <v>1554</v>
      </c>
      <c r="AE397" s="4" t="s">
        <v>1555</v>
      </c>
      <c r="AF397" s="4" t="s">
        <v>1507</v>
      </c>
    </row>
    <row r="398" spans="1:35" ht="126" x14ac:dyDescent="0.3">
      <c r="A398" s="10" t="s">
        <v>1556</v>
      </c>
      <c r="B398" s="10" t="s">
        <v>1497</v>
      </c>
      <c r="C398" s="11" t="s">
        <v>1498</v>
      </c>
      <c r="D398" s="12"/>
      <c r="E398" s="12" t="s">
        <v>1557</v>
      </c>
      <c r="F398" s="12" t="s">
        <v>58</v>
      </c>
      <c r="G398" s="13">
        <v>1</v>
      </c>
      <c r="H398" s="13"/>
      <c r="I398" s="13">
        <v>20.83</v>
      </c>
      <c r="J398" s="14">
        <f>IFERROR(ROUND(SUM(M399,M400)/I398, 2),0)</f>
        <v>82.68</v>
      </c>
      <c r="K398" s="15">
        <v>428</v>
      </c>
      <c r="L398" s="14">
        <f>J398+ROUND(K398, 2)</f>
        <v>510.68</v>
      </c>
      <c r="M398" s="14">
        <f>ROUND(J398*I398, 2)</f>
        <v>1722.22</v>
      </c>
      <c r="N398" s="14">
        <f>ROUND(I398*ROUND(K398, 2), 2)</f>
        <v>8915.24</v>
      </c>
      <c r="O398" s="14">
        <f>M398+N398</f>
        <v>10637.46</v>
      </c>
      <c r="P398" s="14">
        <f>IFERROR(ROUND(SUM(S399,S400)/I398, 2),0)</f>
        <v>82.68</v>
      </c>
      <c r="Q398" s="16">
        <v>611.42999999999995</v>
      </c>
      <c r="R398" s="14">
        <f>P398+ROUND(Q398, 2)</f>
        <v>694.1099999999999</v>
      </c>
      <c r="S398" s="14">
        <f>ROUND(P398*I398, 2)</f>
        <v>1722.22</v>
      </c>
      <c r="T398" s="14">
        <f>ROUND(I398*ROUND(Q398, 2), 2)</f>
        <v>12736.09</v>
      </c>
      <c r="U398" s="14">
        <f>S398+T398</f>
        <v>14458.31</v>
      </c>
      <c r="V398" s="9">
        <f>ROUND(P398 / 1.2, 2)</f>
        <v>68.900000000000006</v>
      </c>
      <c r="W398" s="9">
        <f>ROUND(Q398 / 1.2, 2)</f>
        <v>509.53</v>
      </c>
      <c r="X398" s="9">
        <f>ROUND(R398 / 1.2, 2)</f>
        <v>578.42999999999995</v>
      </c>
      <c r="Y398" s="9">
        <f t="shared" si="24"/>
        <v>1435.18</v>
      </c>
      <c r="Z398" s="9">
        <f>ROUND(T398 / 1.2, 2)</f>
        <v>10613.41</v>
      </c>
      <c r="AA398" s="9">
        <f>Y398+Z398</f>
        <v>12048.59</v>
      </c>
      <c r="AD398" s="4">
        <v>311044462</v>
      </c>
      <c r="AE398" s="4">
        <v>22875077</v>
      </c>
      <c r="AG398" s="4" t="s">
        <v>1500</v>
      </c>
      <c r="AH398" s="4" t="s">
        <v>1501</v>
      </c>
      <c r="AI398" s="4" t="s">
        <v>469</v>
      </c>
    </row>
    <row r="399" spans="1:35" ht="36" x14ac:dyDescent="0.3">
      <c r="A399" s="10" t="s">
        <v>1558</v>
      </c>
      <c r="B399" s="10"/>
      <c r="C399" s="17" t="s">
        <v>1503</v>
      </c>
      <c r="D399" s="12"/>
      <c r="E399" s="12"/>
      <c r="F399" s="18" t="s">
        <v>99</v>
      </c>
      <c r="G399" s="19">
        <v>0.3</v>
      </c>
      <c r="H399" s="19"/>
      <c r="I399" s="19">
        <v>6.2489999999999997</v>
      </c>
      <c r="J399" s="20">
        <v>230.45</v>
      </c>
      <c r="M399" s="21">
        <f>ROUND(ROUND(J399, 2)*I399, 2)</f>
        <v>1440.08</v>
      </c>
      <c r="P399" s="22">
        <v>230.45</v>
      </c>
      <c r="S399" s="21">
        <f>ROUND(ROUND(P399, 2)*I399, 2)</f>
        <v>1440.08</v>
      </c>
      <c r="V399" s="9">
        <f>ROUND(ROUND(P399, 2)/1.2, 2)</f>
        <v>192.04</v>
      </c>
      <c r="Y399" s="9">
        <f t="shared" si="24"/>
        <v>1200.07</v>
      </c>
      <c r="AD399" s="4" t="s">
        <v>1559</v>
      </c>
      <c r="AE399" s="4" t="s">
        <v>1560</v>
      </c>
      <c r="AF399" s="4" t="s">
        <v>1507</v>
      </c>
    </row>
    <row r="400" spans="1:35" ht="36" x14ac:dyDescent="0.3">
      <c r="A400" s="10" t="s">
        <v>1561</v>
      </c>
      <c r="B400" s="10"/>
      <c r="C400" s="17" t="s">
        <v>1057</v>
      </c>
      <c r="D400" s="12"/>
      <c r="E400" s="12" t="s">
        <v>1562</v>
      </c>
      <c r="F400" s="18" t="s">
        <v>99</v>
      </c>
      <c r="G400" s="19">
        <v>0.15</v>
      </c>
      <c r="H400" s="19"/>
      <c r="I400" s="19">
        <v>3.125</v>
      </c>
      <c r="J400" s="20">
        <v>90.28</v>
      </c>
      <c r="M400" s="21">
        <f>ROUND(ROUND(J400, 2)*I400, 2)</f>
        <v>282.13</v>
      </c>
      <c r="P400" s="22">
        <v>90.28</v>
      </c>
      <c r="S400" s="21">
        <f>ROUND(ROUND(P400, 2)*I400, 2)</f>
        <v>282.13</v>
      </c>
      <c r="V400" s="9">
        <f>ROUND(ROUND(P400, 2)/1.2, 2)</f>
        <v>75.23</v>
      </c>
      <c r="Y400" s="9">
        <f t="shared" si="24"/>
        <v>235.11</v>
      </c>
      <c r="AD400" s="4" t="s">
        <v>1563</v>
      </c>
      <c r="AE400" s="4" t="s">
        <v>1564</v>
      </c>
      <c r="AF400" s="4" t="s">
        <v>1060</v>
      </c>
    </row>
    <row r="401" spans="1:35" ht="126" x14ac:dyDescent="0.3">
      <c r="A401" s="10" t="s">
        <v>1565</v>
      </c>
      <c r="B401" s="10" t="s">
        <v>1497</v>
      </c>
      <c r="C401" s="11" t="s">
        <v>1498</v>
      </c>
      <c r="D401" s="12"/>
      <c r="E401" s="12" t="s">
        <v>1566</v>
      </c>
      <c r="F401" s="12" t="s">
        <v>58</v>
      </c>
      <c r="G401" s="13">
        <v>1</v>
      </c>
      <c r="H401" s="13"/>
      <c r="I401" s="13">
        <v>21.39</v>
      </c>
      <c r="J401" s="14">
        <f>IFERROR(ROUND(SUM(M402,M403)/I401, 2),0)</f>
        <v>82.68</v>
      </c>
      <c r="K401" s="15">
        <v>428</v>
      </c>
      <c r="L401" s="14">
        <f>J401+ROUND(K401, 2)</f>
        <v>510.68</v>
      </c>
      <c r="M401" s="14">
        <f>ROUND(J401*I401, 2)</f>
        <v>1768.53</v>
      </c>
      <c r="N401" s="14">
        <f>ROUND(I401*ROUND(K401, 2), 2)</f>
        <v>9154.92</v>
      </c>
      <c r="O401" s="14">
        <f>M401+N401</f>
        <v>10923.45</v>
      </c>
      <c r="P401" s="14">
        <f>IFERROR(ROUND(SUM(S402,S403)/I401, 2),0)</f>
        <v>82.68</v>
      </c>
      <c r="Q401" s="16">
        <v>611.42999999999995</v>
      </c>
      <c r="R401" s="14">
        <f>P401+ROUND(Q401, 2)</f>
        <v>694.1099999999999</v>
      </c>
      <c r="S401" s="14">
        <f>ROUND(P401*I401, 2)</f>
        <v>1768.53</v>
      </c>
      <c r="T401" s="14">
        <f>ROUND(I401*ROUND(Q401, 2), 2)</f>
        <v>13078.49</v>
      </c>
      <c r="U401" s="14">
        <f>S401+T401</f>
        <v>14847.02</v>
      </c>
      <c r="V401" s="9">
        <f>ROUND(P401 / 1.2, 2)</f>
        <v>68.900000000000006</v>
      </c>
      <c r="W401" s="9">
        <f>ROUND(Q401 / 1.2, 2)</f>
        <v>509.53</v>
      </c>
      <c r="X401" s="9">
        <f>ROUND(R401 / 1.2, 2)</f>
        <v>578.42999999999995</v>
      </c>
      <c r="Y401" s="9">
        <f t="shared" si="24"/>
        <v>1473.78</v>
      </c>
      <c r="Z401" s="9">
        <f>ROUND(T401 / 1.2, 2)</f>
        <v>10898.74</v>
      </c>
      <c r="AA401" s="9">
        <f>Y401+Z401</f>
        <v>12372.52</v>
      </c>
      <c r="AD401" s="4">
        <v>311044463</v>
      </c>
      <c r="AE401" s="4">
        <v>22875075</v>
      </c>
      <c r="AG401" s="4" t="s">
        <v>1500</v>
      </c>
      <c r="AH401" s="4" t="s">
        <v>1501</v>
      </c>
      <c r="AI401" s="4" t="s">
        <v>469</v>
      </c>
    </row>
    <row r="402" spans="1:35" ht="36" x14ac:dyDescent="0.3">
      <c r="A402" s="10" t="s">
        <v>1567</v>
      </c>
      <c r="B402" s="10"/>
      <c r="C402" s="17" t="s">
        <v>1057</v>
      </c>
      <c r="D402" s="12"/>
      <c r="E402" s="12"/>
      <c r="F402" s="18" t="s">
        <v>99</v>
      </c>
      <c r="G402" s="19">
        <v>0.15</v>
      </c>
      <c r="H402" s="19"/>
      <c r="I402" s="19">
        <v>3.2090000000000001</v>
      </c>
      <c r="J402" s="20">
        <v>90.28</v>
      </c>
      <c r="M402" s="21">
        <f>ROUND(ROUND(J402, 2)*I402, 2)</f>
        <v>289.70999999999998</v>
      </c>
      <c r="P402" s="22">
        <v>90.28</v>
      </c>
      <c r="S402" s="21">
        <f>ROUND(ROUND(P402, 2)*I402, 2)</f>
        <v>289.70999999999998</v>
      </c>
      <c r="V402" s="9">
        <f>ROUND(ROUND(P402, 2)/1.2, 2)</f>
        <v>75.23</v>
      </c>
      <c r="Y402" s="9">
        <f t="shared" si="24"/>
        <v>241.43</v>
      </c>
      <c r="AD402" s="4" t="s">
        <v>1568</v>
      </c>
      <c r="AE402" s="4" t="s">
        <v>1569</v>
      </c>
      <c r="AF402" s="4" t="s">
        <v>1060</v>
      </c>
    </row>
    <row r="403" spans="1:35" ht="36" x14ac:dyDescent="0.3">
      <c r="A403" s="10" t="s">
        <v>1570</v>
      </c>
      <c r="B403" s="10"/>
      <c r="C403" s="17" t="s">
        <v>1503</v>
      </c>
      <c r="D403" s="12"/>
      <c r="E403" s="12" t="s">
        <v>1571</v>
      </c>
      <c r="F403" s="18" t="s">
        <v>99</v>
      </c>
      <c r="G403" s="19">
        <v>0.3</v>
      </c>
      <c r="H403" s="19"/>
      <c r="I403" s="19">
        <v>6.4169999999999998</v>
      </c>
      <c r="J403" s="20">
        <v>230.45</v>
      </c>
      <c r="M403" s="21">
        <f>ROUND(ROUND(J403, 2)*I403, 2)</f>
        <v>1478.8</v>
      </c>
      <c r="P403" s="22">
        <v>230.45</v>
      </c>
      <c r="S403" s="21">
        <f>ROUND(ROUND(P403, 2)*I403, 2)</f>
        <v>1478.8</v>
      </c>
      <c r="V403" s="9">
        <f>ROUND(ROUND(P403, 2)/1.2, 2)</f>
        <v>192.04</v>
      </c>
      <c r="Y403" s="9">
        <f t="shared" si="24"/>
        <v>1232.33</v>
      </c>
      <c r="AD403" s="4" t="s">
        <v>1572</v>
      </c>
      <c r="AE403" s="4" t="s">
        <v>1573</v>
      </c>
      <c r="AF403" s="4" t="s">
        <v>1507</v>
      </c>
    </row>
    <row r="404" spans="1:35" ht="126" x14ac:dyDescent="0.3">
      <c r="A404" s="10" t="s">
        <v>1574</v>
      </c>
      <c r="B404" s="10" t="s">
        <v>1497</v>
      </c>
      <c r="C404" s="11" t="s">
        <v>1498</v>
      </c>
      <c r="D404" s="12"/>
      <c r="E404" s="12" t="s">
        <v>1575</v>
      </c>
      <c r="F404" s="12" t="s">
        <v>58</v>
      </c>
      <c r="G404" s="13">
        <v>1</v>
      </c>
      <c r="H404" s="13"/>
      <c r="I404" s="13">
        <v>244.31</v>
      </c>
      <c r="J404" s="14">
        <f>IFERROR(ROUND(SUM(M405,M406)/I404, 2),0)</f>
        <v>82.68</v>
      </c>
      <c r="K404" s="15">
        <v>428</v>
      </c>
      <c r="L404" s="14">
        <f>J404+ROUND(K404, 2)</f>
        <v>510.68</v>
      </c>
      <c r="M404" s="14">
        <f>ROUND(J404*I404, 2)</f>
        <v>20199.55</v>
      </c>
      <c r="N404" s="14">
        <f>ROUND(I404*ROUND(K404, 2), 2)</f>
        <v>104564.68</v>
      </c>
      <c r="O404" s="14">
        <f>M404+N404</f>
        <v>124764.23</v>
      </c>
      <c r="P404" s="14">
        <f>IFERROR(ROUND(SUM(S405,S406)/I404, 2),0)</f>
        <v>82.68</v>
      </c>
      <c r="Q404" s="16">
        <v>611.42999999999995</v>
      </c>
      <c r="R404" s="14">
        <f>P404+ROUND(Q404, 2)</f>
        <v>694.1099999999999</v>
      </c>
      <c r="S404" s="14">
        <f>ROUND(P404*I404, 2)</f>
        <v>20199.55</v>
      </c>
      <c r="T404" s="14">
        <f>ROUND(I404*ROUND(Q404, 2), 2)</f>
        <v>149378.46</v>
      </c>
      <c r="U404" s="14">
        <f>S404+T404</f>
        <v>169578.00999999998</v>
      </c>
      <c r="V404" s="9">
        <f>ROUND(P404 / 1.2, 2)</f>
        <v>68.900000000000006</v>
      </c>
      <c r="W404" s="9">
        <f>ROUND(Q404 / 1.2, 2)</f>
        <v>509.53</v>
      </c>
      <c r="X404" s="9">
        <f>ROUND(R404 / 1.2, 2)</f>
        <v>578.42999999999995</v>
      </c>
      <c r="Y404" s="9">
        <f t="shared" si="24"/>
        <v>16832.96</v>
      </c>
      <c r="Z404" s="9">
        <f>ROUND(T404 / 1.2, 2)</f>
        <v>124482.05</v>
      </c>
      <c r="AA404" s="9">
        <f>Y404+Z404</f>
        <v>141315.01</v>
      </c>
      <c r="AD404" s="4">
        <v>311044464</v>
      </c>
      <c r="AE404" s="4">
        <v>22875081</v>
      </c>
      <c r="AG404" s="4" t="s">
        <v>1500</v>
      </c>
      <c r="AH404" s="4" t="s">
        <v>1501</v>
      </c>
      <c r="AI404" s="4" t="s">
        <v>469</v>
      </c>
    </row>
    <row r="405" spans="1:35" ht="36" x14ac:dyDescent="0.3">
      <c r="A405" s="10" t="s">
        <v>1576</v>
      </c>
      <c r="B405" s="10"/>
      <c r="C405" s="17" t="s">
        <v>1503</v>
      </c>
      <c r="D405" s="12"/>
      <c r="E405" s="12" t="s">
        <v>1577</v>
      </c>
      <c r="F405" s="18" t="s">
        <v>99</v>
      </c>
      <c r="G405" s="19">
        <v>0.3</v>
      </c>
      <c r="H405" s="19"/>
      <c r="I405" s="19">
        <v>73.293000000000006</v>
      </c>
      <c r="J405" s="20">
        <v>230.45</v>
      </c>
      <c r="M405" s="21">
        <f>ROUND(ROUND(J405, 2)*I405, 2)</f>
        <v>16890.37</v>
      </c>
      <c r="P405" s="22">
        <v>230.45</v>
      </c>
      <c r="S405" s="21">
        <f>ROUND(ROUND(P405, 2)*I405, 2)</f>
        <v>16890.37</v>
      </c>
      <c r="V405" s="9">
        <f>ROUND(ROUND(P405, 2)/1.2, 2)</f>
        <v>192.04</v>
      </c>
      <c r="Y405" s="9">
        <f t="shared" si="24"/>
        <v>14075.31</v>
      </c>
      <c r="AD405" s="4" t="s">
        <v>1578</v>
      </c>
      <c r="AE405" s="4" t="s">
        <v>1579</v>
      </c>
      <c r="AF405" s="4" t="s">
        <v>1507</v>
      </c>
    </row>
    <row r="406" spans="1:35" ht="36" x14ac:dyDescent="0.3">
      <c r="A406" s="10" t="s">
        <v>1580</v>
      </c>
      <c r="B406" s="10"/>
      <c r="C406" s="17" t="s">
        <v>1057</v>
      </c>
      <c r="D406" s="12"/>
      <c r="E406" s="12"/>
      <c r="F406" s="18" t="s">
        <v>99</v>
      </c>
      <c r="G406" s="19">
        <v>0.15</v>
      </c>
      <c r="H406" s="19"/>
      <c r="I406" s="19">
        <v>36.646999999999998</v>
      </c>
      <c r="J406" s="20">
        <v>90.28</v>
      </c>
      <c r="M406" s="21">
        <f>ROUND(ROUND(J406, 2)*I406, 2)</f>
        <v>3308.49</v>
      </c>
      <c r="P406" s="22">
        <v>90.28</v>
      </c>
      <c r="S406" s="21">
        <f>ROUND(ROUND(P406, 2)*I406, 2)</f>
        <v>3308.49</v>
      </c>
      <c r="V406" s="9">
        <f>ROUND(ROUND(P406, 2)/1.2, 2)</f>
        <v>75.23</v>
      </c>
      <c r="Y406" s="9">
        <f t="shared" si="24"/>
        <v>2757.08</v>
      </c>
      <c r="AD406" s="4" t="s">
        <v>1581</v>
      </c>
      <c r="AE406" s="4" t="s">
        <v>1582</v>
      </c>
      <c r="AF406" s="4" t="s">
        <v>1060</v>
      </c>
    </row>
    <row r="407" spans="1:35" ht="126" x14ac:dyDescent="0.3">
      <c r="A407" s="10" t="s">
        <v>1583</v>
      </c>
      <c r="B407" s="10" t="s">
        <v>1497</v>
      </c>
      <c r="C407" s="11" t="s">
        <v>1498</v>
      </c>
      <c r="D407" s="12"/>
      <c r="E407" s="12" t="s">
        <v>1584</v>
      </c>
      <c r="F407" s="12" t="s">
        <v>58</v>
      </c>
      <c r="G407" s="13">
        <v>1</v>
      </c>
      <c r="H407" s="13"/>
      <c r="I407" s="13">
        <v>739.93</v>
      </c>
      <c r="J407" s="14">
        <f>IFERROR(ROUND(SUM(M408,M409)/I407, 2),0)</f>
        <v>82.68</v>
      </c>
      <c r="K407" s="15">
        <v>428</v>
      </c>
      <c r="L407" s="14">
        <f>J407+ROUND(K407, 2)</f>
        <v>510.68</v>
      </c>
      <c r="M407" s="14">
        <f>ROUND(J407*I407, 2)</f>
        <v>61177.41</v>
      </c>
      <c r="N407" s="14">
        <f>ROUND(I407*ROUND(K407, 2), 2)</f>
        <v>316690.03999999998</v>
      </c>
      <c r="O407" s="14">
        <f>M407+N407</f>
        <v>377867.44999999995</v>
      </c>
      <c r="P407" s="14">
        <f>IFERROR(ROUND(SUM(S408,S409)/I407, 2),0)</f>
        <v>82.68</v>
      </c>
      <c r="Q407" s="16">
        <v>611.42999999999995</v>
      </c>
      <c r="R407" s="14">
        <f>P407+ROUND(Q407, 2)</f>
        <v>694.1099999999999</v>
      </c>
      <c r="S407" s="14">
        <f>ROUND(P407*I407, 2)</f>
        <v>61177.41</v>
      </c>
      <c r="T407" s="14">
        <f>ROUND(I407*ROUND(Q407, 2), 2)</f>
        <v>452415.4</v>
      </c>
      <c r="U407" s="14">
        <f>S407+T407</f>
        <v>513592.81000000006</v>
      </c>
      <c r="V407" s="9">
        <f>ROUND(P407 / 1.2, 2)</f>
        <v>68.900000000000006</v>
      </c>
      <c r="W407" s="9">
        <f>ROUND(Q407 / 1.2, 2)</f>
        <v>509.53</v>
      </c>
      <c r="X407" s="9">
        <f>ROUND(R407 / 1.2, 2)</f>
        <v>578.42999999999995</v>
      </c>
      <c r="Y407" s="9">
        <f t="shared" ref="Y407:Y438" si="25">ROUND(S407 / 1.2, 2)</f>
        <v>50981.18</v>
      </c>
      <c r="Z407" s="9">
        <f>ROUND(T407 / 1.2, 2)</f>
        <v>377012.83</v>
      </c>
      <c r="AA407" s="9">
        <f>Y407+Z407</f>
        <v>427994.01</v>
      </c>
      <c r="AD407" s="4">
        <v>311044465</v>
      </c>
      <c r="AE407" s="4">
        <v>22875074</v>
      </c>
      <c r="AG407" s="4" t="s">
        <v>1500</v>
      </c>
      <c r="AH407" s="4" t="s">
        <v>1501</v>
      </c>
      <c r="AI407" s="4" t="s">
        <v>469</v>
      </c>
    </row>
    <row r="408" spans="1:35" ht="36" x14ac:dyDescent="0.3">
      <c r="A408" s="10" t="s">
        <v>1585</v>
      </c>
      <c r="B408" s="10"/>
      <c r="C408" s="17" t="s">
        <v>1057</v>
      </c>
      <c r="D408" s="12"/>
      <c r="E408" s="12"/>
      <c r="F408" s="18" t="s">
        <v>99</v>
      </c>
      <c r="G408" s="19">
        <v>0.15</v>
      </c>
      <c r="H408" s="19"/>
      <c r="I408" s="19">
        <v>110.99</v>
      </c>
      <c r="J408" s="20">
        <v>90.28</v>
      </c>
      <c r="M408" s="21">
        <f>ROUND(ROUND(J408, 2)*I408, 2)</f>
        <v>10020.18</v>
      </c>
      <c r="P408" s="22">
        <v>90.28</v>
      </c>
      <c r="S408" s="21">
        <f>ROUND(ROUND(P408, 2)*I408, 2)</f>
        <v>10020.18</v>
      </c>
      <c r="V408" s="9">
        <f>ROUND(ROUND(P408, 2)/1.2, 2)</f>
        <v>75.23</v>
      </c>
      <c r="Y408" s="9">
        <f t="shared" si="25"/>
        <v>8350.15</v>
      </c>
      <c r="AD408" s="4" t="s">
        <v>1586</v>
      </c>
      <c r="AE408" s="4" t="s">
        <v>1587</v>
      </c>
      <c r="AF408" s="4" t="s">
        <v>1060</v>
      </c>
    </row>
    <row r="409" spans="1:35" ht="36" x14ac:dyDescent="0.3">
      <c r="A409" s="10" t="s">
        <v>1588</v>
      </c>
      <c r="B409" s="10"/>
      <c r="C409" s="17" t="s">
        <v>1503</v>
      </c>
      <c r="D409" s="12"/>
      <c r="E409" s="12" t="s">
        <v>1589</v>
      </c>
      <c r="F409" s="18" t="s">
        <v>99</v>
      </c>
      <c r="G409" s="19">
        <v>0.3</v>
      </c>
      <c r="H409" s="19"/>
      <c r="I409" s="19">
        <v>221.97900000000001</v>
      </c>
      <c r="J409" s="20">
        <v>230.45</v>
      </c>
      <c r="M409" s="21">
        <f>ROUND(ROUND(J409, 2)*I409, 2)</f>
        <v>51155.06</v>
      </c>
      <c r="P409" s="22">
        <v>230.45</v>
      </c>
      <c r="S409" s="21">
        <f>ROUND(ROUND(P409, 2)*I409, 2)</f>
        <v>51155.06</v>
      </c>
      <c r="V409" s="9">
        <f>ROUND(ROUND(P409, 2)/1.2, 2)</f>
        <v>192.04</v>
      </c>
      <c r="Y409" s="9">
        <f t="shared" si="25"/>
        <v>42629.22</v>
      </c>
      <c r="AD409" s="4" t="s">
        <v>1590</v>
      </c>
      <c r="AE409" s="4" t="s">
        <v>1591</v>
      </c>
      <c r="AF409" s="4" t="s">
        <v>1507</v>
      </c>
    </row>
    <row r="410" spans="1:35" ht="126" x14ac:dyDescent="0.3">
      <c r="A410" s="10" t="s">
        <v>1592</v>
      </c>
      <c r="B410" s="10" t="s">
        <v>1497</v>
      </c>
      <c r="C410" s="11" t="s">
        <v>1498</v>
      </c>
      <c r="D410" s="12"/>
      <c r="E410" s="12" t="s">
        <v>1593</v>
      </c>
      <c r="F410" s="12" t="s">
        <v>58</v>
      </c>
      <c r="G410" s="13">
        <v>1</v>
      </c>
      <c r="H410" s="13"/>
      <c r="I410" s="13">
        <v>5455.35</v>
      </c>
      <c r="J410" s="14">
        <f>IFERROR(ROUND(SUM(M411,M412)/I410, 2),0)</f>
        <v>82.68</v>
      </c>
      <c r="K410" s="15">
        <v>428</v>
      </c>
      <c r="L410" s="14">
        <f>J410+ROUND(K410, 2)</f>
        <v>510.68</v>
      </c>
      <c r="M410" s="14">
        <f>ROUND(J410*I410, 2)</f>
        <v>451048.34</v>
      </c>
      <c r="N410" s="14">
        <f>ROUND(I410*ROUND(K410, 2), 2)</f>
        <v>2334889.7999999998</v>
      </c>
      <c r="O410" s="14">
        <f>M410+N410</f>
        <v>2785938.1399999997</v>
      </c>
      <c r="P410" s="14">
        <f>IFERROR(ROUND(SUM(S411,S412)/I410, 2),0)</f>
        <v>82.68</v>
      </c>
      <c r="Q410" s="16">
        <v>611.42999999999995</v>
      </c>
      <c r="R410" s="14">
        <f>P410+ROUND(Q410, 2)</f>
        <v>694.1099999999999</v>
      </c>
      <c r="S410" s="14">
        <f>ROUND(P410*I410, 2)</f>
        <v>451048.34</v>
      </c>
      <c r="T410" s="14">
        <f>ROUND(I410*ROUND(Q410, 2), 2)</f>
        <v>3335564.65</v>
      </c>
      <c r="U410" s="14">
        <f>S410+T410</f>
        <v>3786612.9899999998</v>
      </c>
      <c r="V410" s="9">
        <f>ROUND(P410 / 1.2, 2)</f>
        <v>68.900000000000006</v>
      </c>
      <c r="W410" s="9">
        <f>ROUND(Q410 / 1.2, 2)</f>
        <v>509.53</v>
      </c>
      <c r="X410" s="9">
        <f>ROUND(R410 / 1.2, 2)</f>
        <v>578.42999999999995</v>
      </c>
      <c r="Y410" s="9">
        <f t="shared" si="25"/>
        <v>375873.62</v>
      </c>
      <c r="Z410" s="9">
        <f>ROUND(T410 / 1.2, 2)</f>
        <v>2779637.21</v>
      </c>
      <c r="AA410" s="9">
        <f>Y410+Z410</f>
        <v>3155510.83</v>
      </c>
      <c r="AD410" s="4">
        <v>311044466</v>
      </c>
      <c r="AE410" s="4">
        <v>22875082</v>
      </c>
      <c r="AG410" s="4" t="s">
        <v>1500</v>
      </c>
      <c r="AH410" s="4" t="s">
        <v>1501</v>
      </c>
      <c r="AI410" s="4" t="s">
        <v>469</v>
      </c>
    </row>
    <row r="411" spans="1:35" ht="36" x14ac:dyDescent="0.3">
      <c r="A411" s="10" t="s">
        <v>1594</v>
      </c>
      <c r="B411" s="10"/>
      <c r="C411" s="17" t="s">
        <v>1503</v>
      </c>
      <c r="D411" s="12"/>
      <c r="E411" s="12" t="s">
        <v>1504</v>
      </c>
      <c r="F411" s="18" t="s">
        <v>99</v>
      </c>
      <c r="G411" s="19">
        <v>0.3</v>
      </c>
      <c r="H411" s="19"/>
      <c r="I411" s="19">
        <v>1636.605</v>
      </c>
      <c r="J411" s="20">
        <v>230.45</v>
      </c>
      <c r="M411" s="21">
        <f>ROUND(ROUND(J411, 2)*I411, 2)</f>
        <v>377155.62</v>
      </c>
      <c r="P411" s="22">
        <v>230.45</v>
      </c>
      <c r="S411" s="21">
        <f>ROUND(ROUND(P411, 2)*I411, 2)</f>
        <v>377155.62</v>
      </c>
      <c r="V411" s="9">
        <f>ROUND(ROUND(P411, 2)/1.2, 2)</f>
        <v>192.04</v>
      </c>
      <c r="Y411" s="9">
        <f t="shared" si="25"/>
        <v>314296.34999999998</v>
      </c>
      <c r="AD411" s="4" t="s">
        <v>1595</v>
      </c>
      <c r="AE411" s="4" t="s">
        <v>1596</v>
      </c>
      <c r="AF411" s="4" t="s">
        <v>1507</v>
      </c>
    </row>
    <row r="412" spans="1:35" ht="36" x14ac:dyDescent="0.3">
      <c r="A412" s="10" t="s">
        <v>1597</v>
      </c>
      <c r="B412" s="10"/>
      <c r="C412" s="17" t="s">
        <v>1057</v>
      </c>
      <c r="D412" s="12"/>
      <c r="E412" s="12"/>
      <c r="F412" s="18" t="s">
        <v>99</v>
      </c>
      <c r="G412" s="19">
        <v>0.15</v>
      </c>
      <c r="H412" s="19"/>
      <c r="I412" s="19">
        <v>818.303</v>
      </c>
      <c r="J412" s="20">
        <v>90.28</v>
      </c>
      <c r="M412" s="21">
        <f>ROUND(ROUND(J412, 2)*I412, 2)</f>
        <v>73876.39</v>
      </c>
      <c r="P412" s="22">
        <v>90.28</v>
      </c>
      <c r="S412" s="21">
        <f>ROUND(ROUND(P412, 2)*I412, 2)</f>
        <v>73876.39</v>
      </c>
      <c r="V412" s="9">
        <f>ROUND(ROUND(P412, 2)/1.2, 2)</f>
        <v>75.23</v>
      </c>
      <c r="Y412" s="9">
        <f t="shared" si="25"/>
        <v>61563.66</v>
      </c>
      <c r="AD412" s="4" t="s">
        <v>1598</v>
      </c>
      <c r="AE412" s="4" t="s">
        <v>1599</v>
      </c>
      <c r="AF412" s="4" t="s">
        <v>1060</v>
      </c>
    </row>
    <row r="413" spans="1:35" ht="126" x14ac:dyDescent="0.3">
      <c r="A413" s="10" t="s">
        <v>1600</v>
      </c>
      <c r="B413" s="10" t="s">
        <v>1497</v>
      </c>
      <c r="C413" s="11" t="s">
        <v>1498</v>
      </c>
      <c r="D413" s="12"/>
      <c r="E413" s="12" t="s">
        <v>1601</v>
      </c>
      <c r="F413" s="12" t="s">
        <v>58</v>
      </c>
      <c r="G413" s="13">
        <v>1</v>
      </c>
      <c r="H413" s="13"/>
      <c r="I413" s="13">
        <v>63.04</v>
      </c>
      <c r="J413" s="14">
        <f>IFERROR(ROUND(SUM(M414,M415)/I413, 2),0)</f>
        <v>82.68</v>
      </c>
      <c r="K413" s="15">
        <v>428</v>
      </c>
      <c r="L413" s="14">
        <f>J413+ROUND(K413, 2)</f>
        <v>510.68</v>
      </c>
      <c r="M413" s="14">
        <f>ROUND(J413*I413, 2)</f>
        <v>5212.1499999999996</v>
      </c>
      <c r="N413" s="14">
        <f>ROUND(I413*ROUND(K413, 2), 2)</f>
        <v>26981.119999999999</v>
      </c>
      <c r="O413" s="14">
        <f>M413+N413</f>
        <v>32193.269999999997</v>
      </c>
      <c r="P413" s="14">
        <f>IFERROR(ROUND(SUM(S414,S415)/I413, 2),0)</f>
        <v>82.68</v>
      </c>
      <c r="Q413" s="16">
        <v>611.42999999999995</v>
      </c>
      <c r="R413" s="14">
        <f>P413+ROUND(Q413, 2)</f>
        <v>694.1099999999999</v>
      </c>
      <c r="S413" s="14">
        <f>ROUND(P413*I413, 2)</f>
        <v>5212.1499999999996</v>
      </c>
      <c r="T413" s="14">
        <f>ROUND(I413*ROUND(Q413, 2), 2)</f>
        <v>38544.550000000003</v>
      </c>
      <c r="U413" s="14">
        <f>S413+T413</f>
        <v>43756.700000000004</v>
      </c>
      <c r="V413" s="9">
        <f>ROUND(P413 / 1.2, 2)</f>
        <v>68.900000000000006</v>
      </c>
      <c r="W413" s="9">
        <f>ROUND(Q413 / 1.2, 2)</f>
        <v>509.53</v>
      </c>
      <c r="X413" s="9">
        <f>ROUND(R413 / 1.2, 2)</f>
        <v>578.42999999999995</v>
      </c>
      <c r="Y413" s="9">
        <f t="shared" si="25"/>
        <v>4343.46</v>
      </c>
      <c r="Z413" s="9">
        <f>ROUND(T413 / 1.2, 2)</f>
        <v>32120.46</v>
      </c>
      <c r="AA413" s="9">
        <f>Y413+Z413</f>
        <v>36463.919999999998</v>
      </c>
      <c r="AD413" s="4">
        <v>311044467</v>
      </c>
      <c r="AE413" s="4">
        <v>22875336</v>
      </c>
      <c r="AG413" s="4" t="s">
        <v>1500</v>
      </c>
      <c r="AH413" s="4" t="s">
        <v>1501</v>
      </c>
      <c r="AI413" s="4" t="s">
        <v>469</v>
      </c>
    </row>
    <row r="414" spans="1:35" ht="36" x14ac:dyDescent="0.3">
      <c r="A414" s="10" t="s">
        <v>1602</v>
      </c>
      <c r="B414" s="10"/>
      <c r="C414" s="17" t="s">
        <v>1057</v>
      </c>
      <c r="D414" s="12"/>
      <c r="E414" s="12"/>
      <c r="F414" s="18" t="s">
        <v>99</v>
      </c>
      <c r="G414" s="19">
        <v>0.15</v>
      </c>
      <c r="H414" s="19"/>
      <c r="I414" s="19">
        <v>9.4559999999999995</v>
      </c>
      <c r="J414" s="20">
        <v>90.28</v>
      </c>
      <c r="M414" s="21">
        <f>ROUND(ROUND(J414, 2)*I414, 2)</f>
        <v>853.69</v>
      </c>
      <c r="P414" s="22">
        <v>90.28</v>
      </c>
      <c r="S414" s="21">
        <f>ROUND(ROUND(P414, 2)*I414, 2)</f>
        <v>853.69</v>
      </c>
      <c r="V414" s="9">
        <f>ROUND(ROUND(P414, 2)/1.2, 2)</f>
        <v>75.23</v>
      </c>
      <c r="Y414" s="9">
        <f t="shared" si="25"/>
        <v>711.41</v>
      </c>
      <c r="AD414" s="4" t="s">
        <v>1603</v>
      </c>
      <c r="AE414" s="4" t="s">
        <v>1604</v>
      </c>
      <c r="AF414" s="4" t="s">
        <v>1060</v>
      </c>
    </row>
    <row r="415" spans="1:35" ht="36" x14ac:dyDescent="0.3">
      <c r="A415" s="10" t="s">
        <v>1605</v>
      </c>
      <c r="B415" s="10"/>
      <c r="C415" s="17" t="s">
        <v>1503</v>
      </c>
      <c r="D415" s="12"/>
      <c r="E415" s="12" t="s">
        <v>1606</v>
      </c>
      <c r="F415" s="18" t="s">
        <v>99</v>
      </c>
      <c r="G415" s="19">
        <v>0.3</v>
      </c>
      <c r="H415" s="19"/>
      <c r="I415" s="19">
        <v>18.911999999999999</v>
      </c>
      <c r="J415" s="20">
        <v>230.45</v>
      </c>
      <c r="M415" s="21">
        <f>ROUND(ROUND(J415, 2)*I415, 2)</f>
        <v>4358.2700000000004</v>
      </c>
      <c r="P415" s="22">
        <v>230.45</v>
      </c>
      <c r="S415" s="21">
        <f>ROUND(ROUND(P415, 2)*I415, 2)</f>
        <v>4358.2700000000004</v>
      </c>
      <c r="V415" s="9">
        <f>ROUND(ROUND(P415, 2)/1.2, 2)</f>
        <v>192.04</v>
      </c>
      <c r="Y415" s="9">
        <f t="shared" si="25"/>
        <v>3631.89</v>
      </c>
      <c r="AD415" s="4" t="s">
        <v>1607</v>
      </c>
      <c r="AE415" s="4" t="s">
        <v>1608</v>
      </c>
      <c r="AF415" s="4" t="s">
        <v>1507</v>
      </c>
    </row>
    <row r="416" spans="1:35" ht="126" x14ac:dyDescent="0.3">
      <c r="A416" s="10" t="s">
        <v>1609</v>
      </c>
      <c r="B416" s="10" t="s">
        <v>1497</v>
      </c>
      <c r="C416" s="11" t="s">
        <v>1498</v>
      </c>
      <c r="D416" s="12"/>
      <c r="E416" s="12" t="s">
        <v>1610</v>
      </c>
      <c r="F416" s="12" t="s">
        <v>58</v>
      </c>
      <c r="G416" s="13">
        <v>1</v>
      </c>
      <c r="H416" s="13"/>
      <c r="I416" s="13">
        <v>138.31</v>
      </c>
      <c r="J416" s="14">
        <f>IFERROR(ROUND(SUM(M417,M418)/I416, 2),0)</f>
        <v>82.68</v>
      </c>
      <c r="K416" s="15">
        <v>428</v>
      </c>
      <c r="L416" s="14">
        <f>J416+ROUND(K416, 2)</f>
        <v>510.68</v>
      </c>
      <c r="M416" s="14">
        <f>ROUND(J416*I416, 2)</f>
        <v>11435.47</v>
      </c>
      <c r="N416" s="14">
        <f>ROUND(I416*ROUND(K416, 2), 2)</f>
        <v>59196.68</v>
      </c>
      <c r="O416" s="14">
        <f>M416+N416</f>
        <v>70632.149999999994</v>
      </c>
      <c r="P416" s="14">
        <f>IFERROR(ROUND(SUM(S417,S418)/I416, 2),0)</f>
        <v>82.68</v>
      </c>
      <c r="Q416" s="16">
        <v>611.42999999999995</v>
      </c>
      <c r="R416" s="14">
        <f>P416+ROUND(Q416, 2)</f>
        <v>694.1099999999999</v>
      </c>
      <c r="S416" s="14">
        <f>ROUND(P416*I416, 2)</f>
        <v>11435.47</v>
      </c>
      <c r="T416" s="14">
        <f>ROUND(I416*ROUND(Q416, 2), 2)</f>
        <v>84566.88</v>
      </c>
      <c r="U416" s="14">
        <f>S416+T416</f>
        <v>96002.35</v>
      </c>
      <c r="V416" s="9">
        <f>ROUND(P416 / 1.2, 2)</f>
        <v>68.900000000000006</v>
      </c>
      <c r="W416" s="9">
        <f>ROUND(Q416 / 1.2, 2)</f>
        <v>509.53</v>
      </c>
      <c r="X416" s="9">
        <f>ROUND(R416 / 1.2, 2)</f>
        <v>578.42999999999995</v>
      </c>
      <c r="Y416" s="9">
        <f t="shared" si="25"/>
        <v>9529.56</v>
      </c>
      <c r="Z416" s="9">
        <f>ROUND(T416 / 1.2, 2)</f>
        <v>70472.399999999994</v>
      </c>
      <c r="AA416" s="9">
        <f>Y416+Z416</f>
        <v>80001.959999999992</v>
      </c>
      <c r="AD416" s="4">
        <v>311044468</v>
      </c>
      <c r="AE416" s="4">
        <v>22875335</v>
      </c>
      <c r="AG416" s="4" t="s">
        <v>1500</v>
      </c>
      <c r="AH416" s="4" t="s">
        <v>1501</v>
      </c>
      <c r="AI416" s="4" t="s">
        <v>469</v>
      </c>
    </row>
    <row r="417" spans="1:35" ht="36" x14ac:dyDescent="0.3">
      <c r="A417" s="10" t="s">
        <v>1611</v>
      </c>
      <c r="B417" s="10"/>
      <c r="C417" s="17" t="s">
        <v>1503</v>
      </c>
      <c r="D417" s="12"/>
      <c r="E417" s="12"/>
      <c r="F417" s="18" t="s">
        <v>99</v>
      </c>
      <c r="G417" s="19">
        <v>0.3</v>
      </c>
      <c r="H417" s="19"/>
      <c r="I417" s="19">
        <v>41.493000000000002</v>
      </c>
      <c r="J417" s="20">
        <v>230.45</v>
      </c>
      <c r="M417" s="21">
        <f>ROUND(ROUND(J417, 2)*I417, 2)</f>
        <v>9562.06</v>
      </c>
      <c r="P417" s="22">
        <v>230.45</v>
      </c>
      <c r="S417" s="21">
        <f>ROUND(ROUND(P417, 2)*I417, 2)</f>
        <v>9562.06</v>
      </c>
      <c r="V417" s="9">
        <f>ROUND(ROUND(P417, 2)/1.2, 2)</f>
        <v>192.04</v>
      </c>
      <c r="Y417" s="9">
        <f t="shared" si="25"/>
        <v>7968.38</v>
      </c>
      <c r="AD417" s="4" t="s">
        <v>1612</v>
      </c>
      <c r="AE417" s="4" t="s">
        <v>1613</v>
      </c>
      <c r="AF417" s="4" t="s">
        <v>1507</v>
      </c>
    </row>
    <row r="418" spans="1:35" ht="36" x14ac:dyDescent="0.3">
      <c r="A418" s="10" t="s">
        <v>1614</v>
      </c>
      <c r="B418" s="10"/>
      <c r="C418" s="17" t="s">
        <v>1057</v>
      </c>
      <c r="D418" s="12"/>
      <c r="E418" s="12" t="s">
        <v>1504</v>
      </c>
      <c r="F418" s="18" t="s">
        <v>99</v>
      </c>
      <c r="G418" s="19">
        <v>0.15</v>
      </c>
      <c r="H418" s="19"/>
      <c r="I418" s="19">
        <v>20.747</v>
      </c>
      <c r="J418" s="20">
        <v>90.28</v>
      </c>
      <c r="M418" s="21">
        <f>ROUND(ROUND(J418, 2)*I418, 2)</f>
        <v>1873.04</v>
      </c>
      <c r="P418" s="22">
        <v>90.28</v>
      </c>
      <c r="S418" s="21">
        <f>ROUND(ROUND(P418, 2)*I418, 2)</f>
        <v>1873.04</v>
      </c>
      <c r="V418" s="9">
        <f>ROUND(ROUND(P418, 2)/1.2, 2)</f>
        <v>75.23</v>
      </c>
      <c r="Y418" s="9">
        <f t="shared" si="25"/>
        <v>1560.87</v>
      </c>
      <c r="AD418" s="4" t="s">
        <v>1615</v>
      </c>
      <c r="AE418" s="4" t="s">
        <v>1616</v>
      </c>
      <c r="AF418" s="4" t="s">
        <v>1060</v>
      </c>
    </row>
    <row r="419" spans="1:35" ht="144" x14ac:dyDescent="0.3">
      <c r="A419" s="10" t="s">
        <v>1617</v>
      </c>
      <c r="B419" s="10" t="s">
        <v>1497</v>
      </c>
      <c r="C419" s="11" t="s">
        <v>1498</v>
      </c>
      <c r="D419" s="12"/>
      <c r="E419" s="12" t="s">
        <v>1618</v>
      </c>
      <c r="F419" s="12" t="s">
        <v>58</v>
      </c>
      <c r="G419" s="13">
        <v>1</v>
      </c>
      <c r="H419" s="13"/>
      <c r="I419" s="13">
        <v>140.81</v>
      </c>
      <c r="J419" s="14">
        <f>IFERROR(ROUND(SUM(M420,M421)/I419, 2),0)</f>
        <v>82.68</v>
      </c>
      <c r="K419" s="15">
        <v>428</v>
      </c>
      <c r="L419" s="14">
        <f>J419+ROUND(K419, 2)</f>
        <v>510.68</v>
      </c>
      <c r="M419" s="14">
        <f>ROUND(J419*I419, 2)</f>
        <v>11642.17</v>
      </c>
      <c r="N419" s="14">
        <f>ROUND(I419*ROUND(K419, 2), 2)</f>
        <v>60266.68</v>
      </c>
      <c r="O419" s="14">
        <f>M419+N419</f>
        <v>71908.850000000006</v>
      </c>
      <c r="P419" s="14">
        <f>IFERROR(ROUND(SUM(S420,S421)/I419, 2),0)</f>
        <v>82.68</v>
      </c>
      <c r="Q419" s="16">
        <v>611.42999999999995</v>
      </c>
      <c r="R419" s="14">
        <f>P419+ROUND(Q419, 2)</f>
        <v>694.1099999999999</v>
      </c>
      <c r="S419" s="14">
        <f>ROUND(P419*I419, 2)</f>
        <v>11642.17</v>
      </c>
      <c r="T419" s="14">
        <f>ROUND(I419*ROUND(Q419, 2), 2)</f>
        <v>86095.46</v>
      </c>
      <c r="U419" s="14">
        <f>S419+T419</f>
        <v>97737.63</v>
      </c>
      <c r="V419" s="9">
        <f>ROUND(P419 / 1.2, 2)</f>
        <v>68.900000000000006</v>
      </c>
      <c r="W419" s="9">
        <f>ROUND(Q419 / 1.2, 2)</f>
        <v>509.53</v>
      </c>
      <c r="X419" s="9">
        <f>ROUND(R419 / 1.2, 2)</f>
        <v>578.42999999999995</v>
      </c>
      <c r="Y419" s="9">
        <f t="shared" si="25"/>
        <v>9701.81</v>
      </c>
      <c r="Z419" s="9">
        <f>ROUND(T419 / 1.2, 2)</f>
        <v>71746.22</v>
      </c>
      <c r="AA419" s="9">
        <f>Y419+Z419</f>
        <v>81448.03</v>
      </c>
      <c r="AD419" s="4">
        <v>311044469</v>
      </c>
      <c r="AE419" s="4">
        <v>22875337</v>
      </c>
      <c r="AG419" s="4" t="s">
        <v>1500</v>
      </c>
      <c r="AH419" s="4" t="s">
        <v>1501</v>
      </c>
      <c r="AI419" s="4" t="s">
        <v>469</v>
      </c>
    </row>
    <row r="420" spans="1:35" ht="36" x14ac:dyDescent="0.3">
      <c r="A420" s="10" t="s">
        <v>1619</v>
      </c>
      <c r="B420" s="10"/>
      <c r="C420" s="17" t="s">
        <v>1057</v>
      </c>
      <c r="D420" s="12"/>
      <c r="E420" s="12"/>
      <c r="F420" s="18" t="s">
        <v>99</v>
      </c>
      <c r="G420" s="19">
        <v>0.15</v>
      </c>
      <c r="H420" s="19"/>
      <c r="I420" s="19">
        <v>21.122</v>
      </c>
      <c r="J420" s="20">
        <v>90.28</v>
      </c>
      <c r="M420" s="21">
        <f>ROUND(ROUND(J420, 2)*I420, 2)</f>
        <v>1906.89</v>
      </c>
      <c r="P420" s="22">
        <v>90.28</v>
      </c>
      <c r="S420" s="21">
        <f>ROUND(ROUND(P420, 2)*I420, 2)</f>
        <v>1906.89</v>
      </c>
      <c r="V420" s="9">
        <f>ROUND(ROUND(P420, 2)/1.2, 2)</f>
        <v>75.23</v>
      </c>
      <c r="Y420" s="9">
        <f t="shared" si="25"/>
        <v>1589.08</v>
      </c>
      <c r="AD420" s="4" t="s">
        <v>1620</v>
      </c>
      <c r="AE420" s="4" t="s">
        <v>1621</v>
      </c>
      <c r="AF420" s="4" t="s">
        <v>1060</v>
      </c>
    </row>
    <row r="421" spans="1:35" ht="36" x14ac:dyDescent="0.3">
      <c r="A421" s="10" t="s">
        <v>1622</v>
      </c>
      <c r="B421" s="10"/>
      <c r="C421" s="17" t="s">
        <v>1503</v>
      </c>
      <c r="D421" s="12"/>
      <c r="E421" s="12" t="s">
        <v>1504</v>
      </c>
      <c r="F421" s="18" t="s">
        <v>99</v>
      </c>
      <c r="G421" s="19">
        <v>0.3</v>
      </c>
      <c r="H421" s="19"/>
      <c r="I421" s="19">
        <v>42.243000000000002</v>
      </c>
      <c r="J421" s="20">
        <v>230.45</v>
      </c>
      <c r="M421" s="21">
        <f>ROUND(ROUND(J421, 2)*I421, 2)</f>
        <v>9734.9</v>
      </c>
      <c r="P421" s="22">
        <v>230.45</v>
      </c>
      <c r="S421" s="21">
        <f>ROUND(ROUND(P421, 2)*I421, 2)</f>
        <v>9734.9</v>
      </c>
      <c r="V421" s="9">
        <f>ROUND(ROUND(P421, 2)/1.2, 2)</f>
        <v>192.04</v>
      </c>
      <c r="Y421" s="9">
        <f t="shared" si="25"/>
        <v>8112.42</v>
      </c>
      <c r="AD421" s="4" t="s">
        <v>1623</v>
      </c>
      <c r="AE421" s="4" t="s">
        <v>1624</v>
      </c>
      <c r="AF421" s="4" t="s">
        <v>1507</v>
      </c>
    </row>
    <row r="422" spans="1:35" ht="126" x14ac:dyDescent="0.3">
      <c r="A422" s="10" t="s">
        <v>1625</v>
      </c>
      <c r="B422" s="10" t="s">
        <v>1497</v>
      </c>
      <c r="C422" s="11" t="s">
        <v>1498</v>
      </c>
      <c r="D422" s="12"/>
      <c r="E422" s="12" t="s">
        <v>1626</v>
      </c>
      <c r="F422" s="12" t="s">
        <v>58</v>
      </c>
      <c r="G422" s="13">
        <v>1</v>
      </c>
      <c r="H422" s="13"/>
      <c r="I422" s="13">
        <v>3948.17</v>
      </c>
      <c r="J422" s="14">
        <f>IFERROR(ROUND(SUM(M423,M424)/I422, 2),0)</f>
        <v>82.68</v>
      </c>
      <c r="K422" s="15">
        <v>428</v>
      </c>
      <c r="L422" s="14">
        <f>J422+ROUND(K422, 2)</f>
        <v>510.68</v>
      </c>
      <c r="M422" s="14">
        <f>ROUND(J422*I422, 2)</f>
        <v>326434.7</v>
      </c>
      <c r="N422" s="14">
        <f>ROUND(I422*ROUND(K422, 2), 2)</f>
        <v>1689816.76</v>
      </c>
      <c r="O422" s="14">
        <f>M422+N422</f>
        <v>2016251.46</v>
      </c>
      <c r="P422" s="14">
        <f>IFERROR(ROUND(SUM(S423,S424)/I422, 2),0)</f>
        <v>82.68</v>
      </c>
      <c r="Q422" s="16">
        <v>611.42999999999995</v>
      </c>
      <c r="R422" s="14">
        <f>P422+ROUND(Q422, 2)</f>
        <v>694.1099999999999</v>
      </c>
      <c r="S422" s="14">
        <f>ROUND(P422*I422, 2)</f>
        <v>326434.7</v>
      </c>
      <c r="T422" s="14">
        <f>ROUND(I422*ROUND(Q422, 2), 2)</f>
        <v>2414029.58</v>
      </c>
      <c r="U422" s="14">
        <f>S422+T422</f>
        <v>2740464.2800000003</v>
      </c>
      <c r="V422" s="9">
        <f>ROUND(P422 / 1.2, 2)</f>
        <v>68.900000000000006</v>
      </c>
      <c r="W422" s="9">
        <f>ROUND(Q422 / 1.2, 2)</f>
        <v>509.53</v>
      </c>
      <c r="X422" s="9">
        <f>ROUND(R422 / 1.2, 2)</f>
        <v>578.42999999999995</v>
      </c>
      <c r="Y422" s="9">
        <f t="shared" si="25"/>
        <v>272028.92</v>
      </c>
      <c r="Z422" s="9">
        <f>ROUND(T422 / 1.2, 2)</f>
        <v>2011691.32</v>
      </c>
      <c r="AA422" s="9">
        <f>Y422+Z422</f>
        <v>2283720.2400000002</v>
      </c>
      <c r="AD422" s="4">
        <v>311044470</v>
      </c>
      <c r="AE422" s="4">
        <v>22876266</v>
      </c>
      <c r="AG422" s="4" t="s">
        <v>1500</v>
      </c>
      <c r="AH422" s="4" t="s">
        <v>1501</v>
      </c>
      <c r="AI422" s="4" t="s">
        <v>469</v>
      </c>
    </row>
    <row r="423" spans="1:35" ht="36" x14ac:dyDescent="0.3">
      <c r="A423" s="10" t="s">
        <v>1627</v>
      </c>
      <c r="B423" s="10"/>
      <c r="C423" s="17" t="s">
        <v>1503</v>
      </c>
      <c r="D423" s="12"/>
      <c r="E423" s="12" t="s">
        <v>1504</v>
      </c>
      <c r="F423" s="18" t="s">
        <v>99</v>
      </c>
      <c r="G423" s="19">
        <v>0.3</v>
      </c>
      <c r="H423" s="19"/>
      <c r="I423" s="19">
        <v>1184.451</v>
      </c>
      <c r="J423" s="20">
        <v>230.45</v>
      </c>
      <c r="M423" s="21">
        <f>ROUND(ROUND(J423, 2)*I423, 2)</f>
        <v>272956.73</v>
      </c>
      <c r="P423" s="22">
        <v>230.45</v>
      </c>
      <c r="S423" s="21">
        <f>ROUND(ROUND(P423, 2)*I423, 2)</f>
        <v>272956.73</v>
      </c>
      <c r="V423" s="9">
        <f>ROUND(ROUND(P423, 2)/1.2, 2)</f>
        <v>192.04</v>
      </c>
      <c r="Y423" s="9">
        <f t="shared" si="25"/>
        <v>227463.94</v>
      </c>
      <c r="AD423" s="4" t="s">
        <v>1628</v>
      </c>
      <c r="AE423" s="4" t="s">
        <v>1629</v>
      </c>
      <c r="AF423" s="4" t="s">
        <v>1507</v>
      </c>
    </row>
    <row r="424" spans="1:35" ht="36" x14ac:dyDescent="0.3">
      <c r="A424" s="10" t="s">
        <v>1630</v>
      </c>
      <c r="B424" s="10"/>
      <c r="C424" s="17" t="s">
        <v>1057</v>
      </c>
      <c r="D424" s="12"/>
      <c r="E424" s="12"/>
      <c r="F424" s="18" t="s">
        <v>99</v>
      </c>
      <c r="G424" s="19">
        <v>0.15</v>
      </c>
      <c r="H424" s="19"/>
      <c r="I424" s="19">
        <v>592.226</v>
      </c>
      <c r="J424" s="20">
        <v>90.28</v>
      </c>
      <c r="M424" s="21">
        <f>ROUND(ROUND(J424, 2)*I424, 2)</f>
        <v>53466.16</v>
      </c>
      <c r="P424" s="22">
        <v>90.28</v>
      </c>
      <c r="S424" s="21">
        <f>ROUND(ROUND(P424, 2)*I424, 2)</f>
        <v>53466.16</v>
      </c>
      <c r="V424" s="9">
        <f>ROUND(ROUND(P424, 2)/1.2, 2)</f>
        <v>75.23</v>
      </c>
      <c r="Y424" s="9">
        <f t="shared" si="25"/>
        <v>44555.13</v>
      </c>
      <c r="AD424" s="4" t="s">
        <v>1631</v>
      </c>
      <c r="AE424" s="4" t="s">
        <v>1632</v>
      </c>
      <c r="AF424" s="4" t="s">
        <v>1060</v>
      </c>
    </row>
    <row r="425" spans="1:35" ht="126" x14ac:dyDescent="0.3">
      <c r="A425" s="10" t="s">
        <v>1633</v>
      </c>
      <c r="B425" s="10" t="s">
        <v>1634</v>
      </c>
      <c r="C425" s="11" t="s">
        <v>1635</v>
      </c>
      <c r="D425" s="12"/>
      <c r="E425" s="12" t="s">
        <v>1636</v>
      </c>
      <c r="F425" s="12" t="s">
        <v>58</v>
      </c>
      <c r="G425" s="13">
        <v>1</v>
      </c>
      <c r="H425" s="13"/>
      <c r="I425" s="13">
        <v>1084.79</v>
      </c>
      <c r="J425" s="14">
        <f>IFERROR(ROUND(SUM(M426,M427,M428,M429)/I425, 2),0)</f>
        <v>1146.95</v>
      </c>
      <c r="K425" s="15">
        <v>2363.9899999999998</v>
      </c>
      <c r="L425" s="14">
        <f>J425+ROUND(K425, 2)</f>
        <v>3510.9399999999996</v>
      </c>
      <c r="M425" s="14">
        <f>ROUND(J425*I425, 2)</f>
        <v>1244199.8899999999</v>
      </c>
      <c r="N425" s="14">
        <f>ROUND(I425*ROUND(K425, 2), 2)</f>
        <v>2564432.71</v>
      </c>
      <c r="O425" s="14">
        <f>M425+N425</f>
        <v>3808632.5999999996</v>
      </c>
      <c r="P425" s="14">
        <f>IFERROR(ROUND(SUM(S426,S427,S428,S429)/I425, 2),0)</f>
        <v>1146.95</v>
      </c>
      <c r="Q425" s="16">
        <v>3377.13</v>
      </c>
      <c r="R425" s="14">
        <f>P425+ROUND(Q425, 2)</f>
        <v>4524.08</v>
      </c>
      <c r="S425" s="14">
        <f>ROUND(P425*I425, 2)</f>
        <v>1244199.8899999999</v>
      </c>
      <c r="T425" s="14">
        <f>ROUND(I425*ROUND(Q425, 2), 2)</f>
        <v>3663476.85</v>
      </c>
      <c r="U425" s="14">
        <f>S425+T425</f>
        <v>4907676.74</v>
      </c>
      <c r="V425" s="9">
        <f>ROUND(P425 / 1.2, 2)</f>
        <v>955.79</v>
      </c>
      <c r="W425" s="9">
        <f>ROUND(Q425 / 1.2, 2)</f>
        <v>2814.28</v>
      </c>
      <c r="X425" s="9">
        <f>ROUND(R425 / 1.2, 2)</f>
        <v>3770.07</v>
      </c>
      <c r="Y425" s="9">
        <f t="shared" si="25"/>
        <v>1036833.24</v>
      </c>
      <c r="Z425" s="9">
        <f>ROUND(T425 / 1.2, 2)</f>
        <v>3052897.38</v>
      </c>
      <c r="AA425" s="9">
        <f>Y425+Z425</f>
        <v>4089730.62</v>
      </c>
      <c r="AD425" s="4">
        <v>311044388</v>
      </c>
      <c r="AE425" s="4">
        <v>22876261</v>
      </c>
      <c r="AG425" s="4" t="s">
        <v>1637</v>
      </c>
      <c r="AH425" s="4" t="s">
        <v>1638</v>
      </c>
      <c r="AI425" s="4" t="s">
        <v>469</v>
      </c>
    </row>
    <row r="426" spans="1:35" ht="36" x14ac:dyDescent="0.3">
      <c r="A426" s="10" t="s">
        <v>1639</v>
      </c>
      <c r="B426" s="10"/>
      <c r="C426" s="17" t="s">
        <v>1116</v>
      </c>
      <c r="D426" s="12"/>
      <c r="E426" s="12"/>
      <c r="F426" s="18" t="s">
        <v>99</v>
      </c>
      <c r="G426" s="19">
        <v>0.25</v>
      </c>
      <c r="H426" s="24"/>
      <c r="I426" s="24">
        <v>271.19799999999998</v>
      </c>
      <c r="J426" s="20">
        <v>40.94</v>
      </c>
      <c r="M426" s="21">
        <f>ROUND(ROUND(J426, 2)*I426, 2)</f>
        <v>11102.85</v>
      </c>
      <c r="P426" s="22">
        <v>40.94</v>
      </c>
      <c r="S426" s="21">
        <f>ROUND(ROUND(P426, 2)*I426, 2)</f>
        <v>11102.85</v>
      </c>
      <c r="V426" s="9">
        <f>ROUND(ROUND(P426, 2)/1.2, 2)</f>
        <v>34.119999999999997</v>
      </c>
      <c r="Y426" s="9">
        <f t="shared" si="25"/>
        <v>9252.3799999999992</v>
      </c>
      <c r="AD426" s="4" t="s">
        <v>1640</v>
      </c>
      <c r="AE426" s="4" t="s">
        <v>1641</v>
      </c>
      <c r="AF426" s="4" t="s">
        <v>1119</v>
      </c>
    </row>
    <row r="427" spans="1:35" ht="36" x14ac:dyDescent="0.3">
      <c r="A427" s="10" t="s">
        <v>1642</v>
      </c>
      <c r="B427" s="10"/>
      <c r="C427" s="17" t="s">
        <v>870</v>
      </c>
      <c r="D427" s="12"/>
      <c r="E427" s="12"/>
      <c r="F427" s="18" t="s">
        <v>99</v>
      </c>
      <c r="G427" s="19">
        <v>0.15</v>
      </c>
      <c r="H427" s="19"/>
      <c r="I427" s="19">
        <v>162.71899999999999</v>
      </c>
      <c r="J427" s="20">
        <v>69.540000000000006</v>
      </c>
      <c r="M427" s="21">
        <f>ROUND(ROUND(J427, 2)*I427, 2)</f>
        <v>11315.48</v>
      </c>
      <c r="P427" s="22">
        <v>69.540000000000006</v>
      </c>
      <c r="S427" s="21">
        <f>ROUND(ROUND(P427, 2)*I427, 2)</f>
        <v>11315.48</v>
      </c>
      <c r="V427" s="9">
        <f>ROUND(ROUND(P427, 2)/1.2, 2)</f>
        <v>57.95</v>
      </c>
      <c r="Y427" s="9">
        <f t="shared" si="25"/>
        <v>9429.57</v>
      </c>
      <c r="AD427" s="4" t="s">
        <v>1643</v>
      </c>
      <c r="AE427" s="4" t="s">
        <v>1644</v>
      </c>
      <c r="AF427" s="4" t="s">
        <v>873</v>
      </c>
    </row>
    <row r="428" spans="1:35" ht="36" x14ac:dyDescent="0.3">
      <c r="A428" s="10" t="s">
        <v>1645</v>
      </c>
      <c r="B428" s="10"/>
      <c r="C428" s="23" t="s">
        <v>1106</v>
      </c>
      <c r="D428" s="12"/>
      <c r="E428" s="12"/>
      <c r="F428" s="18" t="s">
        <v>99</v>
      </c>
      <c r="G428" s="19">
        <v>1.2</v>
      </c>
      <c r="H428" s="24"/>
      <c r="I428" s="24">
        <v>6508.74</v>
      </c>
      <c r="J428" s="20">
        <v>16.38</v>
      </c>
      <c r="M428" s="21">
        <f>ROUND(ROUND(J428, 2)*I428, 2)</f>
        <v>106613.16</v>
      </c>
      <c r="P428" s="22">
        <v>16.38</v>
      </c>
      <c r="S428" s="21">
        <f>ROUND(ROUND(P428, 2)*I428, 2)</f>
        <v>106613.16</v>
      </c>
      <c r="V428" s="9">
        <f>ROUND(ROUND(P428, 2)/1.2, 2)</f>
        <v>13.65</v>
      </c>
      <c r="Y428" s="9">
        <f t="shared" si="25"/>
        <v>88844.3</v>
      </c>
      <c r="AD428" s="4" t="s">
        <v>1646</v>
      </c>
      <c r="AE428" s="4" t="s">
        <v>1647</v>
      </c>
      <c r="AF428" s="4" t="s">
        <v>1109</v>
      </c>
    </row>
    <row r="429" spans="1:35" ht="36" x14ac:dyDescent="0.3">
      <c r="A429" s="10" t="s">
        <v>1648</v>
      </c>
      <c r="B429" s="10"/>
      <c r="C429" s="23" t="s">
        <v>1649</v>
      </c>
      <c r="D429" s="12"/>
      <c r="E429" s="12"/>
      <c r="F429" s="18" t="s">
        <v>58</v>
      </c>
      <c r="G429" s="19">
        <v>1.07</v>
      </c>
      <c r="H429" s="24"/>
      <c r="I429" s="24">
        <v>1160.7249999999999</v>
      </c>
      <c r="J429" s="20">
        <v>960.75</v>
      </c>
      <c r="M429" s="21">
        <f>ROUND(ROUND(J429, 2)*I429, 2)</f>
        <v>1115166.54</v>
      </c>
      <c r="P429" s="22">
        <v>960.75</v>
      </c>
      <c r="S429" s="21">
        <f>ROUND(ROUND(P429, 2)*I429, 2)</f>
        <v>1115166.54</v>
      </c>
      <c r="V429" s="9">
        <f>ROUND(ROUND(P429, 2)/1.2, 2)</f>
        <v>800.63</v>
      </c>
      <c r="Y429" s="9">
        <f t="shared" si="25"/>
        <v>929305.45</v>
      </c>
      <c r="AD429" s="4" t="s">
        <v>1650</v>
      </c>
      <c r="AE429" s="4" t="s">
        <v>1651</v>
      </c>
      <c r="AF429" s="4" t="s">
        <v>1652</v>
      </c>
    </row>
    <row r="430" spans="1:35" ht="126" x14ac:dyDescent="0.3">
      <c r="A430" s="10" t="s">
        <v>1653</v>
      </c>
      <c r="B430" s="10" t="s">
        <v>1634</v>
      </c>
      <c r="C430" s="11" t="s">
        <v>1635</v>
      </c>
      <c r="D430" s="12"/>
      <c r="E430" s="12" t="s">
        <v>1654</v>
      </c>
      <c r="F430" s="12" t="s">
        <v>58</v>
      </c>
      <c r="G430" s="13">
        <v>1</v>
      </c>
      <c r="H430" s="13"/>
      <c r="I430" s="13">
        <v>94.69</v>
      </c>
      <c r="J430" s="14">
        <f>IFERROR(ROUND(SUM(M431,M432,M433,M434)/I430, 2),0)</f>
        <v>1625.54</v>
      </c>
      <c r="K430" s="15">
        <v>2363.9899999999998</v>
      </c>
      <c r="L430" s="14">
        <f>J430+ROUND(K430, 2)</f>
        <v>3989.5299999999997</v>
      </c>
      <c r="M430" s="14">
        <f>ROUND(J430*I430, 2)</f>
        <v>153922.38</v>
      </c>
      <c r="N430" s="14">
        <f>ROUND(I430*ROUND(K430, 2), 2)</f>
        <v>223846.21</v>
      </c>
      <c r="O430" s="14">
        <f>M430+N430</f>
        <v>377768.58999999997</v>
      </c>
      <c r="P430" s="14">
        <f>IFERROR(ROUND(SUM(S431,S432,S433,S434)/I430, 2),0)</f>
        <v>1625.54</v>
      </c>
      <c r="Q430" s="16">
        <v>3377.13</v>
      </c>
      <c r="R430" s="14">
        <f>P430+ROUND(Q430, 2)</f>
        <v>5002.67</v>
      </c>
      <c r="S430" s="14">
        <f>ROUND(P430*I430, 2)</f>
        <v>153922.38</v>
      </c>
      <c r="T430" s="14">
        <f>ROUND(I430*ROUND(Q430, 2), 2)</f>
        <v>319780.44</v>
      </c>
      <c r="U430" s="14">
        <f>S430+T430</f>
        <v>473702.82</v>
      </c>
      <c r="V430" s="9">
        <f>ROUND(P430 / 1.2, 2)</f>
        <v>1354.62</v>
      </c>
      <c r="W430" s="9">
        <f>ROUND(Q430 / 1.2, 2)</f>
        <v>2814.28</v>
      </c>
      <c r="X430" s="9">
        <f>ROUND(R430 / 1.2, 2)</f>
        <v>4168.8900000000003</v>
      </c>
      <c r="Y430" s="9">
        <f t="shared" si="25"/>
        <v>128268.65</v>
      </c>
      <c r="Z430" s="9">
        <f>ROUND(T430 / 1.2, 2)</f>
        <v>266483.7</v>
      </c>
      <c r="AA430" s="9">
        <f>Y430+Z430</f>
        <v>394752.35</v>
      </c>
      <c r="AD430" s="4">
        <v>311044471</v>
      </c>
      <c r="AE430" s="4">
        <v>22876265</v>
      </c>
      <c r="AG430" s="4" t="s">
        <v>1637</v>
      </c>
      <c r="AH430" s="4" t="s">
        <v>1638</v>
      </c>
      <c r="AI430" s="4" t="s">
        <v>469</v>
      </c>
    </row>
    <row r="431" spans="1:35" ht="36" x14ac:dyDescent="0.3">
      <c r="A431" s="10" t="s">
        <v>1655</v>
      </c>
      <c r="B431" s="10"/>
      <c r="C431" s="23" t="s">
        <v>1656</v>
      </c>
      <c r="D431" s="12"/>
      <c r="E431" s="12"/>
      <c r="F431" s="18" t="s">
        <v>58</v>
      </c>
      <c r="G431" s="19">
        <v>1.07</v>
      </c>
      <c r="H431" s="24"/>
      <c r="I431" s="24">
        <v>101.318</v>
      </c>
      <c r="J431" s="20">
        <v>1408.04</v>
      </c>
      <c r="M431" s="21">
        <f>ROUND(ROUND(J431, 2)*I431, 2)</f>
        <v>142659.79999999999</v>
      </c>
      <c r="P431" s="22">
        <v>1408.04</v>
      </c>
      <c r="S431" s="21">
        <f>ROUND(ROUND(P431, 2)*I431, 2)</f>
        <v>142659.79999999999</v>
      </c>
      <c r="V431" s="9">
        <f>ROUND(ROUND(P431, 2)/1.2, 2)</f>
        <v>1173.3699999999999</v>
      </c>
      <c r="Y431" s="9">
        <f t="shared" si="25"/>
        <v>118883.17</v>
      </c>
      <c r="AD431" s="4" t="s">
        <v>1657</v>
      </c>
      <c r="AE431" s="4" t="s">
        <v>1658</v>
      </c>
      <c r="AF431" s="4" t="s">
        <v>1659</v>
      </c>
    </row>
    <row r="432" spans="1:35" ht="36" x14ac:dyDescent="0.3">
      <c r="A432" s="10" t="s">
        <v>1660</v>
      </c>
      <c r="B432" s="10"/>
      <c r="C432" s="23" t="s">
        <v>1106</v>
      </c>
      <c r="D432" s="12"/>
      <c r="E432" s="12"/>
      <c r="F432" s="18" t="s">
        <v>99</v>
      </c>
      <c r="G432" s="19">
        <v>1.2</v>
      </c>
      <c r="H432" s="24"/>
      <c r="I432" s="24">
        <v>568.14</v>
      </c>
      <c r="J432" s="20">
        <v>16.38</v>
      </c>
      <c r="M432" s="21">
        <f>ROUND(ROUND(J432, 2)*I432, 2)</f>
        <v>9306.1299999999992</v>
      </c>
      <c r="P432" s="22">
        <v>16.38</v>
      </c>
      <c r="S432" s="21">
        <f>ROUND(ROUND(P432, 2)*I432, 2)</f>
        <v>9306.1299999999992</v>
      </c>
      <c r="V432" s="9">
        <f>ROUND(ROUND(P432, 2)/1.2, 2)</f>
        <v>13.65</v>
      </c>
      <c r="Y432" s="9">
        <f t="shared" si="25"/>
        <v>7755.11</v>
      </c>
      <c r="AD432" s="4" t="s">
        <v>1661</v>
      </c>
      <c r="AE432" s="4" t="s">
        <v>1662</v>
      </c>
      <c r="AF432" s="4" t="s">
        <v>1109</v>
      </c>
    </row>
    <row r="433" spans="1:35" ht="36" x14ac:dyDescent="0.3">
      <c r="A433" s="10" t="s">
        <v>1663</v>
      </c>
      <c r="B433" s="10"/>
      <c r="C433" s="17" t="s">
        <v>870</v>
      </c>
      <c r="D433" s="12"/>
      <c r="E433" s="12"/>
      <c r="F433" s="18" t="s">
        <v>99</v>
      </c>
      <c r="G433" s="19">
        <v>0.15</v>
      </c>
      <c r="H433" s="19"/>
      <c r="I433" s="19">
        <v>14.204000000000001</v>
      </c>
      <c r="J433" s="20">
        <v>69.540000000000006</v>
      </c>
      <c r="M433" s="21">
        <f>ROUND(ROUND(J433, 2)*I433, 2)</f>
        <v>987.75</v>
      </c>
      <c r="P433" s="22">
        <v>69.540000000000006</v>
      </c>
      <c r="S433" s="21">
        <f>ROUND(ROUND(P433, 2)*I433, 2)</f>
        <v>987.75</v>
      </c>
      <c r="V433" s="9">
        <f>ROUND(ROUND(P433, 2)/1.2, 2)</f>
        <v>57.95</v>
      </c>
      <c r="Y433" s="9">
        <f t="shared" si="25"/>
        <v>823.13</v>
      </c>
      <c r="AD433" s="4" t="s">
        <v>1664</v>
      </c>
      <c r="AE433" s="4" t="s">
        <v>1665</v>
      </c>
      <c r="AF433" s="4" t="s">
        <v>873</v>
      </c>
    </row>
    <row r="434" spans="1:35" ht="36" x14ac:dyDescent="0.3">
      <c r="A434" s="10" t="s">
        <v>1666</v>
      </c>
      <c r="B434" s="10"/>
      <c r="C434" s="17" t="s">
        <v>1116</v>
      </c>
      <c r="D434" s="12"/>
      <c r="E434" s="12"/>
      <c r="F434" s="18" t="s">
        <v>99</v>
      </c>
      <c r="G434" s="19">
        <v>0.25</v>
      </c>
      <c r="H434" s="24"/>
      <c r="I434" s="24">
        <v>23.672999999999998</v>
      </c>
      <c r="J434" s="20">
        <v>40.94</v>
      </c>
      <c r="M434" s="21">
        <f>ROUND(ROUND(J434, 2)*I434, 2)</f>
        <v>969.17</v>
      </c>
      <c r="P434" s="22">
        <v>40.94</v>
      </c>
      <c r="S434" s="21">
        <f>ROUND(ROUND(P434, 2)*I434, 2)</f>
        <v>969.17</v>
      </c>
      <c r="V434" s="9">
        <f>ROUND(ROUND(P434, 2)/1.2, 2)</f>
        <v>34.119999999999997</v>
      </c>
      <c r="Y434" s="9">
        <f t="shared" si="25"/>
        <v>807.64</v>
      </c>
      <c r="AD434" s="4" t="s">
        <v>1667</v>
      </c>
      <c r="AE434" s="4" t="s">
        <v>1668</v>
      </c>
      <c r="AF434" s="4" t="s">
        <v>1119</v>
      </c>
    </row>
    <row r="435" spans="1:35" ht="126" x14ac:dyDescent="0.3">
      <c r="A435" s="10" t="s">
        <v>1669</v>
      </c>
      <c r="B435" s="10" t="s">
        <v>1634</v>
      </c>
      <c r="C435" s="11" t="s">
        <v>1635</v>
      </c>
      <c r="D435" s="12"/>
      <c r="E435" s="12" t="s">
        <v>1670</v>
      </c>
      <c r="F435" s="12" t="s">
        <v>58</v>
      </c>
      <c r="G435" s="13">
        <v>1</v>
      </c>
      <c r="H435" s="13"/>
      <c r="I435" s="13">
        <v>230.36</v>
      </c>
      <c r="J435" s="14">
        <f>IFERROR(ROUND(SUM(M436,M437,M438,M439)/I435, 2),0)</f>
        <v>1309.1500000000001</v>
      </c>
      <c r="K435" s="15">
        <v>2363.9899999999998</v>
      </c>
      <c r="L435" s="14">
        <f>J435+ROUND(K435, 2)</f>
        <v>3673.14</v>
      </c>
      <c r="M435" s="14">
        <f>ROUND(J435*I435, 2)</f>
        <v>301575.78999999998</v>
      </c>
      <c r="N435" s="14">
        <f>ROUND(I435*ROUND(K435, 2), 2)</f>
        <v>544568.74</v>
      </c>
      <c r="O435" s="14">
        <f>M435+N435</f>
        <v>846144.53</v>
      </c>
      <c r="P435" s="14">
        <f>IFERROR(ROUND(SUM(S436,S437,S438,S439)/I435, 2),0)</f>
        <v>1309.1500000000001</v>
      </c>
      <c r="Q435" s="16">
        <v>3377.13</v>
      </c>
      <c r="R435" s="14">
        <f>P435+ROUND(Q435, 2)</f>
        <v>4686.2800000000007</v>
      </c>
      <c r="S435" s="14">
        <f>ROUND(P435*I435, 2)</f>
        <v>301575.78999999998</v>
      </c>
      <c r="T435" s="14">
        <f>ROUND(I435*ROUND(Q435, 2), 2)</f>
        <v>777955.67</v>
      </c>
      <c r="U435" s="14">
        <f>S435+T435</f>
        <v>1079531.46</v>
      </c>
      <c r="V435" s="9">
        <f>ROUND(P435 / 1.2, 2)</f>
        <v>1090.96</v>
      </c>
      <c r="W435" s="9">
        <f>ROUND(Q435 / 1.2, 2)</f>
        <v>2814.28</v>
      </c>
      <c r="X435" s="9">
        <f>ROUND(R435 / 1.2, 2)</f>
        <v>3905.23</v>
      </c>
      <c r="Y435" s="9">
        <f t="shared" si="25"/>
        <v>251313.16</v>
      </c>
      <c r="Z435" s="9">
        <f>ROUND(T435 / 1.2, 2)</f>
        <v>648296.39</v>
      </c>
      <c r="AA435" s="9">
        <f>Y435+Z435</f>
        <v>899609.55</v>
      </c>
      <c r="AD435" s="4">
        <v>311044472</v>
      </c>
      <c r="AE435" s="4">
        <v>22876264</v>
      </c>
      <c r="AG435" s="4" t="s">
        <v>1637</v>
      </c>
      <c r="AH435" s="4" t="s">
        <v>1638</v>
      </c>
      <c r="AI435" s="4" t="s">
        <v>469</v>
      </c>
    </row>
    <row r="436" spans="1:35" ht="36" x14ac:dyDescent="0.3">
      <c r="A436" s="10" t="s">
        <v>1671</v>
      </c>
      <c r="B436" s="10"/>
      <c r="C436" s="17" t="s">
        <v>1116</v>
      </c>
      <c r="D436" s="12"/>
      <c r="E436" s="12"/>
      <c r="F436" s="18" t="s">
        <v>99</v>
      </c>
      <c r="G436" s="19">
        <v>0.25</v>
      </c>
      <c r="H436" s="24"/>
      <c r="I436" s="24">
        <v>57.59</v>
      </c>
      <c r="J436" s="20">
        <v>40.94</v>
      </c>
      <c r="M436" s="21">
        <f>ROUND(ROUND(J436, 2)*I436, 2)</f>
        <v>2357.73</v>
      </c>
      <c r="P436" s="22">
        <v>40.94</v>
      </c>
      <c r="S436" s="21">
        <f>ROUND(ROUND(P436, 2)*I436, 2)</f>
        <v>2357.73</v>
      </c>
      <c r="V436" s="9">
        <f>ROUND(ROUND(P436, 2)/1.2, 2)</f>
        <v>34.119999999999997</v>
      </c>
      <c r="Y436" s="9">
        <f t="shared" si="25"/>
        <v>1964.78</v>
      </c>
      <c r="AD436" s="4" t="s">
        <v>1672</v>
      </c>
      <c r="AE436" s="4" t="s">
        <v>1673</v>
      </c>
      <c r="AF436" s="4" t="s">
        <v>1119</v>
      </c>
    </row>
    <row r="437" spans="1:35" ht="36" x14ac:dyDescent="0.3">
      <c r="A437" s="10" t="s">
        <v>1674</v>
      </c>
      <c r="B437" s="10"/>
      <c r="C437" s="17" t="s">
        <v>870</v>
      </c>
      <c r="D437" s="12"/>
      <c r="E437" s="12"/>
      <c r="F437" s="18" t="s">
        <v>99</v>
      </c>
      <c r="G437" s="19">
        <v>0.15</v>
      </c>
      <c r="H437" s="19"/>
      <c r="I437" s="19">
        <v>34.554000000000002</v>
      </c>
      <c r="J437" s="20">
        <v>69.540000000000006</v>
      </c>
      <c r="M437" s="21">
        <f>ROUND(ROUND(J437, 2)*I437, 2)</f>
        <v>2402.89</v>
      </c>
      <c r="P437" s="22">
        <v>69.540000000000006</v>
      </c>
      <c r="S437" s="21">
        <f>ROUND(ROUND(P437, 2)*I437, 2)</f>
        <v>2402.89</v>
      </c>
      <c r="V437" s="9">
        <f>ROUND(ROUND(P437, 2)/1.2, 2)</f>
        <v>57.95</v>
      </c>
      <c r="Y437" s="9">
        <f t="shared" si="25"/>
        <v>2002.41</v>
      </c>
      <c r="AD437" s="4" t="s">
        <v>1675</v>
      </c>
      <c r="AE437" s="4" t="s">
        <v>1676</v>
      </c>
      <c r="AF437" s="4" t="s">
        <v>873</v>
      </c>
    </row>
    <row r="438" spans="1:35" ht="36" x14ac:dyDescent="0.3">
      <c r="A438" s="10" t="s">
        <v>1677</v>
      </c>
      <c r="B438" s="10"/>
      <c r="C438" s="23" t="s">
        <v>1106</v>
      </c>
      <c r="D438" s="12"/>
      <c r="E438" s="12"/>
      <c r="F438" s="18" t="s">
        <v>99</v>
      </c>
      <c r="G438" s="19">
        <v>1.2</v>
      </c>
      <c r="H438" s="24"/>
      <c r="I438" s="24">
        <v>1382.16</v>
      </c>
      <c r="J438" s="20">
        <v>16.38</v>
      </c>
      <c r="M438" s="21">
        <f>ROUND(ROUND(J438, 2)*I438, 2)</f>
        <v>22639.78</v>
      </c>
      <c r="P438" s="22">
        <v>16.38</v>
      </c>
      <c r="S438" s="21">
        <f>ROUND(ROUND(P438, 2)*I438, 2)</f>
        <v>22639.78</v>
      </c>
      <c r="V438" s="9">
        <f>ROUND(ROUND(P438, 2)/1.2, 2)</f>
        <v>13.65</v>
      </c>
      <c r="Y438" s="9">
        <f t="shared" si="25"/>
        <v>18866.48</v>
      </c>
      <c r="AD438" s="4" t="s">
        <v>1678</v>
      </c>
      <c r="AE438" s="4" t="s">
        <v>1679</v>
      </c>
      <c r="AF438" s="4" t="s">
        <v>1109</v>
      </c>
    </row>
    <row r="439" spans="1:35" ht="36" x14ac:dyDescent="0.3">
      <c r="A439" s="10" t="s">
        <v>1680</v>
      </c>
      <c r="B439" s="10"/>
      <c r="C439" s="23" t="s">
        <v>1681</v>
      </c>
      <c r="D439" s="12"/>
      <c r="E439" s="12"/>
      <c r="F439" s="18" t="s">
        <v>58</v>
      </c>
      <c r="G439" s="19">
        <v>1.07</v>
      </c>
      <c r="H439" s="24"/>
      <c r="I439" s="24">
        <v>246.48500000000001</v>
      </c>
      <c r="J439" s="20">
        <v>1112.3399999999999</v>
      </c>
      <c r="M439" s="21">
        <f>ROUND(ROUND(J439, 2)*I439, 2)</f>
        <v>274175.12</v>
      </c>
      <c r="P439" s="22">
        <v>1112.3399999999999</v>
      </c>
      <c r="S439" s="21">
        <f>ROUND(ROUND(P439, 2)*I439, 2)</f>
        <v>274175.12</v>
      </c>
      <c r="V439" s="9">
        <f>ROUND(ROUND(P439, 2)/1.2, 2)</f>
        <v>926.95</v>
      </c>
      <c r="Y439" s="9">
        <f t="shared" ref="Y439:Y473" si="26">ROUND(S439 / 1.2, 2)</f>
        <v>228479.27</v>
      </c>
      <c r="AD439" s="4" t="s">
        <v>1682</v>
      </c>
      <c r="AE439" s="4" t="s">
        <v>1683</v>
      </c>
      <c r="AF439" s="4" t="s">
        <v>1684</v>
      </c>
    </row>
    <row r="440" spans="1:35" ht="126" x14ac:dyDescent="0.3">
      <c r="A440" s="10" t="s">
        <v>1685</v>
      </c>
      <c r="B440" s="10" t="s">
        <v>1634</v>
      </c>
      <c r="C440" s="11" t="s">
        <v>1635</v>
      </c>
      <c r="D440" s="12"/>
      <c r="E440" s="12" t="s">
        <v>1686</v>
      </c>
      <c r="F440" s="12" t="s">
        <v>58</v>
      </c>
      <c r="G440" s="13">
        <v>1</v>
      </c>
      <c r="H440" s="13"/>
      <c r="I440" s="13">
        <v>21.22</v>
      </c>
      <c r="J440" s="14">
        <f>IFERROR(ROUND(SUM(M441,M442,M443,M444)/I440, 2),0)</f>
        <v>1228.04</v>
      </c>
      <c r="K440" s="15">
        <v>2363.9899999999998</v>
      </c>
      <c r="L440" s="14">
        <f>J440+ROUND(K440, 2)</f>
        <v>3592.0299999999997</v>
      </c>
      <c r="M440" s="14">
        <f>ROUND(J440*I440, 2)</f>
        <v>26059.01</v>
      </c>
      <c r="N440" s="14">
        <f>ROUND(I440*ROUND(K440, 2), 2)</f>
        <v>50163.87</v>
      </c>
      <c r="O440" s="14">
        <f>M440+N440</f>
        <v>76222.880000000005</v>
      </c>
      <c r="P440" s="14">
        <f>IFERROR(ROUND(SUM(S441,S442,S443,S444)/I440, 2),0)</f>
        <v>1228.04</v>
      </c>
      <c r="Q440" s="16">
        <v>3377.13</v>
      </c>
      <c r="R440" s="14">
        <f>P440+ROUND(Q440, 2)</f>
        <v>4605.17</v>
      </c>
      <c r="S440" s="14">
        <f>ROUND(P440*I440, 2)</f>
        <v>26059.01</v>
      </c>
      <c r="T440" s="14">
        <f>ROUND(I440*ROUND(Q440, 2), 2)</f>
        <v>71662.7</v>
      </c>
      <c r="U440" s="14">
        <f>S440+T440</f>
        <v>97721.709999999992</v>
      </c>
      <c r="V440" s="9">
        <f>ROUND(P440 / 1.2, 2)</f>
        <v>1023.37</v>
      </c>
      <c r="W440" s="9">
        <f>ROUND(Q440 / 1.2, 2)</f>
        <v>2814.28</v>
      </c>
      <c r="X440" s="9">
        <f>ROUND(R440 / 1.2, 2)</f>
        <v>3837.64</v>
      </c>
      <c r="Y440" s="9">
        <f t="shared" si="26"/>
        <v>21715.84</v>
      </c>
      <c r="Z440" s="9">
        <f>ROUND(T440 / 1.2, 2)</f>
        <v>59718.92</v>
      </c>
      <c r="AA440" s="9">
        <f>Y440+Z440</f>
        <v>81434.759999999995</v>
      </c>
      <c r="AD440" s="4">
        <v>311044473</v>
      </c>
      <c r="AE440" s="4">
        <v>22876263</v>
      </c>
      <c r="AG440" s="4" t="s">
        <v>1637</v>
      </c>
      <c r="AH440" s="4" t="s">
        <v>1638</v>
      </c>
      <c r="AI440" s="4" t="s">
        <v>469</v>
      </c>
    </row>
    <row r="441" spans="1:35" ht="36" x14ac:dyDescent="0.3">
      <c r="A441" s="10" t="s">
        <v>1687</v>
      </c>
      <c r="B441" s="10"/>
      <c r="C441" s="23" t="s">
        <v>1688</v>
      </c>
      <c r="D441" s="12"/>
      <c r="E441" s="12"/>
      <c r="F441" s="18" t="s">
        <v>58</v>
      </c>
      <c r="G441" s="19">
        <v>1.07</v>
      </c>
      <c r="H441" s="24"/>
      <c r="I441" s="24">
        <v>22.704999999999998</v>
      </c>
      <c r="J441" s="20">
        <v>1036.55</v>
      </c>
      <c r="M441" s="21">
        <f>ROUND(ROUND(J441, 2)*I441, 2)</f>
        <v>23534.87</v>
      </c>
      <c r="P441" s="22">
        <v>1036.55</v>
      </c>
      <c r="S441" s="21">
        <f>ROUND(ROUND(P441, 2)*I441, 2)</f>
        <v>23534.87</v>
      </c>
      <c r="V441" s="9">
        <f>ROUND(ROUND(P441, 2)/1.2, 2)</f>
        <v>863.79</v>
      </c>
      <c r="Y441" s="9">
        <f t="shared" si="26"/>
        <v>19612.39</v>
      </c>
      <c r="AD441" s="4" t="s">
        <v>1689</v>
      </c>
      <c r="AE441" s="4" t="s">
        <v>1690</v>
      </c>
      <c r="AF441" s="4" t="s">
        <v>1691</v>
      </c>
    </row>
    <row r="442" spans="1:35" ht="36" x14ac:dyDescent="0.3">
      <c r="A442" s="10" t="s">
        <v>1692</v>
      </c>
      <c r="B442" s="10"/>
      <c r="C442" s="23" t="s">
        <v>1106</v>
      </c>
      <c r="D442" s="12"/>
      <c r="E442" s="12"/>
      <c r="F442" s="18" t="s">
        <v>99</v>
      </c>
      <c r="G442" s="19">
        <v>1.2</v>
      </c>
      <c r="H442" s="24"/>
      <c r="I442" s="24">
        <v>127.32</v>
      </c>
      <c r="J442" s="20">
        <v>16.38</v>
      </c>
      <c r="M442" s="21">
        <f>ROUND(ROUND(J442, 2)*I442, 2)</f>
        <v>2085.5</v>
      </c>
      <c r="P442" s="22">
        <v>16.38</v>
      </c>
      <c r="S442" s="21">
        <f>ROUND(ROUND(P442, 2)*I442, 2)</f>
        <v>2085.5</v>
      </c>
      <c r="V442" s="9">
        <f>ROUND(ROUND(P442, 2)/1.2, 2)</f>
        <v>13.65</v>
      </c>
      <c r="Y442" s="9">
        <f t="shared" si="26"/>
        <v>1737.92</v>
      </c>
      <c r="AD442" s="4" t="s">
        <v>1693</v>
      </c>
      <c r="AE442" s="4" t="s">
        <v>1694</v>
      </c>
      <c r="AF442" s="4" t="s">
        <v>1109</v>
      </c>
    </row>
    <row r="443" spans="1:35" ht="36" x14ac:dyDescent="0.3">
      <c r="A443" s="10" t="s">
        <v>1695</v>
      </c>
      <c r="B443" s="10"/>
      <c r="C443" s="17" t="s">
        <v>870</v>
      </c>
      <c r="D443" s="12"/>
      <c r="E443" s="12"/>
      <c r="F443" s="18" t="s">
        <v>99</v>
      </c>
      <c r="G443" s="19">
        <v>0.15</v>
      </c>
      <c r="H443" s="19"/>
      <c r="I443" s="19">
        <v>3.1829999999999998</v>
      </c>
      <c r="J443" s="20">
        <v>69.540000000000006</v>
      </c>
      <c r="M443" s="21">
        <f>ROUND(ROUND(J443, 2)*I443, 2)</f>
        <v>221.35</v>
      </c>
      <c r="P443" s="22">
        <v>69.540000000000006</v>
      </c>
      <c r="S443" s="21">
        <f>ROUND(ROUND(P443, 2)*I443, 2)</f>
        <v>221.35</v>
      </c>
      <c r="V443" s="9">
        <f>ROUND(ROUND(P443, 2)/1.2, 2)</f>
        <v>57.95</v>
      </c>
      <c r="Y443" s="9">
        <f t="shared" si="26"/>
        <v>184.46</v>
      </c>
      <c r="AD443" s="4" t="s">
        <v>1696</v>
      </c>
      <c r="AE443" s="4" t="s">
        <v>1697</v>
      </c>
      <c r="AF443" s="4" t="s">
        <v>873</v>
      </c>
    </row>
    <row r="444" spans="1:35" ht="36" x14ac:dyDescent="0.3">
      <c r="A444" s="10" t="s">
        <v>1698</v>
      </c>
      <c r="B444" s="10"/>
      <c r="C444" s="17" t="s">
        <v>1116</v>
      </c>
      <c r="D444" s="12"/>
      <c r="E444" s="12"/>
      <c r="F444" s="18" t="s">
        <v>99</v>
      </c>
      <c r="G444" s="19">
        <v>0.25</v>
      </c>
      <c r="H444" s="24"/>
      <c r="I444" s="24">
        <v>5.3049999999999997</v>
      </c>
      <c r="J444" s="20">
        <v>40.94</v>
      </c>
      <c r="M444" s="21">
        <f>ROUND(ROUND(J444, 2)*I444, 2)</f>
        <v>217.19</v>
      </c>
      <c r="P444" s="22">
        <v>40.94</v>
      </c>
      <c r="S444" s="21">
        <f>ROUND(ROUND(P444, 2)*I444, 2)</f>
        <v>217.19</v>
      </c>
      <c r="V444" s="9">
        <f>ROUND(ROUND(P444, 2)/1.2, 2)</f>
        <v>34.119999999999997</v>
      </c>
      <c r="Y444" s="9">
        <f t="shared" si="26"/>
        <v>180.99</v>
      </c>
      <c r="AD444" s="4" t="s">
        <v>1699</v>
      </c>
      <c r="AE444" s="4" t="s">
        <v>1700</v>
      </c>
      <c r="AF444" s="4" t="s">
        <v>1119</v>
      </c>
    </row>
    <row r="445" spans="1:35" ht="126" x14ac:dyDescent="0.3">
      <c r="A445" s="10" t="s">
        <v>1701</v>
      </c>
      <c r="B445" s="10" t="s">
        <v>1634</v>
      </c>
      <c r="C445" s="11" t="s">
        <v>1635</v>
      </c>
      <c r="D445" s="12"/>
      <c r="E445" s="12" t="s">
        <v>1702</v>
      </c>
      <c r="F445" s="12" t="s">
        <v>58</v>
      </c>
      <c r="G445" s="13">
        <v>1</v>
      </c>
      <c r="H445" s="13"/>
      <c r="I445" s="13">
        <v>21.19</v>
      </c>
      <c r="J445" s="14">
        <f>IFERROR(ROUND(SUM(M446,M447,M448,M449)/I445, 2),0)</f>
        <v>1357.1</v>
      </c>
      <c r="K445" s="15">
        <v>2363.9899999999998</v>
      </c>
      <c r="L445" s="14">
        <f>J445+ROUND(K445, 2)</f>
        <v>3721.0899999999997</v>
      </c>
      <c r="M445" s="14">
        <f>ROUND(J445*I445, 2)</f>
        <v>28756.95</v>
      </c>
      <c r="N445" s="14">
        <f>ROUND(I445*ROUND(K445, 2), 2)</f>
        <v>50092.95</v>
      </c>
      <c r="O445" s="14">
        <f>M445+N445</f>
        <v>78849.899999999994</v>
      </c>
      <c r="P445" s="14">
        <f>IFERROR(ROUND(SUM(S446,S447,S448,S449)/I445, 2),0)</f>
        <v>1357.1</v>
      </c>
      <c r="Q445" s="16">
        <v>3377.13</v>
      </c>
      <c r="R445" s="14">
        <f>P445+ROUND(Q445, 2)</f>
        <v>4734.2299999999996</v>
      </c>
      <c r="S445" s="14">
        <f>ROUND(P445*I445, 2)</f>
        <v>28756.95</v>
      </c>
      <c r="T445" s="14">
        <f>ROUND(I445*ROUND(Q445, 2), 2)</f>
        <v>71561.38</v>
      </c>
      <c r="U445" s="14">
        <f>S445+T445</f>
        <v>100318.33</v>
      </c>
      <c r="V445" s="9">
        <f>ROUND(P445 / 1.2, 2)</f>
        <v>1130.92</v>
      </c>
      <c r="W445" s="9">
        <f>ROUND(Q445 / 1.2, 2)</f>
        <v>2814.28</v>
      </c>
      <c r="X445" s="9">
        <f>ROUND(R445 / 1.2, 2)</f>
        <v>3945.19</v>
      </c>
      <c r="Y445" s="9">
        <f t="shared" si="26"/>
        <v>23964.13</v>
      </c>
      <c r="Z445" s="9">
        <f>ROUND(T445 / 1.2, 2)</f>
        <v>59634.48</v>
      </c>
      <c r="AA445" s="9">
        <f>Y445+Z445</f>
        <v>83598.61</v>
      </c>
      <c r="AD445" s="4">
        <v>311044474</v>
      </c>
      <c r="AE445" s="4">
        <v>22876262</v>
      </c>
      <c r="AG445" s="4" t="s">
        <v>1637</v>
      </c>
      <c r="AH445" s="4" t="s">
        <v>1638</v>
      </c>
      <c r="AI445" s="4" t="s">
        <v>469</v>
      </c>
    </row>
    <row r="446" spans="1:35" ht="36" x14ac:dyDescent="0.3">
      <c r="A446" s="10" t="s">
        <v>1703</v>
      </c>
      <c r="B446" s="10"/>
      <c r="C446" s="17" t="s">
        <v>1116</v>
      </c>
      <c r="D446" s="12"/>
      <c r="E446" s="12"/>
      <c r="F446" s="18" t="s">
        <v>99</v>
      </c>
      <c r="G446" s="19">
        <v>0.25</v>
      </c>
      <c r="H446" s="24"/>
      <c r="I446" s="24">
        <v>5.298</v>
      </c>
      <c r="J446" s="20">
        <v>40.94</v>
      </c>
      <c r="M446" s="21">
        <f>ROUND(ROUND(J446, 2)*I446, 2)</f>
        <v>216.9</v>
      </c>
      <c r="P446" s="22">
        <v>40.94</v>
      </c>
      <c r="S446" s="21">
        <f>ROUND(ROUND(P446, 2)*I446, 2)</f>
        <v>216.9</v>
      </c>
      <c r="V446" s="9">
        <f>ROUND(ROUND(P446, 2)/1.2, 2)</f>
        <v>34.119999999999997</v>
      </c>
      <c r="Y446" s="9">
        <f t="shared" si="26"/>
        <v>180.75</v>
      </c>
      <c r="AD446" s="4" t="s">
        <v>1704</v>
      </c>
      <c r="AE446" s="4" t="s">
        <v>1705</v>
      </c>
      <c r="AF446" s="4" t="s">
        <v>1119</v>
      </c>
    </row>
    <row r="447" spans="1:35" ht="36" x14ac:dyDescent="0.3">
      <c r="A447" s="10" t="s">
        <v>1706</v>
      </c>
      <c r="B447" s="10"/>
      <c r="C447" s="17" t="s">
        <v>870</v>
      </c>
      <c r="D447" s="12"/>
      <c r="E447" s="12"/>
      <c r="F447" s="18" t="s">
        <v>99</v>
      </c>
      <c r="G447" s="19">
        <v>0.15</v>
      </c>
      <c r="H447" s="19"/>
      <c r="I447" s="19">
        <v>3.1789999999999998</v>
      </c>
      <c r="J447" s="20">
        <v>69.540000000000006</v>
      </c>
      <c r="M447" s="21">
        <f>ROUND(ROUND(J447, 2)*I447, 2)</f>
        <v>221.07</v>
      </c>
      <c r="P447" s="22">
        <v>69.540000000000006</v>
      </c>
      <c r="S447" s="21">
        <f>ROUND(ROUND(P447, 2)*I447, 2)</f>
        <v>221.07</v>
      </c>
      <c r="V447" s="9">
        <f>ROUND(ROUND(P447, 2)/1.2, 2)</f>
        <v>57.95</v>
      </c>
      <c r="Y447" s="9">
        <f t="shared" si="26"/>
        <v>184.23</v>
      </c>
      <c r="AD447" s="4" t="s">
        <v>1707</v>
      </c>
      <c r="AE447" s="4" t="s">
        <v>1708</v>
      </c>
      <c r="AF447" s="4" t="s">
        <v>873</v>
      </c>
    </row>
    <row r="448" spans="1:35" ht="36" x14ac:dyDescent="0.3">
      <c r="A448" s="10" t="s">
        <v>1709</v>
      </c>
      <c r="B448" s="10"/>
      <c r="C448" s="23" t="s">
        <v>1106</v>
      </c>
      <c r="D448" s="12"/>
      <c r="E448" s="12"/>
      <c r="F448" s="18" t="s">
        <v>99</v>
      </c>
      <c r="G448" s="19">
        <v>1.2</v>
      </c>
      <c r="H448" s="24"/>
      <c r="I448" s="24">
        <v>127.14</v>
      </c>
      <c r="J448" s="20">
        <v>16.38</v>
      </c>
      <c r="M448" s="21">
        <f>ROUND(ROUND(J448, 2)*I448, 2)</f>
        <v>2082.5500000000002</v>
      </c>
      <c r="P448" s="22">
        <v>16.38</v>
      </c>
      <c r="S448" s="21">
        <f>ROUND(ROUND(P448, 2)*I448, 2)</f>
        <v>2082.5500000000002</v>
      </c>
      <c r="V448" s="9">
        <f>ROUND(ROUND(P448, 2)/1.2, 2)</f>
        <v>13.65</v>
      </c>
      <c r="Y448" s="9">
        <f t="shared" si="26"/>
        <v>1735.46</v>
      </c>
      <c r="AD448" s="4" t="s">
        <v>1710</v>
      </c>
      <c r="AE448" s="4" t="s">
        <v>1711</v>
      </c>
      <c r="AF448" s="4" t="s">
        <v>1109</v>
      </c>
    </row>
    <row r="449" spans="1:35" ht="54" x14ac:dyDescent="0.3">
      <c r="A449" s="10" t="s">
        <v>1712</v>
      </c>
      <c r="B449" s="10"/>
      <c r="C449" s="23" t="s">
        <v>1713</v>
      </c>
      <c r="D449" s="12"/>
      <c r="E449" s="12" t="s">
        <v>1714</v>
      </c>
      <c r="F449" s="18" t="s">
        <v>58</v>
      </c>
      <c r="G449" s="19">
        <v>1.07</v>
      </c>
      <c r="H449" s="24"/>
      <c r="I449" s="24">
        <v>22.672999999999998</v>
      </c>
      <c r="J449" s="20">
        <v>1157.17</v>
      </c>
      <c r="M449" s="21">
        <f>ROUND(ROUND(J449, 2)*I449, 2)</f>
        <v>26236.52</v>
      </c>
      <c r="P449" s="22">
        <v>1157.17</v>
      </c>
      <c r="S449" s="21">
        <f>ROUND(ROUND(P449, 2)*I449, 2)</f>
        <v>26236.52</v>
      </c>
      <c r="V449" s="9">
        <f>ROUND(ROUND(P449, 2)/1.2, 2)</f>
        <v>964.31</v>
      </c>
      <c r="Y449" s="9">
        <f t="shared" si="26"/>
        <v>21863.77</v>
      </c>
      <c r="AD449" s="4" t="s">
        <v>1715</v>
      </c>
      <c r="AE449" s="4" t="s">
        <v>1716</v>
      </c>
      <c r="AF449" s="4" t="s">
        <v>1717</v>
      </c>
    </row>
    <row r="450" spans="1:35" ht="126" x14ac:dyDescent="0.3">
      <c r="A450" s="10" t="s">
        <v>1718</v>
      </c>
      <c r="B450" s="10" t="s">
        <v>1634</v>
      </c>
      <c r="C450" s="11" t="s">
        <v>1635</v>
      </c>
      <c r="D450" s="12"/>
      <c r="E450" s="12" t="s">
        <v>1719</v>
      </c>
      <c r="F450" s="12" t="s">
        <v>58</v>
      </c>
      <c r="G450" s="13">
        <v>1</v>
      </c>
      <c r="H450" s="13"/>
      <c r="I450" s="13">
        <v>300.07</v>
      </c>
      <c r="J450" s="14">
        <f>IFERROR(ROUND(SUM(M451,M452,M453,M454)/I450, 2),0)</f>
        <v>1614.12</v>
      </c>
      <c r="K450" s="15">
        <v>2363.9899999999998</v>
      </c>
      <c r="L450" s="14">
        <f>J450+ROUND(K450, 2)</f>
        <v>3978.1099999999997</v>
      </c>
      <c r="M450" s="14">
        <f>ROUND(J450*I450, 2)</f>
        <v>484348.99</v>
      </c>
      <c r="N450" s="14">
        <f>ROUND(I450*ROUND(K450, 2), 2)</f>
        <v>709362.48</v>
      </c>
      <c r="O450" s="14">
        <f>M450+N450</f>
        <v>1193711.47</v>
      </c>
      <c r="P450" s="14">
        <f>IFERROR(ROUND(SUM(S451,S452,S453,S454)/I450, 2),0)</f>
        <v>1614.12</v>
      </c>
      <c r="Q450" s="16">
        <v>3377.13</v>
      </c>
      <c r="R450" s="14">
        <f>P450+ROUND(Q450, 2)</f>
        <v>4991.25</v>
      </c>
      <c r="S450" s="14">
        <f>ROUND(P450*I450, 2)</f>
        <v>484348.99</v>
      </c>
      <c r="T450" s="14">
        <f>ROUND(I450*ROUND(Q450, 2), 2)</f>
        <v>1013375.4</v>
      </c>
      <c r="U450" s="14">
        <f>S450+T450</f>
        <v>1497724.3900000001</v>
      </c>
      <c r="V450" s="9">
        <f>ROUND(P450 / 1.2, 2)</f>
        <v>1345.1</v>
      </c>
      <c r="W450" s="9">
        <f>ROUND(Q450 / 1.2, 2)</f>
        <v>2814.28</v>
      </c>
      <c r="X450" s="9">
        <f>ROUND(R450 / 1.2, 2)</f>
        <v>4159.38</v>
      </c>
      <c r="Y450" s="9">
        <f t="shared" si="26"/>
        <v>403624.16</v>
      </c>
      <c r="Z450" s="9">
        <f>ROUND(T450 / 1.2, 2)</f>
        <v>844479.5</v>
      </c>
      <c r="AA450" s="9">
        <f>Y450+Z450</f>
        <v>1248103.6599999999</v>
      </c>
      <c r="AD450" s="4">
        <v>311044475</v>
      </c>
      <c r="AE450" s="4">
        <v>22879024</v>
      </c>
      <c r="AG450" s="4" t="s">
        <v>1637</v>
      </c>
      <c r="AH450" s="4" t="s">
        <v>1638</v>
      </c>
      <c r="AI450" s="4" t="s">
        <v>469</v>
      </c>
    </row>
    <row r="451" spans="1:35" ht="36" x14ac:dyDescent="0.3">
      <c r="A451" s="10" t="s">
        <v>1720</v>
      </c>
      <c r="B451" s="10"/>
      <c r="C451" s="23" t="s">
        <v>1106</v>
      </c>
      <c r="D451" s="12"/>
      <c r="E451" s="12"/>
      <c r="F451" s="18" t="s">
        <v>99</v>
      </c>
      <c r="G451" s="19">
        <v>1.2</v>
      </c>
      <c r="H451" s="24"/>
      <c r="I451" s="24">
        <v>1800.42</v>
      </c>
      <c r="J451" s="20">
        <v>16.38</v>
      </c>
      <c r="M451" s="21">
        <f>ROUND(ROUND(J451, 2)*I451, 2)</f>
        <v>29490.880000000001</v>
      </c>
      <c r="P451" s="22">
        <v>16.38</v>
      </c>
      <c r="S451" s="21">
        <f>ROUND(ROUND(P451, 2)*I451, 2)</f>
        <v>29490.880000000001</v>
      </c>
      <c r="V451" s="9">
        <f>ROUND(ROUND(P451, 2)/1.2, 2)</f>
        <v>13.65</v>
      </c>
      <c r="Y451" s="9">
        <f t="shared" si="26"/>
        <v>24575.73</v>
      </c>
      <c r="AD451" s="4" t="s">
        <v>1721</v>
      </c>
      <c r="AE451" s="4" t="s">
        <v>1722</v>
      </c>
      <c r="AF451" s="4" t="s">
        <v>1109</v>
      </c>
    </row>
    <row r="452" spans="1:35" ht="36" x14ac:dyDescent="0.3">
      <c r="A452" s="10" t="s">
        <v>1723</v>
      </c>
      <c r="B452" s="10"/>
      <c r="C452" s="17" t="s">
        <v>870</v>
      </c>
      <c r="D452" s="12"/>
      <c r="E452" s="12"/>
      <c r="F452" s="18" t="s">
        <v>99</v>
      </c>
      <c r="G452" s="19">
        <v>0.15</v>
      </c>
      <c r="H452" s="19"/>
      <c r="I452" s="19">
        <v>45.011000000000003</v>
      </c>
      <c r="J452" s="20">
        <v>69.540000000000006</v>
      </c>
      <c r="M452" s="21">
        <f>ROUND(ROUND(J452, 2)*I452, 2)</f>
        <v>3130.06</v>
      </c>
      <c r="P452" s="22">
        <v>69.540000000000006</v>
      </c>
      <c r="S452" s="21">
        <f>ROUND(ROUND(P452, 2)*I452, 2)</f>
        <v>3130.06</v>
      </c>
      <c r="V452" s="9">
        <f>ROUND(ROUND(P452, 2)/1.2, 2)</f>
        <v>57.95</v>
      </c>
      <c r="Y452" s="9">
        <f t="shared" si="26"/>
        <v>2608.38</v>
      </c>
      <c r="AD452" s="4" t="s">
        <v>1724</v>
      </c>
      <c r="AE452" s="4" t="s">
        <v>1725</v>
      </c>
      <c r="AF452" s="4" t="s">
        <v>873</v>
      </c>
    </row>
    <row r="453" spans="1:35" ht="36" x14ac:dyDescent="0.3">
      <c r="A453" s="10" t="s">
        <v>1726</v>
      </c>
      <c r="B453" s="10"/>
      <c r="C453" s="17" t="s">
        <v>1116</v>
      </c>
      <c r="D453" s="12"/>
      <c r="E453" s="12"/>
      <c r="F453" s="18" t="s">
        <v>99</v>
      </c>
      <c r="G453" s="19">
        <v>0.25</v>
      </c>
      <c r="H453" s="24"/>
      <c r="I453" s="24">
        <v>75.018000000000001</v>
      </c>
      <c r="J453" s="20">
        <v>40.94</v>
      </c>
      <c r="M453" s="21">
        <f>ROUND(ROUND(J453, 2)*I453, 2)</f>
        <v>3071.24</v>
      </c>
      <c r="P453" s="22">
        <v>40.94</v>
      </c>
      <c r="S453" s="21">
        <f>ROUND(ROUND(P453, 2)*I453, 2)</f>
        <v>3071.24</v>
      </c>
      <c r="V453" s="9">
        <f>ROUND(ROUND(P453, 2)/1.2, 2)</f>
        <v>34.119999999999997</v>
      </c>
      <c r="Y453" s="9">
        <f t="shared" si="26"/>
        <v>2559.37</v>
      </c>
      <c r="AD453" s="4" t="s">
        <v>1727</v>
      </c>
      <c r="AE453" s="4" t="s">
        <v>1728</v>
      </c>
      <c r="AF453" s="4" t="s">
        <v>1119</v>
      </c>
    </row>
    <row r="454" spans="1:35" ht="90" x14ac:dyDescent="0.3">
      <c r="A454" s="10" t="s">
        <v>1729</v>
      </c>
      <c r="B454" s="10"/>
      <c r="C454" s="17" t="s">
        <v>1730</v>
      </c>
      <c r="D454" s="12"/>
      <c r="E454" s="12" t="s">
        <v>1731</v>
      </c>
      <c r="F454" s="18" t="s">
        <v>58</v>
      </c>
      <c r="G454" s="19">
        <v>1.07</v>
      </c>
      <c r="H454" s="24"/>
      <c r="I454" s="24">
        <v>321.07499999999999</v>
      </c>
      <c r="J454" s="20">
        <v>1397.36</v>
      </c>
      <c r="M454" s="21">
        <f>ROUND(ROUND(J454, 2)*I454, 2)</f>
        <v>448657.36</v>
      </c>
      <c r="P454" s="22">
        <v>1397.36</v>
      </c>
      <c r="S454" s="21">
        <f>ROUND(ROUND(P454, 2)*I454, 2)</f>
        <v>448657.36</v>
      </c>
      <c r="V454" s="9">
        <f>ROUND(ROUND(P454, 2)/1.2, 2)</f>
        <v>1164.47</v>
      </c>
      <c r="Y454" s="9">
        <f t="shared" si="26"/>
        <v>373881.13</v>
      </c>
      <c r="AD454" s="4" t="s">
        <v>1732</v>
      </c>
      <c r="AE454" s="4" t="s">
        <v>1733</v>
      </c>
      <c r="AF454" s="4" t="s">
        <v>1734</v>
      </c>
    </row>
    <row r="455" spans="1:35" ht="126" x14ac:dyDescent="0.3">
      <c r="A455" s="10" t="s">
        <v>1735</v>
      </c>
      <c r="B455" s="10" t="s">
        <v>1634</v>
      </c>
      <c r="C455" s="11" t="s">
        <v>1635</v>
      </c>
      <c r="D455" s="12"/>
      <c r="E455" s="12" t="s">
        <v>1736</v>
      </c>
      <c r="F455" s="12" t="s">
        <v>58</v>
      </c>
      <c r="G455" s="13">
        <v>1</v>
      </c>
      <c r="H455" s="13"/>
      <c r="I455" s="13">
        <v>1428.26</v>
      </c>
      <c r="J455" s="14">
        <f>IFERROR(ROUND(SUM(M456,M457,M458,M459)/I455, 2),0)</f>
        <v>1146.95</v>
      </c>
      <c r="K455" s="15">
        <v>2363.9899999999998</v>
      </c>
      <c r="L455" s="14">
        <f>J455+ROUND(K455, 2)</f>
        <v>3510.9399999999996</v>
      </c>
      <c r="M455" s="14">
        <f>ROUND(J455*I455, 2)</f>
        <v>1638142.81</v>
      </c>
      <c r="N455" s="14">
        <f>ROUND(I455*ROUND(K455, 2), 2)</f>
        <v>3376392.36</v>
      </c>
      <c r="O455" s="14">
        <f>M455+N455</f>
        <v>5014535.17</v>
      </c>
      <c r="P455" s="14">
        <f>IFERROR(ROUND(SUM(S456,S457,S458,S459)/I455, 2),0)</f>
        <v>781.81</v>
      </c>
      <c r="Q455" s="16">
        <v>3377.13</v>
      </c>
      <c r="R455" s="14">
        <f>P455+ROUND(Q455, 2)</f>
        <v>4158.9400000000005</v>
      </c>
      <c r="S455" s="14">
        <f>ROUND(P455*I455, 2)</f>
        <v>1116627.95</v>
      </c>
      <c r="T455" s="14">
        <f>ROUND(I455*ROUND(Q455, 2), 2)</f>
        <v>4823419.6900000004</v>
      </c>
      <c r="U455" s="14">
        <f>S455+T455</f>
        <v>5940047.6400000006</v>
      </c>
      <c r="V455" s="9">
        <f>ROUND(P455 / 1.2, 2)</f>
        <v>651.51</v>
      </c>
      <c r="W455" s="9">
        <f>ROUND(Q455 / 1.2, 2)</f>
        <v>2814.28</v>
      </c>
      <c r="X455" s="9">
        <f>ROUND(R455 / 1.2, 2)</f>
        <v>3465.78</v>
      </c>
      <c r="Y455" s="9">
        <f t="shared" si="26"/>
        <v>930523.29</v>
      </c>
      <c r="Z455" s="9">
        <f>ROUND(T455 / 1.2, 2)</f>
        <v>4019516.41</v>
      </c>
      <c r="AA455" s="9">
        <f>Y455+Z455</f>
        <v>4950039.7</v>
      </c>
      <c r="AD455" s="4">
        <v>311044476</v>
      </c>
      <c r="AE455" s="4">
        <v>22879025</v>
      </c>
      <c r="AG455" s="4" t="s">
        <v>1637</v>
      </c>
      <c r="AH455" s="4" t="s">
        <v>1638</v>
      </c>
      <c r="AI455" s="4" t="s">
        <v>469</v>
      </c>
    </row>
    <row r="456" spans="1:35" ht="36" x14ac:dyDescent="0.3">
      <c r="A456" s="10" t="s">
        <v>1737</v>
      </c>
      <c r="B456" s="10"/>
      <c r="C456" s="17" t="s">
        <v>1116</v>
      </c>
      <c r="D456" s="12"/>
      <c r="E456" s="12"/>
      <c r="F456" s="18" t="s">
        <v>99</v>
      </c>
      <c r="G456" s="19">
        <v>0.25</v>
      </c>
      <c r="H456" s="24"/>
      <c r="I456" s="24">
        <v>357.065</v>
      </c>
      <c r="J456" s="20">
        <v>40.94</v>
      </c>
      <c r="M456" s="21">
        <f>ROUND(ROUND(J456, 2)*I456, 2)</f>
        <v>14618.24</v>
      </c>
      <c r="P456" s="22">
        <v>40.94</v>
      </c>
      <c r="S456" s="21">
        <f>ROUND(ROUND(P456, 2)*I456, 2)</f>
        <v>14618.24</v>
      </c>
      <c r="V456" s="9">
        <f>ROUND(ROUND(P456, 2)/1.2, 2)</f>
        <v>34.119999999999997</v>
      </c>
      <c r="Y456" s="9">
        <f t="shared" si="26"/>
        <v>12181.87</v>
      </c>
      <c r="AD456" s="4" t="s">
        <v>1738</v>
      </c>
      <c r="AE456" s="4" t="s">
        <v>1739</v>
      </c>
      <c r="AF456" s="4" t="s">
        <v>1119</v>
      </c>
    </row>
    <row r="457" spans="1:35" ht="36" x14ac:dyDescent="0.3">
      <c r="A457" s="10" t="s">
        <v>1740</v>
      </c>
      <c r="B457" s="10"/>
      <c r="C457" s="17" t="s">
        <v>870</v>
      </c>
      <c r="D457" s="12"/>
      <c r="E457" s="12"/>
      <c r="F457" s="18" t="s">
        <v>99</v>
      </c>
      <c r="G457" s="19">
        <v>0.15</v>
      </c>
      <c r="H457" s="19"/>
      <c r="I457" s="19">
        <v>214.239</v>
      </c>
      <c r="J457" s="20">
        <v>69.540000000000006</v>
      </c>
      <c r="M457" s="21">
        <f>ROUND(ROUND(J457, 2)*I457, 2)</f>
        <v>14898.18</v>
      </c>
      <c r="P457" s="22">
        <v>69.540000000000006</v>
      </c>
      <c r="S457" s="21">
        <f>ROUND(ROUND(P457, 2)*I457, 2)</f>
        <v>14898.18</v>
      </c>
      <c r="V457" s="9">
        <f>ROUND(ROUND(P457, 2)/1.2, 2)</f>
        <v>57.95</v>
      </c>
      <c r="Y457" s="9">
        <f t="shared" si="26"/>
        <v>12415.15</v>
      </c>
      <c r="AD457" s="4" t="s">
        <v>1741</v>
      </c>
      <c r="AE457" s="4" t="s">
        <v>1742</v>
      </c>
      <c r="AF457" s="4" t="s">
        <v>873</v>
      </c>
    </row>
    <row r="458" spans="1:35" ht="36" x14ac:dyDescent="0.3">
      <c r="A458" s="10" t="s">
        <v>1743</v>
      </c>
      <c r="B458" s="10"/>
      <c r="C458" s="23" t="s">
        <v>1106</v>
      </c>
      <c r="D458" s="12"/>
      <c r="E458" s="12"/>
      <c r="F458" s="18" t="s">
        <v>99</v>
      </c>
      <c r="G458" s="19">
        <v>1.2</v>
      </c>
      <c r="H458" s="24"/>
      <c r="I458" s="24">
        <v>8569.56</v>
      </c>
      <c r="J458" s="20">
        <v>16.38</v>
      </c>
      <c r="M458" s="21">
        <f>ROUND(ROUND(J458, 2)*I458, 2)</f>
        <v>140369.39000000001</v>
      </c>
      <c r="P458" s="22">
        <v>16.38</v>
      </c>
      <c r="S458" s="21">
        <f>ROUND(ROUND(P458, 2)*I458, 2)</f>
        <v>140369.39000000001</v>
      </c>
      <c r="V458" s="9">
        <f>ROUND(ROUND(P458, 2)/1.2, 2)</f>
        <v>13.65</v>
      </c>
      <c r="Y458" s="9">
        <f t="shared" si="26"/>
        <v>116974.49</v>
      </c>
      <c r="AD458" s="4" t="s">
        <v>1744</v>
      </c>
      <c r="AE458" s="4" t="s">
        <v>1745</v>
      </c>
      <c r="AF458" s="4" t="s">
        <v>1109</v>
      </c>
    </row>
    <row r="459" spans="1:35" ht="54" x14ac:dyDescent="0.3">
      <c r="A459" s="10" t="s">
        <v>1746</v>
      </c>
      <c r="B459" s="10"/>
      <c r="C459" s="23" t="s">
        <v>1649</v>
      </c>
      <c r="D459" s="12"/>
      <c r="E459" s="12" t="s">
        <v>1747</v>
      </c>
      <c r="F459" s="18" t="s">
        <v>58</v>
      </c>
      <c r="G459" s="19">
        <v>1.07</v>
      </c>
      <c r="H459" s="24"/>
      <c r="I459" s="24">
        <v>1528.2380000000001</v>
      </c>
      <c r="J459" s="20">
        <v>960.75</v>
      </c>
      <c r="M459" s="21">
        <f>ROUND(ROUND(J459, 2)*I459, 2)</f>
        <v>1468254.66</v>
      </c>
      <c r="P459" s="22">
        <v>619.5</v>
      </c>
      <c r="S459" s="21">
        <f>ROUND(ROUND(P459, 2)*I459, 2)</f>
        <v>946743.44</v>
      </c>
      <c r="V459" s="9">
        <f>ROUND(ROUND(P459, 2)/1.2, 2)</f>
        <v>516.25</v>
      </c>
      <c r="Y459" s="9">
        <f t="shared" si="26"/>
        <v>788952.87</v>
      </c>
      <c r="AD459" s="4" t="s">
        <v>1748</v>
      </c>
      <c r="AE459" s="4" t="s">
        <v>1749</v>
      </c>
      <c r="AF459" s="4" t="s">
        <v>1652</v>
      </c>
    </row>
    <row r="460" spans="1:35" ht="144" x14ac:dyDescent="0.3">
      <c r="A460" s="10" t="s">
        <v>1750</v>
      </c>
      <c r="B460" s="10" t="s">
        <v>1634</v>
      </c>
      <c r="C460" s="11" t="s">
        <v>1635</v>
      </c>
      <c r="D460" s="12"/>
      <c r="E460" s="12" t="s">
        <v>1751</v>
      </c>
      <c r="F460" s="12" t="s">
        <v>58</v>
      </c>
      <c r="G460" s="13">
        <v>1</v>
      </c>
      <c r="H460" s="13"/>
      <c r="I460" s="13">
        <v>40.700000000000003</v>
      </c>
      <c r="J460" s="14">
        <f>IFERROR(ROUND(SUM(M461,M462,M463)/I460, 2),0)</f>
        <v>1603.69</v>
      </c>
      <c r="K460" s="15">
        <v>2363.9899999999998</v>
      </c>
      <c r="L460" s="14">
        <f>J460+ROUND(K460, 2)</f>
        <v>3967.68</v>
      </c>
      <c r="M460" s="14">
        <f>ROUND(J460*I460, 2)</f>
        <v>65270.18</v>
      </c>
      <c r="N460" s="14">
        <f>ROUND(I460*ROUND(K460, 2), 2)</f>
        <v>96214.39</v>
      </c>
      <c r="O460" s="14">
        <f>M460+N460</f>
        <v>161484.57</v>
      </c>
      <c r="P460" s="14">
        <f>IFERROR(ROUND(SUM(S461,S462,S463)/I460, 2),0)</f>
        <v>1603.69</v>
      </c>
      <c r="Q460" s="16">
        <v>3377.13</v>
      </c>
      <c r="R460" s="14">
        <f>P460+ROUND(Q460, 2)</f>
        <v>4980.82</v>
      </c>
      <c r="S460" s="14">
        <f>ROUND(P460*I460, 2)</f>
        <v>65270.18</v>
      </c>
      <c r="T460" s="14">
        <f>ROUND(I460*ROUND(Q460, 2), 2)</f>
        <v>137449.19</v>
      </c>
      <c r="U460" s="14">
        <f>S460+T460</f>
        <v>202719.37</v>
      </c>
      <c r="V460" s="9">
        <f>ROUND(P460 / 1.2, 2)</f>
        <v>1336.41</v>
      </c>
      <c r="W460" s="9">
        <f>ROUND(Q460 / 1.2, 2)</f>
        <v>2814.28</v>
      </c>
      <c r="X460" s="9">
        <f>ROUND(R460 / 1.2, 2)</f>
        <v>4150.68</v>
      </c>
      <c r="Y460" s="9">
        <f t="shared" si="26"/>
        <v>54391.82</v>
      </c>
      <c r="Z460" s="9">
        <f>ROUND(T460 / 1.2, 2)</f>
        <v>114540.99</v>
      </c>
      <c r="AA460" s="9">
        <f>Y460+Z460</f>
        <v>168932.81</v>
      </c>
      <c r="AD460" s="4">
        <v>311044477</v>
      </c>
      <c r="AE460" s="4">
        <v>22879033</v>
      </c>
      <c r="AG460" s="4" t="s">
        <v>1637</v>
      </c>
      <c r="AH460" s="4" t="s">
        <v>1638</v>
      </c>
      <c r="AI460" s="4" t="s">
        <v>469</v>
      </c>
    </row>
    <row r="461" spans="1:35" ht="36" x14ac:dyDescent="0.3">
      <c r="A461" s="10" t="s">
        <v>1752</v>
      </c>
      <c r="B461" s="10"/>
      <c r="C461" s="23" t="s">
        <v>1106</v>
      </c>
      <c r="D461" s="12"/>
      <c r="E461" s="12"/>
      <c r="F461" s="18" t="s">
        <v>99</v>
      </c>
      <c r="G461" s="19">
        <v>1.2</v>
      </c>
      <c r="H461" s="24"/>
      <c r="I461" s="24">
        <v>244.2</v>
      </c>
      <c r="J461" s="20">
        <v>16.38</v>
      </c>
      <c r="M461" s="21">
        <f>ROUND(ROUND(J461, 2)*I461, 2)</f>
        <v>4000</v>
      </c>
      <c r="P461" s="22">
        <v>16.38</v>
      </c>
      <c r="S461" s="21">
        <f>ROUND(ROUND(P461, 2)*I461, 2)</f>
        <v>4000</v>
      </c>
      <c r="V461" s="9">
        <f>ROUND(ROUND(P461, 2)/1.2, 2)</f>
        <v>13.65</v>
      </c>
      <c r="Y461" s="9">
        <f t="shared" si="26"/>
        <v>3333.33</v>
      </c>
      <c r="AD461" s="4" t="s">
        <v>1753</v>
      </c>
      <c r="AE461" s="4" t="s">
        <v>1754</v>
      </c>
      <c r="AF461" s="4" t="s">
        <v>1109</v>
      </c>
    </row>
    <row r="462" spans="1:35" ht="36" x14ac:dyDescent="0.3">
      <c r="A462" s="10" t="s">
        <v>1755</v>
      </c>
      <c r="B462" s="10"/>
      <c r="C462" s="17" t="s">
        <v>1116</v>
      </c>
      <c r="D462" s="12"/>
      <c r="E462" s="12"/>
      <c r="F462" s="18" t="s">
        <v>99</v>
      </c>
      <c r="G462" s="19">
        <v>0.25</v>
      </c>
      <c r="H462" s="24"/>
      <c r="I462" s="24">
        <v>10.175000000000001</v>
      </c>
      <c r="J462" s="20">
        <v>40.94</v>
      </c>
      <c r="M462" s="21">
        <f>ROUND(ROUND(J462, 2)*I462, 2)</f>
        <v>416.56</v>
      </c>
      <c r="P462" s="22">
        <v>40.94</v>
      </c>
      <c r="S462" s="21">
        <f>ROUND(ROUND(P462, 2)*I462, 2)</f>
        <v>416.56</v>
      </c>
      <c r="V462" s="9">
        <f>ROUND(ROUND(P462, 2)/1.2, 2)</f>
        <v>34.119999999999997</v>
      </c>
      <c r="Y462" s="9">
        <f t="shared" si="26"/>
        <v>347.13</v>
      </c>
      <c r="AD462" s="4" t="s">
        <v>1756</v>
      </c>
      <c r="AE462" s="4" t="s">
        <v>1757</v>
      </c>
      <c r="AF462" s="4" t="s">
        <v>1119</v>
      </c>
    </row>
    <row r="463" spans="1:35" ht="108" x14ac:dyDescent="0.3">
      <c r="A463" s="10" t="s">
        <v>1758</v>
      </c>
      <c r="B463" s="10"/>
      <c r="C463" s="17" t="s">
        <v>1730</v>
      </c>
      <c r="D463" s="12"/>
      <c r="E463" s="12" t="s">
        <v>1759</v>
      </c>
      <c r="F463" s="18" t="s">
        <v>58</v>
      </c>
      <c r="G463" s="19">
        <v>1.07</v>
      </c>
      <c r="H463" s="24"/>
      <c r="I463" s="24">
        <v>43.548999999999999</v>
      </c>
      <c r="J463" s="20">
        <v>1397.36</v>
      </c>
      <c r="M463" s="21">
        <f>ROUND(ROUND(J463, 2)*I463, 2)</f>
        <v>60853.63</v>
      </c>
      <c r="P463" s="22">
        <v>1397.36</v>
      </c>
      <c r="S463" s="21">
        <f>ROUND(ROUND(P463, 2)*I463, 2)</f>
        <v>60853.63</v>
      </c>
      <c r="V463" s="9">
        <f>ROUND(ROUND(P463, 2)/1.2, 2)</f>
        <v>1164.47</v>
      </c>
      <c r="Y463" s="9">
        <f t="shared" si="26"/>
        <v>50711.360000000001</v>
      </c>
      <c r="AD463" s="4" t="s">
        <v>1760</v>
      </c>
      <c r="AE463" s="4" t="s">
        <v>1761</v>
      </c>
      <c r="AF463" s="4" t="s">
        <v>1734</v>
      </c>
    </row>
    <row r="464" spans="1:35" ht="126" x14ac:dyDescent="0.3">
      <c r="A464" s="10" t="s">
        <v>1762</v>
      </c>
      <c r="B464" s="10" t="s">
        <v>1634</v>
      </c>
      <c r="C464" s="11" t="s">
        <v>1635</v>
      </c>
      <c r="D464" s="12"/>
      <c r="E464" s="12" t="s">
        <v>1763</v>
      </c>
      <c r="F464" s="12" t="s">
        <v>58</v>
      </c>
      <c r="G464" s="13">
        <v>1</v>
      </c>
      <c r="H464" s="13"/>
      <c r="I464" s="13">
        <v>1069.25</v>
      </c>
      <c r="J464" s="14">
        <f>IFERROR(ROUND(SUM(M465,M466,M467,M468)/I464, 2),0)</f>
        <v>1614.12</v>
      </c>
      <c r="K464" s="15">
        <v>2363.9899999999998</v>
      </c>
      <c r="L464" s="14">
        <f>J464+ROUND(K464, 2)</f>
        <v>3978.1099999999997</v>
      </c>
      <c r="M464" s="14">
        <f>ROUND(J464*I464, 2)</f>
        <v>1725897.81</v>
      </c>
      <c r="N464" s="14">
        <f>ROUND(I464*ROUND(K464, 2), 2)</f>
        <v>2527696.31</v>
      </c>
      <c r="O464" s="14">
        <f>M464+N464</f>
        <v>4253594.12</v>
      </c>
      <c r="P464" s="14">
        <f>IFERROR(ROUND(SUM(S465,S466,S467,S468)/I464, 2),0)</f>
        <v>1614.12</v>
      </c>
      <c r="Q464" s="16">
        <v>3377.13</v>
      </c>
      <c r="R464" s="14">
        <f>P464+ROUND(Q464, 2)</f>
        <v>4991.25</v>
      </c>
      <c r="S464" s="14">
        <f>ROUND(P464*I464, 2)</f>
        <v>1725897.81</v>
      </c>
      <c r="T464" s="14">
        <f>ROUND(I464*ROUND(Q464, 2), 2)</f>
        <v>3610996.25</v>
      </c>
      <c r="U464" s="14">
        <f>S464+T464</f>
        <v>5336894.0600000005</v>
      </c>
      <c r="V464" s="9">
        <f>ROUND(P464 / 1.2, 2)</f>
        <v>1345.1</v>
      </c>
      <c r="W464" s="9">
        <f>ROUND(Q464 / 1.2, 2)</f>
        <v>2814.28</v>
      </c>
      <c r="X464" s="9">
        <f>ROUND(R464 / 1.2, 2)</f>
        <v>4159.38</v>
      </c>
      <c r="Y464" s="9">
        <f t="shared" si="26"/>
        <v>1438248.18</v>
      </c>
      <c r="Z464" s="9">
        <f>ROUND(T464 / 1.2, 2)</f>
        <v>3009163.54</v>
      </c>
      <c r="AA464" s="9">
        <f>Y464+Z464</f>
        <v>4447411.72</v>
      </c>
      <c r="AD464" s="4">
        <v>311044478</v>
      </c>
      <c r="AE464" s="4">
        <v>22879031</v>
      </c>
      <c r="AG464" s="4" t="s">
        <v>1637</v>
      </c>
      <c r="AH464" s="4" t="s">
        <v>1638</v>
      </c>
      <c r="AI464" s="4" t="s">
        <v>469</v>
      </c>
    </row>
    <row r="465" spans="1:35" ht="72" x14ac:dyDescent="0.3">
      <c r="A465" s="10" t="s">
        <v>1764</v>
      </c>
      <c r="B465" s="10"/>
      <c r="C465" s="17" t="s">
        <v>1730</v>
      </c>
      <c r="D465" s="12"/>
      <c r="E465" s="12" t="s">
        <v>1765</v>
      </c>
      <c r="F465" s="18" t="s">
        <v>58</v>
      </c>
      <c r="G465" s="19">
        <v>1.07</v>
      </c>
      <c r="H465" s="24"/>
      <c r="I465" s="24">
        <v>1144.098</v>
      </c>
      <c r="J465" s="20">
        <v>1397.36</v>
      </c>
      <c r="M465" s="21">
        <f>ROUND(ROUND(J465, 2)*I465, 2)</f>
        <v>1598716.78</v>
      </c>
      <c r="P465" s="22">
        <v>1397.36</v>
      </c>
      <c r="S465" s="21">
        <f>ROUND(ROUND(P465, 2)*I465, 2)</f>
        <v>1598716.78</v>
      </c>
      <c r="V465" s="9">
        <f>ROUND(ROUND(P465, 2)/1.2, 2)</f>
        <v>1164.47</v>
      </c>
      <c r="Y465" s="9">
        <f t="shared" si="26"/>
        <v>1332263.98</v>
      </c>
      <c r="AD465" s="4" t="s">
        <v>1766</v>
      </c>
      <c r="AE465" s="4" t="s">
        <v>1767</v>
      </c>
      <c r="AF465" s="4" t="s">
        <v>1734</v>
      </c>
    </row>
    <row r="466" spans="1:35" ht="36" x14ac:dyDescent="0.3">
      <c r="A466" s="10" t="s">
        <v>1768</v>
      </c>
      <c r="B466" s="10"/>
      <c r="C466" s="17" t="s">
        <v>1116</v>
      </c>
      <c r="D466" s="12"/>
      <c r="E466" s="12"/>
      <c r="F466" s="18" t="s">
        <v>99</v>
      </c>
      <c r="G466" s="19">
        <v>0.25</v>
      </c>
      <c r="H466" s="24"/>
      <c r="I466" s="24">
        <v>267.31299999999999</v>
      </c>
      <c r="J466" s="20">
        <v>40.94</v>
      </c>
      <c r="M466" s="21">
        <f>ROUND(ROUND(J466, 2)*I466, 2)</f>
        <v>10943.79</v>
      </c>
      <c r="P466" s="22">
        <v>40.94</v>
      </c>
      <c r="S466" s="21">
        <f>ROUND(ROUND(P466, 2)*I466, 2)</f>
        <v>10943.79</v>
      </c>
      <c r="V466" s="9">
        <f>ROUND(ROUND(P466, 2)/1.2, 2)</f>
        <v>34.119999999999997</v>
      </c>
      <c r="Y466" s="9">
        <f t="shared" si="26"/>
        <v>9119.83</v>
      </c>
      <c r="AD466" s="4" t="s">
        <v>1769</v>
      </c>
      <c r="AE466" s="4" t="s">
        <v>1770</v>
      </c>
      <c r="AF466" s="4" t="s">
        <v>1119</v>
      </c>
    </row>
    <row r="467" spans="1:35" ht="36" x14ac:dyDescent="0.3">
      <c r="A467" s="10" t="s">
        <v>1771</v>
      </c>
      <c r="B467" s="10"/>
      <c r="C467" s="17" t="s">
        <v>870</v>
      </c>
      <c r="D467" s="12"/>
      <c r="E467" s="12"/>
      <c r="F467" s="18" t="s">
        <v>99</v>
      </c>
      <c r="G467" s="19">
        <v>0.15</v>
      </c>
      <c r="H467" s="19"/>
      <c r="I467" s="19">
        <v>160.38800000000001</v>
      </c>
      <c r="J467" s="20">
        <v>69.540000000000006</v>
      </c>
      <c r="M467" s="21">
        <f>ROUND(ROUND(J467, 2)*I467, 2)</f>
        <v>11153.38</v>
      </c>
      <c r="P467" s="22">
        <v>69.540000000000006</v>
      </c>
      <c r="S467" s="21">
        <f>ROUND(ROUND(P467, 2)*I467, 2)</f>
        <v>11153.38</v>
      </c>
      <c r="V467" s="9">
        <f>ROUND(ROUND(P467, 2)/1.2, 2)</f>
        <v>57.95</v>
      </c>
      <c r="Y467" s="9">
        <f t="shared" si="26"/>
        <v>9294.48</v>
      </c>
      <c r="AD467" s="4" t="s">
        <v>1772</v>
      </c>
      <c r="AE467" s="4" t="s">
        <v>1773</v>
      </c>
      <c r="AF467" s="4" t="s">
        <v>873</v>
      </c>
    </row>
    <row r="468" spans="1:35" ht="36" x14ac:dyDescent="0.3">
      <c r="A468" s="10" t="s">
        <v>1774</v>
      </c>
      <c r="B468" s="10"/>
      <c r="C468" s="23" t="s">
        <v>1106</v>
      </c>
      <c r="D468" s="12"/>
      <c r="E468" s="12"/>
      <c r="F468" s="18" t="s">
        <v>99</v>
      </c>
      <c r="G468" s="19">
        <v>1.2</v>
      </c>
      <c r="H468" s="24"/>
      <c r="I468" s="24">
        <v>6415.5</v>
      </c>
      <c r="J468" s="20">
        <v>16.38</v>
      </c>
      <c r="M468" s="21">
        <f>ROUND(ROUND(J468, 2)*I468, 2)</f>
        <v>105085.89</v>
      </c>
      <c r="P468" s="22">
        <v>16.38</v>
      </c>
      <c r="S468" s="21">
        <f>ROUND(ROUND(P468, 2)*I468, 2)</f>
        <v>105085.89</v>
      </c>
      <c r="V468" s="9">
        <f>ROUND(ROUND(P468, 2)/1.2, 2)</f>
        <v>13.65</v>
      </c>
      <c r="Y468" s="9">
        <f t="shared" si="26"/>
        <v>87571.58</v>
      </c>
      <c r="AD468" s="4" t="s">
        <v>1775</v>
      </c>
      <c r="AE468" s="4" t="s">
        <v>1776</v>
      </c>
      <c r="AF468" s="4" t="s">
        <v>1109</v>
      </c>
    </row>
    <row r="469" spans="1:35" ht="126" x14ac:dyDescent="0.3">
      <c r="A469" s="10" t="s">
        <v>1777</v>
      </c>
      <c r="B469" s="10" t="s">
        <v>1778</v>
      </c>
      <c r="C469" s="11" t="s">
        <v>1779</v>
      </c>
      <c r="D469" s="12"/>
      <c r="E469" s="12" t="s">
        <v>1780</v>
      </c>
      <c r="F469" s="12" t="s">
        <v>58</v>
      </c>
      <c r="G469" s="13">
        <v>1</v>
      </c>
      <c r="H469" s="13"/>
      <c r="I469" s="13">
        <v>7.45</v>
      </c>
      <c r="J469" s="14">
        <f>IFERROR(ROUND(SUM(M470,M471,M472,M473)/I469, 2),0)</f>
        <v>1069.53</v>
      </c>
      <c r="K469" s="15">
        <v>2983</v>
      </c>
      <c r="L469" s="14">
        <f>J469+ROUND(K469, 2)</f>
        <v>4052.5299999999997</v>
      </c>
      <c r="M469" s="14">
        <f>ROUND(J469*I469, 2)</f>
        <v>7968</v>
      </c>
      <c r="N469" s="14">
        <f>ROUND(I469*ROUND(K469, 2), 2)</f>
        <v>22223.35</v>
      </c>
      <c r="O469" s="14">
        <f>M469+N469</f>
        <v>30191.35</v>
      </c>
      <c r="P469" s="14">
        <f>IFERROR(ROUND(SUM(S470,S471,S472,S473)/I469, 2),0)</f>
        <v>2360.81</v>
      </c>
      <c r="Q469" s="16">
        <v>4261.43</v>
      </c>
      <c r="R469" s="14">
        <f>P469+ROUND(Q469, 2)</f>
        <v>6622.24</v>
      </c>
      <c r="S469" s="14">
        <f>ROUND(P469*I469, 2)</f>
        <v>17588.03</v>
      </c>
      <c r="T469" s="14">
        <f>ROUND(I469*ROUND(Q469, 2), 2)</f>
        <v>31747.65</v>
      </c>
      <c r="U469" s="14">
        <f>S469+T469</f>
        <v>49335.68</v>
      </c>
      <c r="V469" s="9">
        <f>ROUND(P469 / 1.2, 2)</f>
        <v>1967.34</v>
      </c>
      <c r="W469" s="9">
        <f>ROUND(Q469 / 1.2, 2)</f>
        <v>3551.19</v>
      </c>
      <c r="X469" s="9">
        <f>ROUND(R469 / 1.2, 2)</f>
        <v>5518.53</v>
      </c>
      <c r="Y469" s="9">
        <f t="shared" si="26"/>
        <v>14656.69</v>
      </c>
      <c r="Z469" s="9">
        <f>ROUND(T469 / 1.2, 2)</f>
        <v>26456.38</v>
      </c>
      <c r="AA469" s="9">
        <f>Y469+Z469</f>
        <v>41113.07</v>
      </c>
      <c r="AD469" s="4">
        <v>311044389</v>
      </c>
      <c r="AE469" s="4">
        <v>22879032</v>
      </c>
      <c r="AG469" s="4" t="s">
        <v>1781</v>
      </c>
      <c r="AH469" s="4" t="s">
        <v>1782</v>
      </c>
      <c r="AI469" s="4" t="s">
        <v>469</v>
      </c>
    </row>
    <row r="470" spans="1:35" ht="72" x14ac:dyDescent="0.3">
      <c r="A470" s="10" t="s">
        <v>1783</v>
      </c>
      <c r="B470" s="10"/>
      <c r="C470" s="23" t="s">
        <v>1784</v>
      </c>
      <c r="D470" s="12"/>
      <c r="E470" s="12" t="s">
        <v>1785</v>
      </c>
      <c r="F470" s="18" t="s">
        <v>58</v>
      </c>
      <c r="G470" s="19">
        <v>1.1000000000000001</v>
      </c>
      <c r="H470" s="24"/>
      <c r="I470" s="24">
        <v>8.1950000000000003</v>
      </c>
      <c r="J470" s="20">
        <v>864.16</v>
      </c>
      <c r="M470" s="21">
        <f>ROUND(ROUND(J470, 2)*I470, 2)</f>
        <v>7081.79</v>
      </c>
      <c r="P470" s="22">
        <v>2038.05</v>
      </c>
      <c r="S470" s="21">
        <f>ROUND(ROUND(P470, 2)*I470, 2)</f>
        <v>16701.82</v>
      </c>
      <c r="V470" s="9">
        <f>ROUND(ROUND(P470, 2)/1.2, 2)</f>
        <v>1698.38</v>
      </c>
      <c r="Y470" s="9">
        <f t="shared" si="26"/>
        <v>13918.18</v>
      </c>
      <c r="AD470" s="4" t="s">
        <v>1786</v>
      </c>
      <c r="AE470" s="4" t="s">
        <v>1787</v>
      </c>
      <c r="AF470" s="4" t="s">
        <v>1788</v>
      </c>
    </row>
    <row r="471" spans="1:35" ht="36" x14ac:dyDescent="0.3">
      <c r="A471" s="10" t="s">
        <v>1789</v>
      </c>
      <c r="B471" s="10"/>
      <c r="C471" s="23" t="s">
        <v>1106</v>
      </c>
      <c r="D471" s="12"/>
      <c r="E471" s="12"/>
      <c r="F471" s="18" t="s">
        <v>99</v>
      </c>
      <c r="G471" s="19">
        <v>1.2</v>
      </c>
      <c r="H471" s="24"/>
      <c r="I471" s="24">
        <v>44.7</v>
      </c>
      <c r="J471" s="20">
        <v>16.38</v>
      </c>
      <c r="M471" s="21">
        <f>ROUND(ROUND(J471, 2)*I471, 2)</f>
        <v>732.19</v>
      </c>
      <c r="P471" s="22">
        <v>16.38</v>
      </c>
      <c r="S471" s="21">
        <f>ROUND(ROUND(P471, 2)*I471, 2)</f>
        <v>732.19</v>
      </c>
      <c r="V471" s="9">
        <f>ROUND(ROUND(P471, 2)/1.2, 2)</f>
        <v>13.65</v>
      </c>
      <c r="Y471" s="9">
        <f t="shared" si="26"/>
        <v>610.16</v>
      </c>
      <c r="AD471" s="4" t="s">
        <v>1790</v>
      </c>
      <c r="AE471" s="4" t="s">
        <v>1791</v>
      </c>
      <c r="AF471" s="4" t="s">
        <v>1109</v>
      </c>
    </row>
    <row r="472" spans="1:35" ht="36" x14ac:dyDescent="0.3">
      <c r="A472" s="10" t="s">
        <v>1792</v>
      </c>
      <c r="B472" s="10"/>
      <c r="C472" s="17" t="s">
        <v>1116</v>
      </c>
      <c r="D472" s="12"/>
      <c r="E472" s="12"/>
      <c r="F472" s="18" t="s">
        <v>99</v>
      </c>
      <c r="G472" s="19">
        <v>0.25</v>
      </c>
      <c r="H472" s="24"/>
      <c r="I472" s="24">
        <v>1.863</v>
      </c>
      <c r="J472" s="20">
        <v>40.94</v>
      </c>
      <c r="M472" s="21">
        <f>ROUND(ROUND(J472, 2)*I472, 2)</f>
        <v>76.27</v>
      </c>
      <c r="P472" s="22">
        <v>40.94</v>
      </c>
      <c r="S472" s="21">
        <f>ROUND(ROUND(P472, 2)*I472, 2)</f>
        <v>76.27</v>
      </c>
      <c r="V472" s="9">
        <f>ROUND(ROUND(P472, 2)/1.2, 2)</f>
        <v>34.119999999999997</v>
      </c>
      <c r="Y472" s="9">
        <f t="shared" si="26"/>
        <v>63.56</v>
      </c>
      <c r="AD472" s="4" t="s">
        <v>1793</v>
      </c>
      <c r="AE472" s="4" t="s">
        <v>1794</v>
      </c>
      <c r="AF472" s="4" t="s">
        <v>1119</v>
      </c>
    </row>
    <row r="473" spans="1:35" ht="36" x14ac:dyDescent="0.3">
      <c r="A473" s="10" t="s">
        <v>1795</v>
      </c>
      <c r="B473" s="10"/>
      <c r="C473" s="17" t="s">
        <v>870</v>
      </c>
      <c r="D473" s="12"/>
      <c r="E473" s="12"/>
      <c r="F473" s="18" t="s">
        <v>99</v>
      </c>
      <c r="G473" s="19">
        <v>0.15</v>
      </c>
      <c r="H473" s="19"/>
      <c r="I473" s="19">
        <v>1.1180000000000001</v>
      </c>
      <c r="J473" s="20">
        <v>69.540000000000006</v>
      </c>
      <c r="M473" s="21">
        <f>ROUND(ROUND(J473, 2)*I473, 2)</f>
        <v>77.75</v>
      </c>
      <c r="P473" s="22">
        <v>69.540000000000006</v>
      </c>
      <c r="S473" s="21">
        <f>ROUND(ROUND(P473, 2)*I473, 2)</f>
        <v>77.75</v>
      </c>
      <c r="V473" s="9">
        <f>ROUND(ROUND(P473, 2)/1.2, 2)</f>
        <v>57.95</v>
      </c>
      <c r="Y473" s="9">
        <f t="shared" si="26"/>
        <v>64.790000000000006</v>
      </c>
      <c r="AD473" s="4" t="s">
        <v>1796</v>
      </c>
      <c r="AE473" s="4" t="s">
        <v>1797</v>
      </c>
      <c r="AF473" s="4" t="s">
        <v>873</v>
      </c>
    </row>
    <row r="474" spans="1:35" ht="16.95" customHeight="1" x14ac:dyDescent="0.3">
      <c r="A474" s="10" t="s">
        <v>1798</v>
      </c>
      <c r="B474" s="10" t="s">
        <v>1799</v>
      </c>
      <c r="C474" s="51" t="s">
        <v>1800</v>
      </c>
      <c r="D474" s="52"/>
      <c r="E474" s="52"/>
      <c r="F474" s="52"/>
      <c r="G474" s="52"/>
      <c r="H474" s="52"/>
      <c r="I474" s="53"/>
      <c r="M474" s="6">
        <f>SUM(M475,M500)</f>
        <v>2248383.2199999997</v>
      </c>
      <c r="N474" s="6">
        <f>SUM(N475,N500)</f>
        <v>20755018.799999997</v>
      </c>
      <c r="O474" s="6">
        <f>SUM(O475,O500)</f>
        <v>23003402.019999996</v>
      </c>
      <c r="S474" s="6">
        <f>SUM(S475,S500)</f>
        <v>2248383.2199999997</v>
      </c>
      <c r="T474" s="6">
        <f>SUM(T475,T500)</f>
        <v>29650044.970000003</v>
      </c>
      <c r="U474" s="6">
        <f>SUM(U475,U500)</f>
        <v>31898428.189999998</v>
      </c>
      <c r="Y474" s="9">
        <f>SUM(Y475,Y500)</f>
        <v>1873652.6899999997</v>
      </c>
      <c r="Z474" s="9">
        <f>SUM(Z475,Z500)</f>
        <v>24708370.82</v>
      </c>
      <c r="AA474" s="9">
        <f>SUM(AA475,AA500)</f>
        <v>26582023.509999998</v>
      </c>
      <c r="AD474" s="4">
        <v>311044390</v>
      </c>
      <c r="AE474" s="4">
        <v>22791230</v>
      </c>
    </row>
    <row r="475" spans="1:35" ht="16.95" customHeight="1" x14ac:dyDescent="0.3">
      <c r="A475" s="10" t="s">
        <v>1801</v>
      </c>
      <c r="B475" s="10" t="s">
        <v>1802</v>
      </c>
      <c r="C475" s="51" t="s">
        <v>1803</v>
      </c>
      <c r="D475" s="52"/>
      <c r="E475" s="52"/>
      <c r="F475" s="52"/>
      <c r="G475" s="52"/>
      <c r="H475" s="52"/>
      <c r="I475" s="53"/>
      <c r="M475" s="6">
        <f>SUM(M476,M479,M482,M485,M488,M491,M494,M497)</f>
        <v>1231625.92</v>
      </c>
      <c r="N475" s="6">
        <f>SUM(N476,N479,N482,N485,N488,N491,N494,N497)</f>
        <v>15048978.799999997</v>
      </c>
      <c r="O475" s="6">
        <f>SUM(O476,O479,O482,O485,O488,O491,O494,O497)</f>
        <v>16280604.719999999</v>
      </c>
      <c r="S475" s="6">
        <f>SUM(S476,S479,S482,S485,S488,S491,S494,S497)</f>
        <v>1231625.92</v>
      </c>
      <c r="T475" s="6">
        <f>SUM(T476,T479,T482,T485,T488,T491,T494,T497)</f>
        <v>21498524.130000003</v>
      </c>
      <c r="U475" s="6">
        <f>SUM(U476,U479,U482,U485,U488,U491,U494,U497)</f>
        <v>22730150.049999997</v>
      </c>
      <c r="Y475" s="9">
        <f>SUM(Y476,Y479,Y482,Y485,Y488,Y491,Y494,Y497)</f>
        <v>1026354.9399999997</v>
      </c>
      <c r="Z475" s="9">
        <f>SUM(Z476,Z479,Z482,Z485,Z488,Z491,Z494,Z497)</f>
        <v>17915436.780000001</v>
      </c>
      <c r="AA475" s="9">
        <f>SUM(AA476,AA479,AA482,AA485,AA488,AA491,AA494,AA497)</f>
        <v>18941791.719999999</v>
      </c>
      <c r="AD475" s="4">
        <v>311044391</v>
      </c>
      <c r="AE475" s="4">
        <v>22791233</v>
      </c>
    </row>
    <row r="476" spans="1:35" ht="90" x14ac:dyDescent="0.3">
      <c r="A476" s="10" t="s">
        <v>1804</v>
      </c>
      <c r="B476" s="10" t="s">
        <v>1805</v>
      </c>
      <c r="C476" s="11" t="s">
        <v>1806</v>
      </c>
      <c r="D476" s="12"/>
      <c r="E476" s="12" t="s">
        <v>1807</v>
      </c>
      <c r="F476" s="12" t="s">
        <v>58</v>
      </c>
      <c r="G476" s="13">
        <v>1</v>
      </c>
      <c r="H476" s="13"/>
      <c r="I476" s="13">
        <v>1171.2</v>
      </c>
      <c r="J476" s="14">
        <f>IFERROR(ROUND(SUM(M477,M478)/I476, 2),0)</f>
        <v>70.42</v>
      </c>
      <c r="K476" s="15">
        <v>629</v>
      </c>
      <c r="L476" s="14">
        <f>J476+ROUND(K476, 2)</f>
        <v>699.42</v>
      </c>
      <c r="M476" s="14">
        <f>ROUND(J476*I476, 2)</f>
        <v>82475.899999999994</v>
      </c>
      <c r="N476" s="14">
        <f>ROUND(I476*ROUND(K476, 2), 2)</f>
        <v>736684.8</v>
      </c>
      <c r="O476" s="14">
        <f>M476+N476</f>
        <v>819160.70000000007</v>
      </c>
      <c r="P476" s="14">
        <f>IFERROR(ROUND(SUM(S477,S478)/I476, 2),0)</f>
        <v>70.42</v>
      </c>
      <c r="Q476" s="16">
        <v>898.57</v>
      </c>
      <c r="R476" s="14">
        <f>P476+ROUND(Q476, 2)</f>
        <v>968.99</v>
      </c>
      <c r="S476" s="14">
        <f>ROUND(P476*I476, 2)</f>
        <v>82475.899999999994</v>
      </c>
      <c r="T476" s="14">
        <f>ROUND(I476*ROUND(Q476, 2), 2)</f>
        <v>1052405.18</v>
      </c>
      <c r="U476" s="14">
        <f>S476+T476</f>
        <v>1134881.0799999998</v>
      </c>
      <c r="V476" s="9">
        <f>ROUND(P476 / 1.2, 2)</f>
        <v>58.68</v>
      </c>
      <c r="W476" s="9">
        <f>ROUND(Q476 / 1.2, 2)</f>
        <v>748.81</v>
      </c>
      <c r="X476" s="9">
        <f>ROUND(R476 / 1.2, 2)</f>
        <v>807.49</v>
      </c>
      <c r="Y476" s="9">
        <f>ROUND(S476 / 1.2, 2)</f>
        <v>68729.919999999998</v>
      </c>
      <c r="Z476" s="9">
        <f>ROUND(T476 / 1.2, 2)</f>
        <v>877004.32</v>
      </c>
      <c r="AA476" s="9">
        <f>Y476+Z476</f>
        <v>945734.24</v>
      </c>
      <c r="AD476" s="4">
        <v>311044393</v>
      </c>
      <c r="AE476" s="4">
        <v>22791238</v>
      </c>
      <c r="AG476" s="4" t="s">
        <v>1808</v>
      </c>
      <c r="AH476" s="4" t="s">
        <v>1809</v>
      </c>
      <c r="AI476" s="4" t="s">
        <v>469</v>
      </c>
    </row>
    <row r="477" spans="1:35" ht="18" x14ac:dyDescent="0.3">
      <c r="A477" s="10" t="s">
        <v>1810</v>
      </c>
      <c r="B477" s="10"/>
      <c r="C477" s="17" t="s">
        <v>1333</v>
      </c>
      <c r="D477" s="12"/>
      <c r="E477" s="12"/>
      <c r="F477" s="18" t="s">
        <v>99</v>
      </c>
      <c r="G477" s="19">
        <v>1.3</v>
      </c>
      <c r="H477" s="24"/>
      <c r="I477" s="24">
        <v>7612.8</v>
      </c>
      <c r="J477" s="20">
        <v>8.75</v>
      </c>
      <c r="M477" s="21">
        <f>ROUND(ROUND(J477, 2)*I477, 2)</f>
        <v>66612</v>
      </c>
      <c r="P477" s="22">
        <v>8.75</v>
      </c>
      <c r="S477" s="21">
        <f>ROUND(ROUND(P477, 2)*I477, 2)</f>
        <v>66612</v>
      </c>
      <c r="V477" s="9">
        <f>ROUND(ROUND(P477, 2)/1.2, 2)</f>
        <v>7.29</v>
      </c>
      <c r="Y477" s="9">
        <f t="shared" ref="Y477:Y499" si="27">ROUND(S477 / 1.2, 2)</f>
        <v>55510</v>
      </c>
      <c r="AD477" s="4" t="s">
        <v>1811</v>
      </c>
      <c r="AE477" s="4" t="s">
        <v>1812</v>
      </c>
      <c r="AF477" s="4" t="s">
        <v>1337</v>
      </c>
    </row>
    <row r="478" spans="1:35" ht="36" x14ac:dyDescent="0.3">
      <c r="A478" s="10" t="s">
        <v>1813</v>
      </c>
      <c r="B478" s="10"/>
      <c r="C478" s="17" t="s">
        <v>720</v>
      </c>
      <c r="D478" s="12"/>
      <c r="E478" s="12"/>
      <c r="F478" s="18" t="s">
        <v>99</v>
      </c>
      <c r="G478" s="19">
        <v>0.15</v>
      </c>
      <c r="H478" s="19"/>
      <c r="I478" s="19">
        <v>175.68</v>
      </c>
      <c r="J478" s="20">
        <v>90.28</v>
      </c>
      <c r="M478" s="21">
        <f>ROUND(ROUND(J478, 2)*I478, 2)</f>
        <v>15860.39</v>
      </c>
      <c r="P478" s="22">
        <v>90.28</v>
      </c>
      <c r="S478" s="21">
        <f>ROUND(ROUND(P478, 2)*I478, 2)</f>
        <v>15860.39</v>
      </c>
      <c r="V478" s="9">
        <f>ROUND(ROUND(P478, 2)/1.2, 2)</f>
        <v>75.23</v>
      </c>
      <c r="Y478" s="9">
        <f t="shared" si="27"/>
        <v>13216.99</v>
      </c>
      <c r="AD478" s="4" t="s">
        <v>1814</v>
      </c>
      <c r="AE478" s="4" t="s">
        <v>1815</v>
      </c>
      <c r="AF478" s="4" t="s">
        <v>723</v>
      </c>
    </row>
    <row r="479" spans="1:35" ht="72" x14ac:dyDescent="0.3">
      <c r="A479" s="10" t="s">
        <v>1816</v>
      </c>
      <c r="B479" s="10" t="s">
        <v>1805</v>
      </c>
      <c r="C479" s="11" t="s">
        <v>1806</v>
      </c>
      <c r="D479" s="12"/>
      <c r="E479" s="12" t="s">
        <v>1817</v>
      </c>
      <c r="F479" s="12" t="s">
        <v>58</v>
      </c>
      <c r="G479" s="13">
        <v>1</v>
      </c>
      <c r="H479" s="13"/>
      <c r="I479" s="13">
        <v>7010.2</v>
      </c>
      <c r="J479" s="14">
        <f>IFERROR(ROUND(SUM(M480,M481)/I479, 2),0)</f>
        <v>65.010000000000005</v>
      </c>
      <c r="K479" s="15">
        <v>629</v>
      </c>
      <c r="L479" s="14">
        <f>J479+ROUND(K479, 2)</f>
        <v>694.01</v>
      </c>
      <c r="M479" s="14">
        <f>ROUND(J479*I479, 2)</f>
        <v>455733.1</v>
      </c>
      <c r="N479" s="14">
        <f>ROUND(I479*ROUND(K479, 2), 2)</f>
        <v>4409415.8</v>
      </c>
      <c r="O479" s="14">
        <f>M479+N479</f>
        <v>4865148.8999999994</v>
      </c>
      <c r="P479" s="14">
        <f>IFERROR(ROUND(SUM(S480,S481)/I479, 2),0)</f>
        <v>65.010000000000005</v>
      </c>
      <c r="Q479" s="16">
        <v>898.57</v>
      </c>
      <c r="R479" s="14">
        <f>P479+ROUND(Q479, 2)</f>
        <v>963.58</v>
      </c>
      <c r="S479" s="14">
        <f>ROUND(P479*I479, 2)</f>
        <v>455733.1</v>
      </c>
      <c r="T479" s="14">
        <f>ROUND(I479*ROUND(Q479, 2), 2)</f>
        <v>6299155.4100000001</v>
      </c>
      <c r="U479" s="14">
        <f>S479+T479</f>
        <v>6754888.5099999998</v>
      </c>
      <c r="V479" s="9">
        <f>ROUND(P479 / 1.2, 2)</f>
        <v>54.18</v>
      </c>
      <c r="W479" s="9">
        <f>ROUND(Q479 / 1.2, 2)</f>
        <v>748.81</v>
      </c>
      <c r="X479" s="9">
        <f>ROUND(R479 / 1.2, 2)</f>
        <v>802.98</v>
      </c>
      <c r="Y479" s="9">
        <f t="shared" si="27"/>
        <v>379777.58</v>
      </c>
      <c r="Z479" s="9">
        <f>ROUND(T479 / 1.2, 2)</f>
        <v>5249296.18</v>
      </c>
      <c r="AA479" s="9">
        <f>Y479+Z479</f>
        <v>5629073.7599999998</v>
      </c>
      <c r="AD479" s="4">
        <v>311044479</v>
      </c>
      <c r="AE479" s="4">
        <v>22791237</v>
      </c>
      <c r="AG479" s="4" t="s">
        <v>1808</v>
      </c>
      <c r="AH479" s="4" t="s">
        <v>1809</v>
      </c>
      <c r="AI479" s="4" t="s">
        <v>469</v>
      </c>
    </row>
    <row r="480" spans="1:35" ht="18" x14ac:dyDescent="0.3">
      <c r="A480" s="10" t="s">
        <v>1818</v>
      </c>
      <c r="B480" s="10"/>
      <c r="C480" s="17" t="s">
        <v>1359</v>
      </c>
      <c r="D480" s="12"/>
      <c r="E480" s="12"/>
      <c r="F480" s="18" t="s">
        <v>99</v>
      </c>
      <c r="G480" s="19">
        <v>0.25</v>
      </c>
      <c r="H480" s="19"/>
      <c r="I480" s="19">
        <v>1752.55</v>
      </c>
      <c r="J480" s="20">
        <v>101.66</v>
      </c>
      <c r="M480" s="21">
        <f>ROUND(ROUND(J480, 2)*I480, 2)</f>
        <v>178164.23</v>
      </c>
      <c r="P480" s="22">
        <v>101.66</v>
      </c>
      <c r="S480" s="21">
        <f>ROUND(ROUND(P480, 2)*I480, 2)</f>
        <v>178164.23</v>
      </c>
      <c r="V480" s="9">
        <f>ROUND(ROUND(P480, 2)/1.2, 2)</f>
        <v>84.72</v>
      </c>
      <c r="Y480" s="9">
        <f t="shared" si="27"/>
        <v>148470.19</v>
      </c>
      <c r="AD480" s="4" t="s">
        <v>1819</v>
      </c>
      <c r="AE480" s="4" t="s">
        <v>1820</v>
      </c>
      <c r="AF480" s="4" t="s">
        <v>1362</v>
      </c>
    </row>
    <row r="481" spans="1:35" ht="36" x14ac:dyDescent="0.3">
      <c r="A481" s="10" t="s">
        <v>1821</v>
      </c>
      <c r="B481" s="10"/>
      <c r="C481" s="23" t="s">
        <v>1164</v>
      </c>
      <c r="D481" s="12"/>
      <c r="E481" s="12"/>
      <c r="F481" s="18" t="s">
        <v>99</v>
      </c>
      <c r="G481" s="19">
        <v>1</v>
      </c>
      <c r="H481" s="24"/>
      <c r="I481" s="24">
        <v>35051</v>
      </c>
      <c r="J481" s="20">
        <v>7.92</v>
      </c>
      <c r="M481" s="21">
        <f>ROUND(ROUND(J481, 2)*I481, 2)</f>
        <v>277603.92</v>
      </c>
      <c r="P481" s="22">
        <v>7.92</v>
      </c>
      <c r="S481" s="21">
        <f>ROUND(ROUND(P481, 2)*I481, 2)</f>
        <v>277603.92</v>
      </c>
      <c r="V481" s="9">
        <f>ROUND(ROUND(P481, 2)/1.2, 2)</f>
        <v>6.6</v>
      </c>
      <c r="Y481" s="9">
        <f t="shared" si="27"/>
        <v>231336.6</v>
      </c>
      <c r="AD481" s="4" t="s">
        <v>1822</v>
      </c>
      <c r="AE481" s="4" t="s">
        <v>1823</v>
      </c>
      <c r="AF481" s="4" t="s">
        <v>1168</v>
      </c>
    </row>
    <row r="482" spans="1:35" ht="72" x14ac:dyDescent="0.3">
      <c r="A482" s="10" t="s">
        <v>1824</v>
      </c>
      <c r="B482" s="10" t="s">
        <v>1825</v>
      </c>
      <c r="C482" s="11" t="s">
        <v>1242</v>
      </c>
      <c r="D482" s="12"/>
      <c r="E482" s="12" t="s">
        <v>1826</v>
      </c>
      <c r="F482" s="12" t="s">
        <v>58</v>
      </c>
      <c r="G482" s="13">
        <v>1</v>
      </c>
      <c r="H482" s="13"/>
      <c r="I482" s="13">
        <v>827.7</v>
      </c>
      <c r="J482" s="14">
        <f>IFERROR(ROUND(SUM(M483,M484)/I482, 2),0)</f>
        <v>31.93</v>
      </c>
      <c r="K482" s="15">
        <v>639</v>
      </c>
      <c r="L482" s="14">
        <f>J482+ROUND(K482, 2)</f>
        <v>670.93</v>
      </c>
      <c r="M482" s="14">
        <f>ROUND(J482*I482, 2)</f>
        <v>26428.46</v>
      </c>
      <c r="N482" s="14">
        <f>ROUND(I482*ROUND(K482, 2), 2)</f>
        <v>528900.30000000005</v>
      </c>
      <c r="O482" s="14">
        <f>M482+N482</f>
        <v>555328.76</v>
      </c>
      <c r="P482" s="14">
        <f>IFERROR(ROUND(SUM(S483,S484)/I482, 2),0)</f>
        <v>31.93</v>
      </c>
      <c r="Q482" s="16">
        <v>912.86</v>
      </c>
      <c r="R482" s="14">
        <f>P482+ROUND(Q482, 2)</f>
        <v>944.79</v>
      </c>
      <c r="S482" s="14">
        <f>ROUND(P482*I482, 2)</f>
        <v>26428.46</v>
      </c>
      <c r="T482" s="14">
        <f>ROUND(I482*ROUND(Q482, 2), 2)</f>
        <v>755574.22</v>
      </c>
      <c r="U482" s="14">
        <f>S482+T482</f>
        <v>782002.67999999993</v>
      </c>
      <c r="V482" s="9">
        <f>ROUND(P482 / 1.2, 2)</f>
        <v>26.61</v>
      </c>
      <c r="W482" s="9">
        <f>ROUND(Q482 / 1.2, 2)</f>
        <v>760.72</v>
      </c>
      <c r="X482" s="9">
        <f>ROUND(R482 / 1.2, 2)</f>
        <v>787.33</v>
      </c>
      <c r="Y482" s="9">
        <f t="shared" si="27"/>
        <v>22023.72</v>
      </c>
      <c r="Z482" s="9">
        <f>ROUND(T482 / 1.2, 2)</f>
        <v>629645.18000000005</v>
      </c>
      <c r="AA482" s="9">
        <f>Y482+Z482</f>
        <v>651668.9</v>
      </c>
      <c r="AD482" s="4">
        <v>311044395</v>
      </c>
      <c r="AE482" s="4">
        <v>22791297</v>
      </c>
      <c r="AG482" s="4" t="s">
        <v>1244</v>
      </c>
      <c r="AH482" s="4" t="s">
        <v>1827</v>
      </c>
      <c r="AI482" s="4" t="s">
        <v>469</v>
      </c>
    </row>
    <row r="483" spans="1:35" ht="36" x14ac:dyDescent="0.3">
      <c r="A483" s="10" t="s">
        <v>1828</v>
      </c>
      <c r="B483" s="10"/>
      <c r="C483" s="23" t="s">
        <v>1269</v>
      </c>
      <c r="D483" s="12"/>
      <c r="E483" s="12"/>
      <c r="F483" s="18" t="s">
        <v>99</v>
      </c>
      <c r="G483" s="19">
        <v>1.5</v>
      </c>
      <c r="H483" s="19"/>
      <c r="I483" s="19">
        <v>1241.55</v>
      </c>
      <c r="J483" s="20">
        <v>12.26</v>
      </c>
      <c r="M483" s="21">
        <f>ROUND(ROUND(J483, 2)*I483, 2)</f>
        <v>15221.4</v>
      </c>
      <c r="P483" s="22">
        <v>12.26</v>
      </c>
      <c r="S483" s="21">
        <f>ROUND(ROUND(P483, 2)*I483, 2)</f>
        <v>15221.4</v>
      </c>
      <c r="V483" s="9">
        <f>ROUND(ROUND(P483, 2)/1.2, 2)</f>
        <v>10.220000000000001</v>
      </c>
      <c r="Y483" s="9">
        <f t="shared" si="27"/>
        <v>12684.5</v>
      </c>
      <c r="AD483" s="4" t="s">
        <v>1829</v>
      </c>
      <c r="AE483" s="4" t="s">
        <v>1830</v>
      </c>
      <c r="AF483" s="4" t="s">
        <v>1272</v>
      </c>
    </row>
    <row r="484" spans="1:35" ht="36" x14ac:dyDescent="0.3">
      <c r="A484" s="10" t="s">
        <v>1831</v>
      </c>
      <c r="B484" s="10"/>
      <c r="C484" s="17" t="s">
        <v>1057</v>
      </c>
      <c r="D484" s="12"/>
      <c r="E484" s="12"/>
      <c r="F484" s="18" t="s">
        <v>99</v>
      </c>
      <c r="G484" s="19">
        <v>0.15</v>
      </c>
      <c r="H484" s="19"/>
      <c r="I484" s="19">
        <v>124.155</v>
      </c>
      <c r="J484" s="20">
        <v>90.28</v>
      </c>
      <c r="M484" s="21">
        <f>ROUND(ROUND(J484, 2)*I484, 2)</f>
        <v>11208.71</v>
      </c>
      <c r="P484" s="22">
        <v>90.28</v>
      </c>
      <c r="S484" s="21">
        <f>ROUND(ROUND(P484, 2)*I484, 2)</f>
        <v>11208.71</v>
      </c>
      <c r="V484" s="9">
        <f>ROUND(ROUND(P484, 2)/1.2, 2)</f>
        <v>75.23</v>
      </c>
      <c r="Y484" s="9">
        <f t="shared" si="27"/>
        <v>9340.59</v>
      </c>
      <c r="AD484" s="4" t="s">
        <v>1832</v>
      </c>
      <c r="AE484" s="4" t="s">
        <v>1833</v>
      </c>
      <c r="AF484" s="4" t="s">
        <v>1060</v>
      </c>
    </row>
    <row r="485" spans="1:35" ht="54" x14ac:dyDescent="0.3">
      <c r="A485" s="10" t="s">
        <v>1834</v>
      </c>
      <c r="B485" s="10" t="s">
        <v>1825</v>
      </c>
      <c r="C485" s="11" t="s">
        <v>1242</v>
      </c>
      <c r="D485" s="12"/>
      <c r="E485" s="12" t="s">
        <v>1835</v>
      </c>
      <c r="F485" s="12" t="s">
        <v>58</v>
      </c>
      <c r="G485" s="13">
        <v>1</v>
      </c>
      <c r="H485" s="13"/>
      <c r="I485" s="13">
        <v>827.7</v>
      </c>
      <c r="J485" s="14">
        <f>IFERROR(ROUND(SUM(M486,M487)/I485, 2),0)</f>
        <v>31.93</v>
      </c>
      <c r="K485" s="15">
        <v>639</v>
      </c>
      <c r="L485" s="14">
        <f>J485+ROUND(K485, 2)</f>
        <v>670.93</v>
      </c>
      <c r="M485" s="14">
        <f>ROUND(J485*I485, 2)</f>
        <v>26428.46</v>
      </c>
      <c r="N485" s="14">
        <f>ROUND(I485*ROUND(K485, 2), 2)</f>
        <v>528900.30000000005</v>
      </c>
      <c r="O485" s="14">
        <f>M485+N485</f>
        <v>555328.76</v>
      </c>
      <c r="P485" s="14">
        <f>IFERROR(ROUND(SUM(S486,S487)/I485, 2),0)</f>
        <v>31.93</v>
      </c>
      <c r="Q485" s="16">
        <v>912.86</v>
      </c>
      <c r="R485" s="14">
        <f>P485+ROUND(Q485, 2)</f>
        <v>944.79</v>
      </c>
      <c r="S485" s="14">
        <f>ROUND(P485*I485, 2)</f>
        <v>26428.46</v>
      </c>
      <c r="T485" s="14">
        <f>ROUND(I485*ROUND(Q485, 2), 2)</f>
        <v>755574.22</v>
      </c>
      <c r="U485" s="14">
        <f>S485+T485</f>
        <v>782002.67999999993</v>
      </c>
      <c r="V485" s="9">
        <f>ROUND(P485 / 1.2, 2)</f>
        <v>26.61</v>
      </c>
      <c r="W485" s="9">
        <f>ROUND(Q485 / 1.2, 2)</f>
        <v>760.72</v>
      </c>
      <c r="X485" s="9">
        <f>ROUND(R485 / 1.2, 2)</f>
        <v>787.33</v>
      </c>
      <c r="Y485" s="9">
        <f t="shared" si="27"/>
        <v>22023.72</v>
      </c>
      <c r="Z485" s="9">
        <f>ROUND(T485 / 1.2, 2)</f>
        <v>629645.18000000005</v>
      </c>
      <c r="AA485" s="9">
        <f>Y485+Z485</f>
        <v>651668.9</v>
      </c>
      <c r="AD485" s="4">
        <v>311044480</v>
      </c>
      <c r="AE485" s="4">
        <v>22791296</v>
      </c>
      <c r="AG485" s="4" t="s">
        <v>1244</v>
      </c>
      <c r="AH485" s="4" t="s">
        <v>1827</v>
      </c>
      <c r="AI485" s="4" t="s">
        <v>469</v>
      </c>
    </row>
    <row r="486" spans="1:35" ht="36" x14ac:dyDescent="0.3">
      <c r="A486" s="10" t="s">
        <v>1836</v>
      </c>
      <c r="B486" s="10"/>
      <c r="C486" s="17" t="s">
        <v>1057</v>
      </c>
      <c r="D486" s="12"/>
      <c r="E486" s="12"/>
      <c r="F486" s="18" t="s">
        <v>99</v>
      </c>
      <c r="G486" s="19">
        <v>0.15</v>
      </c>
      <c r="H486" s="19"/>
      <c r="I486" s="19">
        <v>124.155</v>
      </c>
      <c r="J486" s="20">
        <v>90.28</v>
      </c>
      <c r="M486" s="21">
        <f>ROUND(ROUND(J486, 2)*I486, 2)</f>
        <v>11208.71</v>
      </c>
      <c r="P486" s="22">
        <v>90.28</v>
      </c>
      <c r="S486" s="21">
        <f>ROUND(ROUND(P486, 2)*I486, 2)</f>
        <v>11208.71</v>
      </c>
      <c r="V486" s="9">
        <f>ROUND(ROUND(P486, 2)/1.2, 2)</f>
        <v>75.23</v>
      </c>
      <c r="Y486" s="9">
        <f t="shared" si="27"/>
        <v>9340.59</v>
      </c>
      <c r="AD486" s="4" t="s">
        <v>1837</v>
      </c>
      <c r="AE486" s="4" t="s">
        <v>1838</v>
      </c>
      <c r="AF486" s="4" t="s">
        <v>1060</v>
      </c>
    </row>
    <row r="487" spans="1:35" ht="36" x14ac:dyDescent="0.3">
      <c r="A487" s="10" t="s">
        <v>1839</v>
      </c>
      <c r="B487" s="10"/>
      <c r="C487" s="23" t="s">
        <v>1269</v>
      </c>
      <c r="D487" s="12"/>
      <c r="E487" s="12"/>
      <c r="F487" s="18" t="s">
        <v>99</v>
      </c>
      <c r="G487" s="19">
        <v>1.5</v>
      </c>
      <c r="H487" s="19"/>
      <c r="I487" s="19">
        <v>1241.55</v>
      </c>
      <c r="J487" s="20">
        <v>12.26</v>
      </c>
      <c r="M487" s="21">
        <f>ROUND(ROUND(J487, 2)*I487, 2)</f>
        <v>15221.4</v>
      </c>
      <c r="P487" s="22">
        <v>12.26</v>
      </c>
      <c r="S487" s="21">
        <f>ROUND(ROUND(P487, 2)*I487, 2)</f>
        <v>15221.4</v>
      </c>
      <c r="V487" s="9">
        <f>ROUND(ROUND(P487, 2)/1.2, 2)</f>
        <v>10.220000000000001</v>
      </c>
      <c r="Y487" s="9">
        <f t="shared" si="27"/>
        <v>12684.5</v>
      </c>
      <c r="AD487" s="4" t="s">
        <v>1840</v>
      </c>
      <c r="AE487" s="4" t="s">
        <v>1841</v>
      </c>
      <c r="AF487" s="4" t="s">
        <v>1272</v>
      </c>
    </row>
    <row r="488" spans="1:35" ht="54" x14ac:dyDescent="0.3">
      <c r="A488" s="10" t="s">
        <v>1842</v>
      </c>
      <c r="B488" s="10" t="s">
        <v>1843</v>
      </c>
      <c r="C488" s="11" t="s">
        <v>1283</v>
      </c>
      <c r="D488" s="12"/>
      <c r="E488" s="12" t="s">
        <v>1844</v>
      </c>
      <c r="F488" s="12" t="s">
        <v>58</v>
      </c>
      <c r="G488" s="13">
        <v>1</v>
      </c>
      <c r="H488" s="13"/>
      <c r="I488" s="13">
        <v>1171.2</v>
      </c>
      <c r="J488" s="14">
        <f>IFERROR(ROUND(SUM(M489,M490)/I488, 2),0)</f>
        <v>60.32</v>
      </c>
      <c r="K488" s="15">
        <v>508</v>
      </c>
      <c r="L488" s="14">
        <f>J488+ROUND(K488, 2)</f>
        <v>568.32000000000005</v>
      </c>
      <c r="M488" s="14">
        <f>ROUND(J488*I488, 2)</f>
        <v>70646.78</v>
      </c>
      <c r="N488" s="14">
        <f>ROUND(I488*ROUND(K488, 2), 2)</f>
        <v>594969.59999999998</v>
      </c>
      <c r="O488" s="14">
        <f>M488+N488</f>
        <v>665616.38</v>
      </c>
      <c r="P488" s="14">
        <f>IFERROR(ROUND(SUM(S489,S490)/I488, 2),0)</f>
        <v>60.32</v>
      </c>
      <c r="Q488" s="16">
        <v>725.71</v>
      </c>
      <c r="R488" s="14">
        <f>P488+ROUND(Q488, 2)</f>
        <v>786.03000000000009</v>
      </c>
      <c r="S488" s="14">
        <f>ROUND(P488*I488, 2)</f>
        <v>70646.78</v>
      </c>
      <c r="T488" s="14">
        <f>ROUND(I488*ROUND(Q488, 2), 2)</f>
        <v>849951.55</v>
      </c>
      <c r="U488" s="14">
        <f>S488+T488</f>
        <v>920598.33000000007</v>
      </c>
      <c r="V488" s="9">
        <f>ROUND(P488 / 1.2, 2)</f>
        <v>50.27</v>
      </c>
      <c r="W488" s="9">
        <f>ROUND(Q488 / 1.2, 2)</f>
        <v>604.76</v>
      </c>
      <c r="X488" s="9">
        <f>ROUND(R488 / 1.2, 2)</f>
        <v>655.03</v>
      </c>
      <c r="Y488" s="9">
        <f t="shared" si="27"/>
        <v>58872.32</v>
      </c>
      <c r="Z488" s="9">
        <f>ROUND(T488 / 1.2, 2)</f>
        <v>708292.96</v>
      </c>
      <c r="AA488" s="9">
        <f>Y488+Z488</f>
        <v>767165.27999999991</v>
      </c>
      <c r="AD488" s="4">
        <v>311044396</v>
      </c>
      <c r="AE488" s="4">
        <v>22791241</v>
      </c>
      <c r="AG488" s="4" t="s">
        <v>1285</v>
      </c>
      <c r="AH488" s="4" t="s">
        <v>1845</v>
      </c>
      <c r="AI488" s="4" t="s">
        <v>469</v>
      </c>
    </row>
    <row r="489" spans="1:35" ht="18" x14ac:dyDescent="0.3">
      <c r="A489" s="10" t="s">
        <v>1846</v>
      </c>
      <c r="B489" s="10"/>
      <c r="C489" s="17" t="s">
        <v>1247</v>
      </c>
      <c r="D489" s="12"/>
      <c r="E489" s="12"/>
      <c r="F489" s="18" t="s">
        <v>99</v>
      </c>
      <c r="G489" s="19">
        <v>2</v>
      </c>
      <c r="H489" s="19"/>
      <c r="I489" s="19">
        <v>2342.4</v>
      </c>
      <c r="J489" s="20">
        <v>23.39</v>
      </c>
      <c r="M489" s="21">
        <f>ROUND(ROUND(J489, 2)*I489, 2)</f>
        <v>54788.74</v>
      </c>
      <c r="P489" s="22">
        <v>23.39</v>
      </c>
      <c r="S489" s="21">
        <f>ROUND(ROUND(P489, 2)*I489, 2)</f>
        <v>54788.74</v>
      </c>
      <c r="V489" s="9">
        <f>ROUND(ROUND(P489, 2)/1.2, 2)</f>
        <v>19.489999999999998</v>
      </c>
      <c r="Y489" s="9">
        <f t="shared" si="27"/>
        <v>45657.279999999999</v>
      </c>
      <c r="AD489" s="4" t="s">
        <v>1847</v>
      </c>
      <c r="AE489" s="4" t="s">
        <v>1848</v>
      </c>
      <c r="AF489" s="4" t="s">
        <v>1251</v>
      </c>
    </row>
    <row r="490" spans="1:35" ht="36" x14ac:dyDescent="0.3">
      <c r="A490" s="10" t="s">
        <v>1849</v>
      </c>
      <c r="B490" s="10"/>
      <c r="C490" s="17" t="s">
        <v>1057</v>
      </c>
      <c r="D490" s="12"/>
      <c r="E490" s="12"/>
      <c r="F490" s="18" t="s">
        <v>99</v>
      </c>
      <c r="G490" s="19">
        <v>0.15</v>
      </c>
      <c r="H490" s="19"/>
      <c r="I490" s="19">
        <v>175.68</v>
      </c>
      <c r="J490" s="20">
        <v>90.28</v>
      </c>
      <c r="M490" s="21">
        <f>ROUND(ROUND(J490, 2)*I490, 2)</f>
        <v>15860.39</v>
      </c>
      <c r="P490" s="22">
        <v>90.28</v>
      </c>
      <c r="S490" s="21">
        <f>ROUND(ROUND(P490, 2)*I490, 2)</f>
        <v>15860.39</v>
      </c>
      <c r="V490" s="9">
        <f>ROUND(ROUND(P490, 2)/1.2, 2)</f>
        <v>75.23</v>
      </c>
      <c r="Y490" s="9">
        <f t="shared" si="27"/>
        <v>13216.99</v>
      </c>
      <c r="AD490" s="4" t="s">
        <v>1850</v>
      </c>
      <c r="AE490" s="4" t="s">
        <v>1851</v>
      </c>
      <c r="AF490" s="4" t="s">
        <v>1060</v>
      </c>
    </row>
    <row r="491" spans="1:35" ht="54" x14ac:dyDescent="0.3">
      <c r="A491" s="10" t="s">
        <v>1852</v>
      </c>
      <c r="B491" s="10" t="s">
        <v>1843</v>
      </c>
      <c r="C491" s="11" t="s">
        <v>1283</v>
      </c>
      <c r="D491" s="12"/>
      <c r="E491" s="12" t="s">
        <v>1853</v>
      </c>
      <c r="F491" s="12" t="s">
        <v>58</v>
      </c>
      <c r="G491" s="13">
        <v>1</v>
      </c>
      <c r="H491" s="13"/>
      <c r="I491" s="13">
        <v>1171.2</v>
      </c>
      <c r="J491" s="14">
        <f>IFERROR(ROUND(SUM(M492,M493)/I491, 2),0)</f>
        <v>60.32</v>
      </c>
      <c r="K491" s="15">
        <v>508</v>
      </c>
      <c r="L491" s="14">
        <f>J491+ROUND(K491, 2)</f>
        <v>568.32000000000005</v>
      </c>
      <c r="M491" s="14">
        <f>ROUND(J491*I491, 2)</f>
        <v>70646.78</v>
      </c>
      <c r="N491" s="14">
        <f>ROUND(I491*ROUND(K491, 2), 2)</f>
        <v>594969.59999999998</v>
      </c>
      <c r="O491" s="14">
        <f>M491+N491</f>
        <v>665616.38</v>
      </c>
      <c r="P491" s="14">
        <f>IFERROR(ROUND(SUM(S492,S493)/I491, 2),0)</f>
        <v>60.32</v>
      </c>
      <c r="Q491" s="16">
        <v>725.71</v>
      </c>
      <c r="R491" s="14">
        <f>P491+ROUND(Q491, 2)</f>
        <v>786.03000000000009</v>
      </c>
      <c r="S491" s="14">
        <f>ROUND(P491*I491, 2)</f>
        <v>70646.78</v>
      </c>
      <c r="T491" s="14">
        <f>ROUND(I491*ROUND(Q491, 2), 2)</f>
        <v>849951.55</v>
      </c>
      <c r="U491" s="14">
        <f>S491+T491</f>
        <v>920598.33000000007</v>
      </c>
      <c r="V491" s="9">
        <f>ROUND(P491 / 1.2, 2)</f>
        <v>50.27</v>
      </c>
      <c r="W491" s="9">
        <f>ROUND(Q491 / 1.2, 2)</f>
        <v>604.76</v>
      </c>
      <c r="X491" s="9">
        <f>ROUND(R491 / 1.2, 2)</f>
        <v>655.03</v>
      </c>
      <c r="Y491" s="9">
        <f t="shared" si="27"/>
        <v>58872.32</v>
      </c>
      <c r="Z491" s="9">
        <f>ROUND(T491 / 1.2, 2)</f>
        <v>708292.96</v>
      </c>
      <c r="AA491" s="9">
        <f>Y491+Z491</f>
        <v>767165.27999999991</v>
      </c>
      <c r="AD491" s="4">
        <v>311044481</v>
      </c>
      <c r="AE491" s="4">
        <v>22791242</v>
      </c>
      <c r="AG491" s="4" t="s">
        <v>1285</v>
      </c>
      <c r="AH491" s="4" t="s">
        <v>1845</v>
      </c>
      <c r="AI491" s="4" t="s">
        <v>469</v>
      </c>
    </row>
    <row r="492" spans="1:35" ht="36" x14ac:dyDescent="0.3">
      <c r="A492" s="10" t="s">
        <v>1854</v>
      </c>
      <c r="B492" s="10"/>
      <c r="C492" s="17" t="s">
        <v>1057</v>
      </c>
      <c r="D492" s="12"/>
      <c r="E492" s="12"/>
      <c r="F492" s="18" t="s">
        <v>99</v>
      </c>
      <c r="G492" s="19">
        <v>0.15</v>
      </c>
      <c r="H492" s="19"/>
      <c r="I492" s="19">
        <v>175.68</v>
      </c>
      <c r="J492" s="20">
        <v>90.28</v>
      </c>
      <c r="M492" s="21">
        <f>ROUND(ROUND(J492, 2)*I492, 2)</f>
        <v>15860.39</v>
      </c>
      <c r="P492" s="22">
        <v>90.28</v>
      </c>
      <c r="S492" s="21">
        <f>ROUND(ROUND(P492, 2)*I492, 2)</f>
        <v>15860.39</v>
      </c>
      <c r="V492" s="9">
        <f>ROUND(ROUND(P492, 2)/1.2, 2)</f>
        <v>75.23</v>
      </c>
      <c r="Y492" s="9">
        <f t="shared" si="27"/>
        <v>13216.99</v>
      </c>
      <c r="AD492" s="4" t="s">
        <v>1855</v>
      </c>
      <c r="AE492" s="4" t="s">
        <v>1856</v>
      </c>
      <c r="AF492" s="4" t="s">
        <v>1060</v>
      </c>
    </row>
    <row r="493" spans="1:35" ht="18" x14ac:dyDescent="0.3">
      <c r="A493" s="10" t="s">
        <v>1857</v>
      </c>
      <c r="B493" s="10"/>
      <c r="C493" s="17" t="s">
        <v>1247</v>
      </c>
      <c r="D493" s="12"/>
      <c r="E493" s="12"/>
      <c r="F493" s="18" t="s">
        <v>99</v>
      </c>
      <c r="G493" s="19">
        <v>2</v>
      </c>
      <c r="H493" s="19"/>
      <c r="I493" s="19">
        <v>2342.4</v>
      </c>
      <c r="J493" s="20">
        <v>23.39</v>
      </c>
      <c r="M493" s="21">
        <f>ROUND(ROUND(J493, 2)*I493, 2)</f>
        <v>54788.74</v>
      </c>
      <c r="P493" s="22">
        <v>23.39</v>
      </c>
      <c r="S493" s="21">
        <f>ROUND(ROUND(P493, 2)*I493, 2)</f>
        <v>54788.74</v>
      </c>
      <c r="V493" s="9">
        <f>ROUND(ROUND(P493, 2)/1.2, 2)</f>
        <v>19.489999999999998</v>
      </c>
      <c r="Y493" s="9">
        <f t="shared" si="27"/>
        <v>45657.279999999999</v>
      </c>
      <c r="AD493" s="4" t="s">
        <v>1858</v>
      </c>
      <c r="AE493" s="4" t="s">
        <v>1859</v>
      </c>
      <c r="AF493" s="4" t="s">
        <v>1251</v>
      </c>
    </row>
    <row r="494" spans="1:35" ht="54" x14ac:dyDescent="0.3">
      <c r="A494" s="10" t="s">
        <v>1860</v>
      </c>
      <c r="B494" s="10" t="s">
        <v>1861</v>
      </c>
      <c r="C494" s="11" t="s">
        <v>1862</v>
      </c>
      <c r="D494" s="12"/>
      <c r="E494" s="12" t="s">
        <v>1863</v>
      </c>
      <c r="F494" s="12" t="s">
        <v>58</v>
      </c>
      <c r="G494" s="13">
        <v>1</v>
      </c>
      <c r="H494" s="13"/>
      <c r="I494" s="13">
        <v>7010.2</v>
      </c>
      <c r="J494" s="14">
        <f>IFERROR(ROUND(SUM(M495,M496)/I494, 2),0)</f>
        <v>35.61</v>
      </c>
      <c r="K494" s="15">
        <v>546</v>
      </c>
      <c r="L494" s="14">
        <f>J494+ROUND(K494, 2)</f>
        <v>581.61</v>
      </c>
      <c r="M494" s="14">
        <f>ROUND(J494*I494, 2)</f>
        <v>249633.22</v>
      </c>
      <c r="N494" s="14">
        <f>ROUND(I494*ROUND(K494, 2), 2)</f>
        <v>3827569.2</v>
      </c>
      <c r="O494" s="14">
        <f>M494+N494</f>
        <v>4077202.4200000004</v>
      </c>
      <c r="P494" s="14">
        <f>IFERROR(ROUND(SUM(S495,S496)/I494, 2),0)</f>
        <v>35.61</v>
      </c>
      <c r="Q494" s="16">
        <v>780</v>
      </c>
      <c r="R494" s="14">
        <f>P494+ROUND(Q494, 2)</f>
        <v>815.61</v>
      </c>
      <c r="S494" s="14">
        <f>ROUND(P494*I494, 2)</f>
        <v>249633.22</v>
      </c>
      <c r="T494" s="14">
        <f>ROUND(I494*ROUND(Q494, 2), 2)</f>
        <v>5467956</v>
      </c>
      <c r="U494" s="14">
        <f>S494+T494</f>
        <v>5717589.2199999997</v>
      </c>
      <c r="V494" s="9">
        <f>ROUND(P494 / 1.2, 2)</f>
        <v>29.68</v>
      </c>
      <c r="W494" s="9">
        <f>ROUND(Q494 / 1.2, 2)</f>
        <v>650</v>
      </c>
      <c r="X494" s="9">
        <f>ROUND(R494 / 1.2, 2)</f>
        <v>679.68</v>
      </c>
      <c r="Y494" s="9">
        <f t="shared" si="27"/>
        <v>208027.68</v>
      </c>
      <c r="Z494" s="9">
        <f>ROUND(T494 / 1.2, 2)</f>
        <v>4556630</v>
      </c>
      <c r="AA494" s="9">
        <f>Y494+Z494</f>
        <v>4764657.68</v>
      </c>
      <c r="AD494" s="4">
        <v>311044397</v>
      </c>
      <c r="AE494" s="4">
        <v>22791239</v>
      </c>
      <c r="AG494" s="4" t="s">
        <v>1864</v>
      </c>
      <c r="AH494" s="4" t="s">
        <v>1865</v>
      </c>
      <c r="AI494" s="4" t="s">
        <v>469</v>
      </c>
    </row>
    <row r="495" spans="1:35" ht="54" x14ac:dyDescent="0.3">
      <c r="A495" s="10" t="s">
        <v>1866</v>
      </c>
      <c r="B495" s="10"/>
      <c r="C495" s="23" t="s">
        <v>1867</v>
      </c>
      <c r="D495" s="12"/>
      <c r="E495" s="12"/>
      <c r="F495" s="18" t="s">
        <v>99</v>
      </c>
      <c r="G495" s="19">
        <v>1.8</v>
      </c>
      <c r="H495" s="19"/>
      <c r="I495" s="19">
        <v>12618.36</v>
      </c>
      <c r="J495" s="20">
        <v>12.26</v>
      </c>
      <c r="M495" s="21">
        <f>ROUND(ROUND(J495, 2)*I495, 2)</f>
        <v>154701.09</v>
      </c>
      <c r="P495" s="22">
        <v>12.26</v>
      </c>
      <c r="S495" s="21">
        <f>ROUND(ROUND(P495, 2)*I495, 2)</f>
        <v>154701.09</v>
      </c>
      <c r="V495" s="9">
        <f>ROUND(ROUND(P495, 2)/1.2, 2)</f>
        <v>10.220000000000001</v>
      </c>
      <c r="Y495" s="9">
        <f t="shared" si="27"/>
        <v>128917.58</v>
      </c>
      <c r="AD495" s="4" t="s">
        <v>1868</v>
      </c>
      <c r="AE495" s="4" t="s">
        <v>1869</v>
      </c>
      <c r="AF495" s="4" t="s">
        <v>1870</v>
      </c>
    </row>
    <row r="496" spans="1:35" ht="36" x14ac:dyDescent="0.3">
      <c r="A496" s="10" t="s">
        <v>1871</v>
      </c>
      <c r="B496" s="10"/>
      <c r="C496" s="17" t="s">
        <v>720</v>
      </c>
      <c r="D496" s="12"/>
      <c r="E496" s="12"/>
      <c r="F496" s="18" t="s">
        <v>99</v>
      </c>
      <c r="G496" s="19">
        <v>0.15</v>
      </c>
      <c r="H496" s="19"/>
      <c r="I496" s="19">
        <v>1051.53</v>
      </c>
      <c r="J496" s="20">
        <v>90.28</v>
      </c>
      <c r="M496" s="21">
        <f>ROUND(ROUND(J496, 2)*I496, 2)</f>
        <v>94932.13</v>
      </c>
      <c r="P496" s="22">
        <v>90.28</v>
      </c>
      <c r="S496" s="21">
        <f>ROUND(ROUND(P496, 2)*I496, 2)</f>
        <v>94932.13</v>
      </c>
      <c r="V496" s="9">
        <f>ROUND(ROUND(P496, 2)/1.2, 2)</f>
        <v>75.23</v>
      </c>
      <c r="Y496" s="9">
        <f t="shared" si="27"/>
        <v>79110.11</v>
      </c>
      <c r="AD496" s="4" t="s">
        <v>1872</v>
      </c>
      <c r="AE496" s="4" t="s">
        <v>1873</v>
      </c>
      <c r="AF496" s="4" t="s">
        <v>723</v>
      </c>
    </row>
    <row r="497" spans="1:35" ht="54" x14ac:dyDescent="0.3">
      <c r="A497" s="10" t="s">
        <v>1874</v>
      </c>
      <c r="B497" s="10" t="s">
        <v>1861</v>
      </c>
      <c r="C497" s="11" t="s">
        <v>1862</v>
      </c>
      <c r="D497" s="12"/>
      <c r="E497" s="12" t="s">
        <v>1875</v>
      </c>
      <c r="F497" s="12" t="s">
        <v>58</v>
      </c>
      <c r="G497" s="13">
        <v>1</v>
      </c>
      <c r="H497" s="13"/>
      <c r="I497" s="13">
        <v>7010.2</v>
      </c>
      <c r="J497" s="14">
        <f>IFERROR(ROUND(SUM(M498,M499)/I497, 2),0)</f>
        <v>35.61</v>
      </c>
      <c r="K497" s="15">
        <v>546</v>
      </c>
      <c r="L497" s="14">
        <f>J497+ROUND(K497, 2)</f>
        <v>581.61</v>
      </c>
      <c r="M497" s="14">
        <f>ROUND(J497*I497, 2)</f>
        <v>249633.22</v>
      </c>
      <c r="N497" s="14">
        <f>ROUND(I497*ROUND(K497, 2), 2)</f>
        <v>3827569.2</v>
      </c>
      <c r="O497" s="14">
        <f>M497+N497</f>
        <v>4077202.4200000004</v>
      </c>
      <c r="P497" s="14">
        <f>IFERROR(ROUND(SUM(S498,S499)/I497, 2),0)</f>
        <v>35.61</v>
      </c>
      <c r="Q497" s="16">
        <v>780</v>
      </c>
      <c r="R497" s="14">
        <f>P497+ROUND(Q497, 2)</f>
        <v>815.61</v>
      </c>
      <c r="S497" s="14">
        <f>ROUND(P497*I497, 2)</f>
        <v>249633.22</v>
      </c>
      <c r="T497" s="14">
        <f>ROUND(I497*ROUND(Q497, 2), 2)</f>
        <v>5467956</v>
      </c>
      <c r="U497" s="14">
        <f>S497+T497</f>
        <v>5717589.2199999997</v>
      </c>
      <c r="V497" s="9">
        <f>ROUND(P497 / 1.2, 2)</f>
        <v>29.68</v>
      </c>
      <c r="W497" s="9">
        <f>ROUND(Q497 / 1.2, 2)</f>
        <v>650</v>
      </c>
      <c r="X497" s="9">
        <f>ROUND(R497 / 1.2, 2)</f>
        <v>679.68</v>
      </c>
      <c r="Y497" s="9">
        <f t="shared" si="27"/>
        <v>208027.68</v>
      </c>
      <c r="Z497" s="9">
        <f>ROUND(T497 / 1.2, 2)</f>
        <v>4556630</v>
      </c>
      <c r="AA497" s="9">
        <f>Y497+Z497</f>
        <v>4764657.68</v>
      </c>
      <c r="AD497" s="4">
        <v>311044482</v>
      </c>
      <c r="AE497" s="4">
        <v>22791240</v>
      </c>
      <c r="AG497" s="4" t="s">
        <v>1864</v>
      </c>
      <c r="AH497" s="4" t="s">
        <v>1865</v>
      </c>
      <c r="AI497" s="4" t="s">
        <v>469</v>
      </c>
    </row>
    <row r="498" spans="1:35" ht="36" x14ac:dyDescent="0.3">
      <c r="A498" s="10" t="s">
        <v>1876</v>
      </c>
      <c r="B498" s="10"/>
      <c r="C498" s="17" t="s">
        <v>720</v>
      </c>
      <c r="D498" s="12"/>
      <c r="E498" s="12"/>
      <c r="F498" s="18" t="s">
        <v>99</v>
      </c>
      <c r="G498" s="19">
        <v>0.15</v>
      </c>
      <c r="H498" s="19"/>
      <c r="I498" s="19">
        <v>1051.53</v>
      </c>
      <c r="J498" s="20">
        <v>90.28</v>
      </c>
      <c r="M498" s="21">
        <f>ROUND(ROUND(J498, 2)*I498, 2)</f>
        <v>94932.13</v>
      </c>
      <c r="P498" s="22">
        <v>90.28</v>
      </c>
      <c r="S498" s="21">
        <f>ROUND(ROUND(P498, 2)*I498, 2)</f>
        <v>94932.13</v>
      </c>
      <c r="V498" s="9">
        <f>ROUND(ROUND(P498, 2)/1.2, 2)</f>
        <v>75.23</v>
      </c>
      <c r="Y498" s="9">
        <f t="shared" si="27"/>
        <v>79110.11</v>
      </c>
      <c r="AD498" s="4" t="s">
        <v>1877</v>
      </c>
      <c r="AE498" s="4" t="s">
        <v>1878</v>
      </c>
      <c r="AF498" s="4" t="s">
        <v>723</v>
      </c>
    </row>
    <row r="499" spans="1:35" ht="54" x14ac:dyDescent="0.3">
      <c r="A499" s="10" t="s">
        <v>1879</v>
      </c>
      <c r="B499" s="10"/>
      <c r="C499" s="23" t="s">
        <v>1867</v>
      </c>
      <c r="D499" s="12"/>
      <c r="E499" s="12"/>
      <c r="F499" s="18" t="s">
        <v>99</v>
      </c>
      <c r="G499" s="19">
        <v>1.8</v>
      </c>
      <c r="H499" s="19"/>
      <c r="I499" s="19">
        <v>12618.36</v>
      </c>
      <c r="J499" s="20">
        <v>12.26</v>
      </c>
      <c r="M499" s="21">
        <f>ROUND(ROUND(J499, 2)*I499, 2)</f>
        <v>154701.09</v>
      </c>
      <c r="P499" s="22">
        <v>12.26</v>
      </c>
      <c r="S499" s="21">
        <f>ROUND(ROUND(P499, 2)*I499, 2)</f>
        <v>154701.09</v>
      </c>
      <c r="V499" s="9">
        <f>ROUND(ROUND(P499, 2)/1.2, 2)</f>
        <v>10.220000000000001</v>
      </c>
      <c r="Y499" s="9">
        <f t="shared" si="27"/>
        <v>128917.58</v>
      </c>
      <c r="AD499" s="4" t="s">
        <v>1880</v>
      </c>
      <c r="AE499" s="4" t="s">
        <v>1881</v>
      </c>
      <c r="AF499" s="4" t="s">
        <v>1870</v>
      </c>
    </row>
    <row r="500" spans="1:35" ht="16.95" customHeight="1" x14ac:dyDescent="0.3">
      <c r="A500" s="10" t="s">
        <v>1882</v>
      </c>
      <c r="B500" s="10" t="s">
        <v>1883</v>
      </c>
      <c r="C500" s="51" t="s">
        <v>1884</v>
      </c>
      <c r="D500" s="52"/>
      <c r="E500" s="52"/>
      <c r="F500" s="52"/>
      <c r="G500" s="52"/>
      <c r="H500" s="52"/>
      <c r="I500" s="53"/>
      <c r="M500" s="6">
        <f>SUM(M501,M504,M507,M510,M513,M516,M519,M522,M525,M528,M531)</f>
        <v>1016757.3</v>
      </c>
      <c r="N500" s="6">
        <f>SUM(N501,N504,N507,N510,N513,N516,N519,N522,N525,N528,N531)</f>
        <v>5706040</v>
      </c>
      <c r="O500" s="6">
        <f>SUM(O501,O504,O507,O510,O513,O516,O519,O522,O525,O528,O531)</f>
        <v>6722797.2999999989</v>
      </c>
      <c r="S500" s="6">
        <f>SUM(S501,S504,S507,S510,S513,S516,S519,S522,S525,S528,S531)</f>
        <v>1016757.3</v>
      </c>
      <c r="T500" s="6">
        <f>SUM(T501,T504,T507,T510,T513,T516,T519,T522,T525,T528,T531)</f>
        <v>8151520.8399999999</v>
      </c>
      <c r="U500" s="6">
        <f>SUM(U501,U504,U507,U510,U513,U516,U519,U522,U525,U528,U531)</f>
        <v>9168278.1400000006</v>
      </c>
      <c r="Y500" s="9">
        <f>SUM(Y501,Y504,Y507,Y510,Y513,Y516,Y519,Y522,Y525,Y528,Y531)</f>
        <v>847297.75</v>
      </c>
      <c r="Z500" s="9">
        <f>SUM(Z501,Z504,Z507,Z510,Z513,Z516,Z519,Z522,Z525,Z528,Z531)</f>
        <v>6792934.0399999991</v>
      </c>
      <c r="AA500" s="9">
        <f>SUM(AA501,AA504,AA507,AA510,AA513,AA516,AA519,AA522,AA525,AA528,AA531)</f>
        <v>7640231.7899999991</v>
      </c>
      <c r="AD500" s="4">
        <v>311044398</v>
      </c>
      <c r="AE500" s="4">
        <v>22883914</v>
      </c>
    </row>
    <row r="501" spans="1:35" ht="108" x14ac:dyDescent="0.3">
      <c r="A501" s="10" t="s">
        <v>1885</v>
      </c>
      <c r="B501" s="10" t="s">
        <v>1886</v>
      </c>
      <c r="C501" s="11" t="s">
        <v>1887</v>
      </c>
      <c r="D501" s="12"/>
      <c r="E501" s="12" t="s">
        <v>1888</v>
      </c>
      <c r="F501" s="12" t="s">
        <v>58</v>
      </c>
      <c r="G501" s="13">
        <v>1</v>
      </c>
      <c r="H501" s="13"/>
      <c r="I501" s="13">
        <v>47.78</v>
      </c>
      <c r="J501" s="14">
        <f>IFERROR(ROUND(SUM(M502,M503)/I501, 2),0)</f>
        <v>82.68</v>
      </c>
      <c r="K501" s="15">
        <v>464</v>
      </c>
      <c r="L501" s="14">
        <f>J501+ROUND(K501, 2)</f>
        <v>546.68000000000006</v>
      </c>
      <c r="M501" s="14">
        <f>ROUND(J501*I501, 2)</f>
        <v>3950.45</v>
      </c>
      <c r="N501" s="14">
        <f>ROUND(I501*ROUND(K501, 2), 2)</f>
        <v>22169.919999999998</v>
      </c>
      <c r="O501" s="14">
        <f>M501+N501</f>
        <v>26120.37</v>
      </c>
      <c r="P501" s="14">
        <f>IFERROR(ROUND(SUM(S502,S503)/I501, 2),0)</f>
        <v>82.68</v>
      </c>
      <c r="Q501" s="16">
        <v>662.86</v>
      </c>
      <c r="R501" s="14">
        <f>P501+ROUND(Q501, 2)</f>
        <v>745.54</v>
      </c>
      <c r="S501" s="14">
        <f>ROUND(P501*I501, 2)</f>
        <v>3950.45</v>
      </c>
      <c r="T501" s="14">
        <f>ROUND(I501*ROUND(Q501, 2), 2)</f>
        <v>31671.45</v>
      </c>
      <c r="U501" s="14">
        <f>S501+T501</f>
        <v>35621.9</v>
      </c>
      <c r="V501" s="9">
        <f>ROUND(P501 / 1.2, 2)</f>
        <v>68.900000000000006</v>
      </c>
      <c r="W501" s="9">
        <f>ROUND(Q501 / 1.2, 2)</f>
        <v>552.38</v>
      </c>
      <c r="X501" s="9">
        <f>ROUND(R501 / 1.2, 2)</f>
        <v>621.28</v>
      </c>
      <c r="Y501" s="9">
        <f>ROUND(S501 / 1.2, 2)</f>
        <v>3292.04</v>
      </c>
      <c r="Z501" s="9">
        <f>ROUND(T501 / 1.2, 2)</f>
        <v>26392.880000000001</v>
      </c>
      <c r="AA501" s="9">
        <f>Y501+Z501</f>
        <v>29684.920000000002</v>
      </c>
      <c r="AD501" s="4">
        <v>311044400</v>
      </c>
      <c r="AE501" s="4">
        <v>22883916</v>
      </c>
      <c r="AG501" s="4" t="s">
        <v>1889</v>
      </c>
      <c r="AH501" s="4" t="s">
        <v>1890</v>
      </c>
      <c r="AI501" s="4" t="s">
        <v>469</v>
      </c>
    </row>
    <row r="502" spans="1:35" ht="36" x14ac:dyDescent="0.3">
      <c r="A502" s="10" t="s">
        <v>1891</v>
      </c>
      <c r="B502" s="10"/>
      <c r="C502" s="17" t="s">
        <v>1503</v>
      </c>
      <c r="D502" s="12"/>
      <c r="E502" s="12"/>
      <c r="F502" s="18" t="s">
        <v>99</v>
      </c>
      <c r="G502" s="19">
        <v>0.3</v>
      </c>
      <c r="H502" s="19"/>
      <c r="I502" s="19">
        <v>14.334</v>
      </c>
      <c r="J502" s="20">
        <v>230.45</v>
      </c>
      <c r="M502" s="21">
        <f>ROUND(ROUND(J502, 2)*I502, 2)</f>
        <v>3303.27</v>
      </c>
      <c r="P502" s="22">
        <v>230.45</v>
      </c>
      <c r="S502" s="21">
        <f>ROUND(ROUND(P502, 2)*I502, 2)</f>
        <v>3303.27</v>
      </c>
      <c r="V502" s="9">
        <f>ROUND(ROUND(P502, 2)/1.2, 2)</f>
        <v>192.04</v>
      </c>
      <c r="Y502" s="9">
        <f t="shared" ref="Y502:Y533" si="28">ROUND(S502 / 1.2, 2)</f>
        <v>2752.73</v>
      </c>
      <c r="AD502" s="4" t="s">
        <v>1892</v>
      </c>
      <c r="AE502" s="4" t="s">
        <v>1893</v>
      </c>
      <c r="AF502" s="4" t="s">
        <v>1507</v>
      </c>
    </row>
    <row r="503" spans="1:35" ht="36" x14ac:dyDescent="0.3">
      <c r="A503" s="10" t="s">
        <v>1894</v>
      </c>
      <c r="B503" s="10"/>
      <c r="C503" s="17" t="s">
        <v>1057</v>
      </c>
      <c r="D503" s="12"/>
      <c r="E503" s="12"/>
      <c r="F503" s="18" t="s">
        <v>99</v>
      </c>
      <c r="G503" s="19">
        <v>0.15</v>
      </c>
      <c r="H503" s="19"/>
      <c r="I503" s="19">
        <v>7.1669999999999998</v>
      </c>
      <c r="J503" s="20">
        <v>90.28</v>
      </c>
      <c r="M503" s="21">
        <f>ROUND(ROUND(J503, 2)*I503, 2)</f>
        <v>647.04</v>
      </c>
      <c r="P503" s="22">
        <v>90.28</v>
      </c>
      <c r="S503" s="21">
        <f>ROUND(ROUND(P503, 2)*I503, 2)</f>
        <v>647.04</v>
      </c>
      <c r="V503" s="9">
        <f>ROUND(ROUND(P503, 2)/1.2, 2)</f>
        <v>75.23</v>
      </c>
      <c r="Y503" s="9">
        <f t="shared" si="28"/>
        <v>539.20000000000005</v>
      </c>
      <c r="AD503" s="4" t="s">
        <v>1895</v>
      </c>
      <c r="AE503" s="4" t="s">
        <v>1896</v>
      </c>
      <c r="AF503" s="4" t="s">
        <v>1060</v>
      </c>
    </row>
    <row r="504" spans="1:35" ht="108" x14ac:dyDescent="0.3">
      <c r="A504" s="10" t="s">
        <v>1897</v>
      </c>
      <c r="B504" s="10" t="s">
        <v>1886</v>
      </c>
      <c r="C504" s="11" t="s">
        <v>1887</v>
      </c>
      <c r="D504" s="12"/>
      <c r="E504" s="12" t="s">
        <v>1898</v>
      </c>
      <c r="F504" s="12" t="s">
        <v>58</v>
      </c>
      <c r="G504" s="13">
        <v>1</v>
      </c>
      <c r="H504" s="13"/>
      <c r="I504" s="13">
        <v>727.11</v>
      </c>
      <c r="J504" s="14">
        <f>IFERROR(ROUND(SUM(M505,M506)/I504, 2),0)</f>
        <v>82.68</v>
      </c>
      <c r="K504" s="15">
        <v>464</v>
      </c>
      <c r="L504" s="14">
        <f>J504+ROUND(K504, 2)</f>
        <v>546.68000000000006</v>
      </c>
      <c r="M504" s="14">
        <f>ROUND(J504*I504, 2)</f>
        <v>60117.45</v>
      </c>
      <c r="N504" s="14">
        <f>ROUND(I504*ROUND(K504, 2), 2)</f>
        <v>337379.04</v>
      </c>
      <c r="O504" s="14">
        <f>M504+N504</f>
        <v>397496.49</v>
      </c>
      <c r="P504" s="14">
        <f>IFERROR(ROUND(SUM(S505,S506)/I504, 2),0)</f>
        <v>82.68</v>
      </c>
      <c r="Q504" s="16">
        <v>662.86</v>
      </c>
      <c r="R504" s="14">
        <f>P504+ROUND(Q504, 2)</f>
        <v>745.54</v>
      </c>
      <c r="S504" s="14">
        <f>ROUND(P504*I504, 2)</f>
        <v>60117.45</v>
      </c>
      <c r="T504" s="14">
        <f>ROUND(I504*ROUND(Q504, 2), 2)</f>
        <v>481972.13</v>
      </c>
      <c r="U504" s="14">
        <f>S504+T504</f>
        <v>542089.57999999996</v>
      </c>
      <c r="V504" s="9">
        <f>ROUND(P504 / 1.2, 2)</f>
        <v>68.900000000000006</v>
      </c>
      <c r="W504" s="9">
        <f>ROUND(Q504 / 1.2, 2)</f>
        <v>552.38</v>
      </c>
      <c r="X504" s="9">
        <f>ROUND(R504 / 1.2, 2)</f>
        <v>621.28</v>
      </c>
      <c r="Y504" s="9">
        <f t="shared" si="28"/>
        <v>50097.88</v>
      </c>
      <c r="Z504" s="9">
        <f>ROUND(T504 / 1.2, 2)</f>
        <v>401643.44</v>
      </c>
      <c r="AA504" s="9">
        <f>Y504+Z504</f>
        <v>451741.32</v>
      </c>
      <c r="AD504" s="4">
        <v>311044483</v>
      </c>
      <c r="AE504" s="4">
        <v>22885356</v>
      </c>
      <c r="AG504" s="4" t="s">
        <v>1889</v>
      </c>
      <c r="AH504" s="4" t="s">
        <v>1890</v>
      </c>
      <c r="AI504" s="4" t="s">
        <v>469</v>
      </c>
    </row>
    <row r="505" spans="1:35" ht="36" x14ac:dyDescent="0.3">
      <c r="A505" s="10" t="s">
        <v>1899</v>
      </c>
      <c r="B505" s="10"/>
      <c r="C505" s="17" t="s">
        <v>1057</v>
      </c>
      <c r="D505" s="12"/>
      <c r="E505" s="12"/>
      <c r="F505" s="18" t="s">
        <v>99</v>
      </c>
      <c r="G505" s="19">
        <v>0.15</v>
      </c>
      <c r="H505" s="19"/>
      <c r="I505" s="19">
        <v>109.06699999999999</v>
      </c>
      <c r="J505" s="20">
        <v>90.28</v>
      </c>
      <c r="M505" s="21">
        <f>ROUND(ROUND(J505, 2)*I505, 2)</f>
        <v>9846.57</v>
      </c>
      <c r="P505" s="22">
        <v>90.28</v>
      </c>
      <c r="S505" s="21">
        <f>ROUND(ROUND(P505, 2)*I505, 2)</f>
        <v>9846.57</v>
      </c>
      <c r="V505" s="9">
        <f>ROUND(ROUND(P505, 2)/1.2, 2)</f>
        <v>75.23</v>
      </c>
      <c r="Y505" s="9">
        <f t="shared" si="28"/>
        <v>8205.48</v>
      </c>
      <c r="AD505" s="4" t="s">
        <v>1900</v>
      </c>
      <c r="AE505" s="4" t="s">
        <v>1901</v>
      </c>
      <c r="AF505" s="4" t="s">
        <v>1060</v>
      </c>
    </row>
    <row r="506" spans="1:35" ht="36" x14ac:dyDescent="0.3">
      <c r="A506" s="10" t="s">
        <v>1902</v>
      </c>
      <c r="B506" s="10"/>
      <c r="C506" s="17" t="s">
        <v>1503</v>
      </c>
      <c r="D506" s="12"/>
      <c r="E506" s="12"/>
      <c r="F506" s="18" t="s">
        <v>99</v>
      </c>
      <c r="G506" s="19">
        <v>0.3</v>
      </c>
      <c r="H506" s="19"/>
      <c r="I506" s="19">
        <v>218.13300000000001</v>
      </c>
      <c r="J506" s="20">
        <v>230.45</v>
      </c>
      <c r="M506" s="21">
        <f>ROUND(ROUND(J506, 2)*I506, 2)</f>
        <v>50268.75</v>
      </c>
      <c r="P506" s="22">
        <v>230.45</v>
      </c>
      <c r="S506" s="21">
        <f>ROUND(ROUND(P506, 2)*I506, 2)</f>
        <v>50268.75</v>
      </c>
      <c r="V506" s="9">
        <f>ROUND(ROUND(P506, 2)/1.2, 2)</f>
        <v>192.04</v>
      </c>
      <c r="Y506" s="9">
        <f t="shared" si="28"/>
        <v>41890.629999999997</v>
      </c>
      <c r="AD506" s="4" t="s">
        <v>1903</v>
      </c>
      <c r="AE506" s="4" t="s">
        <v>1904</v>
      </c>
      <c r="AF506" s="4" t="s">
        <v>1507</v>
      </c>
    </row>
    <row r="507" spans="1:35" ht="126" x14ac:dyDescent="0.3">
      <c r="A507" s="10" t="s">
        <v>1905</v>
      </c>
      <c r="B507" s="10" t="s">
        <v>1886</v>
      </c>
      <c r="C507" s="11" t="s">
        <v>1887</v>
      </c>
      <c r="D507" s="12"/>
      <c r="E507" s="12" t="s">
        <v>1906</v>
      </c>
      <c r="F507" s="12" t="s">
        <v>58</v>
      </c>
      <c r="G507" s="13">
        <v>1</v>
      </c>
      <c r="H507" s="13"/>
      <c r="I507" s="13">
        <v>503.14</v>
      </c>
      <c r="J507" s="14">
        <f>IFERROR(ROUND(SUM(M508,M509)/I507, 2),0)</f>
        <v>82.68</v>
      </c>
      <c r="K507" s="15">
        <v>464</v>
      </c>
      <c r="L507" s="14">
        <f>J507+ROUND(K507, 2)</f>
        <v>546.68000000000006</v>
      </c>
      <c r="M507" s="14">
        <f>ROUND(J507*I507, 2)</f>
        <v>41599.620000000003</v>
      </c>
      <c r="N507" s="14">
        <f>ROUND(I507*ROUND(K507, 2), 2)</f>
        <v>233456.96</v>
      </c>
      <c r="O507" s="14">
        <f>M507+N507</f>
        <v>275056.58</v>
      </c>
      <c r="P507" s="14">
        <f>IFERROR(ROUND(SUM(S508,S509)/I507, 2),0)</f>
        <v>82.68</v>
      </c>
      <c r="Q507" s="16">
        <v>662.86</v>
      </c>
      <c r="R507" s="14">
        <f>P507+ROUND(Q507, 2)</f>
        <v>745.54</v>
      </c>
      <c r="S507" s="14">
        <f>ROUND(P507*I507, 2)</f>
        <v>41599.620000000003</v>
      </c>
      <c r="T507" s="14">
        <f>ROUND(I507*ROUND(Q507, 2), 2)</f>
        <v>333511.38</v>
      </c>
      <c r="U507" s="14">
        <f>S507+T507</f>
        <v>375111</v>
      </c>
      <c r="V507" s="9">
        <f>ROUND(P507 / 1.2, 2)</f>
        <v>68.900000000000006</v>
      </c>
      <c r="W507" s="9">
        <f>ROUND(Q507 / 1.2, 2)</f>
        <v>552.38</v>
      </c>
      <c r="X507" s="9">
        <f>ROUND(R507 / 1.2, 2)</f>
        <v>621.28</v>
      </c>
      <c r="Y507" s="9">
        <f t="shared" si="28"/>
        <v>34666.35</v>
      </c>
      <c r="Z507" s="9">
        <f>ROUND(T507 / 1.2, 2)</f>
        <v>277926.15000000002</v>
      </c>
      <c r="AA507" s="9">
        <f>Y507+Z507</f>
        <v>312592.5</v>
      </c>
      <c r="AD507" s="4">
        <v>311044484</v>
      </c>
      <c r="AE507" s="4">
        <v>22885357</v>
      </c>
      <c r="AG507" s="4" t="s">
        <v>1889</v>
      </c>
      <c r="AH507" s="4" t="s">
        <v>1890</v>
      </c>
      <c r="AI507" s="4" t="s">
        <v>469</v>
      </c>
    </row>
    <row r="508" spans="1:35" ht="36" x14ac:dyDescent="0.3">
      <c r="A508" s="10" t="s">
        <v>1907</v>
      </c>
      <c r="B508" s="10"/>
      <c r="C508" s="17" t="s">
        <v>1503</v>
      </c>
      <c r="D508" s="12"/>
      <c r="E508" s="12"/>
      <c r="F508" s="18" t="s">
        <v>99</v>
      </c>
      <c r="G508" s="19">
        <v>0.3</v>
      </c>
      <c r="H508" s="19"/>
      <c r="I508" s="19">
        <v>150.94200000000001</v>
      </c>
      <c r="J508" s="20">
        <v>230.45</v>
      </c>
      <c r="M508" s="21">
        <f>ROUND(ROUND(J508, 2)*I508, 2)</f>
        <v>34784.58</v>
      </c>
      <c r="P508" s="22">
        <v>230.45</v>
      </c>
      <c r="S508" s="21">
        <f>ROUND(ROUND(P508, 2)*I508, 2)</f>
        <v>34784.58</v>
      </c>
      <c r="V508" s="9">
        <f>ROUND(ROUND(P508, 2)/1.2, 2)</f>
        <v>192.04</v>
      </c>
      <c r="Y508" s="9">
        <f t="shared" si="28"/>
        <v>28987.15</v>
      </c>
      <c r="AD508" s="4" t="s">
        <v>1908</v>
      </c>
      <c r="AE508" s="4" t="s">
        <v>1909</v>
      </c>
      <c r="AF508" s="4" t="s">
        <v>1507</v>
      </c>
    </row>
    <row r="509" spans="1:35" ht="36" x14ac:dyDescent="0.3">
      <c r="A509" s="10" t="s">
        <v>1910</v>
      </c>
      <c r="B509" s="10"/>
      <c r="C509" s="17" t="s">
        <v>1057</v>
      </c>
      <c r="D509" s="12"/>
      <c r="E509" s="12"/>
      <c r="F509" s="18" t="s">
        <v>99</v>
      </c>
      <c r="G509" s="19">
        <v>0.15</v>
      </c>
      <c r="H509" s="19"/>
      <c r="I509" s="19">
        <v>75.471000000000004</v>
      </c>
      <c r="J509" s="20">
        <v>90.28</v>
      </c>
      <c r="M509" s="21">
        <f>ROUND(ROUND(J509, 2)*I509, 2)</f>
        <v>6813.52</v>
      </c>
      <c r="P509" s="22">
        <v>90.28</v>
      </c>
      <c r="S509" s="21">
        <f>ROUND(ROUND(P509, 2)*I509, 2)</f>
        <v>6813.52</v>
      </c>
      <c r="V509" s="9">
        <f>ROUND(ROUND(P509, 2)/1.2, 2)</f>
        <v>75.23</v>
      </c>
      <c r="Y509" s="9">
        <f t="shared" si="28"/>
        <v>5677.93</v>
      </c>
      <c r="AD509" s="4" t="s">
        <v>1911</v>
      </c>
      <c r="AE509" s="4" t="s">
        <v>1912</v>
      </c>
      <c r="AF509" s="4" t="s">
        <v>1060</v>
      </c>
    </row>
    <row r="510" spans="1:35" ht="90" x14ac:dyDescent="0.3">
      <c r="A510" s="10" t="s">
        <v>1913</v>
      </c>
      <c r="B510" s="10" t="s">
        <v>1886</v>
      </c>
      <c r="C510" s="11" t="s">
        <v>1887</v>
      </c>
      <c r="D510" s="12"/>
      <c r="E510" s="12" t="s">
        <v>1914</v>
      </c>
      <c r="F510" s="12" t="s">
        <v>58</v>
      </c>
      <c r="G510" s="13">
        <v>1</v>
      </c>
      <c r="H510" s="13"/>
      <c r="I510" s="13">
        <v>2411.1799999999998</v>
      </c>
      <c r="J510" s="14">
        <f>IFERROR(ROUND(SUM(M511,M512)/I510, 2),0)</f>
        <v>82.68</v>
      </c>
      <c r="K510" s="15">
        <v>464</v>
      </c>
      <c r="L510" s="14">
        <f>J510+ROUND(K510, 2)</f>
        <v>546.68000000000006</v>
      </c>
      <c r="M510" s="14">
        <f>ROUND(J510*I510, 2)</f>
        <v>199356.36</v>
      </c>
      <c r="N510" s="14">
        <f>ROUND(I510*ROUND(K510, 2), 2)</f>
        <v>1118787.52</v>
      </c>
      <c r="O510" s="14">
        <f>M510+N510</f>
        <v>1318143.8799999999</v>
      </c>
      <c r="P510" s="14">
        <f>IFERROR(ROUND(SUM(S511,S512)/I510, 2),0)</f>
        <v>82.68</v>
      </c>
      <c r="Q510" s="16">
        <v>662.86</v>
      </c>
      <c r="R510" s="14">
        <f>P510+ROUND(Q510, 2)</f>
        <v>745.54</v>
      </c>
      <c r="S510" s="14">
        <f>ROUND(P510*I510, 2)</f>
        <v>199356.36</v>
      </c>
      <c r="T510" s="14">
        <f>ROUND(I510*ROUND(Q510, 2), 2)</f>
        <v>1598274.77</v>
      </c>
      <c r="U510" s="14">
        <f>S510+T510</f>
        <v>1797631.13</v>
      </c>
      <c r="V510" s="9">
        <f>ROUND(P510 / 1.2, 2)</f>
        <v>68.900000000000006</v>
      </c>
      <c r="W510" s="9">
        <f>ROUND(Q510 / 1.2, 2)</f>
        <v>552.38</v>
      </c>
      <c r="X510" s="9">
        <f>ROUND(R510 / 1.2, 2)</f>
        <v>621.28</v>
      </c>
      <c r="Y510" s="9">
        <f t="shared" si="28"/>
        <v>166130.29999999999</v>
      </c>
      <c r="Z510" s="9">
        <f>ROUND(T510 / 1.2, 2)</f>
        <v>1331895.6399999999</v>
      </c>
      <c r="AA510" s="9">
        <f>Y510+Z510</f>
        <v>1498025.94</v>
      </c>
      <c r="AD510" s="4">
        <v>311044485</v>
      </c>
      <c r="AE510" s="4">
        <v>22885358</v>
      </c>
      <c r="AG510" s="4" t="s">
        <v>1889</v>
      </c>
      <c r="AH510" s="4" t="s">
        <v>1890</v>
      </c>
      <c r="AI510" s="4" t="s">
        <v>469</v>
      </c>
    </row>
    <row r="511" spans="1:35" ht="36" x14ac:dyDescent="0.3">
      <c r="A511" s="10" t="s">
        <v>1915</v>
      </c>
      <c r="B511" s="10"/>
      <c r="C511" s="17" t="s">
        <v>1057</v>
      </c>
      <c r="D511" s="12"/>
      <c r="E511" s="12"/>
      <c r="F511" s="18" t="s">
        <v>99</v>
      </c>
      <c r="G511" s="19">
        <v>0.15</v>
      </c>
      <c r="H511" s="19"/>
      <c r="I511" s="19">
        <v>361.67700000000002</v>
      </c>
      <c r="J511" s="20">
        <v>90.28</v>
      </c>
      <c r="M511" s="21">
        <f>ROUND(ROUND(J511, 2)*I511, 2)</f>
        <v>32652.2</v>
      </c>
      <c r="P511" s="22">
        <v>90.28</v>
      </c>
      <c r="S511" s="21">
        <f>ROUND(ROUND(P511, 2)*I511, 2)</f>
        <v>32652.2</v>
      </c>
      <c r="V511" s="9">
        <f>ROUND(ROUND(P511, 2)/1.2, 2)</f>
        <v>75.23</v>
      </c>
      <c r="Y511" s="9">
        <f t="shared" si="28"/>
        <v>27210.17</v>
      </c>
      <c r="AD511" s="4" t="s">
        <v>1916</v>
      </c>
      <c r="AE511" s="4" t="s">
        <v>1917</v>
      </c>
      <c r="AF511" s="4" t="s">
        <v>1060</v>
      </c>
    </row>
    <row r="512" spans="1:35" ht="36" x14ac:dyDescent="0.3">
      <c r="A512" s="10" t="s">
        <v>1918</v>
      </c>
      <c r="B512" s="10"/>
      <c r="C512" s="17" t="s">
        <v>1503</v>
      </c>
      <c r="D512" s="12"/>
      <c r="E512" s="12"/>
      <c r="F512" s="18" t="s">
        <v>99</v>
      </c>
      <c r="G512" s="19">
        <v>0.3</v>
      </c>
      <c r="H512" s="19"/>
      <c r="I512" s="19">
        <v>723.35400000000004</v>
      </c>
      <c r="J512" s="20">
        <v>230.45</v>
      </c>
      <c r="M512" s="21">
        <f>ROUND(ROUND(J512, 2)*I512, 2)</f>
        <v>166696.93</v>
      </c>
      <c r="P512" s="22">
        <v>230.45</v>
      </c>
      <c r="S512" s="21">
        <f>ROUND(ROUND(P512, 2)*I512, 2)</f>
        <v>166696.93</v>
      </c>
      <c r="V512" s="9">
        <f>ROUND(ROUND(P512, 2)/1.2, 2)</f>
        <v>192.04</v>
      </c>
      <c r="Y512" s="9">
        <f t="shared" si="28"/>
        <v>138914.10999999999</v>
      </c>
      <c r="AD512" s="4" t="s">
        <v>1919</v>
      </c>
      <c r="AE512" s="4" t="s">
        <v>1920</v>
      </c>
      <c r="AF512" s="4" t="s">
        <v>1507</v>
      </c>
    </row>
    <row r="513" spans="1:35" ht="108" x14ac:dyDescent="0.3">
      <c r="A513" s="10" t="s">
        <v>1921</v>
      </c>
      <c r="B513" s="10" t="s">
        <v>1886</v>
      </c>
      <c r="C513" s="11" t="s">
        <v>1887</v>
      </c>
      <c r="D513" s="12"/>
      <c r="E513" s="12" t="s">
        <v>1922</v>
      </c>
      <c r="F513" s="12" t="s">
        <v>58</v>
      </c>
      <c r="G513" s="13">
        <v>1</v>
      </c>
      <c r="H513" s="13"/>
      <c r="I513" s="13">
        <v>18.829999999999998</v>
      </c>
      <c r="J513" s="14">
        <f>IFERROR(ROUND(SUM(M514,M515)/I513, 2),0)</f>
        <v>82.68</v>
      </c>
      <c r="K513" s="15">
        <v>464</v>
      </c>
      <c r="L513" s="14">
        <f>J513+ROUND(K513, 2)</f>
        <v>546.68000000000006</v>
      </c>
      <c r="M513" s="14">
        <f>ROUND(J513*I513, 2)</f>
        <v>1556.86</v>
      </c>
      <c r="N513" s="14">
        <f>ROUND(I513*ROUND(K513, 2), 2)</f>
        <v>8737.1200000000008</v>
      </c>
      <c r="O513" s="14">
        <f>M513+N513</f>
        <v>10293.980000000001</v>
      </c>
      <c r="P513" s="14">
        <f>IFERROR(ROUND(SUM(S514,S515)/I513, 2),0)</f>
        <v>82.68</v>
      </c>
      <c r="Q513" s="16">
        <v>662.86</v>
      </c>
      <c r="R513" s="14">
        <f>P513+ROUND(Q513, 2)</f>
        <v>745.54</v>
      </c>
      <c r="S513" s="14">
        <f>ROUND(P513*I513, 2)</f>
        <v>1556.86</v>
      </c>
      <c r="T513" s="14">
        <f>ROUND(I513*ROUND(Q513, 2), 2)</f>
        <v>12481.65</v>
      </c>
      <c r="U513" s="14">
        <f>S513+T513</f>
        <v>14038.51</v>
      </c>
      <c r="V513" s="9">
        <f>ROUND(P513 / 1.2, 2)</f>
        <v>68.900000000000006</v>
      </c>
      <c r="W513" s="9">
        <f>ROUND(Q513 / 1.2, 2)</f>
        <v>552.38</v>
      </c>
      <c r="X513" s="9">
        <f>ROUND(R513 / 1.2, 2)</f>
        <v>621.28</v>
      </c>
      <c r="Y513" s="9">
        <f t="shared" si="28"/>
        <v>1297.3800000000001</v>
      </c>
      <c r="Z513" s="9">
        <f>ROUND(T513 / 1.2, 2)</f>
        <v>10401.379999999999</v>
      </c>
      <c r="AA513" s="9">
        <f>Y513+Z513</f>
        <v>11698.759999999998</v>
      </c>
      <c r="AD513" s="4">
        <v>311044486</v>
      </c>
      <c r="AE513" s="4">
        <v>22885365</v>
      </c>
      <c r="AG513" s="4" t="s">
        <v>1889</v>
      </c>
      <c r="AH513" s="4" t="s">
        <v>1890</v>
      </c>
      <c r="AI513" s="4" t="s">
        <v>469</v>
      </c>
    </row>
    <row r="514" spans="1:35" ht="36" x14ac:dyDescent="0.3">
      <c r="A514" s="10" t="s">
        <v>1923</v>
      </c>
      <c r="B514" s="10"/>
      <c r="C514" s="17" t="s">
        <v>1503</v>
      </c>
      <c r="D514" s="12"/>
      <c r="E514" s="12"/>
      <c r="F514" s="18" t="s">
        <v>99</v>
      </c>
      <c r="G514" s="19">
        <v>0.3</v>
      </c>
      <c r="H514" s="19"/>
      <c r="I514" s="19">
        <v>5.649</v>
      </c>
      <c r="J514" s="20">
        <v>230.45</v>
      </c>
      <c r="M514" s="21">
        <f>ROUND(ROUND(J514, 2)*I514, 2)</f>
        <v>1301.81</v>
      </c>
      <c r="P514" s="22">
        <v>230.45</v>
      </c>
      <c r="S514" s="21">
        <f>ROUND(ROUND(P514, 2)*I514, 2)</f>
        <v>1301.81</v>
      </c>
      <c r="V514" s="9">
        <f>ROUND(ROUND(P514, 2)/1.2, 2)</f>
        <v>192.04</v>
      </c>
      <c r="Y514" s="9">
        <f t="shared" si="28"/>
        <v>1084.8399999999999</v>
      </c>
      <c r="AD514" s="4" t="s">
        <v>1924</v>
      </c>
      <c r="AE514" s="4" t="s">
        <v>1925</v>
      </c>
      <c r="AF514" s="4" t="s">
        <v>1507</v>
      </c>
    </row>
    <row r="515" spans="1:35" ht="36" x14ac:dyDescent="0.3">
      <c r="A515" s="10" t="s">
        <v>1926</v>
      </c>
      <c r="B515" s="10"/>
      <c r="C515" s="17" t="s">
        <v>1057</v>
      </c>
      <c r="D515" s="12"/>
      <c r="E515" s="12"/>
      <c r="F515" s="18" t="s">
        <v>99</v>
      </c>
      <c r="G515" s="19">
        <v>0.15</v>
      </c>
      <c r="H515" s="19"/>
      <c r="I515" s="19">
        <v>2.8250000000000002</v>
      </c>
      <c r="J515" s="20">
        <v>90.28</v>
      </c>
      <c r="M515" s="21">
        <f>ROUND(ROUND(J515, 2)*I515, 2)</f>
        <v>255.04</v>
      </c>
      <c r="P515" s="22">
        <v>90.28</v>
      </c>
      <c r="S515" s="21">
        <f>ROUND(ROUND(P515, 2)*I515, 2)</f>
        <v>255.04</v>
      </c>
      <c r="V515" s="9">
        <f>ROUND(ROUND(P515, 2)/1.2, 2)</f>
        <v>75.23</v>
      </c>
      <c r="Y515" s="9">
        <f t="shared" si="28"/>
        <v>212.53</v>
      </c>
      <c r="AD515" s="4" t="s">
        <v>1927</v>
      </c>
      <c r="AE515" s="4" t="s">
        <v>1928</v>
      </c>
      <c r="AF515" s="4" t="s">
        <v>1060</v>
      </c>
    </row>
    <row r="516" spans="1:35" ht="108" x14ac:dyDescent="0.3">
      <c r="A516" s="10" t="s">
        <v>1929</v>
      </c>
      <c r="B516" s="10" t="s">
        <v>1886</v>
      </c>
      <c r="C516" s="11" t="s">
        <v>1887</v>
      </c>
      <c r="D516" s="12"/>
      <c r="E516" s="12" t="s">
        <v>1930</v>
      </c>
      <c r="F516" s="12" t="s">
        <v>58</v>
      </c>
      <c r="G516" s="13">
        <v>1</v>
      </c>
      <c r="H516" s="13"/>
      <c r="I516" s="13">
        <v>57.38</v>
      </c>
      <c r="J516" s="14">
        <f>IFERROR(ROUND(SUM(M517,M518)/I516, 2),0)</f>
        <v>82.68</v>
      </c>
      <c r="K516" s="15">
        <v>464</v>
      </c>
      <c r="L516" s="14">
        <f>J516+ROUND(K516, 2)</f>
        <v>546.68000000000006</v>
      </c>
      <c r="M516" s="14">
        <f>ROUND(J516*I516, 2)</f>
        <v>4744.18</v>
      </c>
      <c r="N516" s="14">
        <f>ROUND(I516*ROUND(K516, 2), 2)</f>
        <v>26624.32</v>
      </c>
      <c r="O516" s="14">
        <f>M516+N516</f>
        <v>31368.5</v>
      </c>
      <c r="P516" s="14">
        <f>IFERROR(ROUND(SUM(S517,S518)/I516, 2),0)</f>
        <v>82.68</v>
      </c>
      <c r="Q516" s="16">
        <v>662.86</v>
      </c>
      <c r="R516" s="14">
        <f>P516+ROUND(Q516, 2)</f>
        <v>745.54</v>
      </c>
      <c r="S516" s="14">
        <f>ROUND(P516*I516, 2)</f>
        <v>4744.18</v>
      </c>
      <c r="T516" s="14">
        <f>ROUND(I516*ROUND(Q516, 2), 2)</f>
        <v>38034.910000000003</v>
      </c>
      <c r="U516" s="14">
        <f>S516+T516</f>
        <v>42779.090000000004</v>
      </c>
      <c r="V516" s="9">
        <f>ROUND(P516 / 1.2, 2)</f>
        <v>68.900000000000006</v>
      </c>
      <c r="W516" s="9">
        <f>ROUND(Q516 / 1.2, 2)</f>
        <v>552.38</v>
      </c>
      <c r="X516" s="9">
        <f>ROUND(R516 / 1.2, 2)</f>
        <v>621.28</v>
      </c>
      <c r="Y516" s="9">
        <f t="shared" si="28"/>
        <v>3953.48</v>
      </c>
      <c r="Z516" s="9">
        <f>ROUND(T516 / 1.2, 2)</f>
        <v>31695.759999999998</v>
      </c>
      <c r="AA516" s="9">
        <f>Y516+Z516</f>
        <v>35649.24</v>
      </c>
      <c r="AD516" s="4">
        <v>311044487</v>
      </c>
      <c r="AE516" s="4">
        <v>22885359</v>
      </c>
      <c r="AG516" s="4" t="s">
        <v>1889</v>
      </c>
      <c r="AH516" s="4" t="s">
        <v>1890</v>
      </c>
      <c r="AI516" s="4" t="s">
        <v>469</v>
      </c>
    </row>
    <row r="517" spans="1:35" ht="36" x14ac:dyDescent="0.3">
      <c r="A517" s="10" t="s">
        <v>1931</v>
      </c>
      <c r="B517" s="10"/>
      <c r="C517" s="17" t="s">
        <v>1057</v>
      </c>
      <c r="D517" s="12"/>
      <c r="E517" s="12"/>
      <c r="F517" s="18" t="s">
        <v>99</v>
      </c>
      <c r="G517" s="19">
        <v>0.15</v>
      </c>
      <c r="H517" s="19"/>
      <c r="I517" s="19">
        <v>8.6069999999999993</v>
      </c>
      <c r="J517" s="20">
        <v>90.28</v>
      </c>
      <c r="M517" s="21">
        <f>ROUND(ROUND(J517, 2)*I517, 2)</f>
        <v>777.04</v>
      </c>
      <c r="P517" s="22">
        <v>90.28</v>
      </c>
      <c r="S517" s="21">
        <f>ROUND(ROUND(P517, 2)*I517, 2)</f>
        <v>777.04</v>
      </c>
      <c r="V517" s="9">
        <f>ROUND(ROUND(P517, 2)/1.2, 2)</f>
        <v>75.23</v>
      </c>
      <c r="Y517" s="9">
        <f t="shared" si="28"/>
        <v>647.53</v>
      </c>
      <c r="AD517" s="4" t="s">
        <v>1932</v>
      </c>
      <c r="AE517" s="4" t="s">
        <v>1933</v>
      </c>
      <c r="AF517" s="4" t="s">
        <v>1060</v>
      </c>
    </row>
    <row r="518" spans="1:35" ht="36" x14ac:dyDescent="0.3">
      <c r="A518" s="10" t="s">
        <v>1934</v>
      </c>
      <c r="B518" s="10"/>
      <c r="C518" s="17" t="s">
        <v>1503</v>
      </c>
      <c r="D518" s="12"/>
      <c r="E518" s="12"/>
      <c r="F518" s="18" t="s">
        <v>99</v>
      </c>
      <c r="G518" s="19">
        <v>0.3</v>
      </c>
      <c r="H518" s="19"/>
      <c r="I518" s="19">
        <v>17.213999999999999</v>
      </c>
      <c r="J518" s="20">
        <v>230.45</v>
      </c>
      <c r="M518" s="21">
        <f>ROUND(ROUND(J518, 2)*I518, 2)</f>
        <v>3966.97</v>
      </c>
      <c r="P518" s="22">
        <v>230.45</v>
      </c>
      <c r="S518" s="21">
        <f>ROUND(ROUND(P518, 2)*I518, 2)</f>
        <v>3966.97</v>
      </c>
      <c r="V518" s="9">
        <f>ROUND(ROUND(P518, 2)/1.2, 2)</f>
        <v>192.04</v>
      </c>
      <c r="Y518" s="9">
        <f t="shared" si="28"/>
        <v>3305.81</v>
      </c>
      <c r="AD518" s="4" t="s">
        <v>1935</v>
      </c>
      <c r="AE518" s="4" t="s">
        <v>1936</v>
      </c>
      <c r="AF518" s="4" t="s">
        <v>1507</v>
      </c>
    </row>
    <row r="519" spans="1:35" ht="108" x14ac:dyDescent="0.3">
      <c r="A519" s="10" t="s">
        <v>1937</v>
      </c>
      <c r="B519" s="10" t="s">
        <v>1886</v>
      </c>
      <c r="C519" s="11" t="s">
        <v>1887</v>
      </c>
      <c r="D519" s="12"/>
      <c r="E519" s="12" t="s">
        <v>1938</v>
      </c>
      <c r="F519" s="12" t="s">
        <v>58</v>
      </c>
      <c r="G519" s="13">
        <v>1</v>
      </c>
      <c r="H519" s="13"/>
      <c r="I519" s="13">
        <v>57.27</v>
      </c>
      <c r="J519" s="14">
        <f>IFERROR(ROUND(SUM(M520,M521)/I519, 2),0)</f>
        <v>82.68</v>
      </c>
      <c r="K519" s="15">
        <v>464</v>
      </c>
      <c r="L519" s="14">
        <f>J519+ROUND(K519, 2)</f>
        <v>546.68000000000006</v>
      </c>
      <c r="M519" s="14">
        <f>ROUND(J519*I519, 2)</f>
        <v>4735.08</v>
      </c>
      <c r="N519" s="14">
        <f>ROUND(I519*ROUND(K519, 2), 2)</f>
        <v>26573.279999999999</v>
      </c>
      <c r="O519" s="14">
        <f>M519+N519</f>
        <v>31308.36</v>
      </c>
      <c r="P519" s="14">
        <f>IFERROR(ROUND(SUM(S520,S521)/I519, 2),0)</f>
        <v>82.68</v>
      </c>
      <c r="Q519" s="16">
        <v>662.86</v>
      </c>
      <c r="R519" s="14">
        <f>P519+ROUND(Q519, 2)</f>
        <v>745.54</v>
      </c>
      <c r="S519" s="14">
        <f>ROUND(P519*I519, 2)</f>
        <v>4735.08</v>
      </c>
      <c r="T519" s="14">
        <f>ROUND(I519*ROUND(Q519, 2), 2)</f>
        <v>37961.99</v>
      </c>
      <c r="U519" s="14">
        <f>S519+T519</f>
        <v>42697.07</v>
      </c>
      <c r="V519" s="9">
        <f>ROUND(P519 / 1.2, 2)</f>
        <v>68.900000000000006</v>
      </c>
      <c r="W519" s="9">
        <f>ROUND(Q519 / 1.2, 2)</f>
        <v>552.38</v>
      </c>
      <c r="X519" s="9">
        <f>ROUND(R519 / 1.2, 2)</f>
        <v>621.28</v>
      </c>
      <c r="Y519" s="9">
        <f t="shared" si="28"/>
        <v>3945.9</v>
      </c>
      <c r="Z519" s="9">
        <f>ROUND(T519 / 1.2, 2)</f>
        <v>31634.99</v>
      </c>
      <c r="AA519" s="9">
        <f>Y519+Z519</f>
        <v>35580.89</v>
      </c>
      <c r="AD519" s="4">
        <v>311044488</v>
      </c>
      <c r="AE519" s="4">
        <v>22885360</v>
      </c>
      <c r="AG519" s="4" t="s">
        <v>1889</v>
      </c>
      <c r="AH519" s="4" t="s">
        <v>1890</v>
      </c>
      <c r="AI519" s="4" t="s">
        <v>469</v>
      </c>
    </row>
    <row r="520" spans="1:35" ht="36" x14ac:dyDescent="0.3">
      <c r="A520" s="10" t="s">
        <v>1939</v>
      </c>
      <c r="B520" s="10"/>
      <c r="C520" s="17" t="s">
        <v>1503</v>
      </c>
      <c r="D520" s="12"/>
      <c r="E520" s="12"/>
      <c r="F520" s="18" t="s">
        <v>99</v>
      </c>
      <c r="G520" s="19">
        <v>0.3</v>
      </c>
      <c r="H520" s="19"/>
      <c r="I520" s="19">
        <v>17.181000000000001</v>
      </c>
      <c r="J520" s="20">
        <v>230.45</v>
      </c>
      <c r="M520" s="21">
        <f>ROUND(ROUND(J520, 2)*I520, 2)</f>
        <v>3959.36</v>
      </c>
      <c r="P520" s="22">
        <v>230.45</v>
      </c>
      <c r="S520" s="21">
        <f>ROUND(ROUND(P520, 2)*I520, 2)</f>
        <v>3959.36</v>
      </c>
      <c r="V520" s="9">
        <f>ROUND(ROUND(P520, 2)/1.2, 2)</f>
        <v>192.04</v>
      </c>
      <c r="Y520" s="9">
        <f t="shared" si="28"/>
        <v>3299.47</v>
      </c>
      <c r="AD520" s="4" t="s">
        <v>1940</v>
      </c>
      <c r="AE520" s="4" t="s">
        <v>1941</v>
      </c>
      <c r="AF520" s="4" t="s">
        <v>1507</v>
      </c>
    </row>
    <row r="521" spans="1:35" ht="36" x14ac:dyDescent="0.3">
      <c r="A521" s="10" t="s">
        <v>1942</v>
      </c>
      <c r="B521" s="10"/>
      <c r="C521" s="17" t="s">
        <v>1057</v>
      </c>
      <c r="D521" s="12"/>
      <c r="E521" s="12"/>
      <c r="F521" s="18" t="s">
        <v>99</v>
      </c>
      <c r="G521" s="19">
        <v>0.15</v>
      </c>
      <c r="H521" s="19"/>
      <c r="I521" s="19">
        <v>8.5909999999999993</v>
      </c>
      <c r="J521" s="20">
        <v>90.28</v>
      </c>
      <c r="M521" s="21">
        <f>ROUND(ROUND(J521, 2)*I521, 2)</f>
        <v>775.6</v>
      </c>
      <c r="P521" s="22">
        <v>90.28</v>
      </c>
      <c r="S521" s="21">
        <f>ROUND(ROUND(P521, 2)*I521, 2)</f>
        <v>775.6</v>
      </c>
      <c r="V521" s="9">
        <f>ROUND(ROUND(P521, 2)/1.2, 2)</f>
        <v>75.23</v>
      </c>
      <c r="Y521" s="9">
        <f t="shared" si="28"/>
        <v>646.33000000000004</v>
      </c>
      <c r="AD521" s="4" t="s">
        <v>1943</v>
      </c>
      <c r="AE521" s="4" t="s">
        <v>1944</v>
      </c>
      <c r="AF521" s="4" t="s">
        <v>1060</v>
      </c>
    </row>
    <row r="522" spans="1:35" ht="108" x14ac:dyDescent="0.3">
      <c r="A522" s="10" t="s">
        <v>1945</v>
      </c>
      <c r="B522" s="10" t="s">
        <v>1886</v>
      </c>
      <c r="C522" s="11" t="s">
        <v>1887</v>
      </c>
      <c r="D522" s="12"/>
      <c r="E522" s="12" t="s">
        <v>1946</v>
      </c>
      <c r="F522" s="12" t="s">
        <v>58</v>
      </c>
      <c r="G522" s="13">
        <v>1</v>
      </c>
      <c r="H522" s="13"/>
      <c r="I522" s="13">
        <v>28.67</v>
      </c>
      <c r="J522" s="14">
        <f>IFERROR(ROUND(SUM(M523,M524)/I522, 2),0)</f>
        <v>82.68</v>
      </c>
      <c r="K522" s="15">
        <v>464</v>
      </c>
      <c r="L522" s="14">
        <f>J522+ROUND(K522, 2)</f>
        <v>546.68000000000006</v>
      </c>
      <c r="M522" s="14">
        <f>ROUND(J522*I522, 2)</f>
        <v>2370.44</v>
      </c>
      <c r="N522" s="14">
        <f>ROUND(I522*ROUND(K522, 2), 2)</f>
        <v>13302.88</v>
      </c>
      <c r="O522" s="14">
        <f>M522+N522</f>
        <v>15673.32</v>
      </c>
      <c r="P522" s="14">
        <f>IFERROR(ROUND(SUM(S523,S524)/I522, 2),0)</f>
        <v>82.68</v>
      </c>
      <c r="Q522" s="16">
        <v>662.86</v>
      </c>
      <c r="R522" s="14">
        <f>P522+ROUND(Q522, 2)</f>
        <v>745.54</v>
      </c>
      <c r="S522" s="14">
        <f>ROUND(P522*I522, 2)</f>
        <v>2370.44</v>
      </c>
      <c r="T522" s="14">
        <f>ROUND(I522*ROUND(Q522, 2), 2)</f>
        <v>19004.2</v>
      </c>
      <c r="U522" s="14">
        <f>S522+T522</f>
        <v>21374.639999999999</v>
      </c>
      <c r="V522" s="9">
        <f>ROUND(P522 / 1.2, 2)</f>
        <v>68.900000000000006</v>
      </c>
      <c r="W522" s="9">
        <f>ROUND(Q522 / 1.2, 2)</f>
        <v>552.38</v>
      </c>
      <c r="X522" s="9">
        <f>ROUND(R522 / 1.2, 2)</f>
        <v>621.28</v>
      </c>
      <c r="Y522" s="9">
        <f t="shared" si="28"/>
        <v>1975.37</v>
      </c>
      <c r="Z522" s="9">
        <f>ROUND(T522 / 1.2, 2)</f>
        <v>15836.83</v>
      </c>
      <c r="AA522" s="9">
        <f>Y522+Z522</f>
        <v>17812.2</v>
      </c>
      <c r="AD522" s="4">
        <v>311044489</v>
      </c>
      <c r="AE522" s="4">
        <v>22885361</v>
      </c>
      <c r="AG522" s="4" t="s">
        <v>1889</v>
      </c>
      <c r="AH522" s="4" t="s">
        <v>1890</v>
      </c>
      <c r="AI522" s="4" t="s">
        <v>469</v>
      </c>
    </row>
    <row r="523" spans="1:35" ht="36" x14ac:dyDescent="0.3">
      <c r="A523" s="10" t="s">
        <v>1947</v>
      </c>
      <c r="B523" s="10"/>
      <c r="C523" s="17" t="s">
        <v>1057</v>
      </c>
      <c r="D523" s="12"/>
      <c r="E523" s="12"/>
      <c r="F523" s="18" t="s">
        <v>99</v>
      </c>
      <c r="G523" s="19">
        <v>0.15</v>
      </c>
      <c r="H523" s="19"/>
      <c r="I523" s="19">
        <v>4.3010000000000002</v>
      </c>
      <c r="J523" s="20">
        <v>90.28</v>
      </c>
      <c r="M523" s="21">
        <f>ROUND(ROUND(J523, 2)*I523, 2)</f>
        <v>388.29</v>
      </c>
      <c r="P523" s="22">
        <v>90.28</v>
      </c>
      <c r="S523" s="21">
        <f>ROUND(ROUND(P523, 2)*I523, 2)</f>
        <v>388.29</v>
      </c>
      <c r="V523" s="9">
        <f>ROUND(ROUND(P523, 2)/1.2, 2)</f>
        <v>75.23</v>
      </c>
      <c r="Y523" s="9">
        <f t="shared" si="28"/>
        <v>323.58</v>
      </c>
      <c r="AD523" s="4" t="s">
        <v>1948</v>
      </c>
      <c r="AE523" s="4" t="s">
        <v>1949</v>
      </c>
      <c r="AF523" s="4" t="s">
        <v>1060</v>
      </c>
    </row>
    <row r="524" spans="1:35" ht="36" x14ac:dyDescent="0.3">
      <c r="A524" s="10" t="s">
        <v>1950</v>
      </c>
      <c r="B524" s="10"/>
      <c r="C524" s="17" t="s">
        <v>1503</v>
      </c>
      <c r="D524" s="12"/>
      <c r="E524" s="12"/>
      <c r="F524" s="18" t="s">
        <v>99</v>
      </c>
      <c r="G524" s="19">
        <v>0.3</v>
      </c>
      <c r="H524" s="19"/>
      <c r="I524" s="19">
        <v>8.6010000000000009</v>
      </c>
      <c r="J524" s="20">
        <v>230.45</v>
      </c>
      <c r="M524" s="21">
        <f>ROUND(ROUND(J524, 2)*I524, 2)</f>
        <v>1982.1</v>
      </c>
      <c r="P524" s="22">
        <v>230.45</v>
      </c>
      <c r="S524" s="21">
        <f>ROUND(ROUND(P524, 2)*I524, 2)</f>
        <v>1982.1</v>
      </c>
      <c r="V524" s="9">
        <f>ROUND(ROUND(P524, 2)/1.2, 2)</f>
        <v>192.04</v>
      </c>
      <c r="Y524" s="9">
        <f t="shared" si="28"/>
        <v>1651.75</v>
      </c>
      <c r="AD524" s="4" t="s">
        <v>1951</v>
      </c>
      <c r="AE524" s="4" t="s">
        <v>1952</v>
      </c>
      <c r="AF524" s="4" t="s">
        <v>1507</v>
      </c>
    </row>
    <row r="525" spans="1:35" ht="108" x14ac:dyDescent="0.3">
      <c r="A525" s="10" t="s">
        <v>1953</v>
      </c>
      <c r="B525" s="10" t="s">
        <v>1886</v>
      </c>
      <c r="C525" s="11" t="s">
        <v>1887</v>
      </c>
      <c r="D525" s="12"/>
      <c r="E525" s="12" t="s">
        <v>1954</v>
      </c>
      <c r="F525" s="12" t="s">
        <v>58</v>
      </c>
      <c r="G525" s="13">
        <v>1</v>
      </c>
      <c r="H525" s="13"/>
      <c r="I525" s="13">
        <v>4293.76</v>
      </c>
      <c r="J525" s="14">
        <f>IFERROR(ROUND(SUM(M526,M527)/I525, 2),0)</f>
        <v>82.68</v>
      </c>
      <c r="K525" s="15">
        <v>464</v>
      </c>
      <c r="L525" s="14">
        <f>J525+ROUND(K525, 2)</f>
        <v>546.68000000000006</v>
      </c>
      <c r="M525" s="14">
        <f>ROUND(J525*I525, 2)</f>
        <v>355008.08</v>
      </c>
      <c r="N525" s="14">
        <f>ROUND(I525*ROUND(K525, 2), 2)</f>
        <v>1992304.6399999999</v>
      </c>
      <c r="O525" s="14">
        <f>M525+N525</f>
        <v>2347312.7199999997</v>
      </c>
      <c r="P525" s="14">
        <f>IFERROR(ROUND(SUM(S526,S527)/I525, 2),0)</f>
        <v>82.68</v>
      </c>
      <c r="Q525" s="16">
        <v>662.86</v>
      </c>
      <c r="R525" s="14">
        <f>P525+ROUND(Q525, 2)</f>
        <v>745.54</v>
      </c>
      <c r="S525" s="14">
        <f>ROUND(P525*I525, 2)</f>
        <v>355008.08</v>
      </c>
      <c r="T525" s="14">
        <f>ROUND(I525*ROUND(Q525, 2), 2)</f>
        <v>2846161.75</v>
      </c>
      <c r="U525" s="14">
        <f>S525+T525</f>
        <v>3201169.83</v>
      </c>
      <c r="V525" s="9">
        <f>ROUND(P525 / 1.2, 2)</f>
        <v>68.900000000000006</v>
      </c>
      <c r="W525" s="9">
        <f>ROUND(Q525 / 1.2, 2)</f>
        <v>552.38</v>
      </c>
      <c r="X525" s="9">
        <f>ROUND(R525 / 1.2, 2)</f>
        <v>621.28</v>
      </c>
      <c r="Y525" s="9">
        <f t="shared" si="28"/>
        <v>295840.07</v>
      </c>
      <c r="Z525" s="9">
        <f>ROUND(T525 / 1.2, 2)</f>
        <v>2371801.46</v>
      </c>
      <c r="AA525" s="9">
        <f>Y525+Z525</f>
        <v>2667641.5299999998</v>
      </c>
      <c r="AD525" s="4">
        <v>311044490</v>
      </c>
      <c r="AE525" s="4">
        <v>22885362</v>
      </c>
      <c r="AG525" s="4" t="s">
        <v>1889</v>
      </c>
      <c r="AH525" s="4" t="s">
        <v>1890</v>
      </c>
      <c r="AI525" s="4" t="s">
        <v>469</v>
      </c>
    </row>
    <row r="526" spans="1:35" ht="36" x14ac:dyDescent="0.3">
      <c r="A526" s="10" t="s">
        <v>1955</v>
      </c>
      <c r="B526" s="10"/>
      <c r="C526" s="17" t="s">
        <v>1503</v>
      </c>
      <c r="D526" s="12"/>
      <c r="E526" s="12"/>
      <c r="F526" s="18" t="s">
        <v>99</v>
      </c>
      <c r="G526" s="19">
        <v>0.3</v>
      </c>
      <c r="H526" s="19"/>
      <c r="I526" s="19">
        <v>1288.1279999999999</v>
      </c>
      <c r="J526" s="20">
        <v>230.45</v>
      </c>
      <c r="M526" s="21">
        <f>ROUND(ROUND(J526, 2)*I526, 2)</f>
        <v>296849.09999999998</v>
      </c>
      <c r="P526" s="22">
        <v>230.45</v>
      </c>
      <c r="S526" s="21">
        <f>ROUND(ROUND(P526, 2)*I526, 2)</f>
        <v>296849.09999999998</v>
      </c>
      <c r="V526" s="9">
        <f>ROUND(ROUND(P526, 2)/1.2, 2)</f>
        <v>192.04</v>
      </c>
      <c r="Y526" s="9">
        <f t="shared" si="28"/>
        <v>247374.25</v>
      </c>
      <c r="AD526" s="4" t="s">
        <v>1956</v>
      </c>
      <c r="AE526" s="4" t="s">
        <v>1957</v>
      </c>
      <c r="AF526" s="4" t="s">
        <v>1507</v>
      </c>
    </row>
    <row r="527" spans="1:35" ht="36" x14ac:dyDescent="0.3">
      <c r="A527" s="10" t="s">
        <v>1958</v>
      </c>
      <c r="B527" s="10"/>
      <c r="C527" s="17" t="s">
        <v>1057</v>
      </c>
      <c r="D527" s="12"/>
      <c r="E527" s="12"/>
      <c r="F527" s="18" t="s">
        <v>99</v>
      </c>
      <c r="G527" s="19">
        <v>0.15</v>
      </c>
      <c r="H527" s="19"/>
      <c r="I527" s="19">
        <v>644.06399999999996</v>
      </c>
      <c r="J527" s="20">
        <v>90.28</v>
      </c>
      <c r="M527" s="21">
        <f>ROUND(ROUND(J527, 2)*I527, 2)</f>
        <v>58146.1</v>
      </c>
      <c r="P527" s="22">
        <v>90.28</v>
      </c>
      <c r="S527" s="21">
        <f>ROUND(ROUND(P527, 2)*I527, 2)</f>
        <v>58146.1</v>
      </c>
      <c r="V527" s="9">
        <f>ROUND(ROUND(P527, 2)/1.2, 2)</f>
        <v>75.23</v>
      </c>
      <c r="Y527" s="9">
        <f t="shared" si="28"/>
        <v>48455.08</v>
      </c>
      <c r="AD527" s="4" t="s">
        <v>1959</v>
      </c>
      <c r="AE527" s="4" t="s">
        <v>1960</v>
      </c>
      <c r="AF527" s="4" t="s">
        <v>1060</v>
      </c>
    </row>
    <row r="528" spans="1:35" ht="108" x14ac:dyDescent="0.3">
      <c r="A528" s="10" t="s">
        <v>1961</v>
      </c>
      <c r="B528" s="10" t="s">
        <v>1886</v>
      </c>
      <c r="C528" s="11" t="s">
        <v>1887</v>
      </c>
      <c r="D528" s="12"/>
      <c r="E528" s="12" t="s">
        <v>1962</v>
      </c>
      <c r="F528" s="12" t="s">
        <v>58</v>
      </c>
      <c r="G528" s="13">
        <v>1</v>
      </c>
      <c r="H528" s="13"/>
      <c r="I528" s="13">
        <v>355.1</v>
      </c>
      <c r="J528" s="14">
        <f>IFERROR(ROUND(SUM(M529,M530)/I528, 2),0)</f>
        <v>82.68</v>
      </c>
      <c r="K528" s="15">
        <v>464</v>
      </c>
      <c r="L528" s="14">
        <f>J528+ROUND(K528, 2)</f>
        <v>546.68000000000006</v>
      </c>
      <c r="M528" s="14">
        <f>ROUND(J528*I528, 2)</f>
        <v>29359.67</v>
      </c>
      <c r="N528" s="14">
        <f>ROUND(I528*ROUND(K528, 2), 2)</f>
        <v>164766.39999999999</v>
      </c>
      <c r="O528" s="14">
        <f>M528+N528</f>
        <v>194126.07</v>
      </c>
      <c r="P528" s="14">
        <f>IFERROR(ROUND(SUM(S529,S530)/I528, 2),0)</f>
        <v>82.68</v>
      </c>
      <c r="Q528" s="16">
        <v>662.86</v>
      </c>
      <c r="R528" s="14">
        <f>P528+ROUND(Q528, 2)</f>
        <v>745.54</v>
      </c>
      <c r="S528" s="14">
        <f>ROUND(P528*I528, 2)</f>
        <v>29359.67</v>
      </c>
      <c r="T528" s="14">
        <f>ROUND(I528*ROUND(Q528, 2), 2)</f>
        <v>235381.59</v>
      </c>
      <c r="U528" s="14">
        <f>S528+T528</f>
        <v>264741.26</v>
      </c>
      <c r="V528" s="9">
        <f>ROUND(P528 / 1.2, 2)</f>
        <v>68.900000000000006</v>
      </c>
      <c r="W528" s="9">
        <f>ROUND(Q528 / 1.2, 2)</f>
        <v>552.38</v>
      </c>
      <c r="X528" s="9">
        <f>ROUND(R528 / 1.2, 2)</f>
        <v>621.28</v>
      </c>
      <c r="Y528" s="9">
        <f t="shared" si="28"/>
        <v>24466.39</v>
      </c>
      <c r="Z528" s="9">
        <f>ROUND(T528 / 1.2, 2)</f>
        <v>196151.33</v>
      </c>
      <c r="AA528" s="9">
        <f>Y528+Z528</f>
        <v>220617.71999999997</v>
      </c>
      <c r="AD528" s="4">
        <v>311044491</v>
      </c>
      <c r="AE528" s="4">
        <v>22885363</v>
      </c>
      <c r="AG528" s="4" t="s">
        <v>1889</v>
      </c>
      <c r="AH528" s="4" t="s">
        <v>1890</v>
      </c>
      <c r="AI528" s="4" t="s">
        <v>469</v>
      </c>
    </row>
    <row r="529" spans="1:35" ht="36" x14ac:dyDescent="0.3">
      <c r="A529" s="10" t="s">
        <v>1963</v>
      </c>
      <c r="B529" s="10"/>
      <c r="C529" s="17" t="s">
        <v>1057</v>
      </c>
      <c r="D529" s="12"/>
      <c r="E529" s="12"/>
      <c r="F529" s="18" t="s">
        <v>99</v>
      </c>
      <c r="G529" s="19">
        <v>0.15</v>
      </c>
      <c r="H529" s="19"/>
      <c r="I529" s="19">
        <v>53.265000000000001</v>
      </c>
      <c r="J529" s="20">
        <v>90.28</v>
      </c>
      <c r="M529" s="21">
        <f>ROUND(ROUND(J529, 2)*I529, 2)</f>
        <v>4808.76</v>
      </c>
      <c r="P529" s="22">
        <v>90.28</v>
      </c>
      <c r="S529" s="21">
        <f>ROUND(ROUND(P529, 2)*I529, 2)</f>
        <v>4808.76</v>
      </c>
      <c r="V529" s="9">
        <f>ROUND(ROUND(P529, 2)/1.2, 2)</f>
        <v>75.23</v>
      </c>
      <c r="Y529" s="9">
        <f t="shared" si="28"/>
        <v>4007.3</v>
      </c>
      <c r="AD529" s="4" t="s">
        <v>1964</v>
      </c>
      <c r="AE529" s="4" t="s">
        <v>1965</v>
      </c>
      <c r="AF529" s="4" t="s">
        <v>1060</v>
      </c>
    </row>
    <row r="530" spans="1:35" ht="36" x14ac:dyDescent="0.3">
      <c r="A530" s="10" t="s">
        <v>1966</v>
      </c>
      <c r="B530" s="10"/>
      <c r="C530" s="17" t="s">
        <v>1503</v>
      </c>
      <c r="D530" s="12"/>
      <c r="E530" s="12"/>
      <c r="F530" s="18" t="s">
        <v>99</v>
      </c>
      <c r="G530" s="19">
        <v>0.3</v>
      </c>
      <c r="H530" s="19"/>
      <c r="I530" s="19">
        <v>106.53</v>
      </c>
      <c r="J530" s="20">
        <v>230.45</v>
      </c>
      <c r="M530" s="21">
        <f>ROUND(ROUND(J530, 2)*I530, 2)</f>
        <v>24549.84</v>
      </c>
      <c r="P530" s="22">
        <v>230.45</v>
      </c>
      <c r="S530" s="21">
        <f>ROUND(ROUND(P530, 2)*I530, 2)</f>
        <v>24549.84</v>
      </c>
      <c r="V530" s="9">
        <f>ROUND(ROUND(P530, 2)/1.2, 2)</f>
        <v>192.04</v>
      </c>
      <c r="Y530" s="9">
        <f t="shared" si="28"/>
        <v>20458.2</v>
      </c>
      <c r="AD530" s="4" t="s">
        <v>1967</v>
      </c>
      <c r="AE530" s="4" t="s">
        <v>1968</v>
      </c>
      <c r="AF530" s="4" t="s">
        <v>1507</v>
      </c>
    </row>
    <row r="531" spans="1:35" ht="90" x14ac:dyDescent="0.3">
      <c r="A531" s="10" t="s">
        <v>1969</v>
      </c>
      <c r="B531" s="10" t="s">
        <v>1886</v>
      </c>
      <c r="C531" s="11" t="s">
        <v>1887</v>
      </c>
      <c r="D531" s="12"/>
      <c r="E531" s="12" t="s">
        <v>1970</v>
      </c>
      <c r="F531" s="12" t="s">
        <v>58</v>
      </c>
      <c r="G531" s="13">
        <v>1</v>
      </c>
      <c r="H531" s="13"/>
      <c r="I531" s="13">
        <v>3797.28</v>
      </c>
      <c r="J531" s="14">
        <f>IFERROR(ROUND(SUM(M532,M533)/I531, 2),0)</f>
        <v>82.68</v>
      </c>
      <c r="K531" s="15">
        <v>464</v>
      </c>
      <c r="L531" s="14">
        <f>J531+ROUND(K531, 2)</f>
        <v>546.68000000000006</v>
      </c>
      <c r="M531" s="14">
        <f>ROUND(J531*I531, 2)</f>
        <v>313959.11</v>
      </c>
      <c r="N531" s="14">
        <f>ROUND(I531*ROUND(K531, 2), 2)</f>
        <v>1761937.92</v>
      </c>
      <c r="O531" s="14">
        <f>M531+N531</f>
        <v>2075897.0299999998</v>
      </c>
      <c r="P531" s="14">
        <f>IFERROR(ROUND(SUM(S532,S533)/I531, 2),0)</f>
        <v>82.68</v>
      </c>
      <c r="Q531" s="16">
        <v>662.86</v>
      </c>
      <c r="R531" s="14">
        <f>P531+ROUND(Q531, 2)</f>
        <v>745.54</v>
      </c>
      <c r="S531" s="14">
        <f>ROUND(P531*I531, 2)</f>
        <v>313959.11</v>
      </c>
      <c r="T531" s="14">
        <f>ROUND(I531*ROUND(Q531, 2), 2)</f>
        <v>2517065.02</v>
      </c>
      <c r="U531" s="14">
        <f>S531+T531</f>
        <v>2831024.13</v>
      </c>
      <c r="V531" s="9">
        <f>ROUND(P531 / 1.2, 2)</f>
        <v>68.900000000000006</v>
      </c>
      <c r="W531" s="9">
        <f>ROUND(Q531 / 1.2, 2)</f>
        <v>552.38</v>
      </c>
      <c r="X531" s="9">
        <f>ROUND(R531 / 1.2, 2)</f>
        <v>621.28</v>
      </c>
      <c r="Y531" s="9">
        <f t="shared" si="28"/>
        <v>261632.59</v>
      </c>
      <c r="Z531" s="9">
        <f>ROUND(T531 / 1.2, 2)</f>
        <v>2097554.1800000002</v>
      </c>
      <c r="AA531" s="9">
        <f>Y531+Z531</f>
        <v>2359186.77</v>
      </c>
      <c r="AD531" s="4">
        <v>311044492</v>
      </c>
      <c r="AE531" s="4">
        <v>22885364</v>
      </c>
      <c r="AG531" s="4" t="s">
        <v>1889</v>
      </c>
      <c r="AH531" s="4" t="s">
        <v>1890</v>
      </c>
      <c r="AI531" s="4" t="s">
        <v>469</v>
      </c>
    </row>
    <row r="532" spans="1:35" ht="36" x14ac:dyDescent="0.3">
      <c r="A532" s="10" t="s">
        <v>1971</v>
      </c>
      <c r="B532" s="10"/>
      <c r="C532" s="17" t="s">
        <v>1503</v>
      </c>
      <c r="D532" s="12"/>
      <c r="E532" s="12"/>
      <c r="F532" s="18" t="s">
        <v>99</v>
      </c>
      <c r="G532" s="19">
        <v>0.3</v>
      </c>
      <c r="H532" s="19"/>
      <c r="I532" s="19">
        <v>1139.184</v>
      </c>
      <c r="J532" s="20">
        <v>230.45</v>
      </c>
      <c r="M532" s="21">
        <f>ROUND(ROUND(J532, 2)*I532, 2)</f>
        <v>262524.95</v>
      </c>
      <c r="P532" s="22">
        <v>230.45</v>
      </c>
      <c r="S532" s="21">
        <f>ROUND(ROUND(P532, 2)*I532, 2)</f>
        <v>262524.95</v>
      </c>
      <c r="V532" s="9">
        <f>ROUND(ROUND(P532, 2)/1.2, 2)</f>
        <v>192.04</v>
      </c>
      <c r="Y532" s="9">
        <f t="shared" si="28"/>
        <v>218770.79</v>
      </c>
      <c r="AD532" s="4" t="s">
        <v>1972</v>
      </c>
      <c r="AE532" s="4" t="s">
        <v>1973</v>
      </c>
      <c r="AF532" s="4" t="s">
        <v>1507</v>
      </c>
    </row>
    <row r="533" spans="1:35" ht="36" x14ac:dyDescent="0.3">
      <c r="A533" s="10" t="s">
        <v>1974</v>
      </c>
      <c r="B533" s="10"/>
      <c r="C533" s="17" t="s">
        <v>1057</v>
      </c>
      <c r="D533" s="12"/>
      <c r="E533" s="12"/>
      <c r="F533" s="18" t="s">
        <v>99</v>
      </c>
      <c r="G533" s="19">
        <v>0.15</v>
      </c>
      <c r="H533" s="19"/>
      <c r="I533" s="19">
        <v>569.59199999999998</v>
      </c>
      <c r="J533" s="20">
        <v>90.28</v>
      </c>
      <c r="M533" s="21">
        <f>ROUND(ROUND(J533, 2)*I533, 2)</f>
        <v>51422.77</v>
      </c>
      <c r="P533" s="22">
        <v>90.28</v>
      </c>
      <c r="S533" s="21">
        <f>ROUND(ROUND(P533, 2)*I533, 2)</f>
        <v>51422.77</v>
      </c>
      <c r="V533" s="9">
        <f>ROUND(ROUND(P533, 2)/1.2, 2)</f>
        <v>75.23</v>
      </c>
      <c r="Y533" s="9">
        <f t="shared" si="28"/>
        <v>42852.31</v>
      </c>
      <c r="AD533" s="4" t="s">
        <v>1975</v>
      </c>
      <c r="AE533" s="4" t="s">
        <v>1976</v>
      </c>
      <c r="AF533" s="4" t="s">
        <v>1060</v>
      </c>
    </row>
    <row r="534" spans="1:35" ht="16.95" customHeight="1" x14ac:dyDescent="0.3">
      <c r="A534" s="10" t="s">
        <v>1977</v>
      </c>
      <c r="B534" s="10" t="s">
        <v>1978</v>
      </c>
      <c r="C534" s="51" t="s">
        <v>1979</v>
      </c>
      <c r="D534" s="52"/>
      <c r="E534" s="52"/>
      <c r="F534" s="52"/>
      <c r="G534" s="52"/>
      <c r="H534" s="52"/>
      <c r="I534" s="53"/>
      <c r="M534" s="6">
        <f>SUM(M535,M536,M538,M540,M542,M544,M546,M548,M550,M552,M554,M556,M558,M569,M580,M582)</f>
        <v>1078575.9099999999</v>
      </c>
      <c r="N534" s="6">
        <f>SUM(N535,N536,N538,N540,N542,N544,N546,N548,N550,N552,N554,N556,N558,N569,N580,N582)</f>
        <v>13435630.290000001</v>
      </c>
      <c r="O534" s="6">
        <f>SUM(O535,O536,O538,O540,O542,O544,O546,O548,O550,O552,O554,O556,O558,O569,O580,O582)</f>
        <v>14514206.200000001</v>
      </c>
      <c r="S534" s="6">
        <f>SUM(S535,S536,S538,S540,S542,S544,S546,S548,S550,S552,S554,S556,S558,S569,S580,S582)</f>
        <v>39521925.81000001</v>
      </c>
      <c r="T534" s="6">
        <f>SUM(T535,T536,T538,T540,T542,T544,T546,T548,T550,T552,T554,T556,T558,T569,T580,T582)</f>
        <v>19193763.209999997</v>
      </c>
      <c r="U534" s="6">
        <f>SUM(U535,U536,U538,U540,U542,U544,U546,U548,U550,U552,U554,U556,U558,U569,U580,U582)</f>
        <v>58715689.020000011</v>
      </c>
      <c r="Y534" s="9">
        <f>SUM(Y535,Y536,Y538,Y540,Y542,Y544,Y546,Y548,Y550,Y552,Y554,Y556,Y558,Y569,Y580,Y582)</f>
        <v>32934938.190000001</v>
      </c>
      <c r="Z534" s="9">
        <f>SUM(Z535,Z536,Z538,Z540,Z542,Z544,Z546,Z548,Z550,Z552,Z554,Z556,Z558,Z569,Z580,Z582)</f>
        <v>15994802.659999996</v>
      </c>
      <c r="AA534" s="9">
        <f>SUM(AA535,AA536,AA538,AA540,AA542,AA544,AA546,AA548,AA550,AA552,AA554,AA556,AA558,AA569,AA580,AA582)</f>
        <v>48929740.850000001</v>
      </c>
      <c r="AD534" s="4">
        <v>311044401</v>
      </c>
      <c r="AE534" s="4">
        <v>22791292</v>
      </c>
    </row>
    <row r="535" spans="1:35" ht="54" x14ac:dyDescent="0.3">
      <c r="A535" s="10" t="s">
        <v>1980</v>
      </c>
      <c r="B535" s="10" t="s">
        <v>1981</v>
      </c>
      <c r="C535" s="11" t="s">
        <v>1982</v>
      </c>
      <c r="D535" s="12"/>
      <c r="E535" s="12"/>
      <c r="F535" s="12" t="s">
        <v>58</v>
      </c>
      <c r="G535" s="13">
        <v>1</v>
      </c>
      <c r="H535" s="13"/>
      <c r="I535" s="13">
        <v>7535.57</v>
      </c>
      <c r="J535" s="14">
        <v>0</v>
      </c>
      <c r="K535" s="15">
        <v>121</v>
      </c>
      <c r="L535" s="14">
        <f>J535+ROUND(K535, 2)</f>
        <v>121</v>
      </c>
      <c r="M535" s="14">
        <v>0</v>
      </c>
      <c r="N535" s="14">
        <f>ROUND(I535*ROUND(K535, 2), 2)</f>
        <v>911803.97</v>
      </c>
      <c r="O535" s="14">
        <f>M535+N535</f>
        <v>911803.97</v>
      </c>
      <c r="P535" s="14">
        <v>0</v>
      </c>
      <c r="Q535" s="16">
        <v>172.86</v>
      </c>
      <c r="R535" s="14">
        <f>P535+ROUND(Q535, 2)</f>
        <v>172.86</v>
      </c>
      <c r="S535" s="14">
        <v>0</v>
      </c>
      <c r="T535" s="14">
        <f>ROUND(I535*ROUND(Q535, 2), 2)</f>
        <v>1302598.6299999999</v>
      </c>
      <c r="U535" s="14">
        <f>S535+T535</f>
        <v>1302598.6299999999</v>
      </c>
      <c r="V535" s="9"/>
      <c r="W535" s="9">
        <f>ROUND(Q535 / 1.2, 2)</f>
        <v>144.05000000000001</v>
      </c>
      <c r="X535" s="9">
        <f>ROUND(R535 / 1.2, 2)</f>
        <v>144.05000000000001</v>
      </c>
      <c r="Y535" s="9"/>
      <c r="Z535" s="9">
        <f>ROUND(T535 / 1.2, 2)</f>
        <v>1085498.8600000001</v>
      </c>
      <c r="AA535" s="9">
        <f>Y535+Z535</f>
        <v>1085498.8600000001</v>
      </c>
      <c r="AD535" s="4">
        <v>311044403</v>
      </c>
      <c r="AE535" s="4">
        <v>22929788</v>
      </c>
      <c r="AG535" s="4" t="s">
        <v>1983</v>
      </c>
      <c r="AH535" s="4" t="s">
        <v>1984</v>
      </c>
      <c r="AI535" s="4" t="s">
        <v>469</v>
      </c>
    </row>
    <row r="536" spans="1:35" ht="36" x14ac:dyDescent="0.3">
      <c r="A536" s="10" t="s">
        <v>1985</v>
      </c>
      <c r="B536" s="10" t="s">
        <v>1986</v>
      </c>
      <c r="C536" s="11" t="s">
        <v>1987</v>
      </c>
      <c r="D536" s="12"/>
      <c r="E536" s="12"/>
      <c r="F536" s="12" t="s">
        <v>58</v>
      </c>
      <c r="G536" s="13">
        <v>1</v>
      </c>
      <c r="H536" s="13"/>
      <c r="I536" s="13">
        <v>3219.96</v>
      </c>
      <c r="J536" s="14">
        <f>IFERROR(ROUND(SUM(M537)/I536, 2),0)</f>
        <v>0</v>
      </c>
      <c r="K536" s="15">
        <v>1723.99</v>
      </c>
      <c r="L536" s="14">
        <f>J536+ROUND(K536, 2)</f>
        <v>1723.99</v>
      </c>
      <c r="M536" s="14">
        <f>ROUND(J536*I536, 2)</f>
        <v>0</v>
      </c>
      <c r="N536" s="14">
        <f>ROUND(I536*ROUND(K536, 2), 2)</f>
        <v>5551178.8399999999</v>
      </c>
      <c r="O536" s="14">
        <f>M536+N536</f>
        <v>5551178.8399999999</v>
      </c>
      <c r="P536" s="14">
        <f>IFERROR(ROUND(SUM(S537)/I536, 2),0)</f>
        <v>1312</v>
      </c>
      <c r="Q536" s="16">
        <v>2462.84</v>
      </c>
      <c r="R536" s="14">
        <f>P536+ROUND(Q536, 2)</f>
        <v>3774.84</v>
      </c>
      <c r="S536" s="14">
        <f>ROUND(P536*I536, 2)</f>
        <v>4224587.5199999996</v>
      </c>
      <c r="T536" s="14">
        <f>ROUND(I536*ROUND(Q536, 2), 2)</f>
        <v>7930246.29</v>
      </c>
      <c r="U536" s="14">
        <f>S536+T536</f>
        <v>12154833.809999999</v>
      </c>
      <c r="V536" s="9">
        <f>ROUND(P536 / 1.2, 2)</f>
        <v>1093.33</v>
      </c>
      <c r="W536" s="9">
        <f>ROUND(Q536 / 1.2, 2)</f>
        <v>2052.37</v>
      </c>
      <c r="X536" s="9">
        <f>ROUND(R536 / 1.2, 2)</f>
        <v>3145.7</v>
      </c>
      <c r="Y536" s="9">
        <f t="shared" ref="Y536:Y583" si="29">ROUND(S536 / 1.2, 2)</f>
        <v>3520489.6</v>
      </c>
      <c r="Z536" s="9">
        <f>ROUND(T536 / 1.2, 2)</f>
        <v>6608538.5800000001</v>
      </c>
      <c r="AA536" s="9">
        <f>Y536+Z536</f>
        <v>10129028.18</v>
      </c>
      <c r="AD536" s="4">
        <v>311044405</v>
      </c>
      <c r="AE536" s="4">
        <v>22892007</v>
      </c>
      <c r="AG536" s="4" t="s">
        <v>1988</v>
      </c>
      <c r="AH536" s="4" t="s">
        <v>1989</v>
      </c>
      <c r="AI536" s="4" t="s">
        <v>469</v>
      </c>
    </row>
    <row r="537" spans="1:35" ht="306" x14ac:dyDescent="0.3">
      <c r="A537" s="10" t="s">
        <v>1990</v>
      </c>
      <c r="B537" s="10"/>
      <c r="C537" s="17" t="s">
        <v>1991</v>
      </c>
      <c r="D537" s="12"/>
      <c r="E537" s="12" t="s">
        <v>1992</v>
      </c>
      <c r="F537" s="18" t="s">
        <v>58</v>
      </c>
      <c r="G537" s="19">
        <v>1</v>
      </c>
      <c r="H537" s="19"/>
      <c r="I537" s="19">
        <v>3219.96</v>
      </c>
      <c r="J537" s="20">
        <v>0</v>
      </c>
      <c r="M537" s="21">
        <f>ROUND(ROUND(J537, 2)*I537, 2)</f>
        <v>0</v>
      </c>
      <c r="P537" s="22">
        <v>1312</v>
      </c>
      <c r="S537" s="21">
        <f>ROUND(ROUND(P537, 2)*I537, 2)</f>
        <v>4224587.5199999996</v>
      </c>
      <c r="V537" s="9">
        <f>ROUND(ROUND(P537, 2)/1.2, 2)</f>
        <v>1093.33</v>
      </c>
      <c r="Y537" s="9">
        <f t="shared" si="29"/>
        <v>3520489.6</v>
      </c>
      <c r="AD537" s="4" t="s">
        <v>1993</v>
      </c>
      <c r="AE537" s="4" t="s">
        <v>1994</v>
      </c>
      <c r="AF537" s="4" t="s">
        <v>1995</v>
      </c>
    </row>
    <row r="538" spans="1:35" ht="36" x14ac:dyDescent="0.3">
      <c r="A538" s="10" t="s">
        <v>1996</v>
      </c>
      <c r="B538" s="10" t="s">
        <v>1986</v>
      </c>
      <c r="C538" s="11" t="s">
        <v>1987</v>
      </c>
      <c r="D538" s="12"/>
      <c r="E538" s="12" t="s">
        <v>1997</v>
      </c>
      <c r="F538" s="12" t="s">
        <v>58</v>
      </c>
      <c r="G538" s="13">
        <v>1</v>
      </c>
      <c r="H538" s="13"/>
      <c r="I538" s="13">
        <v>147.91</v>
      </c>
      <c r="J538" s="14">
        <f>IFERROR(ROUND(SUM(M539)/I538, 2),0)</f>
        <v>0</v>
      </c>
      <c r="K538" s="15">
        <v>1723.99</v>
      </c>
      <c r="L538" s="14">
        <f>J538+ROUND(K538, 2)</f>
        <v>1723.99</v>
      </c>
      <c r="M538" s="14">
        <f>ROUND(J538*I538, 2)</f>
        <v>0</v>
      </c>
      <c r="N538" s="14">
        <f>ROUND(I538*ROUND(K538, 2), 2)</f>
        <v>254995.36</v>
      </c>
      <c r="O538" s="14">
        <f>M538+N538</f>
        <v>254995.36</v>
      </c>
      <c r="P538" s="14">
        <f>IFERROR(ROUND(SUM(S539)/I538, 2),0)</f>
        <v>15500</v>
      </c>
      <c r="Q538" s="16">
        <v>2462.84</v>
      </c>
      <c r="R538" s="14">
        <f>P538+ROUND(Q538, 2)</f>
        <v>17962.84</v>
      </c>
      <c r="S538" s="14">
        <f>ROUND(P538*I538, 2)</f>
        <v>2292605</v>
      </c>
      <c r="T538" s="14">
        <f>ROUND(I538*ROUND(Q538, 2), 2)</f>
        <v>364278.66</v>
      </c>
      <c r="U538" s="14">
        <f>S538+T538</f>
        <v>2656883.66</v>
      </c>
      <c r="V538" s="9">
        <f>ROUND(P538 / 1.2, 2)</f>
        <v>12916.67</v>
      </c>
      <c r="W538" s="9">
        <f>ROUND(Q538 / 1.2, 2)</f>
        <v>2052.37</v>
      </c>
      <c r="X538" s="9">
        <f>ROUND(R538 / 1.2, 2)</f>
        <v>14969.03</v>
      </c>
      <c r="Y538" s="9">
        <f t="shared" si="29"/>
        <v>1910504.17</v>
      </c>
      <c r="Z538" s="9">
        <f>ROUND(T538 / 1.2, 2)</f>
        <v>303565.55</v>
      </c>
      <c r="AA538" s="9">
        <f>Y538+Z538</f>
        <v>2214069.7199999997</v>
      </c>
      <c r="AD538" s="4">
        <v>311044493</v>
      </c>
      <c r="AE538" s="4">
        <v>22892018</v>
      </c>
      <c r="AG538" s="4" t="s">
        <v>1988</v>
      </c>
      <c r="AH538" s="4" t="s">
        <v>1989</v>
      </c>
      <c r="AI538" s="4" t="s">
        <v>469</v>
      </c>
    </row>
    <row r="539" spans="1:35" ht="108" x14ac:dyDescent="0.3">
      <c r="A539" s="10" t="s">
        <v>1998</v>
      </c>
      <c r="B539" s="10"/>
      <c r="C539" s="17" t="s">
        <v>1991</v>
      </c>
      <c r="D539" s="12"/>
      <c r="E539" s="12" t="s">
        <v>1999</v>
      </c>
      <c r="F539" s="18" t="s">
        <v>58</v>
      </c>
      <c r="G539" s="19">
        <v>1</v>
      </c>
      <c r="H539" s="19"/>
      <c r="I539" s="19">
        <v>147.91</v>
      </c>
      <c r="J539" s="20">
        <v>0</v>
      </c>
      <c r="M539" s="21">
        <f>ROUND(ROUND(J539, 2)*I539, 2)</f>
        <v>0</v>
      </c>
      <c r="P539" s="22">
        <v>15500</v>
      </c>
      <c r="S539" s="21">
        <f>ROUND(ROUND(P539, 2)*I539, 2)</f>
        <v>2292605</v>
      </c>
      <c r="V539" s="9">
        <f>ROUND(ROUND(P539, 2)/1.2, 2)</f>
        <v>12916.67</v>
      </c>
      <c r="Y539" s="9">
        <f t="shared" si="29"/>
        <v>1910504.17</v>
      </c>
      <c r="AD539" s="4" t="s">
        <v>2000</v>
      </c>
      <c r="AE539" s="4" t="s">
        <v>2001</v>
      </c>
      <c r="AF539" s="4" t="s">
        <v>1995</v>
      </c>
    </row>
    <row r="540" spans="1:35" ht="36" x14ac:dyDescent="0.3">
      <c r="A540" s="10" t="s">
        <v>2002</v>
      </c>
      <c r="B540" s="10" t="s">
        <v>1986</v>
      </c>
      <c r="C540" s="11" t="s">
        <v>1987</v>
      </c>
      <c r="D540" s="12"/>
      <c r="E540" s="12" t="s">
        <v>2003</v>
      </c>
      <c r="F540" s="12" t="s">
        <v>58</v>
      </c>
      <c r="G540" s="13">
        <v>1</v>
      </c>
      <c r="H540" s="13"/>
      <c r="I540" s="13">
        <v>144.66999999999999</v>
      </c>
      <c r="J540" s="14">
        <f>IFERROR(ROUND(SUM(M541)/I540, 2),0)</f>
        <v>0</v>
      </c>
      <c r="K540" s="15">
        <v>1723.99</v>
      </c>
      <c r="L540" s="14">
        <f>J540+ROUND(K540, 2)</f>
        <v>1723.99</v>
      </c>
      <c r="M540" s="14">
        <f>ROUND(J540*I540, 2)</f>
        <v>0</v>
      </c>
      <c r="N540" s="14">
        <f>ROUND(I540*ROUND(K540, 2), 2)</f>
        <v>249409.63</v>
      </c>
      <c r="O540" s="14">
        <f>M540+N540</f>
        <v>249409.63</v>
      </c>
      <c r="P540" s="14">
        <f>IFERROR(ROUND(SUM(S541)/I540, 2),0)</f>
        <v>15500</v>
      </c>
      <c r="Q540" s="16">
        <v>2462.84</v>
      </c>
      <c r="R540" s="14">
        <f>P540+ROUND(Q540, 2)</f>
        <v>17962.84</v>
      </c>
      <c r="S540" s="14">
        <f>ROUND(P540*I540, 2)</f>
        <v>2242385</v>
      </c>
      <c r="T540" s="14">
        <f>ROUND(I540*ROUND(Q540, 2), 2)</f>
        <v>356299.06</v>
      </c>
      <c r="U540" s="14">
        <f>S540+T540</f>
        <v>2598684.06</v>
      </c>
      <c r="V540" s="9">
        <f>ROUND(P540 / 1.2, 2)</f>
        <v>12916.67</v>
      </c>
      <c r="W540" s="9">
        <f>ROUND(Q540 / 1.2, 2)</f>
        <v>2052.37</v>
      </c>
      <c r="X540" s="9">
        <f>ROUND(R540 / 1.2, 2)</f>
        <v>14969.03</v>
      </c>
      <c r="Y540" s="9">
        <f t="shared" si="29"/>
        <v>1868654.17</v>
      </c>
      <c r="Z540" s="9">
        <f>ROUND(T540 / 1.2, 2)</f>
        <v>296915.88</v>
      </c>
      <c r="AA540" s="9">
        <f>Y540+Z540</f>
        <v>2165570.0499999998</v>
      </c>
      <c r="AD540" s="4">
        <v>311044494</v>
      </c>
      <c r="AE540" s="4">
        <v>22892019</v>
      </c>
      <c r="AG540" s="4" t="s">
        <v>1988</v>
      </c>
      <c r="AH540" s="4" t="s">
        <v>1989</v>
      </c>
      <c r="AI540" s="4" t="s">
        <v>469</v>
      </c>
    </row>
    <row r="541" spans="1:35" ht="108" x14ac:dyDescent="0.3">
      <c r="A541" s="10" t="s">
        <v>2004</v>
      </c>
      <c r="B541" s="10"/>
      <c r="C541" s="17" t="s">
        <v>1991</v>
      </c>
      <c r="D541" s="12"/>
      <c r="E541" s="12" t="s">
        <v>2005</v>
      </c>
      <c r="F541" s="18" t="s">
        <v>58</v>
      </c>
      <c r="G541" s="19">
        <v>1</v>
      </c>
      <c r="H541" s="19"/>
      <c r="I541" s="19">
        <v>144.66999999999999</v>
      </c>
      <c r="J541" s="20">
        <v>0</v>
      </c>
      <c r="M541" s="21">
        <f>ROUND(ROUND(J541, 2)*I541, 2)</f>
        <v>0</v>
      </c>
      <c r="P541" s="22">
        <v>15500</v>
      </c>
      <c r="S541" s="21">
        <f>ROUND(ROUND(P541, 2)*I541, 2)</f>
        <v>2242385</v>
      </c>
      <c r="V541" s="9">
        <f>ROUND(ROUND(P541, 2)/1.2, 2)</f>
        <v>12916.67</v>
      </c>
      <c r="Y541" s="9">
        <f t="shared" si="29"/>
        <v>1868654.17</v>
      </c>
      <c r="AD541" s="4" t="s">
        <v>2006</v>
      </c>
      <c r="AE541" s="4" t="s">
        <v>2007</v>
      </c>
      <c r="AF541" s="4" t="s">
        <v>1995</v>
      </c>
    </row>
    <row r="542" spans="1:35" ht="36" x14ac:dyDescent="0.3">
      <c r="A542" s="10" t="s">
        <v>2008</v>
      </c>
      <c r="B542" s="10" t="s">
        <v>1986</v>
      </c>
      <c r="C542" s="11" t="s">
        <v>1987</v>
      </c>
      <c r="D542" s="12"/>
      <c r="E542" s="12" t="s">
        <v>2009</v>
      </c>
      <c r="F542" s="12" t="s">
        <v>58</v>
      </c>
      <c r="G542" s="13">
        <v>1</v>
      </c>
      <c r="H542" s="13"/>
      <c r="I542" s="13">
        <v>144.31</v>
      </c>
      <c r="J542" s="14">
        <f>IFERROR(ROUND(SUM(M543)/I542, 2),0)</f>
        <v>0</v>
      </c>
      <c r="K542" s="15">
        <v>1723.99</v>
      </c>
      <c r="L542" s="14">
        <f>J542+ROUND(K542, 2)</f>
        <v>1723.99</v>
      </c>
      <c r="M542" s="14">
        <f>ROUND(J542*I542, 2)</f>
        <v>0</v>
      </c>
      <c r="N542" s="14">
        <f>ROUND(I542*ROUND(K542, 2), 2)</f>
        <v>248789</v>
      </c>
      <c r="O542" s="14">
        <f>M542+N542</f>
        <v>248789</v>
      </c>
      <c r="P542" s="14">
        <f>IFERROR(ROUND(SUM(S543)/I542, 2),0)</f>
        <v>15500</v>
      </c>
      <c r="Q542" s="16">
        <v>2462.84</v>
      </c>
      <c r="R542" s="14">
        <f>P542+ROUND(Q542, 2)</f>
        <v>17962.84</v>
      </c>
      <c r="S542" s="14">
        <f>ROUND(P542*I542, 2)</f>
        <v>2236805</v>
      </c>
      <c r="T542" s="14">
        <f>ROUND(I542*ROUND(Q542, 2), 2)</f>
        <v>355412.44</v>
      </c>
      <c r="U542" s="14">
        <f>S542+T542</f>
        <v>2592217.44</v>
      </c>
      <c r="V542" s="9">
        <f>ROUND(P542 / 1.2, 2)</f>
        <v>12916.67</v>
      </c>
      <c r="W542" s="9">
        <f>ROUND(Q542 / 1.2, 2)</f>
        <v>2052.37</v>
      </c>
      <c r="X542" s="9">
        <f>ROUND(R542 / 1.2, 2)</f>
        <v>14969.03</v>
      </c>
      <c r="Y542" s="9">
        <f t="shared" si="29"/>
        <v>1864004.17</v>
      </c>
      <c r="Z542" s="9">
        <f>ROUND(T542 / 1.2, 2)</f>
        <v>296177.03000000003</v>
      </c>
      <c r="AA542" s="9">
        <f>Y542+Z542</f>
        <v>2160181.2000000002</v>
      </c>
      <c r="AD542" s="4">
        <v>311044495</v>
      </c>
      <c r="AE542" s="4">
        <v>22892020</v>
      </c>
      <c r="AG542" s="4" t="s">
        <v>1988</v>
      </c>
      <c r="AH542" s="4" t="s">
        <v>1989</v>
      </c>
      <c r="AI542" s="4" t="s">
        <v>469</v>
      </c>
    </row>
    <row r="543" spans="1:35" ht="108" x14ac:dyDescent="0.3">
      <c r="A543" s="10" t="s">
        <v>2010</v>
      </c>
      <c r="B543" s="10"/>
      <c r="C543" s="17" t="s">
        <v>1991</v>
      </c>
      <c r="D543" s="12"/>
      <c r="E543" s="12" t="s">
        <v>2005</v>
      </c>
      <c r="F543" s="18" t="s">
        <v>58</v>
      </c>
      <c r="G543" s="19">
        <v>1</v>
      </c>
      <c r="H543" s="19"/>
      <c r="I543" s="19">
        <v>144.31</v>
      </c>
      <c r="J543" s="20">
        <v>0</v>
      </c>
      <c r="M543" s="21">
        <f>ROUND(ROUND(J543, 2)*I543, 2)</f>
        <v>0</v>
      </c>
      <c r="P543" s="22">
        <v>15500</v>
      </c>
      <c r="S543" s="21">
        <f>ROUND(ROUND(P543, 2)*I543, 2)</f>
        <v>2236805</v>
      </c>
      <c r="V543" s="9">
        <f>ROUND(ROUND(P543, 2)/1.2, 2)</f>
        <v>12916.67</v>
      </c>
      <c r="Y543" s="9">
        <f t="shared" si="29"/>
        <v>1864004.17</v>
      </c>
      <c r="AD543" s="4" t="s">
        <v>2011</v>
      </c>
      <c r="AE543" s="4" t="s">
        <v>2012</v>
      </c>
      <c r="AF543" s="4" t="s">
        <v>1995</v>
      </c>
    </row>
    <row r="544" spans="1:35" ht="36" x14ac:dyDescent="0.3">
      <c r="A544" s="10" t="s">
        <v>2013</v>
      </c>
      <c r="B544" s="10" t="s">
        <v>1986</v>
      </c>
      <c r="C544" s="11" t="s">
        <v>1987</v>
      </c>
      <c r="D544" s="12"/>
      <c r="E544" s="12" t="s">
        <v>2014</v>
      </c>
      <c r="F544" s="12" t="s">
        <v>58</v>
      </c>
      <c r="G544" s="13">
        <v>1</v>
      </c>
      <c r="H544" s="13"/>
      <c r="I544" s="13">
        <v>802.27</v>
      </c>
      <c r="J544" s="14">
        <f>IFERROR(ROUND(SUM(M545)/I544, 2),0)</f>
        <v>0</v>
      </c>
      <c r="K544" s="15">
        <v>1723.99</v>
      </c>
      <c r="L544" s="14">
        <f>J544+ROUND(K544, 2)</f>
        <v>1723.99</v>
      </c>
      <c r="M544" s="14">
        <f>ROUND(J544*I544, 2)</f>
        <v>0</v>
      </c>
      <c r="N544" s="14">
        <f>ROUND(I544*ROUND(K544, 2), 2)</f>
        <v>1383105.46</v>
      </c>
      <c r="O544" s="14">
        <f>M544+N544</f>
        <v>1383105.46</v>
      </c>
      <c r="P544" s="14">
        <f>IFERROR(ROUND(SUM(S545)/I544, 2),0)</f>
        <v>15500</v>
      </c>
      <c r="Q544" s="16">
        <v>2462.84</v>
      </c>
      <c r="R544" s="14">
        <f>P544+ROUND(Q544, 2)</f>
        <v>17962.84</v>
      </c>
      <c r="S544" s="14">
        <f>ROUND(P544*I544, 2)</f>
        <v>12435185</v>
      </c>
      <c r="T544" s="14">
        <f>ROUND(I544*ROUND(Q544, 2), 2)</f>
        <v>1975862.65</v>
      </c>
      <c r="U544" s="14">
        <f>S544+T544</f>
        <v>14411047.65</v>
      </c>
      <c r="V544" s="9">
        <f>ROUND(P544 / 1.2, 2)</f>
        <v>12916.67</v>
      </c>
      <c r="W544" s="9">
        <f>ROUND(Q544 / 1.2, 2)</f>
        <v>2052.37</v>
      </c>
      <c r="X544" s="9">
        <f>ROUND(R544 / 1.2, 2)</f>
        <v>14969.03</v>
      </c>
      <c r="Y544" s="9">
        <f t="shared" si="29"/>
        <v>10362654.17</v>
      </c>
      <c r="Z544" s="9">
        <f>ROUND(T544 / 1.2, 2)</f>
        <v>1646552.21</v>
      </c>
      <c r="AA544" s="9">
        <f>Y544+Z544</f>
        <v>12009206.379999999</v>
      </c>
      <c r="AD544" s="4">
        <v>311044496</v>
      </c>
      <c r="AE544" s="4">
        <v>22892021</v>
      </c>
      <c r="AG544" s="4" t="s">
        <v>1988</v>
      </c>
      <c r="AH544" s="4" t="s">
        <v>1989</v>
      </c>
      <c r="AI544" s="4" t="s">
        <v>469</v>
      </c>
    </row>
    <row r="545" spans="1:35" ht="108" x14ac:dyDescent="0.3">
      <c r="A545" s="10" t="s">
        <v>2015</v>
      </c>
      <c r="B545" s="10"/>
      <c r="C545" s="17" t="s">
        <v>1991</v>
      </c>
      <c r="D545" s="12"/>
      <c r="E545" s="12" t="s">
        <v>2016</v>
      </c>
      <c r="F545" s="18" t="s">
        <v>58</v>
      </c>
      <c r="G545" s="19">
        <v>1</v>
      </c>
      <c r="H545" s="19"/>
      <c r="I545" s="19">
        <v>802.27</v>
      </c>
      <c r="J545" s="20">
        <v>0</v>
      </c>
      <c r="M545" s="21">
        <f>ROUND(ROUND(J545, 2)*I545, 2)</f>
        <v>0</v>
      </c>
      <c r="P545" s="22">
        <v>15500</v>
      </c>
      <c r="S545" s="21">
        <f>ROUND(ROUND(P545, 2)*I545, 2)</f>
        <v>12435185</v>
      </c>
      <c r="V545" s="9">
        <f>ROUND(ROUND(P545, 2)/1.2, 2)</f>
        <v>12916.67</v>
      </c>
      <c r="Y545" s="9">
        <f t="shared" si="29"/>
        <v>10362654.17</v>
      </c>
      <c r="AD545" s="4" t="s">
        <v>2017</v>
      </c>
      <c r="AE545" s="4" t="s">
        <v>2018</v>
      </c>
      <c r="AF545" s="4" t="s">
        <v>1995</v>
      </c>
    </row>
    <row r="546" spans="1:35" ht="36" x14ac:dyDescent="0.3">
      <c r="A546" s="10" t="s">
        <v>2019</v>
      </c>
      <c r="B546" s="10" t="s">
        <v>1986</v>
      </c>
      <c r="C546" s="11" t="s">
        <v>1987</v>
      </c>
      <c r="D546" s="12"/>
      <c r="E546" s="12" t="s">
        <v>2020</v>
      </c>
      <c r="F546" s="12" t="s">
        <v>58</v>
      </c>
      <c r="G546" s="13">
        <v>1</v>
      </c>
      <c r="H546" s="13"/>
      <c r="I546" s="13">
        <v>143.38999999999999</v>
      </c>
      <c r="J546" s="14">
        <f>IFERROR(ROUND(SUM(M547)/I546, 2),0)</f>
        <v>0</v>
      </c>
      <c r="K546" s="15">
        <v>1723.99</v>
      </c>
      <c r="L546" s="14">
        <f>J546+ROUND(K546, 2)</f>
        <v>1723.99</v>
      </c>
      <c r="M546" s="14">
        <f>ROUND(J546*I546, 2)</f>
        <v>0</v>
      </c>
      <c r="N546" s="14">
        <f>ROUND(I546*ROUND(K546, 2), 2)</f>
        <v>247202.93</v>
      </c>
      <c r="O546" s="14">
        <f>M546+N546</f>
        <v>247202.93</v>
      </c>
      <c r="P546" s="14">
        <f>IFERROR(ROUND(SUM(S547)/I546, 2),0)</f>
        <v>15500</v>
      </c>
      <c r="Q546" s="16">
        <v>2462.84</v>
      </c>
      <c r="R546" s="14">
        <f>P546+ROUND(Q546, 2)</f>
        <v>17962.84</v>
      </c>
      <c r="S546" s="14">
        <f>ROUND(P546*I546, 2)</f>
        <v>2222545</v>
      </c>
      <c r="T546" s="14">
        <f>ROUND(I546*ROUND(Q546, 2), 2)</f>
        <v>353146.63</v>
      </c>
      <c r="U546" s="14">
        <f>S546+T546</f>
        <v>2575691.63</v>
      </c>
      <c r="V546" s="9">
        <f>ROUND(P546 / 1.2, 2)</f>
        <v>12916.67</v>
      </c>
      <c r="W546" s="9">
        <f>ROUND(Q546 / 1.2, 2)</f>
        <v>2052.37</v>
      </c>
      <c r="X546" s="9">
        <f>ROUND(R546 / 1.2, 2)</f>
        <v>14969.03</v>
      </c>
      <c r="Y546" s="9">
        <f t="shared" si="29"/>
        <v>1852120.83</v>
      </c>
      <c r="Z546" s="9">
        <f>ROUND(T546 / 1.2, 2)</f>
        <v>294288.86</v>
      </c>
      <c r="AA546" s="9">
        <f>Y546+Z546</f>
        <v>2146409.69</v>
      </c>
      <c r="AD546" s="4">
        <v>311044497</v>
      </c>
      <c r="AE546" s="4">
        <v>22892022</v>
      </c>
      <c r="AG546" s="4" t="s">
        <v>1988</v>
      </c>
      <c r="AH546" s="4" t="s">
        <v>1989</v>
      </c>
      <c r="AI546" s="4" t="s">
        <v>469</v>
      </c>
    </row>
    <row r="547" spans="1:35" ht="108" x14ac:dyDescent="0.3">
      <c r="A547" s="10" t="s">
        <v>2021</v>
      </c>
      <c r="B547" s="10"/>
      <c r="C547" s="17" t="s">
        <v>1991</v>
      </c>
      <c r="D547" s="12"/>
      <c r="E547" s="12" t="s">
        <v>2022</v>
      </c>
      <c r="F547" s="18" t="s">
        <v>58</v>
      </c>
      <c r="G547" s="19">
        <v>1</v>
      </c>
      <c r="H547" s="19"/>
      <c r="I547" s="19">
        <v>143.38999999999999</v>
      </c>
      <c r="J547" s="20">
        <v>0</v>
      </c>
      <c r="M547" s="21">
        <f>ROUND(ROUND(J547, 2)*I547, 2)</f>
        <v>0</v>
      </c>
      <c r="P547" s="22">
        <v>15500</v>
      </c>
      <c r="S547" s="21">
        <f>ROUND(ROUND(P547, 2)*I547, 2)</f>
        <v>2222545</v>
      </c>
      <c r="V547" s="9">
        <f>ROUND(ROUND(P547, 2)/1.2, 2)</f>
        <v>12916.67</v>
      </c>
      <c r="Y547" s="9">
        <f t="shared" si="29"/>
        <v>1852120.83</v>
      </c>
      <c r="AD547" s="4" t="s">
        <v>2023</v>
      </c>
      <c r="AE547" s="4" t="s">
        <v>2024</v>
      </c>
      <c r="AF547" s="4" t="s">
        <v>1995</v>
      </c>
    </row>
    <row r="548" spans="1:35" ht="36" x14ac:dyDescent="0.3">
      <c r="A548" s="10" t="s">
        <v>2025</v>
      </c>
      <c r="B548" s="10" t="s">
        <v>1986</v>
      </c>
      <c r="C548" s="11" t="s">
        <v>1987</v>
      </c>
      <c r="D548" s="12"/>
      <c r="E548" s="12" t="s">
        <v>2026</v>
      </c>
      <c r="F548" s="12" t="s">
        <v>58</v>
      </c>
      <c r="G548" s="13">
        <v>1</v>
      </c>
      <c r="H548" s="13"/>
      <c r="I548" s="13">
        <v>144.66999999999999</v>
      </c>
      <c r="J548" s="14">
        <f>IFERROR(ROUND(SUM(M549)/I548, 2),0)</f>
        <v>0</v>
      </c>
      <c r="K548" s="15">
        <v>1723.99</v>
      </c>
      <c r="L548" s="14">
        <f>J548+ROUND(K548, 2)</f>
        <v>1723.99</v>
      </c>
      <c r="M548" s="14">
        <f>ROUND(J548*I548, 2)</f>
        <v>0</v>
      </c>
      <c r="N548" s="14">
        <f>ROUND(I548*ROUND(K548, 2), 2)</f>
        <v>249409.63</v>
      </c>
      <c r="O548" s="14">
        <f>M548+N548</f>
        <v>249409.63</v>
      </c>
      <c r="P548" s="14">
        <f>IFERROR(ROUND(SUM(S549)/I548, 2),0)</f>
        <v>7010</v>
      </c>
      <c r="Q548" s="16">
        <v>2462.84</v>
      </c>
      <c r="R548" s="14">
        <f>P548+ROUND(Q548, 2)</f>
        <v>9472.84</v>
      </c>
      <c r="S548" s="14">
        <f>ROUND(P548*I548, 2)</f>
        <v>1014136.7</v>
      </c>
      <c r="T548" s="14">
        <f>ROUND(I548*ROUND(Q548, 2), 2)</f>
        <v>356299.06</v>
      </c>
      <c r="U548" s="14">
        <f>S548+T548</f>
        <v>1370435.76</v>
      </c>
      <c r="V548" s="9">
        <f>ROUND(P548 / 1.2, 2)</f>
        <v>5841.67</v>
      </c>
      <c r="W548" s="9">
        <f>ROUND(Q548 / 1.2, 2)</f>
        <v>2052.37</v>
      </c>
      <c r="X548" s="9">
        <f>ROUND(R548 / 1.2, 2)</f>
        <v>7894.03</v>
      </c>
      <c r="Y548" s="9">
        <f t="shared" si="29"/>
        <v>845113.92</v>
      </c>
      <c r="Z548" s="9">
        <f>ROUND(T548 / 1.2, 2)</f>
        <v>296915.88</v>
      </c>
      <c r="AA548" s="9">
        <f>Y548+Z548</f>
        <v>1142029.8</v>
      </c>
      <c r="AD548" s="4">
        <v>311044498</v>
      </c>
      <c r="AE548" s="4">
        <v>22892023</v>
      </c>
      <c r="AG548" s="4" t="s">
        <v>1988</v>
      </c>
      <c r="AH548" s="4" t="s">
        <v>1989</v>
      </c>
      <c r="AI548" s="4" t="s">
        <v>469</v>
      </c>
    </row>
    <row r="549" spans="1:35" ht="108" x14ac:dyDescent="0.3">
      <c r="A549" s="10" t="s">
        <v>2027</v>
      </c>
      <c r="B549" s="10"/>
      <c r="C549" s="17" t="s">
        <v>1991</v>
      </c>
      <c r="D549" s="12"/>
      <c r="E549" s="12" t="s">
        <v>2028</v>
      </c>
      <c r="F549" s="18" t="s">
        <v>58</v>
      </c>
      <c r="G549" s="19">
        <v>1</v>
      </c>
      <c r="H549" s="19"/>
      <c r="I549" s="19">
        <v>144.66999999999999</v>
      </c>
      <c r="J549" s="20">
        <v>0</v>
      </c>
      <c r="M549" s="21">
        <f>ROUND(ROUND(J549, 2)*I549, 2)</f>
        <v>0</v>
      </c>
      <c r="P549" s="22">
        <v>7010</v>
      </c>
      <c r="S549" s="21">
        <f>ROUND(ROUND(P549, 2)*I549, 2)</f>
        <v>1014136.7</v>
      </c>
      <c r="V549" s="9">
        <f>ROUND(ROUND(P549, 2)/1.2, 2)</f>
        <v>5841.67</v>
      </c>
      <c r="Y549" s="9">
        <f t="shared" si="29"/>
        <v>845113.92</v>
      </c>
      <c r="AD549" s="4" t="s">
        <v>2029</v>
      </c>
      <c r="AE549" s="4" t="s">
        <v>2030</v>
      </c>
      <c r="AF549" s="4" t="s">
        <v>1995</v>
      </c>
    </row>
    <row r="550" spans="1:35" ht="36" x14ac:dyDescent="0.3">
      <c r="A550" s="10" t="s">
        <v>2031</v>
      </c>
      <c r="B550" s="10" t="s">
        <v>1986</v>
      </c>
      <c r="C550" s="11" t="s">
        <v>1987</v>
      </c>
      <c r="D550" s="12"/>
      <c r="E550" s="12" t="s">
        <v>2032</v>
      </c>
      <c r="F550" s="12" t="s">
        <v>58</v>
      </c>
      <c r="G550" s="13">
        <v>1</v>
      </c>
      <c r="H550" s="13"/>
      <c r="I550" s="13">
        <v>144.31</v>
      </c>
      <c r="J550" s="14">
        <f>IFERROR(ROUND(SUM(M551)/I550, 2),0)</f>
        <v>0</v>
      </c>
      <c r="K550" s="15">
        <v>1723.99</v>
      </c>
      <c r="L550" s="14">
        <f>J550+ROUND(K550, 2)</f>
        <v>1723.99</v>
      </c>
      <c r="M550" s="14">
        <f>ROUND(J550*I550, 2)</f>
        <v>0</v>
      </c>
      <c r="N550" s="14">
        <f>ROUND(I550*ROUND(K550, 2), 2)</f>
        <v>248789</v>
      </c>
      <c r="O550" s="14">
        <f>M550+N550</f>
        <v>248789</v>
      </c>
      <c r="P550" s="14">
        <f>IFERROR(ROUND(SUM(S551)/I550, 2),0)</f>
        <v>7010</v>
      </c>
      <c r="Q550" s="16">
        <v>2462.84</v>
      </c>
      <c r="R550" s="14">
        <f>P550+ROUND(Q550, 2)</f>
        <v>9472.84</v>
      </c>
      <c r="S550" s="14">
        <f>ROUND(P550*I550, 2)</f>
        <v>1011613.1</v>
      </c>
      <c r="T550" s="14">
        <f>ROUND(I550*ROUND(Q550, 2), 2)</f>
        <v>355412.44</v>
      </c>
      <c r="U550" s="14">
        <f>S550+T550</f>
        <v>1367025.54</v>
      </c>
      <c r="V550" s="9">
        <f>ROUND(P550 / 1.2, 2)</f>
        <v>5841.67</v>
      </c>
      <c r="W550" s="9">
        <f>ROUND(Q550 / 1.2, 2)</f>
        <v>2052.37</v>
      </c>
      <c r="X550" s="9">
        <f>ROUND(R550 / 1.2, 2)</f>
        <v>7894.03</v>
      </c>
      <c r="Y550" s="9">
        <f t="shared" si="29"/>
        <v>843010.92</v>
      </c>
      <c r="Z550" s="9">
        <f>ROUND(T550 / 1.2, 2)</f>
        <v>296177.03000000003</v>
      </c>
      <c r="AA550" s="9">
        <f>Y550+Z550</f>
        <v>1139187.9500000002</v>
      </c>
      <c r="AD550" s="4">
        <v>311044499</v>
      </c>
      <c r="AE550" s="4">
        <v>22892024</v>
      </c>
      <c r="AG550" s="4" t="s">
        <v>1988</v>
      </c>
      <c r="AH550" s="4" t="s">
        <v>1989</v>
      </c>
      <c r="AI550" s="4" t="s">
        <v>469</v>
      </c>
    </row>
    <row r="551" spans="1:35" ht="108" x14ac:dyDescent="0.3">
      <c r="A551" s="10" t="s">
        <v>2033</v>
      </c>
      <c r="B551" s="10"/>
      <c r="C551" s="17" t="s">
        <v>1991</v>
      </c>
      <c r="D551" s="12"/>
      <c r="E551" s="12" t="s">
        <v>2028</v>
      </c>
      <c r="F551" s="18" t="s">
        <v>58</v>
      </c>
      <c r="G551" s="19">
        <v>1</v>
      </c>
      <c r="H551" s="19"/>
      <c r="I551" s="19">
        <v>144.31</v>
      </c>
      <c r="J551" s="20">
        <v>0</v>
      </c>
      <c r="M551" s="21">
        <f>ROUND(ROUND(J551, 2)*I551, 2)</f>
        <v>0</v>
      </c>
      <c r="P551" s="22">
        <v>7010</v>
      </c>
      <c r="S551" s="21">
        <f>ROUND(ROUND(P551, 2)*I551, 2)</f>
        <v>1011613.1</v>
      </c>
      <c r="V551" s="9">
        <f>ROUND(ROUND(P551, 2)/1.2, 2)</f>
        <v>5841.67</v>
      </c>
      <c r="Y551" s="9">
        <f t="shared" si="29"/>
        <v>843010.92</v>
      </c>
      <c r="AD551" s="4" t="s">
        <v>2034</v>
      </c>
      <c r="AE551" s="4" t="s">
        <v>2035</v>
      </c>
      <c r="AF551" s="4" t="s">
        <v>1995</v>
      </c>
    </row>
    <row r="552" spans="1:35" ht="36" x14ac:dyDescent="0.3">
      <c r="A552" s="10" t="s">
        <v>2036</v>
      </c>
      <c r="B552" s="10" t="s">
        <v>1986</v>
      </c>
      <c r="C552" s="11" t="s">
        <v>1987</v>
      </c>
      <c r="D552" s="12"/>
      <c r="E552" s="12" t="s">
        <v>2037</v>
      </c>
      <c r="F552" s="12" t="s">
        <v>58</v>
      </c>
      <c r="G552" s="13">
        <v>1</v>
      </c>
      <c r="H552" s="13"/>
      <c r="I552" s="13">
        <v>802.41</v>
      </c>
      <c r="J552" s="14">
        <f>IFERROR(ROUND(SUM(M553)/I552, 2),0)</f>
        <v>0</v>
      </c>
      <c r="K552" s="15">
        <v>1723.99</v>
      </c>
      <c r="L552" s="14">
        <f>J552+ROUND(K552, 2)</f>
        <v>1723.99</v>
      </c>
      <c r="M552" s="14">
        <f>ROUND(J552*I552, 2)</f>
        <v>0</v>
      </c>
      <c r="N552" s="14">
        <f>ROUND(I552*ROUND(K552, 2), 2)</f>
        <v>1383346.82</v>
      </c>
      <c r="O552" s="14">
        <f>M552+N552</f>
        <v>1383346.82</v>
      </c>
      <c r="P552" s="14">
        <f>IFERROR(ROUND(SUM(S553)/I552, 2),0)</f>
        <v>7010</v>
      </c>
      <c r="Q552" s="16">
        <v>2462.84</v>
      </c>
      <c r="R552" s="14">
        <f>P552+ROUND(Q552, 2)</f>
        <v>9472.84</v>
      </c>
      <c r="S552" s="14">
        <f>ROUND(P552*I552, 2)</f>
        <v>5624894.0999999996</v>
      </c>
      <c r="T552" s="14">
        <f>ROUND(I552*ROUND(Q552, 2), 2)</f>
        <v>1976207.44</v>
      </c>
      <c r="U552" s="14">
        <f>S552+T552</f>
        <v>7601101.5399999991</v>
      </c>
      <c r="V552" s="9">
        <f>ROUND(P552 / 1.2, 2)</f>
        <v>5841.67</v>
      </c>
      <c r="W552" s="9">
        <f>ROUND(Q552 / 1.2, 2)</f>
        <v>2052.37</v>
      </c>
      <c r="X552" s="9">
        <f>ROUND(R552 / 1.2, 2)</f>
        <v>7894.03</v>
      </c>
      <c r="Y552" s="9">
        <f t="shared" si="29"/>
        <v>4687411.75</v>
      </c>
      <c r="Z552" s="9">
        <f>ROUND(T552 / 1.2, 2)</f>
        <v>1646839.53</v>
      </c>
      <c r="AA552" s="9">
        <f>Y552+Z552</f>
        <v>6334251.2800000003</v>
      </c>
      <c r="AD552" s="4">
        <v>311044500</v>
      </c>
      <c r="AE552" s="4">
        <v>22892025</v>
      </c>
      <c r="AG552" s="4" t="s">
        <v>1988</v>
      </c>
      <c r="AH552" s="4" t="s">
        <v>1989</v>
      </c>
      <c r="AI552" s="4" t="s">
        <v>469</v>
      </c>
    </row>
    <row r="553" spans="1:35" ht="108" x14ac:dyDescent="0.3">
      <c r="A553" s="10" t="s">
        <v>2038</v>
      </c>
      <c r="B553" s="10"/>
      <c r="C553" s="17" t="s">
        <v>1991</v>
      </c>
      <c r="D553" s="12"/>
      <c r="E553" s="12" t="s">
        <v>2039</v>
      </c>
      <c r="F553" s="18" t="s">
        <v>58</v>
      </c>
      <c r="G553" s="19">
        <v>1</v>
      </c>
      <c r="H553" s="19"/>
      <c r="I553" s="19">
        <v>802.41</v>
      </c>
      <c r="J553" s="20">
        <v>0</v>
      </c>
      <c r="M553" s="21">
        <f>ROUND(ROUND(J553, 2)*I553, 2)</f>
        <v>0</v>
      </c>
      <c r="P553" s="22">
        <v>7010</v>
      </c>
      <c r="S553" s="21">
        <f>ROUND(ROUND(P553, 2)*I553, 2)</f>
        <v>5624894.0999999996</v>
      </c>
      <c r="V553" s="9">
        <f>ROUND(ROUND(P553, 2)/1.2, 2)</f>
        <v>5841.67</v>
      </c>
      <c r="Y553" s="9">
        <f t="shared" si="29"/>
        <v>4687411.75</v>
      </c>
      <c r="AD553" s="4" t="s">
        <v>2040</v>
      </c>
      <c r="AE553" s="4" t="s">
        <v>2041</v>
      </c>
      <c r="AF553" s="4" t="s">
        <v>1995</v>
      </c>
    </row>
    <row r="554" spans="1:35" ht="36" x14ac:dyDescent="0.3">
      <c r="A554" s="10" t="s">
        <v>2042</v>
      </c>
      <c r="B554" s="10" t="s">
        <v>1986</v>
      </c>
      <c r="C554" s="11" t="s">
        <v>1987</v>
      </c>
      <c r="D554" s="12"/>
      <c r="E554" s="12" t="s">
        <v>2043</v>
      </c>
      <c r="F554" s="12" t="s">
        <v>58</v>
      </c>
      <c r="G554" s="13">
        <v>1</v>
      </c>
      <c r="H554" s="13"/>
      <c r="I554" s="13">
        <v>236.15</v>
      </c>
      <c r="J554" s="14">
        <f>IFERROR(ROUND(SUM(M555)/I554, 2),0)</f>
        <v>0</v>
      </c>
      <c r="K554" s="15">
        <v>1723.99</v>
      </c>
      <c r="L554" s="14">
        <f>J554+ROUND(K554, 2)</f>
        <v>1723.99</v>
      </c>
      <c r="M554" s="14">
        <f>ROUND(J554*I554, 2)</f>
        <v>0</v>
      </c>
      <c r="N554" s="14">
        <f>ROUND(I554*ROUND(K554, 2), 2)</f>
        <v>407120.24</v>
      </c>
      <c r="O554" s="14">
        <f>M554+N554</f>
        <v>407120.24</v>
      </c>
      <c r="P554" s="14">
        <f>IFERROR(ROUND(SUM(S555)/I554, 2),0)</f>
        <v>11750</v>
      </c>
      <c r="Q554" s="16">
        <v>2462.84</v>
      </c>
      <c r="R554" s="14">
        <f>P554+ROUND(Q554, 2)</f>
        <v>14212.84</v>
      </c>
      <c r="S554" s="14">
        <f>ROUND(P554*I554, 2)</f>
        <v>2774762.5</v>
      </c>
      <c r="T554" s="14">
        <f>ROUND(I554*ROUND(Q554, 2), 2)</f>
        <v>581599.67000000004</v>
      </c>
      <c r="U554" s="14">
        <f>S554+T554</f>
        <v>3356362.17</v>
      </c>
      <c r="V554" s="9">
        <f>ROUND(P554 / 1.2, 2)</f>
        <v>9791.67</v>
      </c>
      <c r="W554" s="9">
        <f>ROUND(Q554 / 1.2, 2)</f>
        <v>2052.37</v>
      </c>
      <c r="X554" s="9">
        <f>ROUND(R554 / 1.2, 2)</f>
        <v>11844.03</v>
      </c>
      <c r="Y554" s="9">
        <f t="shared" si="29"/>
        <v>2312302.08</v>
      </c>
      <c r="Z554" s="9">
        <f>ROUND(T554 / 1.2, 2)</f>
        <v>484666.39</v>
      </c>
      <c r="AA554" s="9">
        <f>Y554+Z554</f>
        <v>2796968.47</v>
      </c>
      <c r="AD554" s="4">
        <v>311044501</v>
      </c>
      <c r="AE554" s="4">
        <v>22892287</v>
      </c>
      <c r="AG554" s="4" t="s">
        <v>1988</v>
      </c>
      <c r="AH554" s="4" t="s">
        <v>1989</v>
      </c>
      <c r="AI554" s="4" t="s">
        <v>469</v>
      </c>
    </row>
    <row r="555" spans="1:35" ht="144" x14ac:dyDescent="0.3">
      <c r="A555" s="10" t="s">
        <v>2044</v>
      </c>
      <c r="B555" s="10"/>
      <c r="C555" s="17" t="s">
        <v>1991</v>
      </c>
      <c r="D555" s="12"/>
      <c r="E555" s="12" t="s">
        <v>2045</v>
      </c>
      <c r="F555" s="18" t="s">
        <v>58</v>
      </c>
      <c r="G555" s="19">
        <v>1</v>
      </c>
      <c r="H555" s="19"/>
      <c r="I555" s="19">
        <v>236.15</v>
      </c>
      <c r="J555" s="20">
        <v>0</v>
      </c>
      <c r="M555" s="21">
        <f>ROUND(ROUND(J555, 2)*I555, 2)</f>
        <v>0</v>
      </c>
      <c r="P555" s="22">
        <v>11750</v>
      </c>
      <c r="S555" s="21">
        <f>ROUND(ROUND(P555, 2)*I555, 2)</f>
        <v>2774762.5</v>
      </c>
      <c r="V555" s="9">
        <f>ROUND(ROUND(P555, 2)/1.2, 2)</f>
        <v>9791.67</v>
      </c>
      <c r="Y555" s="9">
        <f t="shared" si="29"/>
        <v>2312302.08</v>
      </c>
      <c r="AD555" s="4" t="s">
        <v>2046</v>
      </c>
      <c r="AE555" s="4" t="s">
        <v>2047</v>
      </c>
      <c r="AF555" s="4" t="s">
        <v>1995</v>
      </c>
    </row>
    <row r="556" spans="1:35" ht="36" x14ac:dyDescent="0.3">
      <c r="A556" s="10" t="s">
        <v>2048</v>
      </c>
      <c r="B556" s="10" t="s">
        <v>1986</v>
      </c>
      <c r="C556" s="11" t="s">
        <v>1987</v>
      </c>
      <c r="D556" s="12"/>
      <c r="E556" s="12" t="s">
        <v>2049</v>
      </c>
      <c r="F556" s="12" t="s">
        <v>58</v>
      </c>
      <c r="G556" s="13">
        <v>1</v>
      </c>
      <c r="H556" s="13"/>
      <c r="I556" s="13">
        <v>286.12</v>
      </c>
      <c r="J556" s="14">
        <f>IFERROR(ROUND(SUM(M557)/I556, 2),0)</f>
        <v>0</v>
      </c>
      <c r="K556" s="15">
        <v>1723.99</v>
      </c>
      <c r="L556" s="14">
        <f>J556+ROUND(K556, 2)</f>
        <v>1723.99</v>
      </c>
      <c r="M556" s="14">
        <f>ROUND(J556*I556, 2)</f>
        <v>0</v>
      </c>
      <c r="N556" s="14">
        <f>ROUND(I556*ROUND(K556, 2), 2)</f>
        <v>493268.02</v>
      </c>
      <c r="O556" s="14">
        <f>M556+N556</f>
        <v>493268.02</v>
      </c>
      <c r="P556" s="14">
        <f>IFERROR(ROUND(SUM(S557)/I556, 2),0)</f>
        <v>6500</v>
      </c>
      <c r="Q556" s="16">
        <v>2462.84</v>
      </c>
      <c r="R556" s="14">
        <f>P556+ROUND(Q556, 2)</f>
        <v>8962.84</v>
      </c>
      <c r="S556" s="14">
        <f>ROUND(P556*I556, 2)</f>
        <v>1859780</v>
      </c>
      <c r="T556" s="14">
        <f>ROUND(I556*ROUND(Q556, 2), 2)</f>
        <v>704667.78</v>
      </c>
      <c r="U556" s="14">
        <f>S556+T556</f>
        <v>2564447.7800000003</v>
      </c>
      <c r="V556" s="9">
        <f>ROUND(P556 / 1.2, 2)</f>
        <v>5416.67</v>
      </c>
      <c r="W556" s="9">
        <f>ROUND(Q556 / 1.2, 2)</f>
        <v>2052.37</v>
      </c>
      <c r="X556" s="9">
        <f>ROUND(R556 / 1.2, 2)</f>
        <v>7469.03</v>
      </c>
      <c r="Y556" s="9">
        <f t="shared" si="29"/>
        <v>1549816.67</v>
      </c>
      <c r="Z556" s="9">
        <f>ROUND(T556 / 1.2, 2)</f>
        <v>587223.15</v>
      </c>
      <c r="AA556" s="9">
        <f>Y556+Z556</f>
        <v>2137039.8199999998</v>
      </c>
      <c r="AD556" s="4">
        <v>311044502</v>
      </c>
      <c r="AE556" s="4">
        <v>22892288</v>
      </c>
      <c r="AG556" s="4" t="s">
        <v>1988</v>
      </c>
      <c r="AH556" s="4" t="s">
        <v>1989</v>
      </c>
      <c r="AI556" s="4" t="s">
        <v>469</v>
      </c>
    </row>
    <row r="557" spans="1:35" ht="144" x14ac:dyDescent="0.3">
      <c r="A557" s="10" t="s">
        <v>2050</v>
      </c>
      <c r="B557" s="10"/>
      <c r="C557" s="17" t="s">
        <v>1991</v>
      </c>
      <c r="D557" s="12"/>
      <c r="E557" s="12" t="s">
        <v>2051</v>
      </c>
      <c r="F557" s="18" t="s">
        <v>58</v>
      </c>
      <c r="G557" s="19">
        <v>1</v>
      </c>
      <c r="H557" s="19"/>
      <c r="I557" s="19">
        <v>286.12</v>
      </c>
      <c r="J557" s="20">
        <v>0</v>
      </c>
      <c r="M557" s="21">
        <f>ROUND(ROUND(J557, 2)*I557, 2)</f>
        <v>0</v>
      </c>
      <c r="P557" s="22">
        <v>6500</v>
      </c>
      <c r="S557" s="21">
        <f>ROUND(ROUND(P557, 2)*I557, 2)</f>
        <v>1859780</v>
      </c>
      <c r="V557" s="9">
        <f>ROUND(ROUND(P557, 2)/1.2, 2)</f>
        <v>5416.67</v>
      </c>
      <c r="Y557" s="9">
        <f t="shared" si="29"/>
        <v>1549816.67</v>
      </c>
      <c r="AD557" s="4" t="s">
        <v>2052</v>
      </c>
      <c r="AE557" s="4" t="s">
        <v>2053</v>
      </c>
      <c r="AF557" s="4" t="s">
        <v>1995</v>
      </c>
    </row>
    <row r="558" spans="1:35" ht="72" x14ac:dyDescent="0.3">
      <c r="A558" s="10" t="s">
        <v>2054</v>
      </c>
      <c r="B558" s="10" t="s">
        <v>2055</v>
      </c>
      <c r="C558" s="11" t="s">
        <v>2056</v>
      </c>
      <c r="D558" s="12"/>
      <c r="E558" s="12" t="s">
        <v>2057</v>
      </c>
      <c r="F558" s="12" t="s">
        <v>58</v>
      </c>
      <c r="G558" s="13">
        <v>1</v>
      </c>
      <c r="H558" s="13"/>
      <c r="I558" s="13">
        <v>37.6</v>
      </c>
      <c r="J558" s="14">
        <f>IFERROR(ROUND(SUM(M559,M560,M561,M562,M563,M564,M565,M566,M567,M568)/I558, 2),0)</f>
        <v>459.36</v>
      </c>
      <c r="K558" s="15">
        <v>1563</v>
      </c>
      <c r="L558" s="14">
        <f>J558+ROUND(K558, 2)</f>
        <v>2022.3600000000001</v>
      </c>
      <c r="M558" s="14">
        <f>ROUND(J558*I558, 2)</f>
        <v>17271.939999999999</v>
      </c>
      <c r="N558" s="14">
        <f>ROUND(I558*ROUND(K558, 2), 2)</f>
        <v>58768.800000000003</v>
      </c>
      <c r="O558" s="14">
        <f>M558+N558</f>
        <v>76040.740000000005</v>
      </c>
      <c r="P558" s="14">
        <f>IFERROR(ROUND(SUM(S559,S560,S561,S562,S563,S564,S565,S566,S567,S568)/I558, 2),0)</f>
        <v>3854.16</v>
      </c>
      <c r="Q558" s="16">
        <v>2232.86</v>
      </c>
      <c r="R558" s="14">
        <f>P558+ROUND(Q558, 2)</f>
        <v>6087.02</v>
      </c>
      <c r="S558" s="14">
        <f>ROUND(P558*I558, 2)</f>
        <v>144916.42000000001</v>
      </c>
      <c r="T558" s="14">
        <f>ROUND(I558*ROUND(Q558, 2), 2)</f>
        <v>83955.54</v>
      </c>
      <c r="U558" s="14">
        <f>S558+T558</f>
        <v>228871.96000000002</v>
      </c>
      <c r="V558" s="9">
        <f>ROUND(P558 / 1.2, 2)</f>
        <v>3211.8</v>
      </c>
      <c r="W558" s="9">
        <f>ROUND(Q558 / 1.2, 2)</f>
        <v>1860.72</v>
      </c>
      <c r="X558" s="9">
        <f>ROUND(R558 / 1.2, 2)</f>
        <v>5072.5200000000004</v>
      </c>
      <c r="Y558" s="9">
        <f t="shared" si="29"/>
        <v>120763.68</v>
      </c>
      <c r="Z558" s="9">
        <f>ROUND(T558 / 1.2, 2)</f>
        <v>69962.95</v>
      </c>
      <c r="AA558" s="9">
        <f>Y558+Z558</f>
        <v>190726.63</v>
      </c>
      <c r="AD558" s="4">
        <v>311044406</v>
      </c>
      <c r="AE558" s="4">
        <v>22791295</v>
      </c>
      <c r="AG558" s="4" t="s">
        <v>2058</v>
      </c>
      <c r="AH558" s="4" t="s">
        <v>2059</v>
      </c>
      <c r="AI558" s="4" t="s">
        <v>469</v>
      </c>
    </row>
    <row r="559" spans="1:35" ht="18" x14ac:dyDescent="0.3">
      <c r="A559" s="10" t="s">
        <v>2060</v>
      </c>
      <c r="B559" s="10"/>
      <c r="C559" s="17" t="s">
        <v>2061</v>
      </c>
      <c r="D559" s="12"/>
      <c r="E559" s="12"/>
      <c r="F559" s="18" t="s">
        <v>99</v>
      </c>
      <c r="G559" s="19">
        <v>0.35</v>
      </c>
      <c r="H559" s="19"/>
      <c r="I559" s="19">
        <v>13.16</v>
      </c>
      <c r="J559" s="20">
        <v>55.91</v>
      </c>
      <c r="M559" s="21">
        <f t="shared" ref="M559:M568" si="30">ROUND(ROUND(J559, 2)*I559, 2)</f>
        <v>735.78</v>
      </c>
      <c r="P559" s="22">
        <v>55.91</v>
      </c>
      <c r="S559" s="21">
        <f t="shared" ref="S559:S568" si="31">ROUND(ROUND(P559, 2)*I559, 2)</f>
        <v>735.78</v>
      </c>
      <c r="V559" s="9">
        <f t="shared" ref="V559:V568" si="32">ROUND(ROUND(P559, 2)/1.2, 2)</f>
        <v>46.59</v>
      </c>
      <c r="Y559" s="9">
        <f t="shared" si="29"/>
        <v>613.15</v>
      </c>
      <c r="AD559" s="4" t="s">
        <v>2062</v>
      </c>
      <c r="AE559" s="4" t="s">
        <v>2063</v>
      </c>
      <c r="AF559" s="4" t="s">
        <v>2064</v>
      </c>
    </row>
    <row r="560" spans="1:35" ht="18" x14ac:dyDescent="0.3">
      <c r="A560" s="10" t="s">
        <v>2065</v>
      </c>
      <c r="B560" s="10"/>
      <c r="C560" s="17" t="s">
        <v>2066</v>
      </c>
      <c r="D560" s="12"/>
      <c r="E560" s="12"/>
      <c r="F560" s="18" t="s">
        <v>139</v>
      </c>
      <c r="G560" s="19">
        <v>0.3</v>
      </c>
      <c r="H560" s="19"/>
      <c r="I560" s="19">
        <v>11.28</v>
      </c>
      <c r="J560" s="20">
        <v>5.7</v>
      </c>
      <c r="M560" s="21">
        <f t="shared" si="30"/>
        <v>64.3</v>
      </c>
      <c r="P560" s="22">
        <v>5.7</v>
      </c>
      <c r="S560" s="21">
        <f t="shared" si="31"/>
        <v>64.3</v>
      </c>
      <c r="V560" s="9">
        <f t="shared" si="32"/>
        <v>4.75</v>
      </c>
      <c r="Y560" s="9">
        <f t="shared" si="29"/>
        <v>53.58</v>
      </c>
      <c r="AD560" s="4" t="s">
        <v>2067</v>
      </c>
      <c r="AE560" s="4" t="s">
        <v>2068</v>
      </c>
      <c r="AF560" s="4" t="s">
        <v>2069</v>
      </c>
    </row>
    <row r="561" spans="1:35" ht="36" x14ac:dyDescent="0.3">
      <c r="A561" s="10" t="s">
        <v>2070</v>
      </c>
      <c r="B561" s="10"/>
      <c r="C561" s="23" t="s">
        <v>2071</v>
      </c>
      <c r="D561" s="12"/>
      <c r="E561" s="12"/>
      <c r="F561" s="18" t="s">
        <v>139</v>
      </c>
      <c r="G561" s="19">
        <v>3.6</v>
      </c>
      <c r="H561" s="19"/>
      <c r="I561" s="19">
        <v>135.36000000000001</v>
      </c>
      <c r="J561" s="20">
        <v>16.170000000000002</v>
      </c>
      <c r="M561" s="21">
        <f t="shared" si="30"/>
        <v>2188.77</v>
      </c>
      <c r="P561" s="22">
        <v>16.170000000000002</v>
      </c>
      <c r="S561" s="21">
        <f t="shared" si="31"/>
        <v>2188.77</v>
      </c>
      <c r="V561" s="9">
        <f t="shared" si="32"/>
        <v>13.48</v>
      </c>
      <c r="Y561" s="9">
        <f t="shared" si="29"/>
        <v>1823.98</v>
      </c>
      <c r="AD561" s="4" t="s">
        <v>2072</v>
      </c>
      <c r="AE561" s="4" t="s">
        <v>2073</v>
      </c>
      <c r="AF561" s="4" t="s">
        <v>2074</v>
      </c>
    </row>
    <row r="562" spans="1:35" ht="18" x14ac:dyDescent="0.3">
      <c r="A562" s="10" t="s">
        <v>2075</v>
      </c>
      <c r="B562" s="10"/>
      <c r="C562" s="17" t="s">
        <v>2076</v>
      </c>
      <c r="D562" s="12"/>
      <c r="E562" s="12"/>
      <c r="F562" s="18" t="s">
        <v>139</v>
      </c>
      <c r="G562" s="19">
        <v>30</v>
      </c>
      <c r="H562" s="19"/>
      <c r="I562" s="19">
        <v>1128</v>
      </c>
      <c r="J562" s="20">
        <v>0.61</v>
      </c>
      <c r="M562" s="21">
        <f t="shared" si="30"/>
        <v>688.08</v>
      </c>
      <c r="P562" s="22">
        <v>0.61</v>
      </c>
      <c r="S562" s="21">
        <f t="shared" si="31"/>
        <v>688.08</v>
      </c>
      <c r="V562" s="9">
        <f t="shared" si="32"/>
        <v>0.51</v>
      </c>
      <c r="Y562" s="9">
        <f t="shared" si="29"/>
        <v>573.4</v>
      </c>
      <c r="AD562" s="4" t="s">
        <v>2077</v>
      </c>
      <c r="AE562" s="4" t="s">
        <v>2078</v>
      </c>
      <c r="AF562" s="4" t="s">
        <v>2079</v>
      </c>
    </row>
    <row r="563" spans="1:35" ht="36" x14ac:dyDescent="0.3">
      <c r="A563" s="10" t="s">
        <v>2080</v>
      </c>
      <c r="B563" s="10"/>
      <c r="C563" s="17" t="s">
        <v>2081</v>
      </c>
      <c r="D563" s="12"/>
      <c r="E563" s="12"/>
      <c r="F563" s="18" t="s">
        <v>58</v>
      </c>
      <c r="G563" s="19">
        <v>2.0499999999999998</v>
      </c>
      <c r="H563" s="19"/>
      <c r="I563" s="19">
        <v>77.08</v>
      </c>
      <c r="J563" s="20">
        <v>0</v>
      </c>
      <c r="M563" s="21">
        <f t="shared" si="30"/>
        <v>0</v>
      </c>
      <c r="P563" s="22">
        <v>1656</v>
      </c>
      <c r="S563" s="21">
        <f t="shared" si="31"/>
        <v>127644.48</v>
      </c>
      <c r="V563" s="9">
        <f t="shared" si="32"/>
        <v>1380</v>
      </c>
      <c r="Y563" s="9">
        <f t="shared" si="29"/>
        <v>106370.4</v>
      </c>
      <c r="AD563" s="4" t="s">
        <v>2082</v>
      </c>
      <c r="AE563" s="4" t="s">
        <v>2083</v>
      </c>
      <c r="AF563" s="4" t="s">
        <v>2084</v>
      </c>
    </row>
    <row r="564" spans="1:35" ht="18" x14ac:dyDescent="0.3">
      <c r="A564" s="10" t="s">
        <v>2085</v>
      </c>
      <c r="B564" s="10"/>
      <c r="C564" s="17" t="s">
        <v>2086</v>
      </c>
      <c r="D564" s="12"/>
      <c r="E564" s="12"/>
      <c r="F564" s="18" t="s">
        <v>139</v>
      </c>
      <c r="G564" s="19">
        <v>15</v>
      </c>
      <c r="H564" s="19"/>
      <c r="I564" s="19">
        <v>564</v>
      </c>
      <c r="J564" s="20">
        <v>0.96</v>
      </c>
      <c r="M564" s="21">
        <f t="shared" si="30"/>
        <v>541.44000000000005</v>
      </c>
      <c r="P564" s="22">
        <v>0.96</v>
      </c>
      <c r="S564" s="21">
        <f t="shared" si="31"/>
        <v>541.44000000000005</v>
      </c>
      <c r="V564" s="9">
        <f t="shared" si="32"/>
        <v>0.8</v>
      </c>
      <c r="Y564" s="9">
        <f t="shared" si="29"/>
        <v>451.2</v>
      </c>
      <c r="AD564" s="4" t="s">
        <v>2087</v>
      </c>
      <c r="AE564" s="4" t="s">
        <v>2088</v>
      </c>
      <c r="AF564" s="4" t="s">
        <v>2089</v>
      </c>
    </row>
    <row r="565" spans="1:35" ht="18" x14ac:dyDescent="0.3">
      <c r="A565" s="10" t="s">
        <v>2090</v>
      </c>
      <c r="B565" s="10"/>
      <c r="C565" s="17" t="s">
        <v>2091</v>
      </c>
      <c r="D565" s="12"/>
      <c r="E565" s="12"/>
      <c r="F565" s="18" t="s">
        <v>258</v>
      </c>
      <c r="G565" s="19">
        <v>1.25</v>
      </c>
      <c r="H565" s="19"/>
      <c r="I565" s="19">
        <v>47</v>
      </c>
      <c r="J565" s="20">
        <v>2.84</v>
      </c>
      <c r="M565" s="21">
        <f t="shared" si="30"/>
        <v>133.47999999999999</v>
      </c>
      <c r="P565" s="22">
        <v>2.84</v>
      </c>
      <c r="S565" s="21">
        <f t="shared" si="31"/>
        <v>133.47999999999999</v>
      </c>
      <c r="V565" s="9">
        <f t="shared" si="32"/>
        <v>2.37</v>
      </c>
      <c r="Y565" s="9">
        <f t="shared" si="29"/>
        <v>111.23</v>
      </c>
      <c r="AD565" s="4" t="s">
        <v>2092</v>
      </c>
      <c r="AE565" s="4" t="s">
        <v>2093</v>
      </c>
      <c r="AF565" s="4" t="s">
        <v>2094</v>
      </c>
    </row>
    <row r="566" spans="1:35" ht="18" x14ac:dyDescent="0.3">
      <c r="A566" s="10" t="s">
        <v>2095</v>
      </c>
      <c r="B566" s="10"/>
      <c r="C566" s="17" t="s">
        <v>2096</v>
      </c>
      <c r="D566" s="12"/>
      <c r="E566" s="12"/>
      <c r="F566" s="18" t="s">
        <v>139</v>
      </c>
      <c r="G566" s="19">
        <v>0.75</v>
      </c>
      <c r="H566" s="19"/>
      <c r="I566" s="19">
        <v>28.2</v>
      </c>
      <c r="J566" s="20">
        <v>2.84</v>
      </c>
      <c r="M566" s="21">
        <f t="shared" si="30"/>
        <v>80.09</v>
      </c>
      <c r="P566" s="22">
        <v>2.84</v>
      </c>
      <c r="S566" s="21">
        <f t="shared" si="31"/>
        <v>80.09</v>
      </c>
      <c r="V566" s="9">
        <f t="shared" si="32"/>
        <v>2.37</v>
      </c>
      <c r="Y566" s="9">
        <f t="shared" si="29"/>
        <v>66.739999999999995</v>
      </c>
      <c r="AD566" s="4" t="s">
        <v>2097</v>
      </c>
      <c r="AE566" s="4" t="s">
        <v>2098</v>
      </c>
      <c r="AF566" s="4" t="s">
        <v>2099</v>
      </c>
    </row>
    <row r="567" spans="1:35" ht="18" x14ac:dyDescent="0.3">
      <c r="A567" s="10" t="s">
        <v>2100</v>
      </c>
      <c r="B567" s="10"/>
      <c r="C567" s="17" t="s">
        <v>2101</v>
      </c>
      <c r="D567" s="12"/>
      <c r="E567" s="12"/>
      <c r="F567" s="18" t="s">
        <v>258</v>
      </c>
      <c r="G567" s="19">
        <v>4.7</v>
      </c>
      <c r="H567" s="19"/>
      <c r="I567" s="19">
        <v>176.72</v>
      </c>
      <c r="J567" s="20">
        <v>68.099999999999994</v>
      </c>
      <c r="M567" s="21">
        <f t="shared" si="30"/>
        <v>12034.63</v>
      </c>
      <c r="P567" s="22">
        <v>68.099999999999994</v>
      </c>
      <c r="S567" s="21">
        <f t="shared" si="31"/>
        <v>12034.63</v>
      </c>
      <c r="V567" s="9">
        <f t="shared" si="32"/>
        <v>56.75</v>
      </c>
      <c r="Y567" s="9">
        <f t="shared" si="29"/>
        <v>10028.86</v>
      </c>
      <c r="AD567" s="4" t="s">
        <v>2102</v>
      </c>
      <c r="AE567" s="4" t="s">
        <v>2103</v>
      </c>
      <c r="AF567" s="4" t="s">
        <v>2104</v>
      </c>
    </row>
    <row r="568" spans="1:35" ht="18" x14ac:dyDescent="0.3">
      <c r="A568" s="10" t="s">
        <v>2105</v>
      </c>
      <c r="B568" s="10"/>
      <c r="C568" s="23" t="s">
        <v>2106</v>
      </c>
      <c r="D568" s="12"/>
      <c r="E568" s="12"/>
      <c r="F568" s="18" t="s">
        <v>139</v>
      </c>
      <c r="G568" s="19">
        <v>4.2</v>
      </c>
      <c r="H568" s="19"/>
      <c r="I568" s="19">
        <v>157.91999999999999</v>
      </c>
      <c r="J568" s="20">
        <v>5.0999999999999996</v>
      </c>
      <c r="M568" s="21">
        <f t="shared" si="30"/>
        <v>805.39</v>
      </c>
      <c r="P568" s="22">
        <v>5.0999999999999996</v>
      </c>
      <c r="S568" s="21">
        <f t="shared" si="31"/>
        <v>805.39</v>
      </c>
      <c r="V568" s="9">
        <f t="shared" si="32"/>
        <v>4.25</v>
      </c>
      <c r="Y568" s="9">
        <f t="shared" si="29"/>
        <v>671.16</v>
      </c>
      <c r="AD568" s="4" t="s">
        <v>2107</v>
      </c>
      <c r="AE568" s="4" t="s">
        <v>2108</v>
      </c>
      <c r="AF568" s="4" t="s">
        <v>2109</v>
      </c>
    </row>
    <row r="569" spans="1:35" ht="54" x14ac:dyDescent="0.3">
      <c r="A569" s="10" t="s">
        <v>2110</v>
      </c>
      <c r="B569" s="10" t="s">
        <v>2055</v>
      </c>
      <c r="C569" s="11" t="s">
        <v>2056</v>
      </c>
      <c r="D569" s="12"/>
      <c r="E569" s="12" t="s">
        <v>2111</v>
      </c>
      <c r="F569" s="12" t="s">
        <v>58</v>
      </c>
      <c r="G569" s="13">
        <v>1</v>
      </c>
      <c r="H569" s="13"/>
      <c r="I569" s="13">
        <v>624.6</v>
      </c>
      <c r="J569" s="14">
        <f>IFERROR(ROUND(SUM(M570,M571,M572,M573,M574,M575,M576,M577,M578,M579)/I569, 2),0)</f>
        <v>741.83</v>
      </c>
      <c r="K569" s="15">
        <v>1563</v>
      </c>
      <c r="L569" s="14">
        <f>J569+ROUND(K569, 2)</f>
        <v>2304.83</v>
      </c>
      <c r="M569" s="14">
        <f>ROUND(J569*I569, 2)</f>
        <v>463347.02</v>
      </c>
      <c r="N569" s="14">
        <f>ROUND(I569*ROUND(K569, 2), 2)</f>
        <v>976249.8</v>
      </c>
      <c r="O569" s="14">
        <f>M569+N569</f>
        <v>1439596.82</v>
      </c>
      <c r="P569" s="14">
        <f>IFERROR(ROUND(SUM(S570,S571,S572,S573,S574,S575,S576,S577,S578,S579)/I569, 2),0)</f>
        <v>741.83</v>
      </c>
      <c r="Q569" s="16">
        <v>2232.86</v>
      </c>
      <c r="R569" s="14">
        <f>P569+ROUND(Q569, 2)</f>
        <v>2974.69</v>
      </c>
      <c r="S569" s="14">
        <f>ROUND(P569*I569, 2)</f>
        <v>463347.02</v>
      </c>
      <c r="T569" s="14">
        <f>ROUND(I569*ROUND(Q569, 2), 2)</f>
        <v>1394644.36</v>
      </c>
      <c r="U569" s="14">
        <f>S569+T569</f>
        <v>1857991.3800000001</v>
      </c>
      <c r="V569" s="9">
        <f>ROUND(P569 / 1.2, 2)</f>
        <v>618.19000000000005</v>
      </c>
      <c r="W569" s="9">
        <f>ROUND(Q569 / 1.2, 2)</f>
        <v>1860.72</v>
      </c>
      <c r="X569" s="9">
        <f>ROUND(R569 / 1.2, 2)</f>
        <v>2478.91</v>
      </c>
      <c r="Y569" s="9">
        <f t="shared" si="29"/>
        <v>386122.52</v>
      </c>
      <c r="Z569" s="9">
        <f>ROUND(T569 / 1.2, 2)</f>
        <v>1162203.6299999999</v>
      </c>
      <c r="AA569" s="9">
        <f>Y569+Z569</f>
        <v>1548326.15</v>
      </c>
      <c r="AD569" s="4">
        <v>311044503</v>
      </c>
      <c r="AE569" s="4">
        <v>22791298</v>
      </c>
      <c r="AG569" s="4" t="s">
        <v>2058</v>
      </c>
      <c r="AH569" s="4" t="s">
        <v>2059</v>
      </c>
      <c r="AI569" s="4" t="s">
        <v>469</v>
      </c>
    </row>
    <row r="570" spans="1:35" ht="18" x14ac:dyDescent="0.3">
      <c r="A570" s="10" t="s">
        <v>2112</v>
      </c>
      <c r="B570" s="10"/>
      <c r="C570" s="23" t="s">
        <v>2106</v>
      </c>
      <c r="D570" s="12"/>
      <c r="E570" s="12"/>
      <c r="F570" s="18" t="s">
        <v>139</v>
      </c>
      <c r="G570" s="19">
        <v>4.2</v>
      </c>
      <c r="H570" s="19"/>
      <c r="I570" s="19">
        <v>2623.32</v>
      </c>
      <c r="J570" s="20">
        <v>5.0999999999999996</v>
      </c>
      <c r="M570" s="21">
        <f t="shared" ref="M570:M579" si="33">ROUND(ROUND(J570, 2)*I570, 2)</f>
        <v>13378.93</v>
      </c>
      <c r="P570" s="22">
        <v>5.0999999999999996</v>
      </c>
      <c r="S570" s="21">
        <f t="shared" ref="S570:S579" si="34">ROUND(ROUND(P570, 2)*I570, 2)</f>
        <v>13378.93</v>
      </c>
      <c r="V570" s="9">
        <f t="shared" ref="V570:V579" si="35">ROUND(ROUND(P570, 2)/1.2, 2)</f>
        <v>4.25</v>
      </c>
      <c r="Y570" s="9">
        <f t="shared" si="29"/>
        <v>11149.11</v>
      </c>
      <c r="AD570" s="4" t="s">
        <v>2113</v>
      </c>
      <c r="AE570" s="4" t="s">
        <v>2114</v>
      </c>
      <c r="AF570" s="4" t="s">
        <v>2109</v>
      </c>
    </row>
    <row r="571" spans="1:35" ht="18" x14ac:dyDescent="0.3">
      <c r="A571" s="10" t="s">
        <v>2115</v>
      </c>
      <c r="B571" s="10"/>
      <c r="C571" s="17" t="s">
        <v>2101</v>
      </c>
      <c r="D571" s="12"/>
      <c r="E571" s="12"/>
      <c r="F571" s="18" t="s">
        <v>258</v>
      </c>
      <c r="G571" s="19">
        <v>4.7</v>
      </c>
      <c r="H571" s="19"/>
      <c r="I571" s="19">
        <v>2935.62</v>
      </c>
      <c r="J571" s="20">
        <v>68.099999999999994</v>
      </c>
      <c r="M571" s="21">
        <f t="shared" si="33"/>
        <v>199915.72</v>
      </c>
      <c r="P571" s="22">
        <v>68.099999999999994</v>
      </c>
      <c r="S571" s="21">
        <f t="shared" si="34"/>
        <v>199915.72</v>
      </c>
      <c r="V571" s="9">
        <f t="shared" si="35"/>
        <v>56.75</v>
      </c>
      <c r="Y571" s="9">
        <f t="shared" si="29"/>
        <v>166596.43</v>
      </c>
      <c r="AD571" s="4" t="s">
        <v>2116</v>
      </c>
      <c r="AE571" s="4" t="s">
        <v>2117</v>
      </c>
      <c r="AF571" s="4" t="s">
        <v>2104</v>
      </c>
    </row>
    <row r="572" spans="1:35" ht="36" x14ac:dyDescent="0.3">
      <c r="A572" s="10" t="s">
        <v>2118</v>
      </c>
      <c r="B572" s="10"/>
      <c r="C572" s="17" t="s">
        <v>2119</v>
      </c>
      <c r="D572" s="12"/>
      <c r="E572" s="12"/>
      <c r="F572" s="18" t="s">
        <v>58</v>
      </c>
      <c r="G572" s="19">
        <v>2.0499999999999998</v>
      </c>
      <c r="H572" s="19"/>
      <c r="I572" s="19">
        <v>1280.43</v>
      </c>
      <c r="J572" s="20">
        <v>137.79</v>
      </c>
      <c r="M572" s="21">
        <f t="shared" si="33"/>
        <v>176430.45</v>
      </c>
      <c r="P572" s="22">
        <v>137.79</v>
      </c>
      <c r="S572" s="21">
        <f t="shared" si="34"/>
        <v>176430.45</v>
      </c>
      <c r="V572" s="9">
        <f t="shared" si="35"/>
        <v>114.83</v>
      </c>
      <c r="Y572" s="9">
        <f t="shared" si="29"/>
        <v>147025.38</v>
      </c>
      <c r="AD572" s="4" t="s">
        <v>2120</v>
      </c>
      <c r="AE572" s="4" t="s">
        <v>2121</v>
      </c>
      <c r="AF572" s="4" t="s">
        <v>2122</v>
      </c>
    </row>
    <row r="573" spans="1:35" ht="18" x14ac:dyDescent="0.3">
      <c r="A573" s="10" t="s">
        <v>2123</v>
      </c>
      <c r="B573" s="10"/>
      <c r="C573" s="17" t="s">
        <v>2096</v>
      </c>
      <c r="D573" s="12"/>
      <c r="E573" s="12"/>
      <c r="F573" s="18" t="s">
        <v>139</v>
      </c>
      <c r="G573" s="19">
        <v>0.75</v>
      </c>
      <c r="H573" s="19"/>
      <c r="I573" s="19">
        <v>468.45</v>
      </c>
      <c r="J573" s="20">
        <v>2.84</v>
      </c>
      <c r="M573" s="21">
        <f t="shared" si="33"/>
        <v>1330.4</v>
      </c>
      <c r="P573" s="22">
        <v>2.84</v>
      </c>
      <c r="S573" s="21">
        <f t="shared" si="34"/>
        <v>1330.4</v>
      </c>
      <c r="V573" s="9">
        <f t="shared" si="35"/>
        <v>2.37</v>
      </c>
      <c r="Y573" s="9">
        <f t="shared" si="29"/>
        <v>1108.67</v>
      </c>
      <c r="AD573" s="4" t="s">
        <v>2124</v>
      </c>
      <c r="AE573" s="4" t="s">
        <v>2125</v>
      </c>
      <c r="AF573" s="4" t="s">
        <v>2099</v>
      </c>
    </row>
    <row r="574" spans="1:35" ht="18" x14ac:dyDescent="0.3">
      <c r="A574" s="10" t="s">
        <v>2126</v>
      </c>
      <c r="B574" s="10"/>
      <c r="C574" s="17" t="s">
        <v>2091</v>
      </c>
      <c r="D574" s="12"/>
      <c r="E574" s="12"/>
      <c r="F574" s="18" t="s">
        <v>258</v>
      </c>
      <c r="G574" s="19">
        <v>1.25</v>
      </c>
      <c r="H574" s="19"/>
      <c r="I574" s="19">
        <v>780.75</v>
      </c>
      <c r="J574" s="20">
        <v>2.84</v>
      </c>
      <c r="M574" s="21">
        <f t="shared" si="33"/>
        <v>2217.33</v>
      </c>
      <c r="P574" s="22">
        <v>2.84</v>
      </c>
      <c r="S574" s="21">
        <f t="shared" si="34"/>
        <v>2217.33</v>
      </c>
      <c r="V574" s="9">
        <f t="shared" si="35"/>
        <v>2.37</v>
      </c>
      <c r="Y574" s="9">
        <f t="shared" si="29"/>
        <v>1847.78</v>
      </c>
      <c r="AD574" s="4" t="s">
        <v>2127</v>
      </c>
      <c r="AE574" s="4" t="s">
        <v>2128</v>
      </c>
      <c r="AF574" s="4" t="s">
        <v>2094</v>
      </c>
    </row>
    <row r="575" spans="1:35" ht="18" x14ac:dyDescent="0.3">
      <c r="A575" s="10" t="s">
        <v>2129</v>
      </c>
      <c r="B575" s="10"/>
      <c r="C575" s="17" t="s">
        <v>2086</v>
      </c>
      <c r="D575" s="12"/>
      <c r="E575" s="12"/>
      <c r="F575" s="18" t="s">
        <v>139</v>
      </c>
      <c r="G575" s="19">
        <v>15</v>
      </c>
      <c r="H575" s="19"/>
      <c r="I575" s="19">
        <v>9369</v>
      </c>
      <c r="J575" s="20">
        <v>0.96</v>
      </c>
      <c r="M575" s="21">
        <f t="shared" si="33"/>
        <v>8994.24</v>
      </c>
      <c r="P575" s="22">
        <v>0.96</v>
      </c>
      <c r="S575" s="21">
        <f t="shared" si="34"/>
        <v>8994.24</v>
      </c>
      <c r="V575" s="9">
        <f t="shared" si="35"/>
        <v>0.8</v>
      </c>
      <c r="Y575" s="9">
        <f t="shared" si="29"/>
        <v>7495.2</v>
      </c>
      <c r="AD575" s="4" t="s">
        <v>2130</v>
      </c>
      <c r="AE575" s="4" t="s">
        <v>2131</v>
      </c>
      <c r="AF575" s="4" t="s">
        <v>2089</v>
      </c>
    </row>
    <row r="576" spans="1:35" ht="18" x14ac:dyDescent="0.3">
      <c r="A576" s="10" t="s">
        <v>2132</v>
      </c>
      <c r="B576" s="10"/>
      <c r="C576" s="17" t="s">
        <v>2076</v>
      </c>
      <c r="D576" s="12"/>
      <c r="E576" s="12"/>
      <c r="F576" s="18" t="s">
        <v>139</v>
      </c>
      <c r="G576" s="19">
        <v>30</v>
      </c>
      <c r="H576" s="19"/>
      <c r="I576" s="19">
        <v>18738</v>
      </c>
      <c r="J576" s="20">
        <v>0.61</v>
      </c>
      <c r="M576" s="21">
        <f t="shared" si="33"/>
        <v>11430.18</v>
      </c>
      <c r="P576" s="22">
        <v>0.61</v>
      </c>
      <c r="S576" s="21">
        <f t="shared" si="34"/>
        <v>11430.18</v>
      </c>
      <c r="V576" s="9">
        <f t="shared" si="35"/>
        <v>0.51</v>
      </c>
      <c r="Y576" s="9">
        <f t="shared" si="29"/>
        <v>9525.15</v>
      </c>
      <c r="AD576" s="4" t="s">
        <v>2133</v>
      </c>
      <c r="AE576" s="4" t="s">
        <v>2134</v>
      </c>
      <c r="AF576" s="4" t="s">
        <v>2079</v>
      </c>
    </row>
    <row r="577" spans="1:35" ht="36" x14ac:dyDescent="0.3">
      <c r="A577" s="10" t="s">
        <v>2135</v>
      </c>
      <c r="B577" s="10"/>
      <c r="C577" s="23" t="s">
        <v>2071</v>
      </c>
      <c r="D577" s="12"/>
      <c r="E577" s="12"/>
      <c r="F577" s="18" t="s">
        <v>139</v>
      </c>
      <c r="G577" s="19">
        <v>3.6</v>
      </c>
      <c r="H577" s="19"/>
      <c r="I577" s="19">
        <v>2248.56</v>
      </c>
      <c r="J577" s="20">
        <v>16.170000000000002</v>
      </c>
      <c r="M577" s="21">
        <f t="shared" si="33"/>
        <v>36359.22</v>
      </c>
      <c r="P577" s="22">
        <v>16.170000000000002</v>
      </c>
      <c r="S577" s="21">
        <f t="shared" si="34"/>
        <v>36359.22</v>
      </c>
      <c r="V577" s="9">
        <f t="shared" si="35"/>
        <v>13.48</v>
      </c>
      <c r="Y577" s="9">
        <f t="shared" si="29"/>
        <v>30299.35</v>
      </c>
      <c r="AD577" s="4" t="s">
        <v>2136</v>
      </c>
      <c r="AE577" s="4" t="s">
        <v>2137</v>
      </c>
      <c r="AF577" s="4" t="s">
        <v>2074</v>
      </c>
    </row>
    <row r="578" spans="1:35" ht="18" x14ac:dyDescent="0.3">
      <c r="A578" s="10" t="s">
        <v>2138</v>
      </c>
      <c r="B578" s="10"/>
      <c r="C578" s="17" t="s">
        <v>2066</v>
      </c>
      <c r="D578" s="12"/>
      <c r="E578" s="12"/>
      <c r="F578" s="18" t="s">
        <v>139</v>
      </c>
      <c r="G578" s="19">
        <v>0.3</v>
      </c>
      <c r="H578" s="19"/>
      <c r="I578" s="19">
        <v>187.38</v>
      </c>
      <c r="J578" s="20">
        <v>5.7</v>
      </c>
      <c r="M578" s="21">
        <f t="shared" si="33"/>
        <v>1068.07</v>
      </c>
      <c r="P578" s="22">
        <v>5.7</v>
      </c>
      <c r="S578" s="21">
        <f t="shared" si="34"/>
        <v>1068.07</v>
      </c>
      <c r="V578" s="9">
        <f t="shared" si="35"/>
        <v>4.75</v>
      </c>
      <c r="Y578" s="9">
        <f t="shared" si="29"/>
        <v>890.06</v>
      </c>
      <c r="AD578" s="4" t="s">
        <v>2139</v>
      </c>
      <c r="AE578" s="4" t="s">
        <v>2140</v>
      </c>
      <c r="AF578" s="4" t="s">
        <v>2069</v>
      </c>
    </row>
    <row r="579" spans="1:35" ht="18" x14ac:dyDescent="0.3">
      <c r="A579" s="10" t="s">
        <v>2141</v>
      </c>
      <c r="B579" s="10"/>
      <c r="C579" s="17" t="s">
        <v>2061</v>
      </c>
      <c r="D579" s="12"/>
      <c r="E579" s="12"/>
      <c r="F579" s="18" t="s">
        <v>99</v>
      </c>
      <c r="G579" s="19">
        <v>0.35</v>
      </c>
      <c r="H579" s="19"/>
      <c r="I579" s="19">
        <v>218.61</v>
      </c>
      <c r="J579" s="20">
        <v>55.91</v>
      </c>
      <c r="M579" s="21">
        <f t="shared" si="33"/>
        <v>12222.49</v>
      </c>
      <c r="P579" s="22">
        <v>55.91</v>
      </c>
      <c r="S579" s="21">
        <f t="shared" si="34"/>
        <v>12222.49</v>
      </c>
      <c r="V579" s="9">
        <f t="shared" si="35"/>
        <v>46.59</v>
      </c>
      <c r="Y579" s="9">
        <f t="shared" si="29"/>
        <v>10185.41</v>
      </c>
      <c r="AD579" s="4" t="s">
        <v>2142</v>
      </c>
      <c r="AE579" s="4" t="s">
        <v>2143</v>
      </c>
      <c r="AF579" s="4" t="s">
        <v>2064</v>
      </c>
    </row>
    <row r="580" spans="1:35" ht="36" x14ac:dyDescent="0.3">
      <c r="A580" s="10" t="s">
        <v>2144</v>
      </c>
      <c r="B580" s="10" t="s">
        <v>2145</v>
      </c>
      <c r="C580" s="11" t="s">
        <v>2146</v>
      </c>
      <c r="D580" s="12"/>
      <c r="E580" s="12"/>
      <c r="F580" s="12" t="s">
        <v>58</v>
      </c>
      <c r="G580" s="13">
        <v>1</v>
      </c>
      <c r="H580" s="13"/>
      <c r="I580" s="13">
        <v>638.57000000000005</v>
      </c>
      <c r="J580" s="14">
        <f>IFERROR(ROUND(SUM(M581)/I580, 2),0)</f>
        <v>936.4</v>
      </c>
      <c r="K580" s="15">
        <v>962.99</v>
      </c>
      <c r="L580" s="14">
        <f>J580+ROUND(K580, 2)</f>
        <v>1899.3899999999999</v>
      </c>
      <c r="M580" s="14">
        <f>ROUND(J580*I580, 2)</f>
        <v>597956.94999999995</v>
      </c>
      <c r="N580" s="14">
        <f>ROUND(I580*ROUND(K580, 2), 2)</f>
        <v>614936.52</v>
      </c>
      <c r="O580" s="14">
        <f>M580+N580</f>
        <v>1212893.47</v>
      </c>
      <c r="P580" s="14">
        <f>IFERROR(ROUND(SUM(S581)/I580, 2),0)</f>
        <v>936.4</v>
      </c>
      <c r="Q580" s="16">
        <v>1375.7</v>
      </c>
      <c r="R580" s="14">
        <f>P580+ROUND(Q580, 2)</f>
        <v>2312.1</v>
      </c>
      <c r="S580" s="14">
        <f>ROUND(P580*I580, 2)</f>
        <v>597956.94999999995</v>
      </c>
      <c r="T580" s="14">
        <f>ROUND(I580*ROUND(Q580, 2), 2)</f>
        <v>878480.75</v>
      </c>
      <c r="U580" s="14">
        <f>S580+T580</f>
        <v>1476437.7</v>
      </c>
      <c r="V580" s="9">
        <f>ROUND(P580 / 1.2, 2)</f>
        <v>780.33</v>
      </c>
      <c r="W580" s="9">
        <f>ROUND(Q580 / 1.2, 2)</f>
        <v>1146.42</v>
      </c>
      <c r="X580" s="9">
        <f>ROUND(R580 / 1.2, 2)</f>
        <v>1926.75</v>
      </c>
      <c r="Y580" s="9">
        <f t="shared" si="29"/>
        <v>498297.46</v>
      </c>
      <c r="Z580" s="9">
        <f>ROUND(T580 / 1.2, 2)</f>
        <v>732067.29</v>
      </c>
      <c r="AA580" s="9">
        <f>Y580+Z580</f>
        <v>1230364.75</v>
      </c>
      <c r="AD580" s="4">
        <v>311044407</v>
      </c>
      <c r="AE580" s="4">
        <v>22892005</v>
      </c>
      <c r="AG580" s="4" t="s">
        <v>2147</v>
      </c>
      <c r="AH580" s="4" t="s">
        <v>2148</v>
      </c>
      <c r="AI580" s="4" t="s">
        <v>469</v>
      </c>
    </row>
    <row r="581" spans="1:35" ht="90" x14ac:dyDescent="0.3">
      <c r="A581" s="10" t="s">
        <v>2149</v>
      </c>
      <c r="B581" s="10"/>
      <c r="C581" s="23" t="s">
        <v>2150</v>
      </c>
      <c r="D581" s="12"/>
      <c r="E581" s="12" t="s">
        <v>2151</v>
      </c>
      <c r="F581" s="18" t="s">
        <v>58</v>
      </c>
      <c r="G581" s="19">
        <v>1.1000000000000001</v>
      </c>
      <c r="H581" s="24"/>
      <c r="I581" s="24">
        <v>702.42700000000002</v>
      </c>
      <c r="J581" s="20">
        <v>851.27</v>
      </c>
      <c r="M581" s="21">
        <f>ROUND(ROUND(J581, 2)*I581, 2)</f>
        <v>597955.03</v>
      </c>
      <c r="P581" s="22">
        <v>851.27</v>
      </c>
      <c r="S581" s="21">
        <f>ROUND(ROUND(P581, 2)*I581, 2)</f>
        <v>597955.03</v>
      </c>
      <c r="V581" s="9">
        <f>ROUND(ROUND(P581, 2)/1.2, 2)</f>
        <v>709.39</v>
      </c>
      <c r="Y581" s="9">
        <f t="shared" si="29"/>
        <v>498295.86</v>
      </c>
      <c r="AD581" s="4" t="s">
        <v>2152</v>
      </c>
      <c r="AE581" s="4" t="s">
        <v>2153</v>
      </c>
      <c r="AF581" s="4" t="s">
        <v>2154</v>
      </c>
    </row>
    <row r="582" spans="1:35" ht="54" x14ac:dyDescent="0.3">
      <c r="A582" s="10" t="s">
        <v>2155</v>
      </c>
      <c r="B582" s="10" t="s">
        <v>2145</v>
      </c>
      <c r="C582" s="11" t="s">
        <v>2146</v>
      </c>
      <c r="D582" s="12"/>
      <c r="E582" s="12" t="s">
        <v>2156</v>
      </c>
      <c r="F582" s="12" t="s">
        <v>58</v>
      </c>
      <c r="G582" s="13">
        <v>1</v>
      </c>
      <c r="H582" s="13"/>
      <c r="I582" s="13">
        <v>163.30000000000001</v>
      </c>
      <c r="J582" s="14">
        <f>IFERROR(ROUND(SUM(M583)/I582, 2),0)</f>
        <v>0</v>
      </c>
      <c r="K582" s="15">
        <v>962.99</v>
      </c>
      <c r="L582" s="14">
        <f>J582+ROUND(K582, 2)</f>
        <v>962.99</v>
      </c>
      <c r="M582" s="14">
        <f>ROUND(J582*I582, 2)</f>
        <v>0</v>
      </c>
      <c r="N582" s="14">
        <f>ROUND(I582*ROUND(K582, 2), 2)</f>
        <v>157256.26999999999</v>
      </c>
      <c r="O582" s="14">
        <f>M582+N582</f>
        <v>157256.26999999999</v>
      </c>
      <c r="P582" s="14">
        <f>IFERROR(ROUND(SUM(S583)/I582, 2),0)</f>
        <v>2305</v>
      </c>
      <c r="Q582" s="16">
        <v>1375.7</v>
      </c>
      <c r="R582" s="14">
        <f>P582+ROUND(Q582, 2)</f>
        <v>3680.7</v>
      </c>
      <c r="S582" s="14">
        <f>ROUND(P582*I582, 2)</f>
        <v>376406.5</v>
      </c>
      <c r="T582" s="14">
        <f>ROUND(I582*ROUND(Q582, 2), 2)</f>
        <v>224651.81</v>
      </c>
      <c r="U582" s="14">
        <f>S582+T582</f>
        <v>601058.31000000006</v>
      </c>
      <c r="V582" s="9">
        <f>ROUND(P582 / 1.2, 2)</f>
        <v>1920.83</v>
      </c>
      <c r="W582" s="9">
        <f>ROUND(Q582 / 1.2, 2)</f>
        <v>1146.42</v>
      </c>
      <c r="X582" s="9">
        <f>ROUND(R582 / 1.2, 2)</f>
        <v>3067.25</v>
      </c>
      <c r="Y582" s="9">
        <f t="shared" si="29"/>
        <v>313672.08</v>
      </c>
      <c r="Z582" s="9">
        <f>ROUND(T582 / 1.2, 2)</f>
        <v>187209.84</v>
      </c>
      <c r="AA582" s="9">
        <f>Y582+Z582</f>
        <v>500881.92000000004</v>
      </c>
      <c r="AD582" s="4">
        <v>311044504</v>
      </c>
      <c r="AE582" s="4">
        <v>23306497</v>
      </c>
      <c r="AG582" s="4" t="s">
        <v>2147</v>
      </c>
      <c r="AH582" s="4" t="s">
        <v>2148</v>
      </c>
      <c r="AI582" s="4" t="s">
        <v>469</v>
      </c>
    </row>
    <row r="583" spans="1:35" ht="198" x14ac:dyDescent="0.3">
      <c r="A583" s="10" t="s">
        <v>2157</v>
      </c>
      <c r="B583" s="10"/>
      <c r="C583" s="17" t="s">
        <v>2158</v>
      </c>
      <c r="D583" s="12"/>
      <c r="E583" s="12" t="s">
        <v>2159</v>
      </c>
      <c r="F583" s="18" t="s">
        <v>58</v>
      </c>
      <c r="G583" s="19">
        <v>1</v>
      </c>
      <c r="H583" s="24"/>
      <c r="I583" s="24">
        <v>163.30000000000001</v>
      </c>
      <c r="J583" s="20">
        <v>0</v>
      </c>
      <c r="M583" s="21">
        <f>ROUND(ROUND(J583, 2)*I583, 2)</f>
        <v>0</v>
      </c>
      <c r="P583" s="22">
        <v>2305</v>
      </c>
      <c r="S583" s="21">
        <f>ROUND(ROUND(P583, 2)*I583, 2)</f>
        <v>376406.5</v>
      </c>
      <c r="V583" s="9">
        <f>ROUND(ROUND(P583, 2)/1.2, 2)</f>
        <v>1920.83</v>
      </c>
      <c r="Y583" s="9">
        <f t="shared" si="29"/>
        <v>313672.08</v>
      </c>
      <c r="AD583" s="4" t="s">
        <v>2160</v>
      </c>
      <c r="AE583" s="4" t="s">
        <v>2161</v>
      </c>
      <c r="AF583" s="4" t="s">
        <v>2162</v>
      </c>
    </row>
    <row r="584" spans="1:35" ht="16.95" customHeight="1" x14ac:dyDescent="0.3">
      <c r="A584" s="10" t="s">
        <v>2163</v>
      </c>
      <c r="B584" s="10" t="s">
        <v>2164</v>
      </c>
      <c r="C584" s="51" t="s">
        <v>418</v>
      </c>
      <c r="D584" s="52"/>
      <c r="E584" s="52"/>
      <c r="F584" s="52"/>
      <c r="G584" s="52"/>
      <c r="H584" s="52"/>
      <c r="I584" s="53"/>
      <c r="M584" s="6">
        <f>SUM(M585,M586)</f>
        <v>0</v>
      </c>
      <c r="N584" s="6">
        <f>SUM(N585,N586)</f>
        <v>676751.92</v>
      </c>
      <c r="O584" s="6">
        <f>SUM(O585,O586)</f>
        <v>676751.92</v>
      </c>
      <c r="S584" s="6">
        <f>SUM(S585,S586)</f>
        <v>0</v>
      </c>
      <c r="T584" s="6">
        <f>SUM(T585,T586)</f>
        <v>11863700.629999999</v>
      </c>
      <c r="U584" s="6">
        <f>SUM(U585,U586)</f>
        <v>11863700.629999999</v>
      </c>
      <c r="Y584" s="9">
        <f>SUM(Y585,Y586)</f>
        <v>0</v>
      </c>
      <c r="Z584" s="9">
        <f>SUM(Z585,Z586)</f>
        <v>9886417.1999999993</v>
      </c>
      <c r="AA584" s="9">
        <f>SUM(AA585,AA586)</f>
        <v>9886417.1999999993</v>
      </c>
      <c r="AD584" s="4">
        <v>311044408</v>
      </c>
      <c r="AE584" s="4">
        <v>22726872</v>
      </c>
    </row>
    <row r="585" spans="1:35" ht="54" x14ac:dyDescent="0.3">
      <c r="A585" s="10" t="s">
        <v>2165</v>
      </c>
      <c r="B585" s="10" t="s">
        <v>2166</v>
      </c>
      <c r="C585" s="11" t="s">
        <v>2167</v>
      </c>
      <c r="D585" s="12" t="s">
        <v>2168</v>
      </c>
      <c r="E585" s="12"/>
      <c r="F585" s="12" t="s">
        <v>2169</v>
      </c>
      <c r="G585" s="13">
        <v>1</v>
      </c>
      <c r="H585" s="13"/>
      <c r="I585" s="13">
        <v>8</v>
      </c>
      <c r="J585" s="14">
        <v>0</v>
      </c>
      <c r="K585" s="15">
        <v>84593.99</v>
      </c>
      <c r="L585" s="14">
        <f>J585+ROUND(K585, 2)</f>
        <v>84593.99</v>
      </c>
      <c r="M585" s="14">
        <v>0</v>
      </c>
      <c r="N585" s="14">
        <f>ROUND(I585*ROUND(K585, 2), 2)</f>
        <v>676751.92</v>
      </c>
      <c r="O585" s="14">
        <f>M585+N585</f>
        <v>676751.92</v>
      </c>
      <c r="P585" s="14">
        <v>0</v>
      </c>
      <c r="Q585" s="16">
        <v>126890.98</v>
      </c>
      <c r="R585" s="14">
        <f>P585+ROUND(Q585, 2)</f>
        <v>126890.98</v>
      </c>
      <c r="S585" s="14">
        <v>0</v>
      </c>
      <c r="T585" s="14">
        <f>ROUND(I585*ROUND(Q585, 2), 2)</f>
        <v>1015127.84</v>
      </c>
      <c r="U585" s="14">
        <f>S585+T585</f>
        <v>1015127.84</v>
      </c>
      <c r="V585" s="9"/>
      <c r="W585" s="9">
        <f>ROUND(Q585 / 1.2, 2)</f>
        <v>105742.48</v>
      </c>
      <c r="X585" s="9">
        <f>ROUND(R585 / 1.2, 2)</f>
        <v>105742.48</v>
      </c>
      <c r="Y585" s="9"/>
      <c r="Z585" s="9">
        <f>ROUND(T585 / 1.2, 2)</f>
        <v>845939.87</v>
      </c>
      <c r="AA585" s="9">
        <f>Y585+Z585</f>
        <v>845939.87</v>
      </c>
      <c r="AD585" s="4">
        <v>311044410</v>
      </c>
      <c r="AE585" s="4">
        <v>23947022</v>
      </c>
      <c r="AG585" s="4" t="s">
        <v>2170</v>
      </c>
      <c r="AH585" s="4" t="s">
        <v>2171</v>
      </c>
      <c r="AI585" s="4" t="s">
        <v>469</v>
      </c>
    </row>
    <row r="586" spans="1:35" ht="54" x14ac:dyDescent="0.3">
      <c r="A586" s="10" t="s">
        <v>2172</v>
      </c>
      <c r="B586" s="10" t="s">
        <v>2173</v>
      </c>
      <c r="C586" s="11" t="s">
        <v>2174</v>
      </c>
      <c r="D586" s="12" t="s">
        <v>2175</v>
      </c>
      <c r="E586" s="12"/>
      <c r="F586" s="12" t="s">
        <v>2176</v>
      </c>
      <c r="G586" s="13">
        <v>1</v>
      </c>
      <c r="H586" s="13"/>
      <c r="I586" s="13">
        <v>1</v>
      </c>
      <c r="J586" s="14">
        <v>0</v>
      </c>
      <c r="K586" s="15">
        <v>0</v>
      </c>
      <c r="L586" s="14">
        <f>J586+ROUND(K586, 2)</f>
        <v>0</v>
      </c>
      <c r="M586" s="14">
        <v>0</v>
      </c>
      <c r="N586" s="14">
        <f>ROUND(I586*ROUND(K586, 2), 2)</f>
        <v>0</v>
      </c>
      <c r="O586" s="14">
        <f>M586+N586</f>
        <v>0</v>
      </c>
      <c r="P586" s="14">
        <v>0</v>
      </c>
      <c r="Q586" s="16">
        <v>10848572.789999999</v>
      </c>
      <c r="R586" s="14">
        <f>P586+ROUND(Q586, 2)</f>
        <v>10848572.789999999</v>
      </c>
      <c r="S586" s="14">
        <v>0</v>
      </c>
      <c r="T586" s="14">
        <f>ROUND(I586*ROUND(Q586, 2), 2)</f>
        <v>10848572.789999999</v>
      </c>
      <c r="U586" s="14">
        <f>S586+T586</f>
        <v>10848572.789999999</v>
      </c>
      <c r="V586" s="9"/>
      <c r="W586" s="9">
        <f>ROUND(Q586 / 1.2, 2)</f>
        <v>9040477.3300000001</v>
      </c>
      <c r="X586" s="9">
        <f>ROUND(R586 / 1.2, 2)</f>
        <v>9040477.3300000001</v>
      </c>
      <c r="Y586" s="9"/>
      <c r="Z586" s="9">
        <f>ROUND(T586 / 1.2, 2)</f>
        <v>9040477.3300000001</v>
      </c>
      <c r="AA586" s="9">
        <f>Y586+Z586</f>
        <v>9040477.3300000001</v>
      </c>
      <c r="AD586" s="4">
        <v>311044412</v>
      </c>
      <c r="AE586" s="4">
        <v>22931896</v>
      </c>
      <c r="AG586" s="4" t="s">
        <v>2177</v>
      </c>
      <c r="AH586" s="4" t="s">
        <v>2178</v>
      </c>
      <c r="AI586" s="4" t="s">
        <v>469</v>
      </c>
    </row>
    <row r="587" spans="1:35" ht="24" customHeight="1" x14ac:dyDescent="0.3">
      <c r="A587" s="26"/>
      <c r="B587" s="26"/>
      <c r="C587" s="26"/>
      <c r="D587" s="27" t="s">
        <v>2179</v>
      </c>
      <c r="E587" s="26"/>
      <c r="F587" s="26"/>
      <c r="G587" s="26"/>
      <c r="H587" s="26"/>
      <c r="I587" s="26"/>
      <c r="J587" s="26"/>
      <c r="K587" s="26"/>
      <c r="L587" s="26"/>
      <c r="M587" s="28">
        <f>SUM(M8)</f>
        <v>66484118.949999988</v>
      </c>
      <c r="N587" s="28">
        <f>SUM(N8)</f>
        <v>165687544.92999998</v>
      </c>
      <c r="O587" s="28">
        <f>M587+N587</f>
        <v>232171663.87999997</v>
      </c>
      <c r="P587" s="26"/>
      <c r="Q587" s="26"/>
      <c r="R587" s="26"/>
      <c r="S587" s="28">
        <f>SUM(S8)</f>
        <v>126561694.37</v>
      </c>
      <c r="T587" s="28">
        <f>SUM(T8)</f>
        <v>248557463.05000004</v>
      </c>
      <c r="U587" s="28">
        <f>S587+T587</f>
        <v>375119157.42000008</v>
      </c>
      <c r="Y587" s="9">
        <f>SUM(Y8)</f>
        <v>105468078.77</v>
      </c>
      <c r="Z587" s="9">
        <f>SUM(Z8)</f>
        <v>207131219.36999997</v>
      </c>
      <c r="AA587" s="9">
        <f>Y587+Z587</f>
        <v>312599298.13999999</v>
      </c>
    </row>
    <row r="588" spans="1:35" ht="22.8" x14ac:dyDescent="0.3">
      <c r="A588" s="48" t="s">
        <v>2180</v>
      </c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50"/>
    </row>
    <row r="589" spans="1:35" ht="15.6" x14ac:dyDescent="0.3">
      <c r="A589" s="30"/>
      <c r="B589" s="5" t="s">
        <v>2181</v>
      </c>
      <c r="C589" s="29" t="s">
        <v>2182</v>
      </c>
      <c r="D589" s="29" t="s">
        <v>2183</v>
      </c>
      <c r="E589" s="31"/>
      <c r="F589" s="31"/>
      <c r="G589" s="31"/>
      <c r="H589" s="46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47"/>
    </row>
    <row r="590" spans="1:35" ht="15.6" x14ac:dyDescent="0.3">
      <c r="A590" s="30"/>
      <c r="B590" s="5" t="s">
        <v>2184</v>
      </c>
      <c r="C590" s="29" t="s">
        <v>2185</v>
      </c>
      <c r="D590" s="29" t="s">
        <v>2186</v>
      </c>
      <c r="E590" s="31"/>
      <c r="F590" s="31"/>
      <c r="G590" s="31"/>
      <c r="H590" s="46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47"/>
    </row>
    <row r="591" spans="1:35" ht="31.2" x14ac:dyDescent="0.3">
      <c r="A591" s="30"/>
      <c r="B591" s="5" t="s">
        <v>2187</v>
      </c>
      <c r="C591" s="29" t="s">
        <v>2188</v>
      </c>
      <c r="D591" s="29" t="s">
        <v>2189</v>
      </c>
      <c r="E591" s="31"/>
      <c r="F591" s="31"/>
      <c r="G591" s="31"/>
      <c r="H591" s="46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47"/>
    </row>
    <row r="592" spans="1:35" ht="15.6" x14ac:dyDescent="0.3">
      <c r="A592" s="30"/>
      <c r="B592" s="5" t="s">
        <v>2190</v>
      </c>
      <c r="C592" s="29" t="s">
        <v>2191</v>
      </c>
      <c r="D592" s="29" t="s">
        <v>2192</v>
      </c>
      <c r="E592" s="31"/>
      <c r="F592" s="31"/>
      <c r="G592" s="31"/>
      <c r="H592" s="46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47"/>
    </row>
    <row r="593" spans="1:21" ht="15.6" x14ac:dyDescent="0.3">
      <c r="A593" s="30"/>
      <c r="B593" s="5" t="s">
        <v>2193</v>
      </c>
      <c r="C593" s="29" t="s">
        <v>2194</v>
      </c>
      <c r="D593" s="29" t="s">
        <v>2186</v>
      </c>
      <c r="E593" s="31"/>
      <c r="F593" s="31"/>
      <c r="G593" s="31"/>
      <c r="H593" s="46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47"/>
    </row>
    <row r="594" spans="1:21" ht="31.2" x14ac:dyDescent="0.3">
      <c r="A594" s="30"/>
      <c r="B594" s="5" t="s">
        <v>2195</v>
      </c>
      <c r="C594" s="29" t="s">
        <v>2196</v>
      </c>
      <c r="D594" s="29" t="s">
        <v>2197</v>
      </c>
      <c r="E594" s="31"/>
      <c r="F594" s="31"/>
      <c r="G594" s="31"/>
      <c r="H594" s="46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47"/>
    </row>
    <row r="595" spans="1:21" ht="31.2" x14ac:dyDescent="0.3">
      <c r="A595" s="30"/>
      <c r="B595" s="5" t="s">
        <v>2198</v>
      </c>
      <c r="C595" s="29" t="s">
        <v>2199</v>
      </c>
      <c r="D595" s="29" t="s">
        <v>2200</v>
      </c>
      <c r="E595" s="31"/>
      <c r="F595" s="31"/>
      <c r="G595" s="31"/>
      <c r="H595" s="46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47"/>
    </row>
    <row r="596" spans="1:21" ht="15.6" x14ac:dyDescent="0.3">
      <c r="A596" s="30"/>
      <c r="B596" s="5" t="s">
        <v>2201</v>
      </c>
      <c r="C596" s="29" t="s">
        <v>2202</v>
      </c>
      <c r="D596" s="29" t="s">
        <v>2203</v>
      </c>
      <c r="E596" s="31"/>
      <c r="F596" s="31"/>
      <c r="G596" s="31"/>
      <c r="H596" s="46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47"/>
    </row>
    <row r="597" spans="1:21" ht="15.6" x14ac:dyDescent="0.3">
      <c r="A597" s="30"/>
      <c r="B597" s="5" t="s">
        <v>2204</v>
      </c>
      <c r="C597" s="29" t="s">
        <v>2205</v>
      </c>
      <c r="D597" s="29" t="s">
        <v>2206</v>
      </c>
      <c r="E597" s="31"/>
      <c r="F597" s="31"/>
      <c r="G597" s="31"/>
      <c r="H597" s="46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47"/>
    </row>
    <row r="598" spans="1:21" ht="31.2" x14ac:dyDescent="0.3">
      <c r="A598" s="30"/>
      <c r="B598" s="5" t="s">
        <v>2207</v>
      </c>
      <c r="C598" s="29" t="s">
        <v>2208</v>
      </c>
      <c r="D598" s="29" t="s">
        <v>2209</v>
      </c>
      <c r="E598" s="31"/>
      <c r="F598" s="31"/>
      <c r="G598" s="31"/>
      <c r="H598" s="46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47"/>
    </row>
    <row r="599" spans="1:21" ht="46.8" x14ac:dyDescent="0.3">
      <c r="A599" s="30"/>
      <c r="B599" s="5" t="s">
        <v>2210</v>
      </c>
      <c r="C599" s="29" t="s">
        <v>2211</v>
      </c>
      <c r="D599" s="29" t="s">
        <v>2212</v>
      </c>
      <c r="E599" s="31"/>
      <c r="F599" s="31"/>
      <c r="G599" s="31"/>
      <c r="H599" s="46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47"/>
    </row>
    <row r="600" spans="1:21" ht="31.2" x14ac:dyDescent="0.3">
      <c r="A600" s="30"/>
      <c r="B600" s="5" t="s">
        <v>2213</v>
      </c>
      <c r="C600" s="29" t="s">
        <v>2214</v>
      </c>
      <c r="D600" s="29" t="s">
        <v>2215</v>
      </c>
      <c r="E600" s="31"/>
      <c r="F600" s="31"/>
      <c r="G600" s="31"/>
      <c r="H600" s="46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47"/>
    </row>
    <row r="601" spans="1:21" ht="15.6" x14ac:dyDescent="0.3">
      <c r="A601" s="30"/>
      <c r="B601" s="5" t="s">
        <v>2216</v>
      </c>
      <c r="C601" s="29" t="s">
        <v>2217</v>
      </c>
      <c r="D601" s="29" t="s">
        <v>2218</v>
      </c>
      <c r="E601" s="31"/>
      <c r="F601" s="31"/>
      <c r="G601" s="31"/>
      <c r="H601" s="46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47"/>
    </row>
    <row r="602" spans="1:21" ht="48" customHeight="1" x14ac:dyDescent="0.3">
      <c r="A602" s="30"/>
      <c r="B602" s="5" t="s">
        <v>2219</v>
      </c>
      <c r="C602" s="29" t="s">
        <v>2220</v>
      </c>
      <c r="D602" s="29" t="s">
        <v>2221</v>
      </c>
      <c r="E602" s="31"/>
      <c r="F602" s="31"/>
      <c r="G602" s="31"/>
      <c r="H602" s="46" t="s">
        <v>2222</v>
      </c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47"/>
    </row>
    <row r="603" spans="1:21" ht="15.6" x14ac:dyDescent="0.3">
      <c r="A603" s="30"/>
      <c r="B603" s="5" t="s">
        <v>2223</v>
      </c>
      <c r="C603" s="29" t="s">
        <v>2224</v>
      </c>
      <c r="D603" s="29" t="s">
        <v>2225</v>
      </c>
      <c r="E603" s="31"/>
      <c r="F603" s="31"/>
      <c r="G603" s="31"/>
      <c r="H603" s="46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47"/>
    </row>
    <row r="604" spans="1:21" ht="31.2" x14ac:dyDescent="0.3">
      <c r="A604" s="30"/>
      <c r="B604" s="5" t="s">
        <v>2226</v>
      </c>
      <c r="C604" s="29" t="s">
        <v>2227</v>
      </c>
      <c r="D604" s="31"/>
      <c r="E604" s="31"/>
      <c r="F604" s="31"/>
      <c r="G604" s="31"/>
      <c r="H604" s="46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47"/>
    </row>
    <row r="605" spans="1:21" ht="15.6" x14ac:dyDescent="0.3">
      <c r="A605" s="30"/>
      <c r="B605" s="5" t="s">
        <v>2228</v>
      </c>
      <c r="C605" s="29" t="s">
        <v>2229</v>
      </c>
      <c r="D605" s="31"/>
      <c r="E605" s="31"/>
      <c r="F605" s="31"/>
      <c r="G605" s="31"/>
      <c r="H605" s="46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47"/>
    </row>
    <row r="606" spans="1:21" ht="15.6" x14ac:dyDescent="0.3">
      <c r="A606" s="30"/>
      <c r="B606" s="5" t="s">
        <v>2230</v>
      </c>
      <c r="C606" s="29" t="s">
        <v>2231</v>
      </c>
      <c r="D606" s="31"/>
      <c r="E606" s="31"/>
      <c r="F606" s="31"/>
      <c r="G606" s="31"/>
      <c r="H606" s="46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47"/>
    </row>
  </sheetData>
  <sheetProtection password="C644" sheet="1" formatColumns="0" autoFilter="0"/>
  <autoFilter ref="A7:U7"/>
  <mergeCells count="81">
    <mergeCell ref="H602:U602"/>
    <mergeCell ref="H603:U603"/>
    <mergeCell ref="H604:U604"/>
    <mergeCell ref="H605:U605"/>
    <mergeCell ref="H606:U606"/>
    <mergeCell ref="H597:U597"/>
    <mergeCell ref="H598:U598"/>
    <mergeCell ref="H599:U599"/>
    <mergeCell ref="H600:U600"/>
    <mergeCell ref="H601:U601"/>
    <mergeCell ref="H592:U592"/>
    <mergeCell ref="H593:U593"/>
    <mergeCell ref="H594:U594"/>
    <mergeCell ref="H595:U595"/>
    <mergeCell ref="H596:U596"/>
    <mergeCell ref="C584:I584"/>
    <mergeCell ref="A588:U588"/>
    <mergeCell ref="H589:U589"/>
    <mergeCell ref="H590:U590"/>
    <mergeCell ref="H591:U591"/>
    <mergeCell ref="C373:I373"/>
    <mergeCell ref="C474:I474"/>
    <mergeCell ref="C475:I475"/>
    <mergeCell ref="C500:I500"/>
    <mergeCell ref="C534:I534"/>
    <mergeCell ref="C193:I193"/>
    <mergeCell ref="C216:I216"/>
    <mergeCell ref="C285:I285"/>
    <mergeCell ref="C288:I288"/>
    <mergeCell ref="C289:I289"/>
    <mergeCell ref="C107:I107"/>
    <mergeCell ref="C108:I108"/>
    <mergeCell ref="C109:I109"/>
    <mergeCell ref="C110:I110"/>
    <mergeCell ref="C111:I111"/>
    <mergeCell ref="C57:I57"/>
    <mergeCell ref="C74:I74"/>
    <mergeCell ref="C99:I99"/>
    <mergeCell ref="C101:I101"/>
    <mergeCell ref="C102:I102"/>
    <mergeCell ref="C33:I33"/>
    <mergeCell ref="C34:I34"/>
    <mergeCell ref="C43:I43"/>
    <mergeCell ref="C44:I44"/>
    <mergeCell ref="C51:I51"/>
    <mergeCell ref="C17:I17"/>
    <mergeCell ref="C18:I18"/>
    <mergeCell ref="C19:I19"/>
    <mergeCell ref="C25:I25"/>
    <mergeCell ref="C32:I32"/>
    <mergeCell ref="C11:I11"/>
    <mergeCell ref="C12:I12"/>
    <mergeCell ref="C13:I13"/>
    <mergeCell ref="C15:I15"/>
    <mergeCell ref="C16:I16"/>
    <mergeCell ref="S6:T6"/>
    <mergeCell ref="U6:U7"/>
    <mergeCell ref="A8:I8"/>
    <mergeCell ref="C9:I9"/>
    <mergeCell ref="C10:I10"/>
    <mergeCell ref="L6:L7"/>
    <mergeCell ref="M6:N6"/>
    <mergeCell ref="O6:O7"/>
    <mergeCell ref="P6:Q6"/>
    <mergeCell ref="R6:R7"/>
    <mergeCell ref="A2:U2"/>
    <mergeCell ref="A3:U3"/>
    <mergeCell ref="A4:U4"/>
    <mergeCell ref="J5:O5"/>
    <mergeCell ref="P5:R5"/>
    <mergeCell ref="S5:U5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6:K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06"/>
  <sheetViews>
    <sheetView tabSelected="1" topLeftCell="A5" zoomScale="40" zoomScaleNormal="40" workbookViewId="0">
      <selection activeCell="C26" sqref="C26"/>
    </sheetView>
  </sheetViews>
  <sheetFormatPr defaultRowHeight="14.4" x14ac:dyDescent="0.3"/>
  <cols>
    <col min="1" max="1" width="20" customWidth="1"/>
    <col min="2" max="2" width="21.77734375" bestFit="1" customWidth="1"/>
    <col min="3" max="3" width="55.6640625" customWidth="1"/>
    <col min="4" max="5" width="38" customWidth="1"/>
    <col min="6" max="7" width="16.44140625" customWidth="1"/>
    <col min="8" max="8" width="16" customWidth="1"/>
    <col min="9" max="9" width="16.77734375" customWidth="1"/>
    <col min="10" max="10" width="16" customWidth="1"/>
    <col min="11" max="11" width="17" customWidth="1"/>
    <col min="12" max="12" width="17.6640625" customWidth="1"/>
    <col min="13" max="13" width="18" customWidth="1"/>
    <col min="14" max="14" width="18.77734375" customWidth="1"/>
    <col min="15" max="15" width="23.6640625" customWidth="1"/>
    <col min="16" max="16" width="16" customWidth="1"/>
    <col min="17" max="17" width="17" customWidth="1"/>
    <col min="18" max="18" width="17.6640625" customWidth="1"/>
    <col min="19" max="19" width="18" customWidth="1"/>
    <col min="20" max="20" width="18.77734375" customWidth="1"/>
    <col min="21" max="21" width="23.6640625" customWidth="1"/>
  </cols>
  <sheetData>
    <row r="1" spans="1:35" ht="15" customHeight="1" x14ac:dyDescent="0.3">
      <c r="A1" s="1" t="s">
        <v>0</v>
      </c>
      <c r="B1" s="3"/>
      <c r="C1" s="3"/>
      <c r="D1" s="2" t="s">
        <v>1</v>
      </c>
      <c r="E1" s="2" t="s">
        <v>3</v>
      </c>
      <c r="F1" s="2" t="s">
        <v>2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3"/>
      <c r="O1" s="3"/>
      <c r="P1" s="3"/>
      <c r="Q1" s="3"/>
      <c r="R1" s="3"/>
      <c r="S1" s="3"/>
      <c r="T1" s="3"/>
      <c r="U1" s="3"/>
      <c r="AC1" s="4" t="s">
        <v>17</v>
      </c>
      <c r="AD1" s="4" t="s">
        <v>18</v>
      </c>
      <c r="AE1" s="4" t="s">
        <v>19</v>
      </c>
      <c r="AF1" s="4" t="s">
        <v>20</v>
      </c>
      <c r="AG1" s="4" t="s">
        <v>21</v>
      </c>
      <c r="AH1" s="4" t="s">
        <v>22</v>
      </c>
      <c r="AI1" s="4" t="s">
        <v>23</v>
      </c>
    </row>
    <row r="2" spans="1:35" ht="30.75" customHeight="1" x14ac:dyDescent="0.3">
      <c r="A2" s="34" t="s">
        <v>4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1:35" ht="15" customHeight="1" x14ac:dyDescent="0.3">
      <c r="A3" s="35" t="s">
        <v>5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</row>
    <row r="4" spans="1:35" ht="15" customHeight="1" x14ac:dyDescent="0.3">
      <c r="A4" s="36" t="s">
        <v>6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</row>
    <row r="5" spans="1:35" ht="40.799999999999997" customHeight="1" x14ac:dyDescent="0.3">
      <c r="A5" s="43" t="s">
        <v>24</v>
      </c>
      <c r="B5" s="43" t="s">
        <v>25</v>
      </c>
      <c r="C5" s="43" t="s">
        <v>26</v>
      </c>
      <c r="D5" s="43" t="s">
        <v>27</v>
      </c>
      <c r="E5" s="43" t="s">
        <v>28</v>
      </c>
      <c r="F5" s="43" t="s">
        <v>29</v>
      </c>
      <c r="G5" s="43" t="s">
        <v>30</v>
      </c>
      <c r="H5" s="43" t="s">
        <v>31</v>
      </c>
      <c r="I5" s="43" t="s">
        <v>32</v>
      </c>
      <c r="J5" s="37" t="s">
        <v>7</v>
      </c>
      <c r="K5" s="38"/>
      <c r="L5" s="38"/>
      <c r="M5" s="38"/>
      <c r="N5" s="38"/>
      <c r="O5" s="39"/>
      <c r="P5" s="40" t="s">
        <v>8</v>
      </c>
      <c r="Q5" s="41"/>
      <c r="R5" s="42"/>
      <c r="S5" s="40" t="s">
        <v>9</v>
      </c>
      <c r="T5" s="41"/>
      <c r="U5" s="42"/>
    </row>
    <row r="6" spans="1:35" ht="15.75" customHeight="1" x14ac:dyDescent="0.3">
      <c r="A6" s="44"/>
      <c r="B6" s="44"/>
      <c r="C6" s="44"/>
      <c r="D6" s="44"/>
      <c r="E6" s="44"/>
      <c r="F6" s="44"/>
      <c r="G6" s="44"/>
      <c r="H6" s="44"/>
      <c r="I6" s="44"/>
      <c r="J6" s="46" t="s">
        <v>33</v>
      </c>
      <c r="K6" s="47"/>
      <c r="L6" s="43" t="s">
        <v>33</v>
      </c>
      <c r="M6" s="46" t="s">
        <v>36</v>
      </c>
      <c r="N6" s="47"/>
      <c r="O6" s="43" t="s">
        <v>37</v>
      </c>
      <c r="P6" s="46" t="s">
        <v>33</v>
      </c>
      <c r="Q6" s="47"/>
      <c r="R6" s="43" t="s">
        <v>33</v>
      </c>
      <c r="S6" s="46" t="s">
        <v>36</v>
      </c>
      <c r="T6" s="47"/>
      <c r="U6" s="43" t="s">
        <v>37</v>
      </c>
    </row>
    <row r="7" spans="1:35" ht="31.2" customHeight="1" x14ac:dyDescent="0.3">
      <c r="A7" s="45"/>
      <c r="B7" s="45"/>
      <c r="C7" s="45"/>
      <c r="D7" s="45"/>
      <c r="E7" s="45"/>
      <c r="F7" s="45"/>
      <c r="G7" s="45"/>
      <c r="H7" s="45"/>
      <c r="I7" s="45"/>
      <c r="J7" s="5" t="s">
        <v>34</v>
      </c>
      <c r="K7" s="5" t="s">
        <v>35</v>
      </c>
      <c r="L7" s="45"/>
      <c r="M7" s="5" t="s">
        <v>34</v>
      </c>
      <c r="N7" s="5" t="s">
        <v>35</v>
      </c>
      <c r="O7" s="45"/>
      <c r="P7" s="5" t="s">
        <v>34</v>
      </c>
      <c r="Q7" s="5" t="s">
        <v>35</v>
      </c>
      <c r="R7" s="45"/>
      <c r="S7" s="5" t="s">
        <v>34</v>
      </c>
      <c r="T7" s="5" t="s">
        <v>35</v>
      </c>
      <c r="U7" s="45"/>
    </row>
    <row r="8" spans="1:35" ht="30" customHeight="1" x14ac:dyDescent="0.3">
      <c r="A8" s="48" t="s">
        <v>38</v>
      </c>
      <c r="B8" s="49"/>
      <c r="C8" s="49"/>
      <c r="D8" s="49"/>
      <c r="E8" s="49"/>
      <c r="F8" s="49"/>
      <c r="G8" s="49"/>
      <c r="H8" s="49"/>
      <c r="I8" s="50"/>
      <c r="J8" s="7"/>
      <c r="K8" s="7"/>
      <c r="L8" s="7"/>
      <c r="M8" s="8">
        <f>SUM(M9)</f>
        <v>66484118.949999988</v>
      </c>
      <c r="N8" s="8">
        <f>SUM(N9)</f>
        <v>165687544.92999998</v>
      </c>
      <c r="O8" s="8">
        <f>SUM(O9)</f>
        <v>232171663.87999994</v>
      </c>
      <c r="P8" s="7"/>
      <c r="Q8" s="7"/>
      <c r="R8" s="7"/>
      <c r="S8" s="8">
        <f>SUM(S9)</f>
        <v>126561694.37</v>
      </c>
      <c r="T8" s="8">
        <f>SUM(T9)</f>
        <v>248557463.05000004</v>
      </c>
      <c r="U8" s="8">
        <f>SUM(U9)</f>
        <v>375119157.42000002</v>
      </c>
      <c r="Y8" s="9">
        <f>SUM(Y9)</f>
        <v>105468078.77</v>
      </c>
      <c r="Z8" s="9">
        <f>SUM(Z9)</f>
        <v>207131219.36999997</v>
      </c>
      <c r="AA8" s="9">
        <f>SUM(AA9)</f>
        <v>312599298.13999999</v>
      </c>
      <c r="AC8" s="4" t="s">
        <v>39</v>
      </c>
    </row>
    <row r="9" spans="1:35" ht="16.95" customHeight="1" x14ac:dyDescent="0.3">
      <c r="A9" s="10" t="s">
        <v>40</v>
      </c>
      <c r="B9" s="10" t="s">
        <v>41</v>
      </c>
      <c r="C9" s="51" t="s">
        <v>42</v>
      </c>
      <c r="D9" s="52"/>
      <c r="E9" s="52"/>
      <c r="F9" s="52"/>
      <c r="G9" s="52"/>
      <c r="H9" s="52"/>
      <c r="I9" s="53"/>
      <c r="M9" s="6">
        <f>SUM(M10,M15,M107)</f>
        <v>66484118.949999988</v>
      </c>
      <c r="N9" s="6">
        <f>SUM(N10,N15,N107)</f>
        <v>165687544.92999998</v>
      </c>
      <c r="O9" s="6">
        <f>SUM(O10,O15,O107)</f>
        <v>232171663.87999994</v>
      </c>
      <c r="S9" s="6">
        <f>SUM(S10,S15,S107)</f>
        <v>126561694.37</v>
      </c>
      <c r="T9" s="6">
        <f>SUM(T10,T15,T107)</f>
        <v>248557463.05000004</v>
      </c>
      <c r="U9" s="6">
        <f>SUM(U10,U15,U107)</f>
        <v>375119157.42000002</v>
      </c>
      <c r="Y9" s="9">
        <f>SUM(Y10,Y15,Y107)</f>
        <v>105468078.77</v>
      </c>
      <c r="Z9" s="9">
        <f>SUM(Z10,Z15,Z107)</f>
        <v>207131219.36999997</v>
      </c>
      <c r="AA9" s="9">
        <f>SUM(AA10,AA15,AA107)</f>
        <v>312599298.13999999</v>
      </c>
      <c r="AD9" s="4">
        <v>311044261</v>
      </c>
      <c r="AE9" s="4">
        <v>22075130</v>
      </c>
    </row>
    <row r="10" spans="1:35" ht="16.95" customHeight="1" x14ac:dyDescent="0.3">
      <c r="A10" s="10" t="s">
        <v>43</v>
      </c>
      <c r="B10" s="10" t="s">
        <v>44</v>
      </c>
      <c r="C10" s="51" t="s">
        <v>45</v>
      </c>
      <c r="D10" s="52"/>
      <c r="E10" s="52"/>
      <c r="F10" s="52"/>
      <c r="G10" s="52"/>
      <c r="H10" s="52"/>
      <c r="I10" s="53"/>
      <c r="M10" s="6">
        <f t="shared" ref="M10:O13" si="0">SUM(M11)</f>
        <v>0</v>
      </c>
      <c r="N10" s="6">
        <f t="shared" si="0"/>
        <v>70987.5</v>
      </c>
      <c r="O10" s="6">
        <f t="shared" si="0"/>
        <v>70987.5</v>
      </c>
      <c r="S10" s="6">
        <f t="shared" ref="S10:U13" si="1">SUM(S11)</f>
        <v>0</v>
      </c>
      <c r="T10" s="6">
        <f t="shared" si="1"/>
        <v>106481.25</v>
      </c>
      <c r="U10" s="6">
        <f t="shared" si="1"/>
        <v>106481.25</v>
      </c>
      <c r="Y10" s="9">
        <f t="shared" ref="Y10:AA13" si="2">SUM(Y11)</f>
        <v>0</v>
      </c>
      <c r="Z10" s="9">
        <f t="shared" si="2"/>
        <v>88734.38</v>
      </c>
      <c r="AA10" s="9">
        <f t="shared" si="2"/>
        <v>88734.38</v>
      </c>
      <c r="AD10" s="4">
        <v>311044262</v>
      </c>
      <c r="AE10" s="4">
        <v>22075132</v>
      </c>
    </row>
    <row r="11" spans="1:35" ht="16.95" customHeight="1" x14ac:dyDescent="0.3">
      <c r="A11" s="10" t="s">
        <v>46</v>
      </c>
      <c r="B11" s="10" t="s">
        <v>47</v>
      </c>
      <c r="C11" s="51" t="s">
        <v>48</v>
      </c>
      <c r="D11" s="52"/>
      <c r="E11" s="52"/>
      <c r="F11" s="52"/>
      <c r="G11" s="52"/>
      <c r="H11" s="52"/>
      <c r="I11" s="53"/>
      <c r="M11" s="6">
        <f t="shared" si="0"/>
        <v>0</v>
      </c>
      <c r="N11" s="6">
        <f t="shared" si="0"/>
        <v>70987.5</v>
      </c>
      <c r="O11" s="6">
        <f t="shared" si="0"/>
        <v>70987.5</v>
      </c>
      <c r="S11" s="6">
        <f t="shared" si="1"/>
        <v>0</v>
      </c>
      <c r="T11" s="6">
        <f t="shared" si="1"/>
        <v>106481.25</v>
      </c>
      <c r="U11" s="6">
        <f t="shared" si="1"/>
        <v>106481.25</v>
      </c>
      <c r="Y11" s="9">
        <f t="shared" si="2"/>
        <v>0</v>
      </c>
      <c r="Z11" s="9">
        <f t="shared" si="2"/>
        <v>88734.38</v>
      </c>
      <c r="AA11" s="9">
        <f t="shared" si="2"/>
        <v>88734.38</v>
      </c>
      <c r="AD11" s="4">
        <v>311044263</v>
      </c>
      <c r="AE11" s="4">
        <v>22075131</v>
      </c>
    </row>
    <row r="12" spans="1:35" ht="16.95" customHeight="1" x14ac:dyDescent="0.3">
      <c r="A12" s="10" t="s">
        <v>49</v>
      </c>
      <c r="B12" s="10" t="s">
        <v>50</v>
      </c>
      <c r="C12" s="51" t="s">
        <v>51</v>
      </c>
      <c r="D12" s="52"/>
      <c r="E12" s="52"/>
      <c r="F12" s="52"/>
      <c r="G12" s="52"/>
      <c r="H12" s="52"/>
      <c r="I12" s="53"/>
      <c r="M12" s="6">
        <f t="shared" si="0"/>
        <v>0</v>
      </c>
      <c r="N12" s="6">
        <f t="shared" si="0"/>
        <v>70987.5</v>
      </c>
      <c r="O12" s="6">
        <f t="shared" si="0"/>
        <v>70987.5</v>
      </c>
      <c r="S12" s="6">
        <f t="shared" si="1"/>
        <v>0</v>
      </c>
      <c r="T12" s="6">
        <f t="shared" si="1"/>
        <v>106481.25</v>
      </c>
      <c r="U12" s="6">
        <f t="shared" si="1"/>
        <v>106481.25</v>
      </c>
      <c r="Y12" s="9">
        <f t="shared" si="2"/>
        <v>0</v>
      </c>
      <c r="Z12" s="9">
        <f t="shared" si="2"/>
        <v>88734.38</v>
      </c>
      <c r="AA12" s="9">
        <f t="shared" si="2"/>
        <v>88734.38</v>
      </c>
      <c r="AD12" s="4">
        <v>311044264</v>
      </c>
      <c r="AE12" s="4">
        <v>22075134</v>
      </c>
    </row>
    <row r="13" spans="1:35" ht="16.95" customHeight="1" x14ac:dyDescent="0.3">
      <c r="A13" s="10" t="s">
        <v>52</v>
      </c>
      <c r="B13" s="10" t="s">
        <v>53</v>
      </c>
      <c r="C13" s="51" t="s">
        <v>54</v>
      </c>
      <c r="D13" s="52"/>
      <c r="E13" s="52"/>
      <c r="F13" s="52"/>
      <c r="G13" s="52"/>
      <c r="H13" s="52"/>
      <c r="I13" s="53"/>
      <c r="M13" s="6">
        <f t="shared" si="0"/>
        <v>0</v>
      </c>
      <c r="N13" s="6">
        <f t="shared" si="0"/>
        <v>70987.5</v>
      </c>
      <c r="O13" s="6">
        <f t="shared" si="0"/>
        <v>70987.5</v>
      </c>
      <c r="S13" s="6">
        <f t="shared" si="1"/>
        <v>0</v>
      </c>
      <c r="T13" s="6">
        <f t="shared" si="1"/>
        <v>106481.25</v>
      </c>
      <c r="U13" s="6">
        <f t="shared" si="1"/>
        <v>106481.25</v>
      </c>
      <c r="Y13" s="9">
        <f t="shared" si="2"/>
        <v>0</v>
      </c>
      <c r="Z13" s="9">
        <f t="shared" si="2"/>
        <v>88734.38</v>
      </c>
      <c r="AA13" s="9">
        <f t="shared" si="2"/>
        <v>88734.38</v>
      </c>
      <c r="AD13" s="4">
        <v>311044265</v>
      </c>
      <c r="AE13" s="4">
        <v>22713676</v>
      </c>
    </row>
    <row r="14" spans="1:35" ht="18" x14ac:dyDescent="0.3">
      <c r="A14" s="10" t="s">
        <v>55</v>
      </c>
      <c r="B14" s="10" t="s">
        <v>56</v>
      </c>
      <c r="C14" s="11" t="s">
        <v>57</v>
      </c>
      <c r="D14" s="12"/>
      <c r="E14" s="12"/>
      <c r="F14" s="12" t="s">
        <v>58</v>
      </c>
      <c r="G14" s="13">
        <v>1</v>
      </c>
      <c r="H14" s="13"/>
      <c r="I14" s="13">
        <v>189.3</v>
      </c>
      <c r="J14" s="14">
        <v>0</v>
      </c>
      <c r="K14" s="15">
        <v>375</v>
      </c>
      <c r="L14" s="14">
        <f>J14+ROUND(K14, 2)</f>
        <v>375</v>
      </c>
      <c r="M14" s="14">
        <v>0</v>
      </c>
      <c r="N14" s="14">
        <f>ROUND(I14*ROUND(K14, 2), 2)</f>
        <v>70987.5</v>
      </c>
      <c r="O14" s="14">
        <f>M14+N14</f>
        <v>70987.5</v>
      </c>
      <c r="P14" s="14">
        <v>0</v>
      </c>
      <c r="Q14" s="16">
        <v>562.5</v>
      </c>
      <c r="R14" s="14">
        <f>P14+ROUND(Q14, 2)</f>
        <v>562.5</v>
      </c>
      <c r="S14" s="14">
        <v>0</v>
      </c>
      <c r="T14" s="14">
        <f>ROUND(I14*ROUND(Q14, 2), 2)</f>
        <v>106481.25</v>
      </c>
      <c r="U14" s="14">
        <f>S14+T14</f>
        <v>106481.25</v>
      </c>
      <c r="V14" s="9"/>
      <c r="W14" s="9">
        <f>ROUND(Q14 / 1.2, 2)</f>
        <v>468.75</v>
      </c>
      <c r="X14" s="9">
        <f>ROUND(R14 / 1.2, 2)</f>
        <v>468.75</v>
      </c>
      <c r="Y14" s="9"/>
      <c r="Z14" s="9">
        <f>ROUND(T14 / 1.2, 2)</f>
        <v>88734.38</v>
      </c>
      <c r="AA14" s="9">
        <f>Y14+Z14</f>
        <v>88734.38</v>
      </c>
      <c r="AD14" s="4">
        <v>311044267</v>
      </c>
      <c r="AE14" s="4">
        <v>22713683</v>
      </c>
      <c r="AG14" s="4" t="s">
        <v>59</v>
      </c>
      <c r="AH14" s="4" t="s">
        <v>60</v>
      </c>
      <c r="AI14" s="4" t="s">
        <v>61</v>
      </c>
    </row>
    <row r="15" spans="1:35" ht="16.95" customHeight="1" x14ac:dyDescent="0.3">
      <c r="A15" s="10" t="s">
        <v>62</v>
      </c>
      <c r="B15" s="10" t="s">
        <v>63</v>
      </c>
      <c r="C15" s="51" t="s">
        <v>64</v>
      </c>
      <c r="D15" s="52"/>
      <c r="E15" s="52"/>
      <c r="F15" s="52"/>
      <c r="G15" s="52"/>
      <c r="H15" s="52"/>
      <c r="I15" s="53"/>
      <c r="M15" s="6">
        <f>SUM(M16,M32)</f>
        <v>11097791.499999998</v>
      </c>
      <c r="N15" s="6">
        <f>SUM(N16,N32)</f>
        <v>13059652.23</v>
      </c>
      <c r="O15" s="6">
        <f>SUM(O16,O32)</f>
        <v>24157443.730000004</v>
      </c>
      <c r="S15" s="6">
        <f>SUM(S16,S32)</f>
        <v>12053396.630000001</v>
      </c>
      <c r="T15" s="6">
        <f>SUM(T16,T32)</f>
        <v>19615825.409999996</v>
      </c>
      <c r="U15" s="6">
        <f>SUM(U16,U32)</f>
        <v>31669222.040000003</v>
      </c>
      <c r="Y15" s="9">
        <f>SUM(Y16,Y32)</f>
        <v>10044497.200000001</v>
      </c>
      <c r="Z15" s="9">
        <f>SUM(Z16,Z32)</f>
        <v>16346521.210000001</v>
      </c>
      <c r="AA15" s="9">
        <f>SUM(AA16,AA32)</f>
        <v>26391018.41</v>
      </c>
      <c r="AD15" s="4">
        <v>311044268</v>
      </c>
      <c r="AE15" s="4">
        <v>22703682</v>
      </c>
    </row>
    <row r="16" spans="1:35" ht="16.95" customHeight="1" x14ac:dyDescent="0.3">
      <c r="A16" s="10" t="s">
        <v>65</v>
      </c>
      <c r="B16" s="10" t="s">
        <v>66</v>
      </c>
      <c r="C16" s="51" t="s">
        <v>67</v>
      </c>
      <c r="D16" s="52"/>
      <c r="E16" s="52"/>
      <c r="F16" s="52"/>
      <c r="G16" s="52"/>
      <c r="H16" s="52"/>
      <c r="I16" s="53"/>
      <c r="M16" s="6">
        <f t="shared" ref="M16:O17" si="3">SUM(M17)</f>
        <v>1204341.76</v>
      </c>
      <c r="N16" s="6">
        <f t="shared" si="3"/>
        <v>1322460.69</v>
      </c>
      <c r="O16" s="6">
        <f t="shared" si="3"/>
        <v>2526802.4500000002</v>
      </c>
      <c r="S16" s="6">
        <f t="shared" ref="S16:U17" si="4">SUM(S17)</f>
        <v>1204341.76</v>
      </c>
      <c r="T16" s="6">
        <f t="shared" si="4"/>
        <v>1983690.99</v>
      </c>
      <c r="U16" s="6">
        <f t="shared" si="4"/>
        <v>3188032.75</v>
      </c>
      <c r="Y16" s="9">
        <f t="shared" ref="Y16:AA17" si="5">SUM(Y17)</f>
        <v>1003618.13</v>
      </c>
      <c r="Z16" s="9">
        <f t="shared" si="5"/>
        <v>1653075.83</v>
      </c>
      <c r="AA16" s="9">
        <f t="shared" si="5"/>
        <v>2656693.96</v>
      </c>
      <c r="AD16" s="4">
        <v>311044269</v>
      </c>
      <c r="AE16" s="4">
        <v>22775400</v>
      </c>
    </row>
    <row r="17" spans="1:35" ht="16.95" customHeight="1" x14ac:dyDescent="0.3">
      <c r="A17" s="10" t="s">
        <v>68</v>
      </c>
      <c r="B17" s="10" t="s">
        <v>69</v>
      </c>
      <c r="C17" s="51" t="s">
        <v>70</v>
      </c>
      <c r="D17" s="52"/>
      <c r="E17" s="52"/>
      <c r="F17" s="52"/>
      <c r="G17" s="52"/>
      <c r="H17" s="52"/>
      <c r="I17" s="53"/>
      <c r="M17" s="6">
        <f t="shared" si="3"/>
        <v>1204341.76</v>
      </c>
      <c r="N17" s="6">
        <f t="shared" si="3"/>
        <v>1322460.69</v>
      </c>
      <c r="O17" s="6">
        <f t="shared" si="3"/>
        <v>2526802.4500000002</v>
      </c>
      <c r="S17" s="6">
        <f t="shared" si="4"/>
        <v>1204341.76</v>
      </c>
      <c r="T17" s="6">
        <f t="shared" si="4"/>
        <v>1983690.99</v>
      </c>
      <c r="U17" s="6">
        <f t="shared" si="4"/>
        <v>3188032.75</v>
      </c>
      <c r="Y17" s="9">
        <f t="shared" si="5"/>
        <v>1003618.13</v>
      </c>
      <c r="Z17" s="9">
        <f t="shared" si="5"/>
        <v>1653075.83</v>
      </c>
      <c r="AA17" s="9">
        <f t="shared" si="5"/>
        <v>2656693.96</v>
      </c>
      <c r="AD17" s="4">
        <v>311044270</v>
      </c>
      <c r="AE17" s="4">
        <v>23307761</v>
      </c>
    </row>
    <row r="18" spans="1:35" ht="16.95" customHeight="1" x14ac:dyDescent="0.3">
      <c r="A18" s="10" t="s">
        <v>71</v>
      </c>
      <c r="B18" s="10" t="s">
        <v>72</v>
      </c>
      <c r="C18" s="51" t="s">
        <v>73</v>
      </c>
      <c r="D18" s="52"/>
      <c r="E18" s="52"/>
      <c r="F18" s="52"/>
      <c r="G18" s="52"/>
      <c r="H18" s="52"/>
      <c r="I18" s="53"/>
      <c r="M18" s="6">
        <f>SUM(M19,M25)</f>
        <v>1204341.76</v>
      </c>
      <c r="N18" s="6">
        <f>SUM(N19,N25)</f>
        <v>1322460.69</v>
      </c>
      <c r="O18" s="6">
        <f>SUM(O19,O25)</f>
        <v>2526802.4500000002</v>
      </c>
      <c r="S18" s="6">
        <f>SUM(S19,S25)</f>
        <v>1204341.76</v>
      </c>
      <c r="T18" s="6">
        <f>SUM(T19,T25)</f>
        <v>1983690.99</v>
      </c>
      <c r="U18" s="6">
        <f>SUM(U19,U25)</f>
        <v>3188032.75</v>
      </c>
      <c r="Y18" s="9">
        <f>SUM(Y19,Y25)</f>
        <v>1003618.13</v>
      </c>
      <c r="Z18" s="9">
        <f>SUM(Z19,Z25)</f>
        <v>1653075.83</v>
      </c>
      <c r="AA18" s="9">
        <f>SUM(AA19,AA25)</f>
        <v>2656693.96</v>
      </c>
      <c r="AD18" s="4">
        <v>311044271</v>
      </c>
      <c r="AE18" s="4">
        <v>23307752</v>
      </c>
    </row>
    <row r="19" spans="1:35" ht="16.95" customHeight="1" x14ac:dyDescent="0.3">
      <c r="A19" s="10" t="s">
        <v>74</v>
      </c>
      <c r="B19" s="10" t="s">
        <v>75</v>
      </c>
      <c r="C19" s="51" t="s">
        <v>76</v>
      </c>
      <c r="D19" s="52"/>
      <c r="E19" s="52"/>
      <c r="F19" s="52"/>
      <c r="G19" s="52"/>
      <c r="H19" s="52"/>
      <c r="I19" s="53"/>
      <c r="M19" s="6">
        <f>SUM(M20)</f>
        <v>52583.040000000001</v>
      </c>
      <c r="N19" s="6">
        <f>SUM(N20)</f>
        <v>71823.89</v>
      </c>
      <c r="O19" s="6">
        <f>SUM(O20)</f>
        <v>124406.93</v>
      </c>
      <c r="S19" s="6">
        <f>SUM(S20)</f>
        <v>52583.040000000001</v>
      </c>
      <c r="T19" s="6">
        <f>SUM(T20)</f>
        <v>107735.79</v>
      </c>
      <c r="U19" s="6">
        <f>SUM(U20)</f>
        <v>160318.82999999999</v>
      </c>
      <c r="Y19" s="9">
        <f>SUM(Y20)</f>
        <v>43819.199999999997</v>
      </c>
      <c r="Z19" s="9">
        <f>SUM(Z20)</f>
        <v>89779.83</v>
      </c>
      <c r="AA19" s="9">
        <f>SUM(AA20)</f>
        <v>133599.03</v>
      </c>
      <c r="AD19" s="4">
        <v>311044272</v>
      </c>
      <c r="AE19" s="4">
        <v>23307757</v>
      </c>
    </row>
    <row r="20" spans="1:35" ht="54" x14ac:dyDescent="0.3">
      <c r="A20" s="10" t="s">
        <v>77</v>
      </c>
      <c r="B20" s="10" t="s">
        <v>78</v>
      </c>
      <c r="C20" s="11" t="s">
        <v>79</v>
      </c>
      <c r="D20" s="12" t="s">
        <v>80</v>
      </c>
      <c r="E20" s="12" t="s">
        <v>81</v>
      </c>
      <c r="F20" s="12" t="s">
        <v>82</v>
      </c>
      <c r="G20" s="13">
        <v>1</v>
      </c>
      <c r="H20" s="13"/>
      <c r="I20" s="13">
        <v>9.2200000000000006</v>
      </c>
      <c r="J20" s="14">
        <f>IFERROR(ROUND(SUM(M21,M22,M23,M24)/I20, 2),0)</f>
        <v>5703.15</v>
      </c>
      <c r="K20" s="15">
        <v>7790.01</v>
      </c>
      <c r="L20" s="14">
        <f>J20+ROUND(K20, 2)</f>
        <v>13493.16</v>
      </c>
      <c r="M20" s="14">
        <f>ROUND(J20*I20, 2)</f>
        <v>52583.040000000001</v>
      </c>
      <c r="N20" s="14">
        <f>ROUND(I20*ROUND(K20, 2), 2)</f>
        <v>71823.89</v>
      </c>
      <c r="O20" s="14">
        <f>M20+N20</f>
        <v>124406.93</v>
      </c>
      <c r="P20" s="14">
        <f>IFERROR(ROUND(SUM(S21,S22,S23,S24)/I20, 2),0)</f>
        <v>5703.15</v>
      </c>
      <c r="Q20" s="16">
        <v>11685.01</v>
      </c>
      <c r="R20" s="14">
        <f>P20+ROUND(Q20, 2)</f>
        <v>17388.16</v>
      </c>
      <c r="S20" s="14">
        <f>ROUND(P20*I20, 2)</f>
        <v>52583.040000000001</v>
      </c>
      <c r="T20" s="14">
        <f>ROUND(I20*ROUND(Q20, 2), 2)</f>
        <v>107735.79</v>
      </c>
      <c r="U20" s="14">
        <f>S20+T20</f>
        <v>160318.82999999999</v>
      </c>
      <c r="V20" s="9">
        <f>ROUND(P20 / 1.2, 2)</f>
        <v>4752.63</v>
      </c>
      <c r="W20" s="9">
        <f>ROUND(Q20 / 1.2, 2)</f>
        <v>9737.51</v>
      </c>
      <c r="X20" s="9">
        <f>ROUND(R20 / 1.2, 2)</f>
        <v>14490.13</v>
      </c>
      <c r="Y20" s="9">
        <f>ROUND(S20 / 1.2, 2)</f>
        <v>43819.199999999997</v>
      </c>
      <c r="Z20" s="9">
        <f>ROUND(T20 / 1.2, 2)</f>
        <v>89779.83</v>
      </c>
      <c r="AA20" s="9">
        <f>Y20+Z20</f>
        <v>133599.03</v>
      </c>
      <c r="AD20" s="4">
        <v>311044274</v>
      </c>
      <c r="AE20" s="4">
        <v>23307776</v>
      </c>
      <c r="AG20" s="4" t="s">
        <v>83</v>
      </c>
      <c r="AH20" s="4" t="s">
        <v>84</v>
      </c>
      <c r="AI20" s="4" t="s">
        <v>85</v>
      </c>
    </row>
    <row r="21" spans="1:35" ht="36" x14ac:dyDescent="0.3">
      <c r="A21" s="10" t="s">
        <v>86</v>
      </c>
      <c r="B21" s="10"/>
      <c r="C21" s="17" t="s">
        <v>87</v>
      </c>
      <c r="D21" s="12"/>
      <c r="E21" s="12"/>
      <c r="F21" s="18" t="s">
        <v>88</v>
      </c>
      <c r="G21" s="19">
        <v>1</v>
      </c>
      <c r="H21" s="19"/>
      <c r="I21" s="19">
        <v>9.2200000000000006</v>
      </c>
      <c r="J21" s="20">
        <v>178.68</v>
      </c>
      <c r="M21" s="21">
        <f>ROUND(ROUND(J21, 2)*I21, 2)</f>
        <v>1647.43</v>
      </c>
      <c r="P21" s="22">
        <v>178.68</v>
      </c>
      <c r="S21" s="21">
        <f>ROUND(ROUND(P21, 2)*I21, 2)</f>
        <v>1647.43</v>
      </c>
      <c r="V21" s="9">
        <f>ROUND(ROUND(P21, 2)/1.2, 2)</f>
        <v>148.9</v>
      </c>
      <c r="Y21" s="9">
        <f>ROUND(S21 / 1.2, 2)</f>
        <v>1372.86</v>
      </c>
      <c r="AD21" s="4" t="s">
        <v>89</v>
      </c>
      <c r="AE21" s="4" t="s">
        <v>90</v>
      </c>
      <c r="AF21" s="4" t="s">
        <v>91</v>
      </c>
    </row>
    <row r="22" spans="1:35" ht="36" x14ac:dyDescent="0.3">
      <c r="A22" s="10" t="s">
        <v>92</v>
      </c>
      <c r="B22" s="10"/>
      <c r="C22" s="17" t="s">
        <v>93</v>
      </c>
      <c r="D22" s="12"/>
      <c r="E22" s="12"/>
      <c r="F22" s="18" t="s">
        <v>88</v>
      </c>
      <c r="G22" s="19">
        <v>1</v>
      </c>
      <c r="H22" s="19"/>
      <c r="I22" s="19">
        <v>9.2200000000000006</v>
      </c>
      <c r="J22" s="20">
        <v>332.24</v>
      </c>
      <c r="M22" s="21">
        <f>ROUND(ROUND(J22, 2)*I22, 2)</f>
        <v>3063.25</v>
      </c>
      <c r="P22" s="22">
        <v>332.24</v>
      </c>
      <c r="S22" s="21">
        <f>ROUND(ROUND(P22, 2)*I22, 2)</f>
        <v>3063.25</v>
      </c>
      <c r="V22" s="9">
        <f>ROUND(ROUND(P22, 2)/1.2, 2)</f>
        <v>276.87</v>
      </c>
      <c r="Y22" s="9">
        <f>ROUND(S22 / 1.2, 2)</f>
        <v>2552.71</v>
      </c>
      <c r="AD22" s="4" t="s">
        <v>94</v>
      </c>
      <c r="AE22" s="4" t="s">
        <v>95</v>
      </c>
      <c r="AF22" s="4" t="s">
        <v>96</v>
      </c>
    </row>
    <row r="23" spans="1:35" ht="18" x14ac:dyDescent="0.3">
      <c r="A23" s="10" t="s">
        <v>97</v>
      </c>
      <c r="B23" s="10"/>
      <c r="C23" s="17" t="s">
        <v>98</v>
      </c>
      <c r="D23" s="12"/>
      <c r="E23" s="12"/>
      <c r="F23" s="18" t="s">
        <v>99</v>
      </c>
      <c r="G23" s="19">
        <v>25</v>
      </c>
      <c r="H23" s="19"/>
      <c r="I23" s="19">
        <v>230.5</v>
      </c>
      <c r="J23" s="20">
        <v>6.8</v>
      </c>
      <c r="M23" s="21">
        <f>ROUND(ROUND(J23, 2)*I23, 2)</f>
        <v>1567.4</v>
      </c>
      <c r="P23" s="22">
        <v>6.8</v>
      </c>
      <c r="S23" s="21">
        <f>ROUND(ROUND(P23, 2)*I23, 2)</f>
        <v>1567.4</v>
      </c>
      <c r="V23" s="9">
        <f>ROUND(ROUND(P23, 2)/1.2, 2)</f>
        <v>5.67</v>
      </c>
      <c r="Y23" s="9">
        <f>ROUND(S23 / 1.2, 2)</f>
        <v>1306.17</v>
      </c>
      <c r="AD23" s="4" t="s">
        <v>100</v>
      </c>
      <c r="AE23" s="4" t="s">
        <v>101</v>
      </c>
      <c r="AF23" s="4" t="s">
        <v>102</v>
      </c>
    </row>
    <row r="24" spans="1:35" ht="18" x14ac:dyDescent="0.3">
      <c r="A24" s="10" t="s">
        <v>103</v>
      </c>
      <c r="B24" s="10"/>
      <c r="C24" s="23" t="s">
        <v>104</v>
      </c>
      <c r="D24" s="12"/>
      <c r="E24" s="12"/>
      <c r="F24" s="18" t="s">
        <v>82</v>
      </c>
      <c r="G24" s="19">
        <v>1.05</v>
      </c>
      <c r="H24" s="24"/>
      <c r="I24" s="24">
        <v>9.6809999999999992</v>
      </c>
      <c r="J24" s="20">
        <v>4783.08</v>
      </c>
      <c r="M24" s="21">
        <f>ROUND(ROUND(J24, 2)*I24, 2)</f>
        <v>46305</v>
      </c>
      <c r="P24" s="22">
        <v>4783.08</v>
      </c>
      <c r="S24" s="21">
        <f>ROUND(ROUND(P24, 2)*I24, 2)</f>
        <v>46305</v>
      </c>
      <c r="V24" s="9">
        <f>ROUND(ROUND(P24, 2)/1.2, 2)</f>
        <v>3985.9</v>
      </c>
      <c r="Y24" s="9">
        <f>ROUND(S24 / 1.2, 2)</f>
        <v>38587.5</v>
      </c>
      <c r="AD24" s="4" t="s">
        <v>105</v>
      </c>
      <c r="AE24" s="4" t="s">
        <v>106</v>
      </c>
      <c r="AF24" s="4" t="s">
        <v>107</v>
      </c>
    </row>
    <row r="25" spans="1:35" ht="16.95" customHeight="1" x14ac:dyDescent="0.3">
      <c r="A25" s="10" t="s">
        <v>108</v>
      </c>
      <c r="B25" s="10" t="s">
        <v>109</v>
      </c>
      <c r="C25" s="51" t="s">
        <v>110</v>
      </c>
      <c r="D25" s="52"/>
      <c r="E25" s="52"/>
      <c r="F25" s="52"/>
      <c r="G25" s="52"/>
      <c r="H25" s="52"/>
      <c r="I25" s="53"/>
      <c r="M25" s="6">
        <f>SUM(M26)</f>
        <v>1151758.72</v>
      </c>
      <c r="N25" s="6">
        <f>SUM(N26)</f>
        <v>1250636.8</v>
      </c>
      <c r="O25" s="6">
        <f>SUM(O26)</f>
        <v>2402395.52</v>
      </c>
      <c r="S25" s="6">
        <f>SUM(S26)</f>
        <v>1151758.72</v>
      </c>
      <c r="T25" s="6">
        <f>SUM(T26)</f>
        <v>1875955.2</v>
      </c>
      <c r="U25" s="6">
        <f>SUM(U26)</f>
        <v>3027713.92</v>
      </c>
      <c r="Y25" s="9">
        <f>SUM(Y26)</f>
        <v>959798.93</v>
      </c>
      <c r="Z25" s="9">
        <f>SUM(Z26)</f>
        <v>1563296</v>
      </c>
      <c r="AA25" s="9">
        <f>SUM(AA26)</f>
        <v>2523094.9300000002</v>
      </c>
      <c r="AD25" s="4">
        <v>311044275</v>
      </c>
      <c r="AE25" s="4">
        <v>23307759</v>
      </c>
    </row>
    <row r="26" spans="1:35" ht="72" x14ac:dyDescent="0.3">
      <c r="A26" s="10" t="s">
        <v>111</v>
      </c>
      <c r="B26" s="10" t="s">
        <v>112</v>
      </c>
      <c r="C26" s="11" t="s">
        <v>113</v>
      </c>
      <c r="D26" s="12" t="s">
        <v>80</v>
      </c>
      <c r="E26" s="12" t="s">
        <v>114</v>
      </c>
      <c r="F26" s="12" t="s">
        <v>58</v>
      </c>
      <c r="G26" s="13">
        <v>1</v>
      </c>
      <c r="H26" s="13"/>
      <c r="I26" s="13">
        <v>627.20000000000005</v>
      </c>
      <c r="J26" s="14">
        <f>IFERROR(ROUND(SUM(M27,M28,M29,M30,M31)/I26, 2),0)</f>
        <v>1836.35</v>
      </c>
      <c r="K26" s="15">
        <v>1994</v>
      </c>
      <c r="L26" s="14">
        <f>J26+ROUND(K26, 2)</f>
        <v>3830.35</v>
      </c>
      <c r="M26" s="14">
        <f>ROUND(J26*I26, 2)</f>
        <v>1151758.72</v>
      </c>
      <c r="N26" s="14">
        <f>ROUND(I26*ROUND(K26, 2), 2)</f>
        <v>1250636.8</v>
      </c>
      <c r="O26" s="14">
        <f>M26+N26</f>
        <v>2402395.52</v>
      </c>
      <c r="P26" s="14">
        <f>IFERROR(ROUND(SUM(S27,S28,S29,S30,S31)/I26, 2),0)</f>
        <v>1836.35</v>
      </c>
      <c r="Q26" s="16">
        <v>2991</v>
      </c>
      <c r="R26" s="14">
        <f>P26+ROUND(Q26, 2)</f>
        <v>4827.3500000000004</v>
      </c>
      <c r="S26" s="14">
        <f>ROUND(P26*I26, 2)</f>
        <v>1151758.72</v>
      </c>
      <c r="T26" s="14">
        <f>ROUND(I26*ROUND(Q26, 2), 2)</f>
        <v>1875955.2</v>
      </c>
      <c r="U26" s="14">
        <f>S26+T26</f>
        <v>3027713.92</v>
      </c>
      <c r="V26" s="9">
        <f>ROUND(P26 / 1.2, 2)</f>
        <v>1530.29</v>
      </c>
      <c r="W26" s="9">
        <f>ROUND(Q26 / 1.2, 2)</f>
        <v>2492.5</v>
      </c>
      <c r="X26" s="9">
        <f>ROUND(R26 / 1.2, 2)</f>
        <v>4022.79</v>
      </c>
      <c r="Y26" s="9">
        <f>ROUND(S26 / 1.2, 2)</f>
        <v>959798.93</v>
      </c>
      <c r="Z26" s="9">
        <f>ROUND(T26 / 1.2, 2)</f>
        <v>1563296</v>
      </c>
      <c r="AA26" s="9">
        <f>Y26+Z26</f>
        <v>2523094.9300000002</v>
      </c>
      <c r="AD26" s="4">
        <v>311044277</v>
      </c>
      <c r="AE26" s="4">
        <v>23307775</v>
      </c>
      <c r="AG26" s="4" t="s">
        <v>115</v>
      </c>
      <c r="AH26" s="4" t="s">
        <v>116</v>
      </c>
      <c r="AI26" s="4" t="s">
        <v>85</v>
      </c>
    </row>
    <row r="27" spans="1:35" ht="18" x14ac:dyDescent="0.3">
      <c r="A27" s="10" t="s">
        <v>117</v>
      </c>
      <c r="B27" s="10"/>
      <c r="C27" s="17" t="s">
        <v>118</v>
      </c>
      <c r="D27" s="12"/>
      <c r="E27" s="12"/>
      <c r="F27" s="18" t="s">
        <v>99</v>
      </c>
      <c r="G27" s="19">
        <v>44.85</v>
      </c>
      <c r="H27" s="19"/>
      <c r="I27" s="19">
        <v>28129.919999999998</v>
      </c>
      <c r="J27" s="20">
        <v>6.38</v>
      </c>
      <c r="M27" s="21">
        <f>ROUND(ROUND(J27, 2)*I27, 2)</f>
        <v>179468.89</v>
      </c>
      <c r="P27" s="22">
        <v>6.38</v>
      </c>
      <c r="S27" s="21">
        <f>ROUND(ROUND(P27, 2)*I27, 2)</f>
        <v>179468.89</v>
      </c>
      <c r="V27" s="9">
        <f>ROUND(ROUND(P27, 2)/1.2, 2)</f>
        <v>5.32</v>
      </c>
      <c r="Y27" s="9">
        <f>ROUND(S27 / 1.2, 2)</f>
        <v>149557.41</v>
      </c>
      <c r="AD27" s="4" t="s">
        <v>119</v>
      </c>
      <c r="AE27" s="4" t="s">
        <v>120</v>
      </c>
      <c r="AF27" s="4" t="s">
        <v>121</v>
      </c>
    </row>
    <row r="28" spans="1:35" ht="36" x14ac:dyDescent="0.3">
      <c r="A28" s="10" t="s">
        <v>122</v>
      </c>
      <c r="B28" s="10"/>
      <c r="C28" s="17" t="s">
        <v>123</v>
      </c>
      <c r="D28" s="12"/>
      <c r="E28" s="12"/>
      <c r="F28" s="18" t="s">
        <v>88</v>
      </c>
      <c r="G28" s="19">
        <v>1</v>
      </c>
      <c r="H28" s="19"/>
      <c r="I28" s="19">
        <v>627.20000000000005</v>
      </c>
      <c r="J28" s="20">
        <v>65.67</v>
      </c>
      <c r="M28" s="21">
        <f>ROUND(ROUND(J28, 2)*I28, 2)</f>
        <v>41188.22</v>
      </c>
      <c r="P28" s="22">
        <v>65.67</v>
      </c>
      <c r="S28" s="21">
        <f>ROUND(ROUND(P28, 2)*I28, 2)</f>
        <v>41188.22</v>
      </c>
      <c r="V28" s="9">
        <f>ROUND(ROUND(P28, 2)/1.2, 2)</f>
        <v>54.73</v>
      </c>
      <c r="Y28" s="9">
        <f>ROUND(S28 / 1.2, 2)</f>
        <v>34323.519999999997</v>
      </c>
      <c r="AD28" s="4" t="s">
        <v>124</v>
      </c>
      <c r="AE28" s="4" t="s">
        <v>125</v>
      </c>
      <c r="AF28" s="4" t="s">
        <v>126</v>
      </c>
    </row>
    <row r="29" spans="1:35" ht="36" x14ac:dyDescent="0.3">
      <c r="A29" s="10" t="s">
        <v>127</v>
      </c>
      <c r="B29" s="10"/>
      <c r="C29" s="17" t="s">
        <v>128</v>
      </c>
      <c r="D29" s="12"/>
      <c r="E29" s="12"/>
      <c r="F29" s="18" t="s">
        <v>88</v>
      </c>
      <c r="G29" s="19">
        <v>1</v>
      </c>
      <c r="H29" s="19"/>
      <c r="I29" s="19">
        <v>627.20000000000005</v>
      </c>
      <c r="J29" s="20">
        <v>118.99</v>
      </c>
      <c r="M29" s="21">
        <f>ROUND(ROUND(J29, 2)*I29, 2)</f>
        <v>74630.53</v>
      </c>
      <c r="P29" s="22">
        <v>118.99</v>
      </c>
      <c r="S29" s="21">
        <f>ROUND(ROUND(P29, 2)*I29, 2)</f>
        <v>74630.53</v>
      </c>
      <c r="V29" s="9">
        <f>ROUND(ROUND(P29, 2)/1.2, 2)</f>
        <v>99.16</v>
      </c>
      <c r="Y29" s="9">
        <f>ROUND(S29 / 1.2, 2)</f>
        <v>62192.11</v>
      </c>
      <c r="AD29" s="4" t="s">
        <v>129</v>
      </c>
      <c r="AE29" s="4" t="s">
        <v>130</v>
      </c>
      <c r="AF29" s="4" t="s">
        <v>131</v>
      </c>
    </row>
    <row r="30" spans="1:35" ht="18" x14ac:dyDescent="0.3">
      <c r="A30" s="10" t="s">
        <v>132</v>
      </c>
      <c r="B30" s="10"/>
      <c r="C30" s="17" t="s">
        <v>133</v>
      </c>
      <c r="D30" s="12"/>
      <c r="E30" s="12"/>
      <c r="F30" s="18" t="s">
        <v>58</v>
      </c>
      <c r="G30" s="19">
        <v>0.504</v>
      </c>
      <c r="H30" s="19"/>
      <c r="I30" s="19">
        <v>316.10899999999998</v>
      </c>
      <c r="J30" s="20">
        <v>269.41000000000003</v>
      </c>
      <c r="M30" s="21">
        <f>ROUND(ROUND(J30, 2)*I30, 2)</f>
        <v>85162.93</v>
      </c>
      <c r="P30" s="22">
        <v>269.41000000000003</v>
      </c>
      <c r="S30" s="21">
        <f>ROUND(ROUND(P30, 2)*I30, 2)</f>
        <v>85162.93</v>
      </c>
      <c r="V30" s="9">
        <f>ROUND(ROUND(P30, 2)/1.2, 2)</f>
        <v>224.51</v>
      </c>
      <c r="Y30" s="9">
        <f>ROUND(S30 / 1.2, 2)</f>
        <v>70969.11</v>
      </c>
      <c r="AD30" s="4" t="s">
        <v>134</v>
      </c>
      <c r="AE30" s="4" t="s">
        <v>135</v>
      </c>
      <c r="AF30" s="4" t="s">
        <v>136</v>
      </c>
    </row>
    <row r="31" spans="1:35" ht="18" x14ac:dyDescent="0.3">
      <c r="A31" s="10" t="s">
        <v>137</v>
      </c>
      <c r="B31" s="10"/>
      <c r="C31" s="17" t="s">
        <v>138</v>
      </c>
      <c r="D31" s="12"/>
      <c r="E31" s="12"/>
      <c r="F31" s="18" t="s">
        <v>139</v>
      </c>
      <c r="G31" s="19">
        <v>50.4</v>
      </c>
      <c r="H31" s="19"/>
      <c r="I31" s="19">
        <v>31610.880000000001</v>
      </c>
      <c r="J31" s="20">
        <v>24.4</v>
      </c>
      <c r="M31" s="21">
        <f>ROUND(ROUND(J31, 2)*I31, 2)</f>
        <v>771305.47</v>
      </c>
      <c r="P31" s="22">
        <v>24.4</v>
      </c>
      <c r="S31" s="21">
        <f>ROUND(ROUND(P31, 2)*I31, 2)</f>
        <v>771305.47</v>
      </c>
      <c r="V31" s="9">
        <f>ROUND(ROUND(P31, 2)/1.2, 2)</f>
        <v>20.329999999999998</v>
      </c>
      <c r="Y31" s="9">
        <f>ROUND(S31 / 1.2, 2)</f>
        <v>642754.56000000006</v>
      </c>
      <c r="AD31" s="4" t="s">
        <v>140</v>
      </c>
      <c r="AE31" s="4" t="s">
        <v>141</v>
      </c>
      <c r="AF31" s="4" t="s">
        <v>142</v>
      </c>
    </row>
    <row r="32" spans="1:35" ht="16.95" customHeight="1" x14ac:dyDescent="0.3">
      <c r="A32" s="10" t="s">
        <v>143</v>
      </c>
      <c r="B32" s="10" t="s">
        <v>144</v>
      </c>
      <c r="C32" s="51" t="s">
        <v>145</v>
      </c>
      <c r="D32" s="52"/>
      <c r="E32" s="52"/>
      <c r="F32" s="52"/>
      <c r="G32" s="52"/>
      <c r="H32" s="52"/>
      <c r="I32" s="53"/>
      <c r="M32" s="6">
        <f>SUM(M33,M101)</f>
        <v>9893449.7399999984</v>
      </c>
      <c r="N32" s="6">
        <f>SUM(N33,N101)</f>
        <v>11737191.540000001</v>
      </c>
      <c r="O32" s="6">
        <f>SUM(O33,O101)</f>
        <v>21630641.280000005</v>
      </c>
      <c r="S32" s="6">
        <f>SUM(S33,S101)</f>
        <v>10849054.870000001</v>
      </c>
      <c r="T32" s="6">
        <f>SUM(T33,T101)</f>
        <v>17632134.419999998</v>
      </c>
      <c r="U32" s="6">
        <f>SUM(U33,U101)</f>
        <v>28481189.290000003</v>
      </c>
      <c r="Y32" s="9">
        <f>SUM(Y33,Y101)</f>
        <v>9040879.0700000003</v>
      </c>
      <c r="Z32" s="9">
        <f>SUM(Z33,Z101)</f>
        <v>14693445.380000001</v>
      </c>
      <c r="AA32" s="9">
        <f>SUM(AA33,AA101)</f>
        <v>23734324.449999999</v>
      </c>
      <c r="AD32" s="4">
        <v>311044278</v>
      </c>
      <c r="AE32" s="4">
        <v>22703680</v>
      </c>
    </row>
    <row r="33" spans="1:35" ht="16.95" customHeight="1" x14ac:dyDescent="0.3">
      <c r="A33" s="10" t="s">
        <v>146</v>
      </c>
      <c r="B33" s="10" t="s">
        <v>147</v>
      </c>
      <c r="C33" s="51" t="s">
        <v>148</v>
      </c>
      <c r="D33" s="52"/>
      <c r="E33" s="52"/>
      <c r="F33" s="52"/>
      <c r="G33" s="52"/>
      <c r="H33" s="52"/>
      <c r="I33" s="53"/>
      <c r="M33" s="6">
        <f>SUM(M34,M43,M74,M99)</f>
        <v>8634298.7799999993</v>
      </c>
      <c r="N33" s="6">
        <f>SUM(N34,N43,N74,N99)</f>
        <v>11167959.74</v>
      </c>
      <c r="O33" s="6">
        <f>SUM(O34,O43,O74,O99)</f>
        <v>19802258.520000003</v>
      </c>
      <c r="S33" s="6">
        <f>SUM(S34,S43,S74,S99)</f>
        <v>9589903.9100000001</v>
      </c>
      <c r="T33" s="6">
        <f>SUM(T34,T43,T74,T99)</f>
        <v>16778286.719999999</v>
      </c>
      <c r="U33" s="6">
        <f>SUM(U34,U43,U74,U99)</f>
        <v>26368190.630000003</v>
      </c>
      <c r="Y33" s="9">
        <f>SUM(Y34,Y43,Y74,Y99)</f>
        <v>7991586.5999999996</v>
      </c>
      <c r="Z33" s="9">
        <f>SUM(Z34,Z43,Z74,Z99)</f>
        <v>13981905.630000001</v>
      </c>
      <c r="AA33" s="9">
        <f>SUM(AA34,AA43,AA74,AA99)</f>
        <v>21973492.23</v>
      </c>
      <c r="AD33" s="4">
        <v>311044279</v>
      </c>
      <c r="AE33" s="4">
        <v>22703674</v>
      </c>
    </row>
    <row r="34" spans="1:35" ht="16.95" customHeight="1" x14ac:dyDescent="0.3">
      <c r="A34" s="10" t="s">
        <v>149</v>
      </c>
      <c r="B34" s="10" t="s">
        <v>150</v>
      </c>
      <c r="C34" s="51" t="s">
        <v>151</v>
      </c>
      <c r="D34" s="52"/>
      <c r="E34" s="52"/>
      <c r="F34" s="52"/>
      <c r="G34" s="52"/>
      <c r="H34" s="52"/>
      <c r="I34" s="53"/>
      <c r="M34" s="6">
        <f>SUM(M35,M40)</f>
        <v>1545864.76</v>
      </c>
      <c r="N34" s="6">
        <f>SUM(N35,N40)</f>
        <v>2078829.51</v>
      </c>
      <c r="O34" s="6">
        <f>SUM(O35,O40)</f>
        <v>3624694.27</v>
      </c>
      <c r="S34" s="6">
        <f>SUM(S35,S40)</f>
        <v>1545864.76</v>
      </c>
      <c r="T34" s="6">
        <f>SUM(T35,T40)</f>
        <v>3118242.96</v>
      </c>
      <c r="U34" s="6">
        <f>SUM(U35,U40)</f>
        <v>4664107.7200000007</v>
      </c>
      <c r="Y34" s="9">
        <f>SUM(Y35,Y40)</f>
        <v>1288220.6300000001</v>
      </c>
      <c r="Z34" s="9">
        <f>SUM(Z35,Z40)</f>
        <v>2598535.7999999998</v>
      </c>
      <c r="AA34" s="9">
        <f>SUM(AA35,AA40)</f>
        <v>3886756.4299999997</v>
      </c>
      <c r="AD34" s="4">
        <v>311044280</v>
      </c>
      <c r="AE34" s="4">
        <v>22708547</v>
      </c>
    </row>
    <row r="35" spans="1:35" ht="54" x14ac:dyDescent="0.3">
      <c r="A35" s="10" t="s">
        <v>152</v>
      </c>
      <c r="B35" s="10" t="s">
        <v>153</v>
      </c>
      <c r="C35" s="11" t="s">
        <v>79</v>
      </c>
      <c r="D35" s="12" t="s">
        <v>80</v>
      </c>
      <c r="E35" s="12" t="s">
        <v>154</v>
      </c>
      <c r="F35" s="12" t="s">
        <v>82</v>
      </c>
      <c r="G35" s="13">
        <v>1</v>
      </c>
      <c r="H35" s="13"/>
      <c r="I35" s="13">
        <v>261.11</v>
      </c>
      <c r="J35" s="14">
        <f>IFERROR(ROUND(SUM(M36,M37,M38,M39)/I35, 2),0)</f>
        <v>5703.16</v>
      </c>
      <c r="K35" s="15">
        <v>7790.01</v>
      </c>
      <c r="L35" s="14">
        <f>J35+ROUND(K35, 2)</f>
        <v>13493.17</v>
      </c>
      <c r="M35" s="14">
        <f>ROUND(J35*I35, 2)</f>
        <v>1489152.11</v>
      </c>
      <c r="N35" s="14">
        <f>ROUND(I35*ROUND(K35, 2), 2)</f>
        <v>2034049.51</v>
      </c>
      <c r="O35" s="14">
        <f>M35+N35</f>
        <v>3523201.62</v>
      </c>
      <c r="P35" s="14">
        <f>IFERROR(ROUND(SUM(S36,S37,S38,S39)/I35, 2),0)</f>
        <v>5703.16</v>
      </c>
      <c r="Q35" s="16">
        <v>11685.01</v>
      </c>
      <c r="R35" s="14">
        <f>P35+ROUND(Q35, 2)</f>
        <v>17388.169999999998</v>
      </c>
      <c r="S35" s="14">
        <f>ROUND(P35*I35, 2)</f>
        <v>1489152.11</v>
      </c>
      <c r="T35" s="14">
        <f>ROUND(I35*ROUND(Q35, 2), 2)</f>
        <v>3051072.96</v>
      </c>
      <c r="U35" s="14">
        <f>S35+T35</f>
        <v>4540225.07</v>
      </c>
      <c r="V35" s="9">
        <f>ROUND(P35 / 1.2, 2)</f>
        <v>4752.63</v>
      </c>
      <c r="W35" s="9">
        <f>ROUND(Q35 / 1.2, 2)</f>
        <v>9737.51</v>
      </c>
      <c r="X35" s="9">
        <f>ROUND(R35 / 1.2, 2)</f>
        <v>14490.14</v>
      </c>
      <c r="Y35" s="9">
        <f>ROUND(S35 / 1.2, 2)</f>
        <v>1240960.0900000001</v>
      </c>
      <c r="Z35" s="9">
        <f>ROUND(T35 / 1.2, 2)</f>
        <v>2542560.7999999998</v>
      </c>
      <c r="AA35" s="9">
        <f>Y35+Z35</f>
        <v>3783520.8899999997</v>
      </c>
      <c r="AD35" s="4">
        <v>311044282</v>
      </c>
      <c r="AE35" s="4">
        <v>22708549</v>
      </c>
      <c r="AG35" s="4" t="s">
        <v>83</v>
      </c>
      <c r="AH35" s="4" t="s">
        <v>155</v>
      </c>
      <c r="AI35" s="4" t="s">
        <v>156</v>
      </c>
    </row>
    <row r="36" spans="1:35" ht="36" x14ac:dyDescent="0.3">
      <c r="A36" s="10" t="s">
        <v>157</v>
      </c>
      <c r="B36" s="10"/>
      <c r="C36" s="17" t="s">
        <v>87</v>
      </c>
      <c r="D36" s="12"/>
      <c r="E36" s="12"/>
      <c r="F36" s="18" t="s">
        <v>88</v>
      </c>
      <c r="G36" s="19">
        <v>1</v>
      </c>
      <c r="H36" s="19"/>
      <c r="I36" s="19">
        <v>261.11</v>
      </c>
      <c r="J36" s="20">
        <v>178.68</v>
      </c>
      <c r="M36" s="21">
        <f>ROUND(ROUND(J36, 2)*I36, 2)</f>
        <v>46655.13</v>
      </c>
      <c r="P36" s="22">
        <v>178.68</v>
      </c>
      <c r="S36" s="21">
        <f>ROUND(ROUND(P36, 2)*I36, 2)</f>
        <v>46655.13</v>
      </c>
      <c r="V36" s="9">
        <f>ROUND(ROUND(P36, 2)/1.2, 2)</f>
        <v>148.9</v>
      </c>
      <c r="Y36" s="9">
        <f t="shared" ref="Y36:Y42" si="6">ROUND(S36 / 1.2, 2)</f>
        <v>38879.279999999999</v>
      </c>
      <c r="AD36" s="4" t="s">
        <v>158</v>
      </c>
      <c r="AE36" s="4" t="s">
        <v>159</v>
      </c>
      <c r="AF36" s="4" t="s">
        <v>91</v>
      </c>
    </row>
    <row r="37" spans="1:35" ht="36" x14ac:dyDescent="0.3">
      <c r="A37" s="10" t="s">
        <v>160</v>
      </c>
      <c r="B37" s="10"/>
      <c r="C37" s="17" t="s">
        <v>93</v>
      </c>
      <c r="D37" s="12"/>
      <c r="E37" s="12"/>
      <c r="F37" s="18" t="s">
        <v>88</v>
      </c>
      <c r="G37" s="19">
        <v>1</v>
      </c>
      <c r="H37" s="19"/>
      <c r="I37" s="19">
        <v>261.11</v>
      </c>
      <c r="J37" s="20">
        <v>332.24</v>
      </c>
      <c r="M37" s="21">
        <f>ROUND(ROUND(J37, 2)*I37, 2)</f>
        <v>86751.19</v>
      </c>
      <c r="P37" s="22">
        <v>332.24</v>
      </c>
      <c r="S37" s="21">
        <f>ROUND(ROUND(P37, 2)*I37, 2)</f>
        <v>86751.19</v>
      </c>
      <c r="V37" s="9">
        <f>ROUND(ROUND(P37, 2)/1.2, 2)</f>
        <v>276.87</v>
      </c>
      <c r="Y37" s="9">
        <f t="shared" si="6"/>
        <v>72292.66</v>
      </c>
      <c r="AD37" s="4" t="s">
        <v>161</v>
      </c>
      <c r="AE37" s="4" t="s">
        <v>162</v>
      </c>
      <c r="AF37" s="4" t="s">
        <v>96</v>
      </c>
    </row>
    <row r="38" spans="1:35" ht="18" x14ac:dyDescent="0.3">
      <c r="A38" s="10" t="s">
        <v>163</v>
      </c>
      <c r="B38" s="10"/>
      <c r="C38" s="17" t="s">
        <v>98</v>
      </c>
      <c r="D38" s="12"/>
      <c r="E38" s="12"/>
      <c r="F38" s="18" t="s">
        <v>99</v>
      </c>
      <c r="G38" s="19">
        <v>25</v>
      </c>
      <c r="H38" s="19"/>
      <c r="I38" s="19">
        <v>6527.75</v>
      </c>
      <c r="J38" s="20">
        <v>6.8</v>
      </c>
      <c r="M38" s="21">
        <f>ROUND(ROUND(J38, 2)*I38, 2)</f>
        <v>44388.7</v>
      </c>
      <c r="P38" s="22">
        <v>6.8</v>
      </c>
      <c r="S38" s="21">
        <f>ROUND(ROUND(P38, 2)*I38, 2)</f>
        <v>44388.7</v>
      </c>
      <c r="V38" s="9">
        <f>ROUND(ROUND(P38, 2)/1.2, 2)</f>
        <v>5.67</v>
      </c>
      <c r="Y38" s="9">
        <f t="shared" si="6"/>
        <v>36990.58</v>
      </c>
      <c r="AD38" s="4" t="s">
        <v>164</v>
      </c>
      <c r="AE38" s="4" t="s">
        <v>165</v>
      </c>
      <c r="AF38" s="4" t="s">
        <v>102</v>
      </c>
    </row>
    <row r="39" spans="1:35" ht="18" x14ac:dyDescent="0.3">
      <c r="A39" s="10" t="s">
        <v>166</v>
      </c>
      <c r="B39" s="10"/>
      <c r="C39" s="23" t="s">
        <v>104</v>
      </c>
      <c r="D39" s="12"/>
      <c r="E39" s="12"/>
      <c r="F39" s="18" t="s">
        <v>82</v>
      </c>
      <c r="G39" s="19">
        <v>1.05</v>
      </c>
      <c r="H39" s="24"/>
      <c r="I39" s="24">
        <v>274.166</v>
      </c>
      <c r="J39" s="20">
        <v>4783.08</v>
      </c>
      <c r="M39" s="21">
        <f>ROUND(ROUND(J39, 2)*I39, 2)</f>
        <v>1311357.9099999999</v>
      </c>
      <c r="P39" s="22">
        <v>4783.08</v>
      </c>
      <c r="S39" s="21">
        <f>ROUND(ROUND(P39, 2)*I39, 2)</f>
        <v>1311357.9099999999</v>
      </c>
      <c r="V39" s="9">
        <f>ROUND(ROUND(P39, 2)/1.2, 2)</f>
        <v>3985.9</v>
      </c>
      <c r="Y39" s="9">
        <f t="shared" si="6"/>
        <v>1092798.26</v>
      </c>
      <c r="AD39" s="4" t="s">
        <v>167</v>
      </c>
      <c r="AE39" s="4" t="s">
        <v>168</v>
      </c>
      <c r="AF39" s="4" t="s">
        <v>107</v>
      </c>
    </row>
    <row r="40" spans="1:35" ht="36" x14ac:dyDescent="0.3">
      <c r="A40" s="10" t="s">
        <v>169</v>
      </c>
      <c r="B40" s="10" t="s">
        <v>170</v>
      </c>
      <c r="C40" s="11" t="s">
        <v>171</v>
      </c>
      <c r="D40" s="12"/>
      <c r="E40" s="12"/>
      <c r="F40" s="12" t="s">
        <v>82</v>
      </c>
      <c r="G40" s="13">
        <v>1</v>
      </c>
      <c r="H40" s="13"/>
      <c r="I40" s="13">
        <v>5</v>
      </c>
      <c r="J40" s="14">
        <f>IFERROR(ROUND(SUM(M41,M42)/I40, 2),0)</f>
        <v>11342.53</v>
      </c>
      <c r="K40" s="15">
        <v>8956</v>
      </c>
      <c r="L40" s="14">
        <f>J40+ROUND(K40, 2)</f>
        <v>20298.53</v>
      </c>
      <c r="M40" s="14">
        <f>ROUND(J40*I40, 2)</f>
        <v>56712.65</v>
      </c>
      <c r="N40" s="14">
        <f>ROUND(I40*ROUND(K40, 2), 2)</f>
        <v>44780</v>
      </c>
      <c r="O40" s="14">
        <f>M40+N40</f>
        <v>101492.65</v>
      </c>
      <c r="P40" s="14">
        <f>IFERROR(ROUND(SUM(S41,S42)/I40, 2),0)</f>
        <v>11342.53</v>
      </c>
      <c r="Q40" s="16">
        <v>13434</v>
      </c>
      <c r="R40" s="14">
        <f>P40+ROUND(Q40, 2)</f>
        <v>24776.53</v>
      </c>
      <c r="S40" s="14">
        <f>ROUND(P40*I40, 2)</f>
        <v>56712.65</v>
      </c>
      <c r="T40" s="14">
        <f>ROUND(I40*ROUND(Q40, 2), 2)</f>
        <v>67170</v>
      </c>
      <c r="U40" s="14">
        <f>S40+T40</f>
        <v>123882.65</v>
      </c>
      <c r="V40" s="9">
        <f>ROUND(P40 / 1.2, 2)</f>
        <v>9452.11</v>
      </c>
      <c r="W40" s="9">
        <f>ROUND(Q40 / 1.2, 2)</f>
        <v>11195</v>
      </c>
      <c r="X40" s="9">
        <f>ROUND(R40 / 1.2, 2)</f>
        <v>20647.11</v>
      </c>
      <c r="Y40" s="9">
        <f t="shared" si="6"/>
        <v>47260.54</v>
      </c>
      <c r="Z40" s="9">
        <f>ROUND(T40 / 1.2, 2)</f>
        <v>55975</v>
      </c>
      <c r="AA40" s="9">
        <f>Y40+Z40</f>
        <v>103235.54000000001</v>
      </c>
      <c r="AD40" s="4">
        <v>311044284</v>
      </c>
      <c r="AE40" s="4">
        <v>22713682</v>
      </c>
      <c r="AG40" s="4" t="s">
        <v>172</v>
      </c>
      <c r="AH40" s="4" t="s">
        <v>173</v>
      </c>
      <c r="AI40" s="4" t="s">
        <v>156</v>
      </c>
    </row>
    <row r="41" spans="1:35" ht="18" x14ac:dyDescent="0.3">
      <c r="A41" s="10" t="s">
        <v>174</v>
      </c>
      <c r="B41" s="10"/>
      <c r="C41" s="17" t="s">
        <v>118</v>
      </c>
      <c r="D41" s="12"/>
      <c r="E41" s="12"/>
      <c r="F41" s="18" t="s">
        <v>99</v>
      </c>
      <c r="G41" s="19">
        <v>456</v>
      </c>
      <c r="H41" s="19"/>
      <c r="I41" s="19">
        <v>2280</v>
      </c>
      <c r="J41" s="20">
        <v>6.38</v>
      </c>
      <c r="M41" s="21">
        <f>ROUND(ROUND(J41, 2)*I41, 2)</f>
        <v>14546.4</v>
      </c>
      <c r="P41" s="22">
        <v>6.38</v>
      </c>
      <c r="S41" s="21">
        <f>ROUND(ROUND(P41, 2)*I41, 2)</f>
        <v>14546.4</v>
      </c>
      <c r="V41" s="9">
        <f>ROUND(ROUND(P41, 2)/1.2, 2)</f>
        <v>5.32</v>
      </c>
      <c r="Y41" s="9">
        <f t="shared" si="6"/>
        <v>12122</v>
      </c>
      <c r="AD41" s="4" t="s">
        <v>175</v>
      </c>
      <c r="AE41" s="4" t="s">
        <v>176</v>
      </c>
      <c r="AF41" s="4" t="s">
        <v>121</v>
      </c>
    </row>
    <row r="42" spans="1:35" ht="36" x14ac:dyDescent="0.3">
      <c r="A42" s="10" t="s">
        <v>177</v>
      </c>
      <c r="B42" s="10"/>
      <c r="C42" s="17" t="s">
        <v>178</v>
      </c>
      <c r="D42" s="12"/>
      <c r="E42" s="12"/>
      <c r="F42" s="18" t="s">
        <v>139</v>
      </c>
      <c r="G42" s="19">
        <v>395</v>
      </c>
      <c r="H42" s="19"/>
      <c r="I42" s="19">
        <v>1975</v>
      </c>
      <c r="J42" s="20">
        <v>21.35</v>
      </c>
      <c r="M42" s="21">
        <f>ROUND(ROUND(J42, 2)*I42, 2)</f>
        <v>42166.25</v>
      </c>
      <c r="P42" s="22">
        <v>21.35</v>
      </c>
      <c r="S42" s="21">
        <f>ROUND(ROUND(P42, 2)*I42, 2)</f>
        <v>42166.25</v>
      </c>
      <c r="V42" s="9">
        <f>ROUND(ROUND(P42, 2)/1.2, 2)</f>
        <v>17.79</v>
      </c>
      <c r="Y42" s="9">
        <f t="shared" si="6"/>
        <v>35138.54</v>
      </c>
      <c r="AD42" s="4" t="s">
        <v>179</v>
      </c>
      <c r="AE42" s="4" t="s">
        <v>180</v>
      </c>
      <c r="AF42" s="4" t="s">
        <v>181</v>
      </c>
    </row>
    <row r="43" spans="1:35" ht="16.95" customHeight="1" x14ac:dyDescent="0.3">
      <c r="A43" s="10" t="s">
        <v>182</v>
      </c>
      <c r="B43" s="10" t="s">
        <v>183</v>
      </c>
      <c r="C43" s="51" t="s">
        <v>184</v>
      </c>
      <c r="D43" s="52"/>
      <c r="E43" s="52"/>
      <c r="F43" s="52"/>
      <c r="G43" s="52"/>
      <c r="H43" s="52"/>
      <c r="I43" s="53"/>
      <c r="M43" s="6">
        <f>SUM(M44,M51,M57)</f>
        <v>6276181.4199999999</v>
      </c>
      <c r="N43" s="6">
        <f>SUM(N44,N51,N57)</f>
        <v>7788762.2999999998</v>
      </c>
      <c r="O43" s="6">
        <f>SUM(O44,O51,O57)</f>
        <v>14064943.720000001</v>
      </c>
      <c r="S43" s="6">
        <f>SUM(S44,S51,S57)</f>
        <v>6276181.4199999999</v>
      </c>
      <c r="T43" s="6">
        <f>SUM(T44,T51,T57)</f>
        <v>11683143.449999999</v>
      </c>
      <c r="U43" s="6">
        <f>SUM(U44,U51,U57)</f>
        <v>17959324.870000001</v>
      </c>
      <c r="Y43" s="9">
        <f>SUM(Y44,Y51,Y57)</f>
        <v>5230151.18</v>
      </c>
      <c r="Z43" s="9">
        <f>SUM(Z44,Z51,Z57)</f>
        <v>9735952.8900000006</v>
      </c>
      <c r="AA43" s="9">
        <f>SUM(AA44,AA51,AA57)</f>
        <v>14966104.07</v>
      </c>
      <c r="AD43" s="4">
        <v>311044285</v>
      </c>
      <c r="AE43" s="4">
        <v>22713673</v>
      </c>
    </row>
    <row r="44" spans="1:35" ht="16.95" customHeight="1" x14ac:dyDescent="0.3">
      <c r="A44" s="10" t="s">
        <v>185</v>
      </c>
      <c r="B44" s="10" t="s">
        <v>186</v>
      </c>
      <c r="C44" s="51" t="s">
        <v>187</v>
      </c>
      <c r="D44" s="52"/>
      <c r="E44" s="52"/>
      <c r="F44" s="52"/>
      <c r="G44" s="52"/>
      <c r="H44" s="52"/>
      <c r="I44" s="53"/>
      <c r="M44" s="6">
        <f>SUM(M45)</f>
        <v>3607968.66</v>
      </c>
      <c r="N44" s="6">
        <f>SUM(N45)</f>
        <v>3917711.5</v>
      </c>
      <c r="O44" s="6">
        <f>SUM(O45)</f>
        <v>7525680.1600000001</v>
      </c>
      <c r="S44" s="6">
        <f>SUM(S45)</f>
        <v>3607968.66</v>
      </c>
      <c r="T44" s="6">
        <f>SUM(T45)</f>
        <v>5876567.25</v>
      </c>
      <c r="U44" s="6">
        <f>SUM(U45)</f>
        <v>9484535.9100000001</v>
      </c>
      <c r="Y44" s="9">
        <f>SUM(Y45)</f>
        <v>3006640.55</v>
      </c>
      <c r="Z44" s="9">
        <f>SUM(Z45)</f>
        <v>4897139.38</v>
      </c>
      <c r="AA44" s="9">
        <f>SUM(AA45)</f>
        <v>7903779.9299999997</v>
      </c>
      <c r="AD44" s="4">
        <v>311044286</v>
      </c>
      <c r="AE44" s="4">
        <v>22713677</v>
      </c>
    </row>
    <row r="45" spans="1:35" ht="72" x14ac:dyDescent="0.3">
      <c r="A45" s="10" t="s">
        <v>188</v>
      </c>
      <c r="B45" s="10" t="s">
        <v>189</v>
      </c>
      <c r="C45" s="11" t="s">
        <v>113</v>
      </c>
      <c r="D45" s="12" t="s">
        <v>80</v>
      </c>
      <c r="E45" s="12" t="s">
        <v>190</v>
      </c>
      <c r="F45" s="12" t="s">
        <v>58</v>
      </c>
      <c r="G45" s="13">
        <v>1</v>
      </c>
      <c r="H45" s="13"/>
      <c r="I45" s="13">
        <v>1964.75</v>
      </c>
      <c r="J45" s="14">
        <f>IFERROR(ROUND(SUM(M46,M47,M48,M49,M50)/I45, 2),0)</f>
        <v>1836.35</v>
      </c>
      <c r="K45" s="15">
        <v>1994</v>
      </c>
      <c r="L45" s="14">
        <f>J45+ROUND(K45, 2)</f>
        <v>3830.35</v>
      </c>
      <c r="M45" s="14">
        <f>ROUND(J45*I45, 2)</f>
        <v>3607968.66</v>
      </c>
      <c r="N45" s="14">
        <f>ROUND(I45*ROUND(K45, 2), 2)</f>
        <v>3917711.5</v>
      </c>
      <c r="O45" s="14">
        <f>M45+N45</f>
        <v>7525680.1600000001</v>
      </c>
      <c r="P45" s="14">
        <f>IFERROR(ROUND(SUM(S46,S47,S48,S49,S50)/I45, 2),0)</f>
        <v>1836.35</v>
      </c>
      <c r="Q45" s="16">
        <v>2991</v>
      </c>
      <c r="R45" s="14">
        <f>P45+ROUND(Q45, 2)</f>
        <v>4827.3500000000004</v>
      </c>
      <c r="S45" s="14">
        <f>ROUND(P45*I45, 2)</f>
        <v>3607968.66</v>
      </c>
      <c r="T45" s="14">
        <f>ROUND(I45*ROUND(Q45, 2), 2)</f>
        <v>5876567.25</v>
      </c>
      <c r="U45" s="14">
        <f>S45+T45</f>
        <v>9484535.9100000001</v>
      </c>
      <c r="V45" s="9">
        <f>ROUND(P45 / 1.2, 2)</f>
        <v>1530.29</v>
      </c>
      <c r="W45" s="9">
        <f>ROUND(Q45 / 1.2, 2)</f>
        <v>2492.5</v>
      </c>
      <c r="X45" s="9">
        <f>ROUND(R45 / 1.2, 2)</f>
        <v>4022.79</v>
      </c>
      <c r="Y45" s="9">
        <f>ROUND(S45 / 1.2, 2)</f>
        <v>3006640.55</v>
      </c>
      <c r="Z45" s="9">
        <f>ROUND(T45 / 1.2, 2)</f>
        <v>4897139.38</v>
      </c>
      <c r="AA45" s="9">
        <f>Y45+Z45</f>
        <v>7903779.9299999997</v>
      </c>
      <c r="AD45" s="4">
        <v>311044288</v>
      </c>
      <c r="AE45" s="4">
        <v>22713692</v>
      </c>
      <c r="AG45" s="4" t="s">
        <v>115</v>
      </c>
      <c r="AH45" s="4" t="s">
        <v>191</v>
      </c>
      <c r="AI45" s="4" t="s">
        <v>156</v>
      </c>
    </row>
    <row r="46" spans="1:35" ht="18" x14ac:dyDescent="0.3">
      <c r="A46" s="10" t="s">
        <v>192</v>
      </c>
      <c r="B46" s="10"/>
      <c r="C46" s="17" t="s">
        <v>118</v>
      </c>
      <c r="D46" s="12"/>
      <c r="E46" s="12"/>
      <c r="F46" s="18" t="s">
        <v>99</v>
      </c>
      <c r="G46" s="19">
        <v>44.85</v>
      </c>
      <c r="H46" s="19"/>
      <c r="I46" s="19">
        <v>88119.038</v>
      </c>
      <c r="J46" s="20">
        <v>6.38</v>
      </c>
      <c r="M46" s="21">
        <f>ROUND(ROUND(J46, 2)*I46, 2)</f>
        <v>562199.46</v>
      </c>
      <c r="P46" s="22">
        <v>6.38</v>
      </c>
      <c r="S46" s="21">
        <f>ROUND(ROUND(P46, 2)*I46, 2)</f>
        <v>562199.46</v>
      </c>
      <c r="V46" s="9">
        <f>ROUND(ROUND(P46, 2)/1.2, 2)</f>
        <v>5.32</v>
      </c>
      <c r="Y46" s="9">
        <f>ROUND(S46 / 1.2, 2)</f>
        <v>468499.55</v>
      </c>
      <c r="AD46" s="4" t="s">
        <v>193</v>
      </c>
      <c r="AE46" s="4" t="s">
        <v>194</v>
      </c>
      <c r="AF46" s="4" t="s">
        <v>121</v>
      </c>
    </row>
    <row r="47" spans="1:35" ht="36" x14ac:dyDescent="0.3">
      <c r="A47" s="10" t="s">
        <v>195</v>
      </c>
      <c r="B47" s="10"/>
      <c r="C47" s="17" t="s">
        <v>123</v>
      </c>
      <c r="D47" s="12"/>
      <c r="E47" s="12"/>
      <c r="F47" s="18" t="s">
        <v>88</v>
      </c>
      <c r="G47" s="19">
        <v>1</v>
      </c>
      <c r="H47" s="19"/>
      <c r="I47" s="19">
        <v>1964.75</v>
      </c>
      <c r="J47" s="20">
        <v>65.67</v>
      </c>
      <c r="M47" s="21">
        <f>ROUND(ROUND(J47, 2)*I47, 2)</f>
        <v>129025.13</v>
      </c>
      <c r="P47" s="22">
        <v>65.67</v>
      </c>
      <c r="S47" s="21">
        <f>ROUND(ROUND(P47, 2)*I47, 2)</f>
        <v>129025.13</v>
      </c>
      <c r="V47" s="9">
        <f>ROUND(ROUND(P47, 2)/1.2, 2)</f>
        <v>54.73</v>
      </c>
      <c r="Y47" s="9">
        <f>ROUND(S47 / 1.2, 2)</f>
        <v>107520.94</v>
      </c>
      <c r="AD47" s="4" t="s">
        <v>196</v>
      </c>
      <c r="AE47" s="4" t="s">
        <v>197</v>
      </c>
      <c r="AF47" s="4" t="s">
        <v>126</v>
      </c>
    </row>
    <row r="48" spans="1:35" ht="36" x14ac:dyDescent="0.3">
      <c r="A48" s="10" t="s">
        <v>198</v>
      </c>
      <c r="B48" s="10"/>
      <c r="C48" s="17" t="s">
        <v>128</v>
      </c>
      <c r="D48" s="12"/>
      <c r="E48" s="12"/>
      <c r="F48" s="18" t="s">
        <v>88</v>
      </c>
      <c r="G48" s="19">
        <v>1</v>
      </c>
      <c r="H48" s="19"/>
      <c r="I48" s="19">
        <v>1964.75</v>
      </c>
      <c r="J48" s="20">
        <v>118.99</v>
      </c>
      <c r="M48" s="21">
        <f>ROUND(ROUND(J48, 2)*I48, 2)</f>
        <v>233785.60000000001</v>
      </c>
      <c r="P48" s="22">
        <v>118.99</v>
      </c>
      <c r="S48" s="21">
        <f>ROUND(ROUND(P48, 2)*I48, 2)</f>
        <v>233785.60000000001</v>
      </c>
      <c r="V48" s="9">
        <f>ROUND(ROUND(P48, 2)/1.2, 2)</f>
        <v>99.16</v>
      </c>
      <c r="Y48" s="9">
        <f>ROUND(S48 / 1.2, 2)</f>
        <v>194821.33</v>
      </c>
      <c r="AD48" s="4" t="s">
        <v>199</v>
      </c>
      <c r="AE48" s="4" t="s">
        <v>200</v>
      </c>
      <c r="AF48" s="4" t="s">
        <v>131</v>
      </c>
    </row>
    <row r="49" spans="1:35" ht="18" x14ac:dyDescent="0.3">
      <c r="A49" s="10" t="s">
        <v>201</v>
      </c>
      <c r="B49" s="10"/>
      <c r="C49" s="17" t="s">
        <v>133</v>
      </c>
      <c r="D49" s="12"/>
      <c r="E49" s="12"/>
      <c r="F49" s="18" t="s">
        <v>58</v>
      </c>
      <c r="G49" s="19">
        <v>0.504</v>
      </c>
      <c r="H49" s="19"/>
      <c r="I49" s="19">
        <v>990.23400000000004</v>
      </c>
      <c r="J49" s="20">
        <v>269.41000000000003</v>
      </c>
      <c r="M49" s="21">
        <f>ROUND(ROUND(J49, 2)*I49, 2)</f>
        <v>266778.94</v>
      </c>
      <c r="P49" s="22">
        <v>269.41000000000003</v>
      </c>
      <c r="S49" s="21">
        <f>ROUND(ROUND(P49, 2)*I49, 2)</f>
        <v>266778.94</v>
      </c>
      <c r="V49" s="9">
        <f>ROUND(ROUND(P49, 2)/1.2, 2)</f>
        <v>224.51</v>
      </c>
      <c r="Y49" s="9">
        <f>ROUND(S49 / 1.2, 2)</f>
        <v>222315.78</v>
      </c>
      <c r="AD49" s="4" t="s">
        <v>202</v>
      </c>
      <c r="AE49" s="4" t="s">
        <v>203</v>
      </c>
      <c r="AF49" s="4" t="s">
        <v>136</v>
      </c>
    </row>
    <row r="50" spans="1:35" ht="18" x14ac:dyDescent="0.3">
      <c r="A50" s="10" t="s">
        <v>204</v>
      </c>
      <c r="B50" s="10"/>
      <c r="C50" s="17" t="s">
        <v>138</v>
      </c>
      <c r="D50" s="12"/>
      <c r="E50" s="12"/>
      <c r="F50" s="18" t="s">
        <v>139</v>
      </c>
      <c r="G50" s="19">
        <v>50.4</v>
      </c>
      <c r="H50" s="19"/>
      <c r="I50" s="19">
        <v>99023.4</v>
      </c>
      <c r="J50" s="20">
        <v>24.4</v>
      </c>
      <c r="M50" s="21">
        <f>ROUND(ROUND(J50, 2)*I50, 2)</f>
        <v>2416170.96</v>
      </c>
      <c r="P50" s="22">
        <v>24.4</v>
      </c>
      <c r="S50" s="21">
        <f>ROUND(ROUND(P50, 2)*I50, 2)</f>
        <v>2416170.96</v>
      </c>
      <c r="V50" s="9">
        <f>ROUND(ROUND(P50, 2)/1.2, 2)</f>
        <v>20.329999999999998</v>
      </c>
      <c r="Y50" s="9">
        <f>ROUND(S50 / 1.2, 2)</f>
        <v>2013475.8</v>
      </c>
      <c r="AD50" s="4" t="s">
        <v>205</v>
      </c>
      <c r="AE50" s="4" t="s">
        <v>206</v>
      </c>
      <c r="AF50" s="4" t="s">
        <v>142</v>
      </c>
    </row>
    <row r="51" spans="1:35" ht="16.95" customHeight="1" x14ac:dyDescent="0.3">
      <c r="A51" s="10" t="s">
        <v>207</v>
      </c>
      <c r="B51" s="10" t="s">
        <v>208</v>
      </c>
      <c r="C51" s="51" t="s">
        <v>209</v>
      </c>
      <c r="D51" s="52"/>
      <c r="E51" s="52"/>
      <c r="F51" s="52"/>
      <c r="G51" s="52"/>
      <c r="H51" s="52"/>
      <c r="I51" s="53"/>
      <c r="M51" s="6">
        <f>SUM(M52)</f>
        <v>1936269.3</v>
      </c>
      <c r="N51" s="6">
        <f>SUM(N52)</f>
        <v>2503312</v>
      </c>
      <c r="O51" s="6">
        <f>SUM(O52)</f>
        <v>4439581.3</v>
      </c>
      <c r="S51" s="6">
        <f>SUM(S52)</f>
        <v>1936269.3</v>
      </c>
      <c r="T51" s="6">
        <f>SUM(T52)</f>
        <v>3754968</v>
      </c>
      <c r="U51" s="6">
        <f>SUM(U52)</f>
        <v>5691237.2999999998</v>
      </c>
      <c r="Y51" s="9">
        <f>SUM(Y52)</f>
        <v>1613557.75</v>
      </c>
      <c r="Z51" s="9">
        <f>SUM(Z52)</f>
        <v>3129140</v>
      </c>
      <c r="AA51" s="9">
        <f>SUM(AA52)</f>
        <v>4742697.75</v>
      </c>
      <c r="AD51" s="4">
        <v>311044289</v>
      </c>
      <c r="AE51" s="4">
        <v>22713662</v>
      </c>
    </row>
    <row r="52" spans="1:35" ht="90" x14ac:dyDescent="0.3">
      <c r="A52" s="10" t="s">
        <v>210</v>
      </c>
      <c r="B52" s="10" t="s">
        <v>211</v>
      </c>
      <c r="C52" s="11" t="s">
        <v>212</v>
      </c>
      <c r="D52" s="12" t="s">
        <v>80</v>
      </c>
      <c r="E52" s="12" t="s">
        <v>213</v>
      </c>
      <c r="F52" s="12" t="s">
        <v>58</v>
      </c>
      <c r="G52" s="13">
        <v>1</v>
      </c>
      <c r="H52" s="13"/>
      <c r="I52" s="13">
        <v>1519</v>
      </c>
      <c r="J52" s="14">
        <f>IFERROR(ROUND(SUM(M53,M54,M55,M56)/I52, 2),0)</f>
        <v>1274.7</v>
      </c>
      <c r="K52" s="15">
        <v>1648</v>
      </c>
      <c r="L52" s="14">
        <f>J52+ROUND(K52, 2)</f>
        <v>2922.7</v>
      </c>
      <c r="M52" s="14">
        <f>ROUND(J52*I52, 2)</f>
        <v>1936269.3</v>
      </c>
      <c r="N52" s="14">
        <f>ROUND(I52*ROUND(K52, 2), 2)</f>
        <v>2503312</v>
      </c>
      <c r="O52" s="14">
        <f>M52+N52</f>
        <v>4439581.3</v>
      </c>
      <c r="P52" s="14">
        <f>IFERROR(ROUND(SUM(S53,S54,S55,S56)/I52, 2),0)</f>
        <v>1274.7</v>
      </c>
      <c r="Q52" s="16">
        <v>2472</v>
      </c>
      <c r="R52" s="14">
        <f>P52+ROUND(Q52, 2)</f>
        <v>3746.7</v>
      </c>
      <c r="S52" s="14">
        <f>ROUND(P52*I52, 2)</f>
        <v>1936269.3</v>
      </c>
      <c r="T52" s="14">
        <f>ROUND(I52*ROUND(Q52, 2), 2)</f>
        <v>3754968</v>
      </c>
      <c r="U52" s="14">
        <f>S52+T52</f>
        <v>5691237.2999999998</v>
      </c>
      <c r="V52" s="9">
        <f>ROUND(P52 / 1.2, 2)</f>
        <v>1062.25</v>
      </c>
      <c r="W52" s="9">
        <f>ROUND(Q52 / 1.2, 2)</f>
        <v>2060</v>
      </c>
      <c r="X52" s="9">
        <f>ROUND(R52 / 1.2, 2)</f>
        <v>3122.25</v>
      </c>
      <c r="Y52" s="9">
        <f>ROUND(S52 / 1.2, 2)</f>
        <v>1613557.75</v>
      </c>
      <c r="Z52" s="9">
        <f>ROUND(T52 / 1.2, 2)</f>
        <v>3129140</v>
      </c>
      <c r="AA52" s="9">
        <f>Y52+Z52</f>
        <v>4742697.75</v>
      </c>
      <c r="AD52" s="4">
        <v>311044291</v>
      </c>
      <c r="AE52" s="4">
        <v>22713687</v>
      </c>
      <c r="AG52" s="4" t="s">
        <v>214</v>
      </c>
      <c r="AH52" s="4" t="s">
        <v>215</v>
      </c>
      <c r="AI52" s="4" t="s">
        <v>156</v>
      </c>
    </row>
    <row r="53" spans="1:35" ht="36" x14ac:dyDescent="0.3">
      <c r="A53" s="10" t="s">
        <v>216</v>
      </c>
      <c r="B53" s="10"/>
      <c r="C53" s="17" t="s">
        <v>217</v>
      </c>
      <c r="D53" s="12"/>
      <c r="E53" s="12"/>
      <c r="F53" s="18" t="s">
        <v>88</v>
      </c>
      <c r="G53" s="19">
        <v>1</v>
      </c>
      <c r="H53" s="19"/>
      <c r="I53" s="19">
        <v>1519</v>
      </c>
      <c r="J53" s="20">
        <v>171.81</v>
      </c>
      <c r="M53" s="21">
        <f>ROUND(ROUND(J53, 2)*I53, 2)</f>
        <v>260979.39</v>
      </c>
      <c r="P53" s="22">
        <v>171.81</v>
      </c>
      <c r="S53" s="21">
        <f>ROUND(ROUND(P53, 2)*I53, 2)</f>
        <v>260979.39</v>
      </c>
      <c r="V53" s="9">
        <f>ROUND(ROUND(P53, 2)/1.2, 2)</f>
        <v>143.18</v>
      </c>
      <c r="Y53" s="9">
        <f>ROUND(S53 / 1.2, 2)</f>
        <v>217482.83</v>
      </c>
      <c r="AD53" s="4" t="s">
        <v>218</v>
      </c>
      <c r="AE53" s="4" t="s">
        <v>219</v>
      </c>
      <c r="AF53" s="4" t="s">
        <v>220</v>
      </c>
    </row>
    <row r="54" spans="1:35" ht="36" x14ac:dyDescent="0.3">
      <c r="A54" s="10" t="s">
        <v>221</v>
      </c>
      <c r="B54" s="10"/>
      <c r="C54" s="23" t="s">
        <v>222</v>
      </c>
      <c r="D54" s="12"/>
      <c r="E54" s="12"/>
      <c r="F54" s="18" t="s">
        <v>58</v>
      </c>
      <c r="G54" s="19">
        <v>1.02</v>
      </c>
      <c r="H54" s="19"/>
      <c r="I54" s="19">
        <v>1549.38</v>
      </c>
      <c r="J54" s="20">
        <v>1052.6500000000001</v>
      </c>
      <c r="M54" s="21">
        <f>ROUND(ROUND(J54, 2)*I54, 2)</f>
        <v>1630954.86</v>
      </c>
      <c r="P54" s="22">
        <v>1052.6500000000001</v>
      </c>
      <c r="S54" s="21">
        <f>ROUND(ROUND(P54, 2)*I54, 2)</f>
        <v>1630954.86</v>
      </c>
      <c r="V54" s="9">
        <f>ROUND(ROUND(P54, 2)/1.2, 2)</f>
        <v>877.21</v>
      </c>
      <c r="Y54" s="9">
        <f>ROUND(S54 / 1.2, 2)</f>
        <v>1359129.05</v>
      </c>
      <c r="AD54" s="4" t="s">
        <v>223</v>
      </c>
      <c r="AE54" s="4" t="s">
        <v>224</v>
      </c>
      <c r="AF54" s="4" t="s">
        <v>225</v>
      </c>
    </row>
    <row r="55" spans="1:35" ht="36" x14ac:dyDescent="0.3">
      <c r="A55" s="10" t="s">
        <v>226</v>
      </c>
      <c r="B55" s="10"/>
      <c r="C55" s="17" t="s">
        <v>227</v>
      </c>
      <c r="D55" s="12"/>
      <c r="E55" s="12"/>
      <c r="F55" s="18" t="s">
        <v>88</v>
      </c>
      <c r="G55" s="19">
        <v>1</v>
      </c>
      <c r="H55" s="19"/>
      <c r="I55" s="19">
        <v>1519</v>
      </c>
      <c r="J55" s="20">
        <v>11.19</v>
      </c>
      <c r="M55" s="21">
        <f>ROUND(ROUND(J55, 2)*I55, 2)</f>
        <v>16997.61</v>
      </c>
      <c r="P55" s="22">
        <v>11.19</v>
      </c>
      <c r="S55" s="21">
        <f>ROUND(ROUND(P55, 2)*I55, 2)</f>
        <v>16997.61</v>
      </c>
      <c r="V55" s="9">
        <f>ROUND(ROUND(P55, 2)/1.2, 2)</f>
        <v>9.33</v>
      </c>
      <c r="Y55" s="9">
        <f>ROUND(S55 / 1.2, 2)</f>
        <v>14164.68</v>
      </c>
      <c r="AD55" s="4" t="s">
        <v>228</v>
      </c>
      <c r="AE55" s="4" t="s">
        <v>229</v>
      </c>
      <c r="AF55" s="4" t="s">
        <v>230</v>
      </c>
    </row>
    <row r="56" spans="1:35" ht="18" x14ac:dyDescent="0.3">
      <c r="A56" s="10" t="s">
        <v>231</v>
      </c>
      <c r="B56" s="10"/>
      <c r="C56" s="23" t="s">
        <v>232</v>
      </c>
      <c r="D56" s="12"/>
      <c r="E56" s="12"/>
      <c r="F56" s="18" t="s">
        <v>99</v>
      </c>
      <c r="G56" s="19">
        <v>2</v>
      </c>
      <c r="H56" s="19"/>
      <c r="I56" s="19">
        <v>3038</v>
      </c>
      <c r="J56" s="20">
        <v>9</v>
      </c>
      <c r="M56" s="21">
        <f>ROUND(ROUND(J56, 2)*I56, 2)</f>
        <v>27342</v>
      </c>
      <c r="P56" s="22">
        <v>9</v>
      </c>
      <c r="S56" s="21">
        <f>ROUND(ROUND(P56, 2)*I56, 2)</f>
        <v>27342</v>
      </c>
      <c r="V56" s="9">
        <f>ROUND(ROUND(P56, 2)/1.2, 2)</f>
        <v>7.5</v>
      </c>
      <c r="Y56" s="9">
        <f>ROUND(S56 / 1.2, 2)</f>
        <v>22785</v>
      </c>
      <c r="AD56" s="4" t="s">
        <v>233</v>
      </c>
      <c r="AE56" s="4" t="s">
        <v>234</v>
      </c>
      <c r="AF56" s="4" t="s">
        <v>235</v>
      </c>
    </row>
    <row r="57" spans="1:35" ht="16.95" customHeight="1" x14ac:dyDescent="0.3">
      <c r="A57" s="10" t="s">
        <v>236</v>
      </c>
      <c r="B57" s="10" t="s">
        <v>237</v>
      </c>
      <c r="C57" s="51" t="s">
        <v>238</v>
      </c>
      <c r="D57" s="52"/>
      <c r="E57" s="52"/>
      <c r="F57" s="52"/>
      <c r="G57" s="52"/>
      <c r="H57" s="52"/>
      <c r="I57" s="53"/>
      <c r="M57" s="6">
        <f>SUM(M58,M64,M69)</f>
        <v>731943.46</v>
      </c>
      <c r="N57" s="6">
        <f>SUM(N58,N64,N69)</f>
        <v>1367738.8</v>
      </c>
      <c r="O57" s="6">
        <f>SUM(O58,O64,O69)</f>
        <v>2099682.2599999998</v>
      </c>
      <c r="S57" s="6">
        <f>SUM(S58,S64,S69)</f>
        <v>731943.46</v>
      </c>
      <c r="T57" s="6">
        <f>SUM(T58,T64,T69)</f>
        <v>2051608.2000000002</v>
      </c>
      <c r="U57" s="6">
        <f>SUM(U58,U64,U69)</f>
        <v>2783551.66</v>
      </c>
      <c r="Y57" s="9">
        <f>SUM(Y58,Y64,Y69)</f>
        <v>609952.88</v>
      </c>
      <c r="Z57" s="9">
        <f>SUM(Z58,Z64,Z69)</f>
        <v>1709673.5099999998</v>
      </c>
      <c r="AA57" s="9">
        <f>SUM(AA58,AA64,AA69)</f>
        <v>2319626.39</v>
      </c>
      <c r="AD57" s="4">
        <v>311044292</v>
      </c>
      <c r="AE57" s="4">
        <v>22726875</v>
      </c>
    </row>
    <row r="58" spans="1:35" ht="162" x14ac:dyDescent="0.3">
      <c r="A58" s="10" t="s">
        <v>239</v>
      </c>
      <c r="B58" s="10" t="s">
        <v>240</v>
      </c>
      <c r="C58" s="11" t="s">
        <v>241</v>
      </c>
      <c r="D58" s="12" t="s">
        <v>80</v>
      </c>
      <c r="E58" s="12" t="s">
        <v>242</v>
      </c>
      <c r="F58" s="12" t="s">
        <v>58</v>
      </c>
      <c r="G58" s="13">
        <v>1</v>
      </c>
      <c r="H58" s="13"/>
      <c r="I58" s="13">
        <v>601</v>
      </c>
      <c r="J58" s="14">
        <f>IFERROR(ROUND(SUM(M59,M60,M61,M62,M63)/I58, 2),0)</f>
        <v>821.26</v>
      </c>
      <c r="K58" s="15">
        <v>1225</v>
      </c>
      <c r="L58" s="14">
        <f>J58+ROUND(K58, 2)</f>
        <v>2046.26</v>
      </c>
      <c r="M58" s="14">
        <f>ROUND(J58*I58, 2)</f>
        <v>493577.26</v>
      </c>
      <c r="N58" s="14">
        <f>ROUND(I58*ROUND(K58, 2), 2)</f>
        <v>736225</v>
      </c>
      <c r="O58" s="14">
        <f>M58+N58</f>
        <v>1229802.26</v>
      </c>
      <c r="P58" s="14">
        <f>IFERROR(ROUND(SUM(S59,S60,S61,S62,S63)/I58, 2),0)</f>
        <v>821.26</v>
      </c>
      <c r="Q58" s="16">
        <v>1837.5</v>
      </c>
      <c r="R58" s="14">
        <f>P58+ROUND(Q58, 2)</f>
        <v>2658.76</v>
      </c>
      <c r="S58" s="14">
        <f>ROUND(P58*I58, 2)</f>
        <v>493577.26</v>
      </c>
      <c r="T58" s="14">
        <f>ROUND(I58*ROUND(Q58, 2), 2)</f>
        <v>1104337.5</v>
      </c>
      <c r="U58" s="14">
        <f>S58+T58</f>
        <v>1597914.76</v>
      </c>
      <c r="V58" s="9">
        <f>ROUND(P58 / 1.2, 2)</f>
        <v>684.38</v>
      </c>
      <c r="W58" s="9">
        <f>ROUND(Q58 / 1.2, 2)</f>
        <v>1531.25</v>
      </c>
      <c r="X58" s="9">
        <f>ROUND(R58 / 1.2, 2)</f>
        <v>2215.63</v>
      </c>
      <c r="Y58" s="9">
        <f>ROUND(S58 / 1.2, 2)</f>
        <v>411314.38</v>
      </c>
      <c r="Z58" s="9">
        <f>ROUND(T58 / 1.2, 2)</f>
        <v>920281.25</v>
      </c>
      <c r="AA58" s="9">
        <f>Y58+Z58</f>
        <v>1331595.6299999999</v>
      </c>
      <c r="AD58" s="4">
        <v>311044294</v>
      </c>
      <c r="AE58" s="4">
        <v>22726888</v>
      </c>
      <c r="AG58" s="4" t="s">
        <v>243</v>
      </c>
      <c r="AH58" s="4" t="s">
        <v>244</v>
      </c>
      <c r="AI58" s="4" t="s">
        <v>156</v>
      </c>
    </row>
    <row r="59" spans="1:35" ht="72" x14ac:dyDescent="0.3">
      <c r="A59" s="10" t="s">
        <v>245</v>
      </c>
      <c r="B59" s="10"/>
      <c r="C59" s="17" t="s">
        <v>246</v>
      </c>
      <c r="D59" s="12"/>
      <c r="E59" s="12"/>
      <c r="F59" s="18" t="s">
        <v>88</v>
      </c>
      <c r="G59" s="19">
        <v>1</v>
      </c>
      <c r="H59" s="19"/>
      <c r="I59" s="19">
        <v>601</v>
      </c>
      <c r="J59" s="20">
        <v>113.01</v>
      </c>
      <c r="M59" s="21">
        <f>ROUND(ROUND(J59, 2)*I59, 2)</f>
        <v>67919.009999999995</v>
      </c>
      <c r="P59" s="22">
        <v>113.01</v>
      </c>
      <c r="S59" s="21">
        <f>ROUND(ROUND(P59, 2)*I59, 2)</f>
        <v>67919.009999999995</v>
      </c>
      <c r="V59" s="9">
        <f>ROUND(ROUND(P59, 2)/1.2, 2)</f>
        <v>94.18</v>
      </c>
      <c r="Y59" s="9">
        <f t="shared" ref="Y59:Y73" si="7">ROUND(S59 / 1.2, 2)</f>
        <v>56599.18</v>
      </c>
      <c r="AD59" s="4" t="s">
        <v>247</v>
      </c>
      <c r="AE59" s="4" t="s">
        <v>248</v>
      </c>
      <c r="AF59" s="4" t="s">
        <v>249</v>
      </c>
    </row>
    <row r="60" spans="1:35" ht="18" x14ac:dyDescent="0.3">
      <c r="A60" s="10" t="s">
        <v>250</v>
      </c>
      <c r="B60" s="10"/>
      <c r="C60" s="23" t="s">
        <v>251</v>
      </c>
      <c r="D60" s="12"/>
      <c r="E60" s="12"/>
      <c r="F60" s="18" t="s">
        <v>82</v>
      </c>
      <c r="G60" s="19">
        <v>5.1999999999999998E-2</v>
      </c>
      <c r="H60" s="19"/>
      <c r="I60" s="19">
        <v>31.251999999999999</v>
      </c>
      <c r="J60" s="20">
        <v>4093.92</v>
      </c>
      <c r="M60" s="21">
        <f>ROUND(ROUND(J60, 2)*I60, 2)</f>
        <v>127943.19</v>
      </c>
      <c r="P60" s="22">
        <v>4093.92</v>
      </c>
      <c r="S60" s="21">
        <f>ROUND(ROUND(P60, 2)*I60, 2)</f>
        <v>127943.19</v>
      </c>
      <c r="V60" s="9">
        <f>ROUND(ROUND(P60, 2)/1.2, 2)</f>
        <v>3411.6</v>
      </c>
      <c r="Y60" s="9">
        <f t="shared" si="7"/>
        <v>106619.33</v>
      </c>
      <c r="AD60" s="4" t="s">
        <v>252</v>
      </c>
      <c r="AE60" s="4" t="s">
        <v>253</v>
      </c>
      <c r="AF60" s="4" t="s">
        <v>254</v>
      </c>
    </row>
    <row r="61" spans="1:35" ht="18" x14ac:dyDescent="0.3">
      <c r="A61" s="10" t="s">
        <v>255</v>
      </c>
      <c r="B61" s="10"/>
      <c r="C61" s="23" t="s">
        <v>256</v>
      </c>
      <c r="D61" s="12"/>
      <c r="E61" s="12" t="s">
        <v>257</v>
      </c>
      <c r="F61" s="18" t="s">
        <v>258</v>
      </c>
      <c r="G61" s="19">
        <v>0.86</v>
      </c>
      <c r="H61" s="24"/>
      <c r="I61" s="24">
        <v>516.86</v>
      </c>
      <c r="J61" s="20">
        <v>66</v>
      </c>
      <c r="M61" s="21">
        <f>ROUND(ROUND(J61, 2)*I61, 2)</f>
        <v>34112.76</v>
      </c>
      <c r="P61" s="22">
        <v>66</v>
      </c>
      <c r="S61" s="21">
        <f>ROUND(ROUND(P61, 2)*I61, 2)</f>
        <v>34112.76</v>
      </c>
      <c r="V61" s="9">
        <f>ROUND(ROUND(P61, 2)/1.2, 2)</f>
        <v>55</v>
      </c>
      <c r="Y61" s="9">
        <f t="shared" si="7"/>
        <v>28427.3</v>
      </c>
      <c r="AD61" s="4" t="s">
        <v>259</v>
      </c>
      <c r="AE61" s="4" t="s">
        <v>260</v>
      </c>
      <c r="AF61" s="4" t="s">
        <v>261</v>
      </c>
    </row>
    <row r="62" spans="1:35" ht="18" x14ac:dyDescent="0.3">
      <c r="A62" s="10" t="s">
        <v>262</v>
      </c>
      <c r="B62" s="10"/>
      <c r="C62" s="23" t="s">
        <v>263</v>
      </c>
      <c r="D62" s="12"/>
      <c r="E62" s="12" t="s">
        <v>264</v>
      </c>
      <c r="F62" s="18" t="s">
        <v>258</v>
      </c>
      <c r="G62" s="19">
        <v>2.1</v>
      </c>
      <c r="H62" s="24"/>
      <c r="I62" s="24">
        <v>1262.0999999999999</v>
      </c>
      <c r="J62" s="20">
        <v>96.66</v>
      </c>
      <c r="M62" s="21">
        <f>ROUND(ROUND(J62, 2)*I62, 2)</f>
        <v>121994.59</v>
      </c>
      <c r="P62" s="22">
        <v>96.66</v>
      </c>
      <c r="S62" s="21">
        <f>ROUND(ROUND(P62, 2)*I62, 2)</f>
        <v>121994.59</v>
      </c>
      <c r="V62" s="9">
        <f>ROUND(ROUND(P62, 2)/1.2, 2)</f>
        <v>80.55</v>
      </c>
      <c r="Y62" s="9">
        <f t="shared" si="7"/>
        <v>101662.16</v>
      </c>
      <c r="AD62" s="4" t="s">
        <v>265</v>
      </c>
      <c r="AE62" s="4" t="s">
        <v>266</v>
      </c>
      <c r="AF62" s="4" t="s">
        <v>267</v>
      </c>
    </row>
    <row r="63" spans="1:35" ht="36" x14ac:dyDescent="0.3">
      <c r="A63" s="10" t="s">
        <v>268</v>
      </c>
      <c r="B63" s="10"/>
      <c r="C63" s="23" t="s">
        <v>269</v>
      </c>
      <c r="D63" s="12"/>
      <c r="E63" s="12"/>
      <c r="F63" s="18" t="s">
        <v>58</v>
      </c>
      <c r="G63" s="19">
        <v>2.2000000000000002</v>
      </c>
      <c r="H63" s="19"/>
      <c r="I63" s="19">
        <v>1322.2</v>
      </c>
      <c r="J63" s="20">
        <v>107.1</v>
      </c>
      <c r="M63" s="21">
        <f>ROUND(ROUND(J63, 2)*I63, 2)</f>
        <v>141607.62</v>
      </c>
      <c r="P63" s="22">
        <v>107.1</v>
      </c>
      <c r="S63" s="21">
        <f>ROUND(ROUND(P63, 2)*I63, 2)</f>
        <v>141607.62</v>
      </c>
      <c r="V63" s="9">
        <f>ROUND(ROUND(P63, 2)/1.2, 2)</f>
        <v>89.25</v>
      </c>
      <c r="Y63" s="9">
        <f t="shared" si="7"/>
        <v>118006.35</v>
      </c>
      <c r="AD63" s="4" t="s">
        <v>270</v>
      </c>
      <c r="AE63" s="4" t="s">
        <v>271</v>
      </c>
      <c r="AF63" s="4" t="s">
        <v>272</v>
      </c>
    </row>
    <row r="64" spans="1:35" ht="108" x14ac:dyDescent="0.3">
      <c r="A64" s="10" t="s">
        <v>273</v>
      </c>
      <c r="B64" s="10" t="s">
        <v>274</v>
      </c>
      <c r="C64" s="11" t="s">
        <v>275</v>
      </c>
      <c r="D64" s="12" t="s">
        <v>80</v>
      </c>
      <c r="E64" s="12" t="s">
        <v>276</v>
      </c>
      <c r="F64" s="12" t="s">
        <v>58</v>
      </c>
      <c r="G64" s="13">
        <v>1</v>
      </c>
      <c r="H64" s="13"/>
      <c r="I64" s="13">
        <v>79.099999999999994</v>
      </c>
      <c r="J64" s="14">
        <f>IFERROR(ROUND(SUM(M65,M66,M67,M68)/I64, 2),0)</f>
        <v>531.83000000000004</v>
      </c>
      <c r="K64" s="15">
        <v>1409</v>
      </c>
      <c r="L64" s="14">
        <f>J64+ROUND(K64, 2)</f>
        <v>1940.83</v>
      </c>
      <c r="M64" s="14">
        <f>ROUND(J64*I64, 2)</f>
        <v>42067.75</v>
      </c>
      <c r="N64" s="14">
        <f>ROUND(I64*ROUND(K64, 2), 2)</f>
        <v>111451.9</v>
      </c>
      <c r="O64" s="14">
        <f>M64+N64</f>
        <v>153519.65</v>
      </c>
      <c r="P64" s="14">
        <f>IFERROR(ROUND(SUM(S65,S66,S67,S68)/I64, 2),0)</f>
        <v>531.83000000000004</v>
      </c>
      <c r="Q64" s="16">
        <v>2113.5</v>
      </c>
      <c r="R64" s="14">
        <f>P64+ROUND(Q64, 2)</f>
        <v>2645.33</v>
      </c>
      <c r="S64" s="14">
        <f>ROUND(P64*I64, 2)</f>
        <v>42067.75</v>
      </c>
      <c r="T64" s="14">
        <f>ROUND(I64*ROUND(Q64, 2), 2)</f>
        <v>167177.85</v>
      </c>
      <c r="U64" s="14">
        <f>S64+T64</f>
        <v>209245.6</v>
      </c>
      <c r="V64" s="9">
        <f>ROUND(P64 / 1.2, 2)</f>
        <v>443.19</v>
      </c>
      <c r="W64" s="9">
        <f>ROUND(Q64 / 1.2, 2)</f>
        <v>1761.25</v>
      </c>
      <c r="X64" s="9">
        <f>ROUND(R64 / 1.2, 2)</f>
        <v>2204.44</v>
      </c>
      <c r="Y64" s="9">
        <f t="shared" si="7"/>
        <v>35056.46</v>
      </c>
      <c r="Z64" s="9">
        <f>ROUND(T64 / 1.2, 2)</f>
        <v>139314.88</v>
      </c>
      <c r="AA64" s="9">
        <f>Y64+Z64</f>
        <v>174371.34</v>
      </c>
      <c r="AD64" s="4">
        <v>311044295</v>
      </c>
      <c r="AE64" s="4">
        <v>22728312</v>
      </c>
      <c r="AG64" s="4" t="s">
        <v>277</v>
      </c>
      <c r="AH64" s="4" t="s">
        <v>278</v>
      </c>
      <c r="AI64" s="4" t="s">
        <v>156</v>
      </c>
    </row>
    <row r="65" spans="1:35" ht="72" x14ac:dyDescent="0.3">
      <c r="A65" s="10" t="s">
        <v>279</v>
      </c>
      <c r="B65" s="10"/>
      <c r="C65" s="17" t="s">
        <v>246</v>
      </c>
      <c r="D65" s="12"/>
      <c r="E65" s="12"/>
      <c r="F65" s="18" t="s">
        <v>88</v>
      </c>
      <c r="G65" s="19">
        <v>1</v>
      </c>
      <c r="H65" s="19"/>
      <c r="I65" s="19">
        <v>79.099999999999994</v>
      </c>
      <c r="J65" s="20">
        <v>113.01</v>
      </c>
      <c r="M65" s="21">
        <f>ROUND(ROUND(J65, 2)*I65, 2)</f>
        <v>8939.09</v>
      </c>
      <c r="P65" s="22">
        <v>113.01</v>
      </c>
      <c r="S65" s="21">
        <f>ROUND(ROUND(P65, 2)*I65, 2)</f>
        <v>8939.09</v>
      </c>
      <c r="V65" s="9">
        <f>ROUND(ROUND(P65, 2)/1.2, 2)</f>
        <v>94.18</v>
      </c>
      <c r="Y65" s="9">
        <f t="shared" si="7"/>
        <v>7449.24</v>
      </c>
      <c r="AD65" s="4" t="s">
        <v>280</v>
      </c>
      <c r="AE65" s="4" t="s">
        <v>281</v>
      </c>
      <c r="AF65" s="4" t="s">
        <v>249</v>
      </c>
    </row>
    <row r="66" spans="1:35" ht="18" x14ac:dyDescent="0.3">
      <c r="A66" s="10" t="s">
        <v>282</v>
      </c>
      <c r="B66" s="10"/>
      <c r="C66" s="23" t="s">
        <v>283</v>
      </c>
      <c r="D66" s="12"/>
      <c r="E66" s="12"/>
      <c r="F66" s="18" t="s">
        <v>258</v>
      </c>
      <c r="G66" s="25">
        <v>2.1</v>
      </c>
      <c r="H66" s="19"/>
      <c r="I66" s="19">
        <v>166.11</v>
      </c>
      <c r="J66" s="20">
        <v>66.87</v>
      </c>
      <c r="M66" s="21">
        <f>ROUND(ROUND(J66, 2)*I66, 2)</f>
        <v>11107.78</v>
      </c>
      <c r="P66" s="22">
        <v>66.87</v>
      </c>
      <c r="S66" s="21">
        <f>ROUND(ROUND(P66, 2)*I66, 2)</f>
        <v>11107.78</v>
      </c>
      <c r="V66" s="9">
        <f>ROUND(ROUND(P66, 2)/1.2, 2)</f>
        <v>55.73</v>
      </c>
      <c r="Y66" s="9">
        <f t="shared" si="7"/>
        <v>9256.48</v>
      </c>
      <c r="AD66" s="4" t="s">
        <v>284</v>
      </c>
      <c r="AE66" s="4" t="s">
        <v>285</v>
      </c>
      <c r="AF66" s="4" t="s">
        <v>286</v>
      </c>
    </row>
    <row r="67" spans="1:35" ht="18" x14ac:dyDescent="0.3">
      <c r="A67" s="10" t="s">
        <v>287</v>
      </c>
      <c r="B67" s="10"/>
      <c r="C67" s="23" t="s">
        <v>288</v>
      </c>
      <c r="D67" s="12"/>
      <c r="E67" s="12"/>
      <c r="F67" s="18" t="s">
        <v>258</v>
      </c>
      <c r="G67" s="25">
        <v>0.8</v>
      </c>
      <c r="H67" s="19"/>
      <c r="I67" s="19">
        <v>63.28</v>
      </c>
      <c r="J67" s="20">
        <v>53.47</v>
      </c>
      <c r="M67" s="21">
        <f>ROUND(ROUND(J67, 2)*I67, 2)</f>
        <v>3383.58</v>
      </c>
      <c r="P67" s="22">
        <v>53.47</v>
      </c>
      <c r="S67" s="21">
        <f>ROUND(ROUND(P67, 2)*I67, 2)</f>
        <v>3383.58</v>
      </c>
      <c r="V67" s="9">
        <f>ROUND(ROUND(P67, 2)/1.2, 2)</f>
        <v>44.56</v>
      </c>
      <c r="Y67" s="9">
        <f t="shared" si="7"/>
        <v>2819.65</v>
      </c>
      <c r="AD67" s="4" t="s">
        <v>289</v>
      </c>
      <c r="AE67" s="4" t="s">
        <v>290</v>
      </c>
      <c r="AF67" s="4" t="s">
        <v>291</v>
      </c>
    </row>
    <row r="68" spans="1:35" ht="36" x14ac:dyDescent="0.3">
      <c r="A68" s="10" t="s">
        <v>292</v>
      </c>
      <c r="B68" s="10"/>
      <c r="C68" s="23" t="s">
        <v>269</v>
      </c>
      <c r="D68" s="12"/>
      <c r="E68" s="12"/>
      <c r="F68" s="18" t="s">
        <v>58</v>
      </c>
      <c r="G68" s="19">
        <v>2.2000000000000002</v>
      </c>
      <c r="H68" s="19"/>
      <c r="I68" s="19">
        <v>174.02</v>
      </c>
      <c r="J68" s="20">
        <v>107.1</v>
      </c>
      <c r="M68" s="21">
        <f>ROUND(ROUND(J68, 2)*I68, 2)</f>
        <v>18637.54</v>
      </c>
      <c r="P68" s="22">
        <v>107.1</v>
      </c>
      <c r="S68" s="21">
        <f>ROUND(ROUND(P68, 2)*I68, 2)</f>
        <v>18637.54</v>
      </c>
      <c r="V68" s="9">
        <f>ROUND(ROUND(P68, 2)/1.2, 2)</f>
        <v>89.25</v>
      </c>
      <c r="Y68" s="9">
        <f t="shared" si="7"/>
        <v>15531.28</v>
      </c>
      <c r="AD68" s="4" t="s">
        <v>293</v>
      </c>
      <c r="AE68" s="4" t="s">
        <v>294</v>
      </c>
      <c r="AF68" s="4" t="s">
        <v>272</v>
      </c>
    </row>
    <row r="69" spans="1:35" ht="108" x14ac:dyDescent="0.3">
      <c r="A69" s="10" t="s">
        <v>295</v>
      </c>
      <c r="B69" s="10" t="s">
        <v>274</v>
      </c>
      <c r="C69" s="11" t="s">
        <v>275</v>
      </c>
      <c r="D69" s="12" t="s">
        <v>80</v>
      </c>
      <c r="E69" s="12" t="s">
        <v>296</v>
      </c>
      <c r="F69" s="12" t="s">
        <v>58</v>
      </c>
      <c r="G69" s="13">
        <v>1</v>
      </c>
      <c r="H69" s="13"/>
      <c r="I69" s="13">
        <v>369.1</v>
      </c>
      <c r="J69" s="14">
        <f>IFERROR(ROUND(SUM(M70,M71,M72,M73)/I69, 2),0)</f>
        <v>531.83000000000004</v>
      </c>
      <c r="K69" s="15">
        <v>1409</v>
      </c>
      <c r="L69" s="14">
        <f>J69+ROUND(K69, 2)</f>
        <v>1940.83</v>
      </c>
      <c r="M69" s="14">
        <f>ROUND(J69*I69, 2)</f>
        <v>196298.45</v>
      </c>
      <c r="N69" s="14">
        <f>ROUND(I69*ROUND(K69, 2), 2)</f>
        <v>520061.9</v>
      </c>
      <c r="O69" s="14">
        <f>M69+N69</f>
        <v>716360.35000000009</v>
      </c>
      <c r="P69" s="14">
        <f>IFERROR(ROUND(SUM(S70,S71,S72,S73)/I69, 2),0)</f>
        <v>531.83000000000004</v>
      </c>
      <c r="Q69" s="16">
        <v>2113.5</v>
      </c>
      <c r="R69" s="14">
        <f>P69+ROUND(Q69, 2)</f>
        <v>2645.33</v>
      </c>
      <c r="S69" s="14">
        <f>ROUND(P69*I69, 2)</f>
        <v>196298.45</v>
      </c>
      <c r="T69" s="14">
        <f>ROUND(I69*ROUND(Q69, 2), 2)</f>
        <v>780092.85</v>
      </c>
      <c r="U69" s="14">
        <f>S69+T69</f>
        <v>976391.3</v>
      </c>
      <c r="V69" s="9">
        <f>ROUND(P69 / 1.2, 2)</f>
        <v>443.19</v>
      </c>
      <c r="W69" s="9">
        <f>ROUND(Q69 / 1.2, 2)</f>
        <v>1761.25</v>
      </c>
      <c r="X69" s="9">
        <f>ROUND(R69 / 1.2, 2)</f>
        <v>2204.44</v>
      </c>
      <c r="Y69" s="9">
        <f t="shared" si="7"/>
        <v>163582.04</v>
      </c>
      <c r="Z69" s="9">
        <f>ROUND(T69 / 1.2, 2)</f>
        <v>650077.38</v>
      </c>
      <c r="AA69" s="9">
        <f>Y69+Z69</f>
        <v>813659.42</v>
      </c>
      <c r="AD69" s="4">
        <v>311044413</v>
      </c>
      <c r="AE69" s="4">
        <v>22728311</v>
      </c>
      <c r="AG69" s="4" t="s">
        <v>277</v>
      </c>
      <c r="AH69" s="4" t="s">
        <v>278</v>
      </c>
      <c r="AI69" s="4" t="s">
        <v>156</v>
      </c>
    </row>
    <row r="70" spans="1:35" ht="36" x14ac:dyDescent="0.3">
      <c r="A70" s="10" t="s">
        <v>297</v>
      </c>
      <c r="B70" s="10"/>
      <c r="C70" s="23" t="s">
        <v>298</v>
      </c>
      <c r="D70" s="12"/>
      <c r="E70" s="12"/>
      <c r="F70" s="18" t="s">
        <v>58</v>
      </c>
      <c r="G70" s="19">
        <v>2.2000000000000002</v>
      </c>
      <c r="H70" s="19"/>
      <c r="I70" s="19">
        <v>812.02</v>
      </c>
      <c r="J70" s="20">
        <v>107.1</v>
      </c>
      <c r="M70" s="21">
        <f>ROUND(ROUND(J70, 2)*I70, 2)</f>
        <v>86967.34</v>
      </c>
      <c r="P70" s="22">
        <v>107.1</v>
      </c>
      <c r="S70" s="21">
        <f>ROUND(ROUND(P70, 2)*I70, 2)</f>
        <v>86967.34</v>
      </c>
      <c r="V70" s="9">
        <f>ROUND(ROUND(P70, 2)/1.2, 2)</f>
        <v>89.25</v>
      </c>
      <c r="Y70" s="9">
        <f t="shared" si="7"/>
        <v>72472.78</v>
      </c>
      <c r="AD70" s="4" t="s">
        <v>299</v>
      </c>
      <c r="AE70" s="4" t="s">
        <v>300</v>
      </c>
      <c r="AF70" s="4" t="s">
        <v>301</v>
      </c>
    </row>
    <row r="71" spans="1:35" ht="18" x14ac:dyDescent="0.3">
      <c r="A71" s="10" t="s">
        <v>302</v>
      </c>
      <c r="B71" s="10"/>
      <c r="C71" s="23" t="s">
        <v>283</v>
      </c>
      <c r="D71" s="12"/>
      <c r="E71" s="12"/>
      <c r="F71" s="18" t="s">
        <v>258</v>
      </c>
      <c r="G71" s="25">
        <v>2.1</v>
      </c>
      <c r="H71" s="19"/>
      <c r="I71" s="19">
        <v>775.11</v>
      </c>
      <c r="J71" s="20">
        <v>66.87</v>
      </c>
      <c r="M71" s="21">
        <f>ROUND(ROUND(J71, 2)*I71, 2)</f>
        <v>51831.61</v>
      </c>
      <c r="P71" s="22">
        <v>66.87</v>
      </c>
      <c r="S71" s="21">
        <f>ROUND(ROUND(P71, 2)*I71, 2)</f>
        <v>51831.61</v>
      </c>
      <c r="V71" s="9">
        <f>ROUND(ROUND(P71, 2)/1.2, 2)</f>
        <v>55.73</v>
      </c>
      <c r="Y71" s="9">
        <f t="shared" si="7"/>
        <v>43193.01</v>
      </c>
      <c r="AD71" s="4" t="s">
        <v>303</v>
      </c>
      <c r="AE71" s="4" t="s">
        <v>304</v>
      </c>
      <c r="AF71" s="4" t="s">
        <v>286</v>
      </c>
    </row>
    <row r="72" spans="1:35" ht="18" x14ac:dyDescent="0.3">
      <c r="A72" s="10" t="s">
        <v>305</v>
      </c>
      <c r="B72" s="10"/>
      <c r="C72" s="23" t="s">
        <v>288</v>
      </c>
      <c r="D72" s="12"/>
      <c r="E72" s="12"/>
      <c r="F72" s="18" t="s">
        <v>258</v>
      </c>
      <c r="G72" s="25">
        <v>0.8</v>
      </c>
      <c r="H72" s="19"/>
      <c r="I72" s="19">
        <v>295.27999999999997</v>
      </c>
      <c r="J72" s="20">
        <v>53.47</v>
      </c>
      <c r="M72" s="21">
        <f>ROUND(ROUND(J72, 2)*I72, 2)</f>
        <v>15788.62</v>
      </c>
      <c r="P72" s="22">
        <v>53.47</v>
      </c>
      <c r="S72" s="21">
        <f>ROUND(ROUND(P72, 2)*I72, 2)</f>
        <v>15788.62</v>
      </c>
      <c r="V72" s="9">
        <f>ROUND(ROUND(P72, 2)/1.2, 2)</f>
        <v>44.56</v>
      </c>
      <c r="Y72" s="9">
        <f t="shared" si="7"/>
        <v>13157.18</v>
      </c>
      <c r="AD72" s="4" t="s">
        <v>306</v>
      </c>
      <c r="AE72" s="4" t="s">
        <v>307</v>
      </c>
      <c r="AF72" s="4" t="s">
        <v>291</v>
      </c>
    </row>
    <row r="73" spans="1:35" ht="72" x14ac:dyDescent="0.3">
      <c r="A73" s="10" t="s">
        <v>308</v>
      </c>
      <c r="B73" s="10"/>
      <c r="C73" s="17" t="s">
        <v>246</v>
      </c>
      <c r="D73" s="12"/>
      <c r="E73" s="12"/>
      <c r="F73" s="18" t="s">
        <v>88</v>
      </c>
      <c r="G73" s="19">
        <v>1</v>
      </c>
      <c r="H73" s="19"/>
      <c r="I73" s="19">
        <v>369.1</v>
      </c>
      <c r="J73" s="20">
        <v>113.01</v>
      </c>
      <c r="M73" s="21">
        <f>ROUND(ROUND(J73, 2)*I73, 2)</f>
        <v>41711.99</v>
      </c>
      <c r="P73" s="22">
        <v>113.01</v>
      </c>
      <c r="S73" s="21">
        <f>ROUND(ROUND(P73, 2)*I73, 2)</f>
        <v>41711.99</v>
      </c>
      <c r="V73" s="9">
        <f>ROUND(ROUND(P73, 2)/1.2, 2)</f>
        <v>94.18</v>
      </c>
      <c r="Y73" s="9">
        <f t="shared" si="7"/>
        <v>34759.99</v>
      </c>
      <c r="AD73" s="4" t="s">
        <v>309</v>
      </c>
      <c r="AE73" s="4" t="s">
        <v>310</v>
      </c>
      <c r="AF73" s="4" t="s">
        <v>249</v>
      </c>
    </row>
    <row r="74" spans="1:35" ht="16.95" customHeight="1" x14ac:dyDescent="0.3">
      <c r="A74" s="10" t="s">
        <v>311</v>
      </c>
      <c r="B74" s="10" t="s">
        <v>312</v>
      </c>
      <c r="C74" s="51" t="s">
        <v>313</v>
      </c>
      <c r="D74" s="52"/>
      <c r="E74" s="52"/>
      <c r="F74" s="52"/>
      <c r="G74" s="52"/>
      <c r="H74" s="52"/>
      <c r="I74" s="53"/>
      <c r="M74" s="6">
        <f>SUM(M75,M78,M82,M86,M90,M93,M95,M97)</f>
        <v>812252.6</v>
      </c>
      <c r="N74" s="6">
        <f>SUM(N75,N78,N82,N86,N90,N93,N95,N97)</f>
        <v>1300367.9300000002</v>
      </c>
      <c r="O74" s="6">
        <f>SUM(O75,O78,O82,O86,O90,O93,O95,O97)</f>
        <v>2112620.5299999998</v>
      </c>
      <c r="S74" s="6">
        <f>SUM(S75,S78,S82,S86,S90,S93,S95,S97)</f>
        <v>1767857.7299999997</v>
      </c>
      <c r="T74" s="6">
        <f>SUM(T75,T78,T82,T86,T90,T93,T95,T97)</f>
        <v>1950551.9100000001</v>
      </c>
      <c r="U74" s="6">
        <f>SUM(U75,U78,U82,U86,U90,U93,U95,U97)</f>
        <v>3718409.6399999997</v>
      </c>
      <c r="Y74" s="9">
        <f>SUM(Y75,Y78,Y82,Y86,Y90,Y93,Y95,Y97)</f>
        <v>1473214.79</v>
      </c>
      <c r="Z74" s="9">
        <f>SUM(Z75,Z78,Z82,Z86,Z90,Z93,Z95,Z97)</f>
        <v>1625459.94</v>
      </c>
      <c r="AA74" s="9">
        <f>SUM(AA75,AA78,AA82,AA86,AA90,AA93,AA95,AA97)</f>
        <v>3098674.73</v>
      </c>
      <c r="AD74" s="4">
        <v>311044296</v>
      </c>
      <c r="AE74" s="4">
        <v>22703681</v>
      </c>
    </row>
    <row r="75" spans="1:35" ht="36" x14ac:dyDescent="0.3">
      <c r="A75" s="10" t="s">
        <v>314</v>
      </c>
      <c r="B75" s="10" t="s">
        <v>315</v>
      </c>
      <c r="C75" s="11" t="s">
        <v>316</v>
      </c>
      <c r="D75" s="12" t="s">
        <v>80</v>
      </c>
      <c r="E75" s="12" t="s">
        <v>317</v>
      </c>
      <c r="F75" s="12" t="s">
        <v>318</v>
      </c>
      <c r="G75" s="13">
        <v>1</v>
      </c>
      <c r="H75" s="13"/>
      <c r="I75" s="13">
        <v>2.5000000000000001E-2</v>
      </c>
      <c r="J75" s="14">
        <f>IFERROR(ROUND(SUM(M76,M77)/I75, 2),0)</f>
        <v>48972.800000000003</v>
      </c>
      <c r="K75" s="15">
        <v>42040</v>
      </c>
      <c r="L75" s="14">
        <f>J75+ROUND(K75, 2)</f>
        <v>91012.800000000003</v>
      </c>
      <c r="M75" s="14">
        <f>ROUND(J75*I75, 2)</f>
        <v>1224.32</v>
      </c>
      <c r="N75" s="14">
        <f>ROUND(I75*ROUND(K75, 2), 2)</f>
        <v>1051</v>
      </c>
      <c r="O75" s="14">
        <f>M75+N75</f>
        <v>2275.3199999999997</v>
      </c>
      <c r="P75" s="14">
        <f>IFERROR(ROUND(SUM(S76,S77)/I75, 2),0)</f>
        <v>48972.800000000003</v>
      </c>
      <c r="Q75" s="16">
        <v>63060</v>
      </c>
      <c r="R75" s="14">
        <f>P75+ROUND(Q75, 2)</f>
        <v>112032.8</v>
      </c>
      <c r="S75" s="14">
        <f>ROUND(P75*I75, 2)</f>
        <v>1224.32</v>
      </c>
      <c r="T75" s="14">
        <f>ROUND(I75*ROUND(Q75, 2), 2)</f>
        <v>1576.5</v>
      </c>
      <c r="U75" s="14">
        <f>S75+T75</f>
        <v>2800.8199999999997</v>
      </c>
      <c r="V75" s="9">
        <f>ROUND(P75 / 1.2, 2)</f>
        <v>40810.67</v>
      </c>
      <c r="W75" s="9">
        <f>ROUND(Q75 / 1.2, 2)</f>
        <v>52550</v>
      </c>
      <c r="X75" s="9">
        <f>ROUND(R75 / 1.2, 2)</f>
        <v>93360.67</v>
      </c>
      <c r="Y75" s="9">
        <f>ROUND(S75 / 1.2, 2)</f>
        <v>1020.27</v>
      </c>
      <c r="Z75" s="9">
        <f>ROUND(T75 / 1.2, 2)</f>
        <v>1313.75</v>
      </c>
      <c r="AA75" s="9">
        <f>Y75+Z75</f>
        <v>2334.02</v>
      </c>
      <c r="AD75" s="4">
        <v>311044298</v>
      </c>
      <c r="AE75" s="4">
        <v>22708550</v>
      </c>
      <c r="AG75" s="4" t="s">
        <v>319</v>
      </c>
      <c r="AH75" s="4" t="s">
        <v>320</v>
      </c>
      <c r="AI75" s="4" t="s">
        <v>156</v>
      </c>
    </row>
    <row r="76" spans="1:35" ht="36" x14ac:dyDescent="0.3">
      <c r="A76" s="10" t="s">
        <v>321</v>
      </c>
      <c r="B76" s="10"/>
      <c r="C76" s="17" t="s">
        <v>322</v>
      </c>
      <c r="D76" s="12"/>
      <c r="E76" s="12"/>
      <c r="F76" s="18" t="s">
        <v>88</v>
      </c>
      <c r="G76" s="19">
        <v>1</v>
      </c>
      <c r="H76" s="19"/>
      <c r="I76" s="19">
        <v>2.5000000000000001E-2</v>
      </c>
      <c r="J76" s="20">
        <v>8712.84</v>
      </c>
      <c r="M76" s="21">
        <f>ROUND(ROUND(J76, 2)*I76, 2)</f>
        <v>217.82</v>
      </c>
      <c r="P76" s="22">
        <v>8712.84</v>
      </c>
      <c r="S76" s="21">
        <f>ROUND(ROUND(P76, 2)*I76, 2)</f>
        <v>217.82</v>
      </c>
      <c r="V76" s="9">
        <f>ROUND(ROUND(P76, 2)/1.2, 2)</f>
        <v>7260.7</v>
      </c>
      <c r="Y76" s="9">
        <f t="shared" ref="Y76:Y98" si="8">ROUND(S76 / 1.2, 2)</f>
        <v>181.52</v>
      </c>
      <c r="AD76" s="4" t="s">
        <v>323</v>
      </c>
      <c r="AE76" s="4" t="s">
        <v>324</v>
      </c>
      <c r="AF76" s="4" t="s">
        <v>325</v>
      </c>
    </row>
    <row r="77" spans="1:35" ht="18" x14ac:dyDescent="0.3">
      <c r="A77" s="10" t="s">
        <v>326</v>
      </c>
      <c r="B77" s="10"/>
      <c r="C77" s="23" t="s">
        <v>327</v>
      </c>
      <c r="D77" s="12"/>
      <c r="E77" s="12"/>
      <c r="F77" s="18" t="s">
        <v>318</v>
      </c>
      <c r="G77" s="19">
        <v>1</v>
      </c>
      <c r="H77" s="24"/>
      <c r="I77" s="24">
        <v>2.5000000000000001E-2</v>
      </c>
      <c r="J77" s="20">
        <v>40260</v>
      </c>
      <c r="M77" s="21">
        <f>ROUND(ROUND(J77, 2)*I77, 2)</f>
        <v>1006.5</v>
      </c>
      <c r="P77" s="22">
        <v>40260</v>
      </c>
      <c r="S77" s="21">
        <f>ROUND(ROUND(P77, 2)*I77, 2)</f>
        <v>1006.5</v>
      </c>
      <c r="V77" s="9">
        <f>ROUND(ROUND(P77, 2)/1.2, 2)</f>
        <v>33550</v>
      </c>
      <c r="Y77" s="9">
        <f t="shared" si="8"/>
        <v>838.75</v>
      </c>
      <c r="AD77" s="4" t="s">
        <v>328</v>
      </c>
      <c r="AE77" s="4" t="s">
        <v>329</v>
      </c>
      <c r="AF77" s="4" t="s">
        <v>330</v>
      </c>
    </row>
    <row r="78" spans="1:35" ht="70.2" customHeight="1" x14ac:dyDescent="0.3">
      <c r="A78" s="10" t="s">
        <v>331</v>
      </c>
      <c r="B78" s="10" t="s">
        <v>332</v>
      </c>
      <c r="C78" s="32" t="s">
        <v>333</v>
      </c>
      <c r="D78" s="12" t="s">
        <v>334</v>
      </c>
      <c r="E78" s="12" t="s">
        <v>335</v>
      </c>
      <c r="F78" s="12" t="s">
        <v>318</v>
      </c>
      <c r="G78" s="13">
        <v>1</v>
      </c>
      <c r="H78" s="13"/>
      <c r="I78" s="13">
        <v>0.33400000000000002</v>
      </c>
      <c r="J78" s="14">
        <f>IFERROR(ROUND(SUM(M79,M80,M81)/I78, 2),0)</f>
        <v>90894.34</v>
      </c>
      <c r="K78" s="15">
        <v>60058</v>
      </c>
      <c r="L78" s="14">
        <f>J78+ROUND(K78, 2)</f>
        <v>150952.34</v>
      </c>
      <c r="M78" s="14">
        <f>ROUND(J78*I78, 2)</f>
        <v>30358.71</v>
      </c>
      <c r="N78" s="14">
        <f>ROUND(I78*ROUND(K78, 2), 2)</f>
        <v>20059.37</v>
      </c>
      <c r="O78" s="14">
        <f>M78+N78</f>
        <v>50418.080000000002</v>
      </c>
      <c r="P78" s="14">
        <f>IFERROR(ROUND(SUM(S79,S80,S81)/I78, 2),0)</f>
        <v>90894.34</v>
      </c>
      <c r="Q78" s="16">
        <v>90087</v>
      </c>
      <c r="R78" s="14">
        <f>P78+ROUND(Q78, 2)</f>
        <v>180981.34</v>
      </c>
      <c r="S78" s="14">
        <f>ROUND(P78*I78, 2)</f>
        <v>30358.71</v>
      </c>
      <c r="T78" s="14">
        <f>ROUND(I78*ROUND(Q78, 2), 2)</f>
        <v>30089.06</v>
      </c>
      <c r="U78" s="14">
        <f>S78+T78</f>
        <v>60447.770000000004</v>
      </c>
      <c r="V78" s="9">
        <f>ROUND(P78 / 1.2, 2)</f>
        <v>75745.279999999999</v>
      </c>
      <c r="W78" s="9">
        <f>ROUND(Q78 / 1.2, 2)</f>
        <v>75072.5</v>
      </c>
      <c r="X78" s="9">
        <f>ROUND(R78 / 1.2, 2)</f>
        <v>150817.78</v>
      </c>
      <c r="Y78" s="9">
        <f t="shared" si="8"/>
        <v>25298.93</v>
      </c>
      <c r="Z78" s="9">
        <f>ROUND(T78 / 1.2, 2)</f>
        <v>25074.22</v>
      </c>
      <c r="AA78" s="9">
        <f>Y78+Z78</f>
        <v>50373.15</v>
      </c>
      <c r="AD78" s="4">
        <v>311044300</v>
      </c>
      <c r="AE78" s="4">
        <v>22703684</v>
      </c>
      <c r="AG78" s="4" t="s">
        <v>336</v>
      </c>
      <c r="AH78" s="4" t="s">
        <v>337</v>
      </c>
      <c r="AI78" s="4" t="s">
        <v>156</v>
      </c>
    </row>
    <row r="79" spans="1:35" ht="18" x14ac:dyDescent="0.3">
      <c r="A79" s="10" t="s">
        <v>338</v>
      </c>
      <c r="B79" s="10"/>
      <c r="C79" s="17" t="s">
        <v>339</v>
      </c>
      <c r="D79" s="12"/>
      <c r="E79" s="12" t="s">
        <v>340</v>
      </c>
      <c r="F79" s="18" t="s">
        <v>318</v>
      </c>
      <c r="G79" s="19">
        <v>1.03</v>
      </c>
      <c r="H79" s="24"/>
      <c r="I79" s="24">
        <v>4.4999999999999998E-2</v>
      </c>
      <c r="J79" s="20">
        <v>90475.16</v>
      </c>
      <c r="M79" s="21">
        <f>ROUND(ROUND(J79, 2)*I79, 2)</f>
        <v>4071.38</v>
      </c>
      <c r="P79" s="22">
        <v>90475.16</v>
      </c>
      <c r="S79" s="21">
        <f>ROUND(ROUND(P79, 2)*I79, 2)</f>
        <v>4071.38</v>
      </c>
      <c r="V79" s="9">
        <f>ROUND(ROUND(P79, 2)/1.2, 2)</f>
        <v>75395.97</v>
      </c>
      <c r="Y79" s="9">
        <f t="shared" si="8"/>
        <v>3392.82</v>
      </c>
      <c r="AD79" s="4" t="s">
        <v>341</v>
      </c>
      <c r="AE79" s="4" t="s">
        <v>342</v>
      </c>
      <c r="AF79" s="4" t="s">
        <v>343</v>
      </c>
    </row>
    <row r="80" spans="1:35" ht="78" customHeight="1" x14ac:dyDescent="0.3">
      <c r="A80" s="10" t="s">
        <v>344</v>
      </c>
      <c r="B80" s="10"/>
      <c r="C80" s="17" t="s">
        <v>345</v>
      </c>
      <c r="D80" s="12"/>
      <c r="E80" s="12" t="s">
        <v>346</v>
      </c>
      <c r="F80" s="18" t="s">
        <v>318</v>
      </c>
      <c r="G80" s="19">
        <v>1.03</v>
      </c>
      <c r="H80" s="24"/>
      <c r="I80" s="24">
        <v>0.29899999999999999</v>
      </c>
      <c r="J80" s="20">
        <v>84640.9</v>
      </c>
      <c r="M80" s="21">
        <f>ROUND(ROUND(J80, 2)*I80, 2)</f>
        <v>25307.63</v>
      </c>
      <c r="P80" s="22">
        <v>84640.9</v>
      </c>
      <c r="S80" s="21">
        <f>ROUND(ROUND(P80, 2)*I80, 2)</f>
        <v>25307.63</v>
      </c>
      <c r="V80" s="9">
        <f>ROUND(ROUND(P80, 2)/1.2, 2)</f>
        <v>70534.080000000002</v>
      </c>
      <c r="Y80" s="9">
        <f t="shared" si="8"/>
        <v>21089.69</v>
      </c>
      <c r="AD80" s="4" t="s">
        <v>347</v>
      </c>
      <c r="AE80" s="4" t="s">
        <v>348</v>
      </c>
      <c r="AF80" s="4" t="s">
        <v>349</v>
      </c>
    </row>
    <row r="81" spans="1:35" ht="36" x14ac:dyDescent="0.3">
      <c r="A81" s="10" t="s">
        <v>350</v>
      </c>
      <c r="B81" s="10"/>
      <c r="C81" s="17" t="s">
        <v>351</v>
      </c>
      <c r="D81" s="12"/>
      <c r="E81" s="12"/>
      <c r="F81" s="18" t="s">
        <v>88</v>
      </c>
      <c r="G81" s="19">
        <v>1</v>
      </c>
      <c r="H81" s="19"/>
      <c r="I81" s="19">
        <v>0.33400000000000002</v>
      </c>
      <c r="J81" s="20">
        <v>2933.23</v>
      </c>
      <c r="M81" s="21">
        <f>ROUND(ROUND(J81, 2)*I81, 2)</f>
        <v>979.7</v>
      </c>
      <c r="P81" s="22">
        <v>2933.23</v>
      </c>
      <c r="S81" s="21">
        <f>ROUND(ROUND(P81, 2)*I81, 2)</f>
        <v>979.7</v>
      </c>
      <c r="V81" s="9">
        <f>ROUND(ROUND(P81, 2)/1.2, 2)</f>
        <v>2444.36</v>
      </c>
      <c r="Y81" s="9">
        <f t="shared" si="8"/>
        <v>816.42</v>
      </c>
      <c r="AD81" s="4" t="s">
        <v>352</v>
      </c>
      <c r="AE81" s="4" t="s">
        <v>353</v>
      </c>
      <c r="AF81" s="4" t="s">
        <v>354</v>
      </c>
    </row>
    <row r="82" spans="1:35" ht="108" x14ac:dyDescent="0.3">
      <c r="A82" s="10" t="s">
        <v>355</v>
      </c>
      <c r="B82" s="10" t="s">
        <v>332</v>
      </c>
      <c r="C82" s="32" t="s">
        <v>333</v>
      </c>
      <c r="D82" s="12" t="s">
        <v>334</v>
      </c>
      <c r="E82" s="12" t="s">
        <v>356</v>
      </c>
      <c r="F82" s="12" t="s">
        <v>318</v>
      </c>
      <c r="G82" s="13">
        <v>1</v>
      </c>
      <c r="H82" s="13"/>
      <c r="I82" s="13">
        <v>0.36499999999999999</v>
      </c>
      <c r="J82" s="14">
        <f>IFERROR(ROUND(SUM(M83,M84,M85)/I82, 2),0)</f>
        <v>91659.45</v>
      </c>
      <c r="K82" s="15">
        <v>60058</v>
      </c>
      <c r="L82" s="14">
        <f>J82+ROUND(K82, 2)</f>
        <v>151717.45000000001</v>
      </c>
      <c r="M82" s="14">
        <f>ROUND(J82*I82, 2)</f>
        <v>33455.699999999997</v>
      </c>
      <c r="N82" s="14">
        <f>ROUND(I82*ROUND(K82, 2), 2)</f>
        <v>21921.17</v>
      </c>
      <c r="O82" s="14">
        <f>M82+N82</f>
        <v>55376.869999999995</v>
      </c>
      <c r="P82" s="14">
        <f>IFERROR(ROUND(SUM(S83,S84,S85)/I82, 2),0)</f>
        <v>91659.45</v>
      </c>
      <c r="Q82" s="16">
        <v>90087</v>
      </c>
      <c r="R82" s="14">
        <f>P82+ROUND(Q82, 2)</f>
        <v>181746.45</v>
      </c>
      <c r="S82" s="14">
        <f>ROUND(P82*I82, 2)</f>
        <v>33455.699999999997</v>
      </c>
      <c r="T82" s="14">
        <f>ROUND(I82*ROUND(Q82, 2), 2)</f>
        <v>32881.760000000002</v>
      </c>
      <c r="U82" s="14">
        <f>S82+T82</f>
        <v>66337.459999999992</v>
      </c>
      <c r="V82" s="9">
        <f>ROUND(P82 / 1.2, 2)</f>
        <v>76382.880000000005</v>
      </c>
      <c r="W82" s="9">
        <f>ROUND(Q82 / 1.2, 2)</f>
        <v>75072.5</v>
      </c>
      <c r="X82" s="9">
        <f>ROUND(R82 / 1.2, 2)</f>
        <v>151455.38</v>
      </c>
      <c r="Y82" s="9">
        <f t="shared" si="8"/>
        <v>27879.75</v>
      </c>
      <c r="Z82" s="9">
        <f>ROUND(T82 / 1.2, 2)</f>
        <v>27401.47</v>
      </c>
      <c r="AA82" s="9">
        <f>Y82+Z82</f>
        <v>55281.22</v>
      </c>
      <c r="AD82" s="4">
        <v>311044414</v>
      </c>
      <c r="AE82" s="4">
        <v>22703683</v>
      </c>
      <c r="AG82" s="4" t="s">
        <v>336</v>
      </c>
      <c r="AH82" s="4" t="s">
        <v>337</v>
      </c>
      <c r="AI82" s="4" t="s">
        <v>156</v>
      </c>
    </row>
    <row r="83" spans="1:35" ht="36" x14ac:dyDescent="0.3">
      <c r="A83" s="10" t="s">
        <v>357</v>
      </c>
      <c r="B83" s="10"/>
      <c r="C83" s="17" t="s">
        <v>351</v>
      </c>
      <c r="D83" s="12"/>
      <c r="E83" s="12"/>
      <c r="F83" s="18" t="s">
        <v>88</v>
      </c>
      <c r="G83" s="19">
        <v>1</v>
      </c>
      <c r="H83" s="19"/>
      <c r="I83" s="19">
        <v>0.36499999999999999</v>
      </c>
      <c r="J83" s="20">
        <v>2933.23</v>
      </c>
      <c r="M83" s="21">
        <f>ROUND(ROUND(J83, 2)*I83, 2)</f>
        <v>1070.6300000000001</v>
      </c>
      <c r="P83" s="22">
        <v>2933.23</v>
      </c>
      <c r="S83" s="21">
        <f>ROUND(ROUND(P83, 2)*I83, 2)</f>
        <v>1070.6300000000001</v>
      </c>
      <c r="V83" s="9">
        <f>ROUND(ROUND(P83, 2)/1.2, 2)</f>
        <v>2444.36</v>
      </c>
      <c r="Y83" s="9">
        <f t="shared" si="8"/>
        <v>892.19</v>
      </c>
      <c r="AD83" s="4" t="s">
        <v>358</v>
      </c>
      <c r="AE83" s="4" t="s">
        <v>359</v>
      </c>
      <c r="AF83" s="4" t="s">
        <v>354</v>
      </c>
    </row>
    <row r="84" spans="1:35" ht="18" x14ac:dyDescent="0.3">
      <c r="A84" s="10" t="s">
        <v>360</v>
      </c>
      <c r="B84" s="10"/>
      <c r="C84" s="17" t="s">
        <v>345</v>
      </c>
      <c r="D84" s="12"/>
      <c r="E84" s="12"/>
      <c r="F84" s="18" t="s">
        <v>318</v>
      </c>
      <c r="G84" s="19">
        <v>1.03</v>
      </c>
      <c r="H84" s="24"/>
      <c r="I84" s="24">
        <v>0.28000000000000003</v>
      </c>
      <c r="J84" s="20">
        <v>84640.9</v>
      </c>
      <c r="M84" s="21">
        <f>ROUND(ROUND(J84, 2)*I84, 2)</f>
        <v>23699.45</v>
      </c>
      <c r="P84" s="22">
        <v>84640.9</v>
      </c>
      <c r="S84" s="21">
        <f>ROUND(ROUND(P84, 2)*I84, 2)</f>
        <v>23699.45</v>
      </c>
      <c r="V84" s="9">
        <f>ROUND(ROUND(P84, 2)/1.2, 2)</f>
        <v>70534.080000000002</v>
      </c>
      <c r="Y84" s="9">
        <f t="shared" si="8"/>
        <v>19749.54</v>
      </c>
      <c r="AD84" s="4" t="s">
        <v>361</v>
      </c>
      <c r="AE84" s="4" t="s">
        <v>362</v>
      </c>
      <c r="AF84" s="4" t="s">
        <v>349</v>
      </c>
    </row>
    <row r="85" spans="1:35" ht="18" x14ac:dyDescent="0.3">
      <c r="A85" s="10" t="s">
        <v>363</v>
      </c>
      <c r="B85" s="10"/>
      <c r="C85" s="17" t="s">
        <v>339</v>
      </c>
      <c r="D85" s="12"/>
      <c r="E85" s="12"/>
      <c r="F85" s="18" t="s">
        <v>318</v>
      </c>
      <c r="G85" s="19">
        <v>1.03</v>
      </c>
      <c r="H85" s="24"/>
      <c r="I85" s="24">
        <v>9.6000000000000002E-2</v>
      </c>
      <c r="J85" s="20">
        <v>90475.16</v>
      </c>
      <c r="M85" s="21">
        <f>ROUND(ROUND(J85, 2)*I85, 2)</f>
        <v>8685.6200000000008</v>
      </c>
      <c r="P85" s="22">
        <v>90475.16</v>
      </c>
      <c r="S85" s="21">
        <f>ROUND(ROUND(P85, 2)*I85, 2)</f>
        <v>8685.6200000000008</v>
      </c>
      <c r="V85" s="9">
        <f>ROUND(ROUND(P85, 2)/1.2, 2)</f>
        <v>75395.97</v>
      </c>
      <c r="Y85" s="9">
        <f t="shared" si="8"/>
        <v>7238.02</v>
      </c>
      <c r="AD85" s="4" t="s">
        <v>364</v>
      </c>
      <c r="AE85" s="4" t="s">
        <v>365</v>
      </c>
      <c r="AF85" s="4" t="s">
        <v>343</v>
      </c>
    </row>
    <row r="86" spans="1:35" ht="89.4" customHeight="1" x14ac:dyDescent="0.3">
      <c r="A86" s="10" t="s">
        <v>366</v>
      </c>
      <c r="B86" s="10" t="s">
        <v>332</v>
      </c>
      <c r="C86" s="32" t="s">
        <v>333</v>
      </c>
      <c r="D86" s="12" t="s">
        <v>334</v>
      </c>
      <c r="E86" s="12" t="s">
        <v>367</v>
      </c>
      <c r="F86" s="12" t="s">
        <v>318</v>
      </c>
      <c r="G86" s="13">
        <v>1</v>
      </c>
      <c r="H86" s="13"/>
      <c r="I86" s="13">
        <v>2.0030000000000001</v>
      </c>
      <c r="J86" s="14">
        <f>IFERROR(ROUND(SUM(M87,M88,M89)/I86, 2),0)</f>
        <v>91638.8</v>
      </c>
      <c r="K86" s="15">
        <v>60058</v>
      </c>
      <c r="L86" s="14">
        <f>J86+ROUND(K86, 2)</f>
        <v>151696.79999999999</v>
      </c>
      <c r="M86" s="14">
        <f>ROUND(J86*I86, 2)</f>
        <v>183552.52</v>
      </c>
      <c r="N86" s="14">
        <f>ROUND(I86*ROUND(K86, 2), 2)</f>
        <v>120296.17</v>
      </c>
      <c r="O86" s="14">
        <f>M86+N86</f>
        <v>303848.69</v>
      </c>
      <c r="P86" s="14">
        <f>IFERROR(ROUND(SUM(S87,S88,S89)/I86, 2),0)</f>
        <v>91638.8</v>
      </c>
      <c r="Q86" s="16">
        <v>90087</v>
      </c>
      <c r="R86" s="14">
        <f>P86+ROUND(Q86, 2)</f>
        <v>181725.8</v>
      </c>
      <c r="S86" s="14">
        <f>ROUND(P86*I86, 2)</f>
        <v>183552.52</v>
      </c>
      <c r="T86" s="14">
        <f>ROUND(I86*ROUND(Q86, 2), 2)</f>
        <v>180444.26</v>
      </c>
      <c r="U86" s="14">
        <f>S86+T86</f>
        <v>363996.78</v>
      </c>
      <c r="V86" s="9">
        <f>ROUND(P86 / 1.2, 2)</f>
        <v>76365.67</v>
      </c>
      <c r="W86" s="9">
        <f>ROUND(Q86 / 1.2, 2)</f>
        <v>75072.5</v>
      </c>
      <c r="X86" s="9">
        <f>ROUND(R86 / 1.2, 2)</f>
        <v>151438.17000000001</v>
      </c>
      <c r="Y86" s="9">
        <f t="shared" si="8"/>
        <v>152960.43</v>
      </c>
      <c r="Z86" s="9">
        <f>ROUND(T86 / 1.2, 2)</f>
        <v>150370.22</v>
      </c>
      <c r="AA86" s="9">
        <f>Y86+Z86</f>
        <v>303330.65000000002</v>
      </c>
      <c r="AD86" s="4">
        <v>311044415</v>
      </c>
      <c r="AE86" s="4">
        <v>22713686</v>
      </c>
      <c r="AG86" s="4" t="s">
        <v>336</v>
      </c>
      <c r="AH86" s="4" t="s">
        <v>337</v>
      </c>
      <c r="AI86" s="4" t="s">
        <v>156</v>
      </c>
    </row>
    <row r="87" spans="1:35" ht="18" x14ac:dyDescent="0.3">
      <c r="A87" s="10" t="s">
        <v>368</v>
      </c>
      <c r="B87" s="10"/>
      <c r="C87" s="17" t="s">
        <v>339</v>
      </c>
      <c r="D87" s="12"/>
      <c r="E87" s="12"/>
      <c r="F87" s="18" t="s">
        <v>318</v>
      </c>
      <c r="G87" s="19">
        <v>1.03</v>
      </c>
      <c r="H87" s="24"/>
      <c r="I87" s="24">
        <v>0.496</v>
      </c>
      <c r="J87" s="20">
        <v>90475.16</v>
      </c>
      <c r="M87" s="21">
        <f>ROUND(ROUND(J87, 2)*I87, 2)</f>
        <v>44875.68</v>
      </c>
      <c r="P87" s="22">
        <v>90475.16</v>
      </c>
      <c r="S87" s="21">
        <f>ROUND(ROUND(P87, 2)*I87, 2)</f>
        <v>44875.68</v>
      </c>
      <c r="V87" s="9">
        <f>ROUND(ROUND(P87, 2)/1.2, 2)</f>
        <v>75395.97</v>
      </c>
      <c r="Y87" s="9">
        <f t="shared" si="8"/>
        <v>37396.400000000001</v>
      </c>
      <c r="AD87" s="4" t="s">
        <v>369</v>
      </c>
      <c r="AE87" s="4" t="s">
        <v>370</v>
      </c>
      <c r="AF87" s="4" t="s">
        <v>343</v>
      </c>
    </row>
    <row r="88" spans="1:35" ht="18" x14ac:dyDescent="0.3">
      <c r="A88" s="10" t="s">
        <v>371</v>
      </c>
      <c r="B88" s="10"/>
      <c r="C88" s="17" t="s">
        <v>345</v>
      </c>
      <c r="D88" s="12"/>
      <c r="E88" s="12"/>
      <c r="F88" s="18" t="s">
        <v>318</v>
      </c>
      <c r="G88" s="19">
        <v>1.03</v>
      </c>
      <c r="H88" s="24"/>
      <c r="I88" s="24">
        <v>1.569</v>
      </c>
      <c r="J88" s="20">
        <v>84640.9</v>
      </c>
      <c r="M88" s="21">
        <f>ROUND(ROUND(J88, 2)*I88, 2)</f>
        <v>132801.57</v>
      </c>
      <c r="P88" s="22">
        <v>84640.9</v>
      </c>
      <c r="S88" s="21">
        <f>ROUND(ROUND(P88, 2)*I88, 2)</f>
        <v>132801.57</v>
      </c>
      <c r="V88" s="9">
        <f>ROUND(ROUND(P88, 2)/1.2, 2)</f>
        <v>70534.080000000002</v>
      </c>
      <c r="Y88" s="9">
        <f t="shared" si="8"/>
        <v>110667.98</v>
      </c>
      <c r="AD88" s="4" t="s">
        <v>372</v>
      </c>
      <c r="AE88" s="4" t="s">
        <v>373</v>
      </c>
      <c r="AF88" s="4" t="s">
        <v>349</v>
      </c>
    </row>
    <row r="89" spans="1:35" ht="36" x14ac:dyDescent="0.3">
      <c r="A89" s="10" t="s">
        <v>374</v>
      </c>
      <c r="B89" s="10"/>
      <c r="C89" s="17" t="s">
        <v>351</v>
      </c>
      <c r="D89" s="12"/>
      <c r="E89" s="12"/>
      <c r="F89" s="18" t="s">
        <v>88</v>
      </c>
      <c r="G89" s="19">
        <v>1</v>
      </c>
      <c r="H89" s="19"/>
      <c r="I89" s="19">
        <v>2.0030000000000001</v>
      </c>
      <c r="J89" s="20">
        <v>2933.23</v>
      </c>
      <c r="M89" s="21">
        <f>ROUND(ROUND(J89, 2)*I89, 2)</f>
        <v>5875.26</v>
      </c>
      <c r="P89" s="22">
        <v>2933.23</v>
      </c>
      <c r="S89" s="21">
        <f>ROUND(ROUND(P89, 2)*I89, 2)</f>
        <v>5875.26</v>
      </c>
      <c r="V89" s="9">
        <f>ROUND(ROUND(P89, 2)/1.2, 2)</f>
        <v>2444.36</v>
      </c>
      <c r="Y89" s="9">
        <f t="shared" si="8"/>
        <v>4896.05</v>
      </c>
      <c r="AD89" s="4" t="s">
        <v>375</v>
      </c>
      <c r="AE89" s="4" t="s">
        <v>376</v>
      </c>
      <c r="AF89" s="4" t="s">
        <v>354</v>
      </c>
    </row>
    <row r="90" spans="1:35" ht="409.6" customHeight="1" x14ac:dyDescent="0.3">
      <c r="A90" s="10" t="s">
        <v>377</v>
      </c>
      <c r="B90" s="10" t="s">
        <v>378</v>
      </c>
      <c r="C90" s="11" t="s">
        <v>379</v>
      </c>
      <c r="D90" s="12" t="s">
        <v>380</v>
      </c>
      <c r="E90" s="12" t="s">
        <v>2232</v>
      </c>
      <c r="F90" s="12" t="s">
        <v>318</v>
      </c>
      <c r="G90" s="13">
        <v>1</v>
      </c>
      <c r="H90" s="13"/>
      <c r="I90" s="13">
        <v>7.7649999999999997</v>
      </c>
      <c r="J90" s="14">
        <f>IFERROR(ROUND(SUM(M91,M92)/I90, 2),0)</f>
        <v>72590</v>
      </c>
      <c r="K90" s="15">
        <v>108112</v>
      </c>
      <c r="L90" s="14">
        <f>J90+ROUND(K90, 2)</f>
        <v>180702</v>
      </c>
      <c r="M90" s="14">
        <f>ROUND(J90*I90, 2)</f>
        <v>563661.35</v>
      </c>
      <c r="N90" s="14">
        <f>ROUND(I90*ROUND(K90, 2), 2)</f>
        <v>839489.68</v>
      </c>
      <c r="O90" s="14">
        <f>M90+N90</f>
        <v>1403151.03</v>
      </c>
      <c r="P90" s="14">
        <f>IFERROR(ROUND(SUM(S91,S92)/I90, 2),0)</f>
        <v>146421.04</v>
      </c>
      <c r="Q90" s="16">
        <v>162168</v>
      </c>
      <c r="R90" s="14">
        <f>P90+ROUND(Q90, 2)</f>
        <v>308589.04000000004</v>
      </c>
      <c r="S90" s="14">
        <f>ROUND(P90*I90, 2)</f>
        <v>1136959.3799999999</v>
      </c>
      <c r="T90" s="14">
        <f>ROUND(I90*ROUND(Q90, 2), 2)</f>
        <v>1259234.52</v>
      </c>
      <c r="U90" s="14">
        <f>S90+T90</f>
        <v>2396193.9</v>
      </c>
      <c r="V90" s="9">
        <f>ROUND(P90 / 1.2, 2)</f>
        <v>122017.53</v>
      </c>
      <c r="W90" s="9">
        <f>ROUND(Q90 / 1.2, 2)</f>
        <v>135140</v>
      </c>
      <c r="X90" s="9">
        <f>ROUND(R90 / 1.2, 2)</f>
        <v>257157.53</v>
      </c>
      <c r="Y90" s="9">
        <f t="shared" si="8"/>
        <v>947466.15</v>
      </c>
      <c r="Z90" s="9">
        <f>ROUND(T90 / 1.2, 2)</f>
        <v>1049362.1000000001</v>
      </c>
      <c r="AA90" s="9">
        <f>Y90+Z90</f>
        <v>1996828.25</v>
      </c>
      <c r="AD90" s="4">
        <v>311044302</v>
      </c>
      <c r="AE90" s="4">
        <v>22708559</v>
      </c>
      <c r="AG90" s="4" t="s">
        <v>382</v>
      </c>
      <c r="AH90" s="4" t="s">
        <v>383</v>
      </c>
      <c r="AI90" s="4" t="s">
        <v>156</v>
      </c>
    </row>
    <row r="91" spans="1:35" ht="54" x14ac:dyDescent="0.3">
      <c r="A91" s="10" t="s">
        <v>384</v>
      </c>
      <c r="B91" s="10"/>
      <c r="C91" s="17" t="s">
        <v>385</v>
      </c>
      <c r="D91" s="12"/>
      <c r="E91" s="12"/>
      <c r="F91" s="18" t="s">
        <v>318</v>
      </c>
      <c r="G91" s="19">
        <v>1</v>
      </c>
      <c r="H91" s="19"/>
      <c r="I91" s="19">
        <v>7.7649999999999997</v>
      </c>
      <c r="J91" s="20">
        <v>72590</v>
      </c>
      <c r="M91" s="21">
        <f>ROUND(ROUND(J91, 2)*I91, 2)</f>
        <v>563661.35</v>
      </c>
      <c r="P91" s="22">
        <v>72590</v>
      </c>
      <c r="S91" s="21">
        <f>ROUND(ROUND(P91, 2)*I91, 2)</f>
        <v>563661.35</v>
      </c>
      <c r="V91" s="9">
        <f>ROUND(ROUND(P91, 2)/1.2, 2)</f>
        <v>60491.67</v>
      </c>
      <c r="Y91" s="9">
        <f t="shared" si="8"/>
        <v>469717.79</v>
      </c>
      <c r="AD91" s="4" t="s">
        <v>386</v>
      </c>
      <c r="AE91" s="4" t="s">
        <v>387</v>
      </c>
      <c r="AF91" s="4" t="s">
        <v>388</v>
      </c>
    </row>
    <row r="92" spans="1:35" ht="108" x14ac:dyDescent="0.3">
      <c r="A92" s="10" t="s">
        <v>389</v>
      </c>
      <c r="B92" s="10"/>
      <c r="C92" s="17" t="s">
        <v>390</v>
      </c>
      <c r="D92" s="12"/>
      <c r="E92" s="12" t="s">
        <v>391</v>
      </c>
      <c r="F92" s="18" t="s">
        <v>139</v>
      </c>
      <c r="G92" s="19">
        <v>1</v>
      </c>
      <c r="H92" s="24"/>
      <c r="I92" s="24">
        <v>2266</v>
      </c>
      <c r="J92" s="20">
        <v>0</v>
      </c>
      <c r="M92" s="21">
        <f>ROUND(ROUND(J92, 2)*I92, 2)</f>
        <v>0</v>
      </c>
      <c r="P92" s="22">
        <v>253</v>
      </c>
      <c r="S92" s="21">
        <f>ROUND(ROUND(P92, 2)*I92, 2)</f>
        <v>573298</v>
      </c>
      <c r="V92" s="9">
        <f>ROUND(ROUND(P92, 2)/1.2, 2)</f>
        <v>210.83</v>
      </c>
      <c r="Y92" s="9">
        <f t="shared" si="8"/>
        <v>477748.33</v>
      </c>
      <c r="AD92" s="4" t="s">
        <v>392</v>
      </c>
      <c r="AE92" s="4" t="s">
        <v>393</v>
      </c>
      <c r="AF92" s="4" t="s">
        <v>394</v>
      </c>
    </row>
    <row r="93" spans="1:35" ht="36" x14ac:dyDescent="0.3">
      <c r="A93" s="10" t="s">
        <v>395</v>
      </c>
      <c r="B93" s="10" t="s">
        <v>396</v>
      </c>
      <c r="C93" s="33" t="s">
        <v>397</v>
      </c>
      <c r="D93" s="12"/>
      <c r="E93" s="12" t="s">
        <v>398</v>
      </c>
      <c r="F93" s="12" t="s">
        <v>318</v>
      </c>
      <c r="G93" s="13">
        <v>1</v>
      </c>
      <c r="H93" s="13"/>
      <c r="I93" s="13">
        <v>1.59</v>
      </c>
      <c r="J93" s="14">
        <f>IFERROR(ROUND(SUM(M94)/I93, 2),0)</f>
        <v>0</v>
      </c>
      <c r="K93" s="15">
        <v>96922</v>
      </c>
      <c r="L93" s="14">
        <f>J93+ROUND(K93, 2)</f>
        <v>96922</v>
      </c>
      <c r="M93" s="14">
        <f>ROUND(J93*I93, 2)</f>
        <v>0</v>
      </c>
      <c r="N93" s="14">
        <f>ROUND(I93*ROUND(K93, 2), 2)</f>
        <v>154105.98000000001</v>
      </c>
      <c r="O93" s="14">
        <f>M93+N93</f>
        <v>154105.98000000001</v>
      </c>
      <c r="P93" s="14">
        <f>IFERROR(ROUND(SUM(S94)/I93, 2),0)</f>
        <v>124530</v>
      </c>
      <c r="Q93" s="16">
        <v>145383</v>
      </c>
      <c r="R93" s="14">
        <f>P93+ROUND(Q93, 2)</f>
        <v>269913</v>
      </c>
      <c r="S93" s="14">
        <f>ROUND(P93*I93, 2)</f>
        <v>198002.7</v>
      </c>
      <c r="T93" s="14">
        <f>ROUND(I93*ROUND(Q93, 2), 2)</f>
        <v>231158.97</v>
      </c>
      <c r="U93" s="14">
        <f>S93+T93</f>
        <v>429161.67000000004</v>
      </c>
      <c r="V93" s="9">
        <f>ROUND(P93 / 1.2, 2)</f>
        <v>103775</v>
      </c>
      <c r="W93" s="9">
        <f>ROUND(Q93 / 1.2, 2)</f>
        <v>121152.5</v>
      </c>
      <c r="X93" s="9">
        <f>ROUND(R93 / 1.2, 2)</f>
        <v>224927.5</v>
      </c>
      <c r="Y93" s="9">
        <f t="shared" si="8"/>
        <v>165002.25</v>
      </c>
      <c r="Z93" s="9">
        <f>ROUND(T93 / 1.2, 2)</f>
        <v>192632.48</v>
      </c>
      <c r="AA93" s="9">
        <f>Y93+Z93</f>
        <v>357634.73</v>
      </c>
      <c r="AD93" s="4">
        <v>311044304</v>
      </c>
      <c r="AE93" s="4">
        <v>22708555</v>
      </c>
      <c r="AG93" s="4" t="s">
        <v>399</v>
      </c>
      <c r="AH93" s="4" t="s">
        <v>400</v>
      </c>
      <c r="AI93" s="4" t="s">
        <v>156</v>
      </c>
    </row>
    <row r="94" spans="1:35" ht="36" x14ac:dyDescent="0.3">
      <c r="A94" s="10" t="s">
        <v>401</v>
      </c>
      <c r="B94" s="10"/>
      <c r="C94" s="17" t="s">
        <v>402</v>
      </c>
      <c r="D94" s="12"/>
      <c r="E94" s="12"/>
      <c r="F94" s="18" t="s">
        <v>318</v>
      </c>
      <c r="G94" s="19">
        <v>1</v>
      </c>
      <c r="H94" s="19"/>
      <c r="I94" s="19">
        <v>1.59</v>
      </c>
      <c r="J94" s="20">
        <v>0</v>
      </c>
      <c r="M94" s="21">
        <f>ROUND(ROUND(J94, 2)*I94, 2)</f>
        <v>0</v>
      </c>
      <c r="P94" s="22">
        <v>124530</v>
      </c>
      <c r="S94" s="21">
        <f>ROUND(ROUND(P94, 2)*I94, 2)</f>
        <v>198002.7</v>
      </c>
      <c r="V94" s="9">
        <f>ROUND(ROUND(P94, 2)/1.2, 2)</f>
        <v>103775</v>
      </c>
      <c r="Y94" s="9">
        <f t="shared" si="8"/>
        <v>165002.25</v>
      </c>
      <c r="AD94" s="4" t="s">
        <v>403</v>
      </c>
      <c r="AE94" s="4" t="s">
        <v>404</v>
      </c>
      <c r="AF94" s="4" t="s">
        <v>405</v>
      </c>
    </row>
    <row r="95" spans="1:35" ht="36" x14ac:dyDescent="0.3">
      <c r="A95" s="10" t="s">
        <v>406</v>
      </c>
      <c r="B95" s="10" t="s">
        <v>396</v>
      </c>
      <c r="C95" s="33" t="s">
        <v>397</v>
      </c>
      <c r="D95" s="12"/>
      <c r="E95" s="12" t="s">
        <v>407</v>
      </c>
      <c r="F95" s="12" t="s">
        <v>318</v>
      </c>
      <c r="G95" s="13">
        <v>1</v>
      </c>
      <c r="H95" s="13"/>
      <c r="I95" s="13">
        <v>1.113</v>
      </c>
      <c r="J95" s="14">
        <f>IFERROR(ROUND(SUM(M96)/I95, 2),0)</f>
        <v>0</v>
      </c>
      <c r="K95" s="15">
        <v>96922</v>
      </c>
      <c r="L95" s="14">
        <f>J95+ROUND(K95, 2)</f>
        <v>96922</v>
      </c>
      <c r="M95" s="14">
        <f>ROUND(J95*I95, 2)</f>
        <v>0</v>
      </c>
      <c r="N95" s="14">
        <f>ROUND(I95*ROUND(K95, 2), 2)</f>
        <v>107874.19</v>
      </c>
      <c r="O95" s="14">
        <f>M95+N95</f>
        <v>107874.19</v>
      </c>
      <c r="P95" s="14">
        <f>IFERROR(ROUND(SUM(S96)/I95, 2),0)</f>
        <v>124530</v>
      </c>
      <c r="Q95" s="16">
        <v>145383</v>
      </c>
      <c r="R95" s="14">
        <f>P95+ROUND(Q95, 2)</f>
        <v>269913</v>
      </c>
      <c r="S95" s="14">
        <f>ROUND(P95*I95, 2)</f>
        <v>138601.89000000001</v>
      </c>
      <c r="T95" s="14">
        <f>ROUND(I95*ROUND(Q95, 2), 2)</f>
        <v>161811.28</v>
      </c>
      <c r="U95" s="14">
        <f>S95+T95</f>
        <v>300413.17000000004</v>
      </c>
      <c r="V95" s="9">
        <f>ROUND(P95 / 1.2, 2)</f>
        <v>103775</v>
      </c>
      <c r="W95" s="9">
        <f>ROUND(Q95 / 1.2, 2)</f>
        <v>121152.5</v>
      </c>
      <c r="X95" s="9">
        <f>ROUND(R95 / 1.2, 2)</f>
        <v>224927.5</v>
      </c>
      <c r="Y95" s="9">
        <f t="shared" si="8"/>
        <v>115501.58</v>
      </c>
      <c r="Z95" s="9">
        <f>ROUND(T95 / 1.2, 2)</f>
        <v>134842.73000000001</v>
      </c>
      <c r="AA95" s="9">
        <f>Y95+Z95</f>
        <v>250344.31</v>
      </c>
      <c r="AD95" s="4">
        <v>311044416</v>
      </c>
      <c r="AE95" s="4">
        <v>22708556</v>
      </c>
      <c r="AG95" s="4" t="s">
        <v>399</v>
      </c>
      <c r="AH95" s="4" t="s">
        <v>400</v>
      </c>
      <c r="AI95" s="4" t="s">
        <v>156</v>
      </c>
    </row>
    <row r="96" spans="1:35" ht="36" x14ac:dyDescent="0.3">
      <c r="A96" s="10" t="s">
        <v>408</v>
      </c>
      <c r="B96" s="10"/>
      <c r="C96" s="17" t="s">
        <v>402</v>
      </c>
      <c r="D96" s="12"/>
      <c r="E96" s="12"/>
      <c r="F96" s="18" t="s">
        <v>318</v>
      </c>
      <c r="G96" s="19">
        <v>1</v>
      </c>
      <c r="H96" s="19"/>
      <c r="I96" s="19">
        <v>1.113</v>
      </c>
      <c r="J96" s="20">
        <v>0</v>
      </c>
      <c r="M96" s="21">
        <f>ROUND(ROUND(J96, 2)*I96, 2)</f>
        <v>0</v>
      </c>
      <c r="P96" s="22">
        <v>124530</v>
      </c>
      <c r="S96" s="21">
        <f>ROUND(ROUND(P96, 2)*I96, 2)</f>
        <v>138601.89000000001</v>
      </c>
      <c r="V96" s="9">
        <f>ROUND(ROUND(P96, 2)/1.2, 2)</f>
        <v>103775</v>
      </c>
      <c r="Y96" s="9">
        <f t="shared" si="8"/>
        <v>115501.58</v>
      </c>
      <c r="AD96" s="4" t="s">
        <v>409</v>
      </c>
      <c r="AE96" s="4" t="s">
        <v>410</v>
      </c>
      <c r="AF96" s="4" t="s">
        <v>405</v>
      </c>
    </row>
    <row r="97" spans="1:35" ht="36" x14ac:dyDescent="0.3">
      <c r="A97" s="10" t="s">
        <v>411</v>
      </c>
      <c r="B97" s="10" t="s">
        <v>396</v>
      </c>
      <c r="C97" s="33" t="s">
        <v>397</v>
      </c>
      <c r="D97" s="12"/>
      <c r="E97" s="12" t="s">
        <v>412</v>
      </c>
      <c r="F97" s="12" t="s">
        <v>318</v>
      </c>
      <c r="G97" s="13">
        <v>1</v>
      </c>
      <c r="H97" s="13"/>
      <c r="I97" s="13">
        <v>0.36699999999999999</v>
      </c>
      <c r="J97" s="14">
        <f>IFERROR(ROUND(SUM(M98)/I97, 2),0)</f>
        <v>0</v>
      </c>
      <c r="K97" s="15">
        <v>96922</v>
      </c>
      <c r="L97" s="14">
        <f>J97+ROUND(K97, 2)</f>
        <v>96922</v>
      </c>
      <c r="M97" s="14">
        <f>ROUND(J97*I97, 2)</f>
        <v>0</v>
      </c>
      <c r="N97" s="14">
        <f>ROUND(I97*ROUND(K97, 2), 2)</f>
        <v>35570.370000000003</v>
      </c>
      <c r="O97" s="14">
        <f>M97+N97</f>
        <v>35570.370000000003</v>
      </c>
      <c r="P97" s="14">
        <f>IFERROR(ROUND(SUM(S98)/I97, 2),0)</f>
        <v>124530</v>
      </c>
      <c r="Q97" s="16">
        <v>145383</v>
      </c>
      <c r="R97" s="14">
        <f>P97+ROUND(Q97, 2)</f>
        <v>269913</v>
      </c>
      <c r="S97" s="14">
        <f>ROUND(P97*I97, 2)</f>
        <v>45702.51</v>
      </c>
      <c r="T97" s="14">
        <f>ROUND(I97*ROUND(Q97, 2), 2)</f>
        <v>53355.56</v>
      </c>
      <c r="U97" s="14">
        <f>S97+T97</f>
        <v>99058.07</v>
      </c>
      <c r="V97" s="9">
        <f>ROUND(P97 / 1.2, 2)</f>
        <v>103775</v>
      </c>
      <c r="W97" s="9">
        <f>ROUND(Q97 / 1.2, 2)</f>
        <v>121152.5</v>
      </c>
      <c r="X97" s="9">
        <f>ROUND(R97 / 1.2, 2)</f>
        <v>224927.5</v>
      </c>
      <c r="Y97" s="9">
        <f t="shared" si="8"/>
        <v>38085.43</v>
      </c>
      <c r="Z97" s="9">
        <f>ROUND(T97 / 1.2, 2)</f>
        <v>44462.97</v>
      </c>
      <c r="AA97" s="9">
        <f>Y97+Z97</f>
        <v>82548.399999999994</v>
      </c>
      <c r="AD97" s="4">
        <v>311044417</v>
      </c>
      <c r="AE97" s="4">
        <v>22713690</v>
      </c>
      <c r="AG97" s="4" t="s">
        <v>399</v>
      </c>
      <c r="AH97" s="4" t="s">
        <v>400</v>
      </c>
      <c r="AI97" s="4" t="s">
        <v>156</v>
      </c>
    </row>
    <row r="98" spans="1:35" ht="36" x14ac:dyDescent="0.3">
      <c r="A98" s="10" t="s">
        <v>413</v>
      </c>
      <c r="B98" s="10"/>
      <c r="C98" s="17" t="s">
        <v>402</v>
      </c>
      <c r="D98" s="12"/>
      <c r="E98" s="12"/>
      <c r="F98" s="18" t="s">
        <v>318</v>
      </c>
      <c r="G98" s="19">
        <v>1</v>
      </c>
      <c r="H98" s="19"/>
      <c r="I98" s="19">
        <v>0.36699999999999999</v>
      </c>
      <c r="J98" s="20">
        <v>0</v>
      </c>
      <c r="M98" s="21">
        <f>ROUND(ROUND(J98, 2)*I98, 2)</f>
        <v>0</v>
      </c>
      <c r="P98" s="22">
        <v>124530</v>
      </c>
      <c r="S98" s="21">
        <f>ROUND(ROUND(P98, 2)*I98, 2)</f>
        <v>45702.51</v>
      </c>
      <c r="V98" s="9">
        <f>ROUND(ROUND(P98, 2)/1.2, 2)</f>
        <v>103775</v>
      </c>
      <c r="Y98" s="9">
        <f t="shared" si="8"/>
        <v>38085.43</v>
      </c>
      <c r="AD98" s="4" t="s">
        <v>414</v>
      </c>
      <c r="AE98" s="4" t="s">
        <v>415</v>
      </c>
      <c r="AF98" s="4" t="s">
        <v>405</v>
      </c>
    </row>
    <row r="99" spans="1:35" ht="16.95" customHeight="1" x14ac:dyDescent="0.3">
      <c r="A99" s="10" t="s">
        <v>416</v>
      </c>
      <c r="B99" s="10" t="s">
        <v>417</v>
      </c>
      <c r="C99" s="51" t="s">
        <v>418</v>
      </c>
      <c r="D99" s="52"/>
      <c r="E99" s="52"/>
      <c r="F99" s="52"/>
      <c r="G99" s="52"/>
      <c r="H99" s="52"/>
      <c r="I99" s="53"/>
      <c r="M99" s="6">
        <f>SUM(M100)</f>
        <v>0</v>
      </c>
      <c r="N99" s="6">
        <f>SUM(N100)</f>
        <v>0</v>
      </c>
      <c r="O99" s="6">
        <f>SUM(O100)</f>
        <v>0</v>
      </c>
      <c r="S99" s="6">
        <f>SUM(S100)</f>
        <v>0</v>
      </c>
      <c r="T99" s="6">
        <f>SUM(T100)</f>
        <v>26348.400000000001</v>
      </c>
      <c r="U99" s="6">
        <f>SUM(U100)</f>
        <v>26348.400000000001</v>
      </c>
      <c r="Y99" s="9">
        <f>SUM(Y100)</f>
        <v>0</v>
      </c>
      <c r="Z99" s="9">
        <f>SUM(Z100)</f>
        <v>21957</v>
      </c>
      <c r="AA99" s="9">
        <f>SUM(AA100)</f>
        <v>21957</v>
      </c>
      <c r="AD99" s="4">
        <v>311044305</v>
      </c>
      <c r="AE99" s="4">
        <v>22724001</v>
      </c>
    </row>
    <row r="100" spans="1:35" ht="108" x14ac:dyDescent="0.3">
      <c r="A100" s="10" t="s">
        <v>419</v>
      </c>
      <c r="B100" s="10" t="s">
        <v>420</v>
      </c>
      <c r="C100" s="11" t="s">
        <v>421</v>
      </c>
      <c r="D100" s="12"/>
      <c r="E100" s="12" t="s">
        <v>422</v>
      </c>
      <c r="F100" s="12" t="s">
        <v>258</v>
      </c>
      <c r="G100" s="13">
        <v>1</v>
      </c>
      <c r="H100" s="13"/>
      <c r="I100" s="13">
        <v>58.552</v>
      </c>
      <c r="J100" s="14">
        <v>0</v>
      </c>
      <c r="K100" s="15">
        <v>0</v>
      </c>
      <c r="L100" s="14">
        <f>J100+ROUND(K100, 2)</f>
        <v>0</v>
      </c>
      <c r="M100" s="14">
        <v>0</v>
      </c>
      <c r="N100" s="14">
        <f>ROUND(I100*ROUND(K100, 2), 2)</f>
        <v>0</v>
      </c>
      <c r="O100" s="14">
        <f>M100+N100</f>
        <v>0</v>
      </c>
      <c r="P100" s="14">
        <v>0</v>
      </c>
      <c r="Q100" s="16">
        <v>450</v>
      </c>
      <c r="R100" s="14">
        <f>P100+ROUND(Q100, 2)</f>
        <v>450</v>
      </c>
      <c r="S100" s="14">
        <v>0</v>
      </c>
      <c r="T100" s="14">
        <f>ROUND(I100*ROUND(Q100, 2), 2)</f>
        <v>26348.400000000001</v>
      </c>
      <c r="U100" s="14">
        <f>S100+T100</f>
        <v>26348.400000000001</v>
      </c>
      <c r="V100" s="9"/>
      <c r="W100" s="9">
        <f>ROUND(Q100 / 1.2, 2)</f>
        <v>375</v>
      </c>
      <c r="X100" s="9">
        <f>ROUND(R100 / 1.2, 2)</f>
        <v>375</v>
      </c>
      <c r="Y100" s="9"/>
      <c r="Z100" s="9">
        <f>ROUND(T100 / 1.2, 2)</f>
        <v>21957</v>
      </c>
      <c r="AA100" s="9">
        <f>Y100+Z100</f>
        <v>21957</v>
      </c>
      <c r="AD100" s="4">
        <v>311044307</v>
      </c>
      <c r="AE100" s="4">
        <v>22724005</v>
      </c>
      <c r="AG100" s="4" t="s">
        <v>423</v>
      </c>
      <c r="AH100" s="4" t="s">
        <v>424</v>
      </c>
      <c r="AI100" s="4" t="s">
        <v>156</v>
      </c>
    </row>
    <row r="101" spans="1:35" ht="16.95" customHeight="1" x14ac:dyDescent="0.3">
      <c r="A101" s="10" t="s">
        <v>425</v>
      </c>
      <c r="B101" s="10" t="s">
        <v>426</v>
      </c>
      <c r="C101" s="51" t="s">
        <v>427</v>
      </c>
      <c r="D101" s="52"/>
      <c r="E101" s="52"/>
      <c r="F101" s="52"/>
      <c r="G101" s="52"/>
      <c r="H101" s="52"/>
      <c r="I101" s="53"/>
      <c r="M101" s="6">
        <f t="shared" ref="M101:O102" si="9">SUM(M102)</f>
        <v>1259150.96</v>
      </c>
      <c r="N101" s="6">
        <f t="shared" si="9"/>
        <v>569231.80000000005</v>
      </c>
      <c r="O101" s="6">
        <f t="shared" si="9"/>
        <v>1828382.76</v>
      </c>
      <c r="S101" s="6">
        <f t="shared" ref="S101:U102" si="10">SUM(S102)</f>
        <v>1259150.96</v>
      </c>
      <c r="T101" s="6">
        <f t="shared" si="10"/>
        <v>853847.7</v>
      </c>
      <c r="U101" s="6">
        <f t="shared" si="10"/>
        <v>2112998.66</v>
      </c>
      <c r="Y101" s="9">
        <f t="shared" ref="Y101:AA102" si="11">SUM(Y102)</f>
        <v>1049292.47</v>
      </c>
      <c r="Z101" s="9">
        <f t="shared" si="11"/>
        <v>711539.75</v>
      </c>
      <c r="AA101" s="9">
        <f t="shared" si="11"/>
        <v>1760832.22</v>
      </c>
      <c r="AD101" s="4">
        <v>311044308</v>
      </c>
      <c r="AE101" s="4">
        <v>23307749</v>
      </c>
    </row>
    <row r="102" spans="1:35" ht="16.95" customHeight="1" x14ac:dyDescent="0.3">
      <c r="A102" s="10" t="s">
        <v>428</v>
      </c>
      <c r="B102" s="10" t="s">
        <v>429</v>
      </c>
      <c r="C102" s="51" t="s">
        <v>418</v>
      </c>
      <c r="D102" s="52"/>
      <c r="E102" s="52"/>
      <c r="F102" s="52"/>
      <c r="G102" s="52"/>
      <c r="H102" s="52"/>
      <c r="I102" s="53"/>
      <c r="M102" s="6">
        <f t="shared" si="9"/>
        <v>1259150.96</v>
      </c>
      <c r="N102" s="6">
        <f t="shared" si="9"/>
        <v>569231.80000000005</v>
      </c>
      <c r="O102" s="6">
        <f t="shared" si="9"/>
        <v>1828382.76</v>
      </c>
      <c r="S102" s="6">
        <f t="shared" si="10"/>
        <v>1259150.96</v>
      </c>
      <c r="T102" s="6">
        <f t="shared" si="10"/>
        <v>853847.7</v>
      </c>
      <c r="U102" s="6">
        <f t="shared" si="10"/>
        <v>2112998.66</v>
      </c>
      <c r="Y102" s="9">
        <f t="shared" si="11"/>
        <v>1049292.47</v>
      </c>
      <c r="Z102" s="9">
        <f t="shared" si="11"/>
        <v>711539.75</v>
      </c>
      <c r="AA102" s="9">
        <f t="shared" si="11"/>
        <v>1760832.22</v>
      </c>
      <c r="AD102" s="4">
        <v>311044309</v>
      </c>
      <c r="AE102" s="4">
        <v>23307747</v>
      </c>
    </row>
    <row r="103" spans="1:35" ht="90" x14ac:dyDescent="0.3">
      <c r="A103" s="10" t="s">
        <v>430</v>
      </c>
      <c r="B103" s="10" t="s">
        <v>431</v>
      </c>
      <c r="C103" s="11" t="s">
        <v>432</v>
      </c>
      <c r="D103" s="12" t="s">
        <v>80</v>
      </c>
      <c r="E103" s="12" t="s">
        <v>433</v>
      </c>
      <c r="F103" s="12" t="s">
        <v>82</v>
      </c>
      <c r="G103" s="13">
        <v>1</v>
      </c>
      <c r="H103" s="13"/>
      <c r="I103" s="13">
        <v>92.86</v>
      </c>
      <c r="J103" s="14">
        <f>IFERROR(ROUND(SUM(M104,M105,M106)/I103, 2),0)</f>
        <v>13559.67</v>
      </c>
      <c r="K103" s="15">
        <v>6130</v>
      </c>
      <c r="L103" s="14">
        <f>J103+ROUND(K103, 2)</f>
        <v>19689.669999999998</v>
      </c>
      <c r="M103" s="14">
        <f>ROUND(J103*I103, 2)</f>
        <v>1259150.96</v>
      </c>
      <c r="N103" s="14">
        <f>ROUND(I103*ROUND(K103, 2), 2)</f>
        <v>569231.80000000005</v>
      </c>
      <c r="O103" s="14">
        <f>M103+N103</f>
        <v>1828382.76</v>
      </c>
      <c r="P103" s="14">
        <f>IFERROR(ROUND(SUM(S104,S105,S106)/I103, 2),0)</f>
        <v>13559.67</v>
      </c>
      <c r="Q103" s="16">
        <v>9195</v>
      </c>
      <c r="R103" s="14">
        <f>P103+ROUND(Q103, 2)</f>
        <v>22754.67</v>
      </c>
      <c r="S103" s="14">
        <f>ROUND(P103*I103, 2)</f>
        <v>1259150.96</v>
      </c>
      <c r="T103" s="14">
        <f>ROUND(I103*ROUND(Q103, 2), 2)</f>
        <v>853847.7</v>
      </c>
      <c r="U103" s="14">
        <f>S103+T103</f>
        <v>2112998.66</v>
      </c>
      <c r="V103" s="9">
        <f>ROUND(P103 / 1.2, 2)</f>
        <v>11299.73</v>
      </c>
      <c r="W103" s="9">
        <f>ROUND(Q103 / 1.2, 2)</f>
        <v>7662.5</v>
      </c>
      <c r="X103" s="9">
        <f>ROUND(R103 / 1.2, 2)</f>
        <v>18962.23</v>
      </c>
      <c r="Y103" s="9">
        <f>ROUND(S103 / 1.2, 2)</f>
        <v>1049292.47</v>
      </c>
      <c r="Z103" s="9">
        <f>ROUND(T103 / 1.2, 2)</f>
        <v>711539.75</v>
      </c>
      <c r="AA103" s="9">
        <f>Y103+Z103</f>
        <v>1760832.22</v>
      </c>
      <c r="AD103" s="4">
        <v>311044311</v>
      </c>
      <c r="AE103" s="4">
        <v>23307771</v>
      </c>
      <c r="AG103" s="4" t="s">
        <v>434</v>
      </c>
      <c r="AH103" s="4" t="s">
        <v>435</v>
      </c>
      <c r="AI103" s="4" t="s">
        <v>436</v>
      </c>
    </row>
    <row r="104" spans="1:35" ht="18" x14ac:dyDescent="0.3">
      <c r="A104" s="10" t="s">
        <v>437</v>
      </c>
      <c r="B104" s="10"/>
      <c r="C104" s="17" t="s">
        <v>133</v>
      </c>
      <c r="D104" s="12"/>
      <c r="E104" s="12"/>
      <c r="F104" s="18" t="s">
        <v>58</v>
      </c>
      <c r="G104" s="19">
        <v>4.2</v>
      </c>
      <c r="H104" s="19"/>
      <c r="I104" s="19">
        <v>390.012</v>
      </c>
      <c r="J104" s="20">
        <v>269.41000000000003</v>
      </c>
      <c r="M104" s="21">
        <f>ROUND(ROUND(J104, 2)*I104, 2)</f>
        <v>105073.13</v>
      </c>
      <c r="P104" s="22">
        <v>269.41000000000003</v>
      </c>
      <c r="S104" s="21">
        <f>ROUND(ROUND(P104, 2)*I104, 2)</f>
        <v>105073.13</v>
      </c>
      <c r="V104" s="9">
        <f>ROUND(ROUND(P104, 2)/1.2, 2)</f>
        <v>224.51</v>
      </c>
      <c r="Y104" s="9">
        <f>ROUND(S104 / 1.2, 2)</f>
        <v>87560.94</v>
      </c>
      <c r="AD104" s="4" t="s">
        <v>438</v>
      </c>
      <c r="AE104" s="4" t="s">
        <v>439</v>
      </c>
      <c r="AF104" s="4" t="s">
        <v>136</v>
      </c>
    </row>
    <row r="105" spans="1:35" ht="18" x14ac:dyDescent="0.3">
      <c r="A105" s="10" t="s">
        <v>440</v>
      </c>
      <c r="B105" s="10"/>
      <c r="C105" s="17" t="s">
        <v>441</v>
      </c>
      <c r="D105" s="12"/>
      <c r="E105" s="12"/>
      <c r="F105" s="18" t="s">
        <v>99</v>
      </c>
      <c r="G105" s="19">
        <v>445</v>
      </c>
      <c r="H105" s="19"/>
      <c r="I105" s="19">
        <v>41322.699999999997</v>
      </c>
      <c r="J105" s="20">
        <v>6.27</v>
      </c>
      <c r="M105" s="21">
        <f>ROUND(ROUND(J105, 2)*I105, 2)</f>
        <v>259093.33</v>
      </c>
      <c r="P105" s="22">
        <v>6.27</v>
      </c>
      <c r="S105" s="21">
        <f>ROUND(ROUND(P105, 2)*I105, 2)</f>
        <v>259093.33</v>
      </c>
      <c r="V105" s="9">
        <f>ROUND(ROUND(P105, 2)/1.2, 2)</f>
        <v>5.23</v>
      </c>
      <c r="Y105" s="9">
        <f>ROUND(S105 / 1.2, 2)</f>
        <v>215911.11</v>
      </c>
      <c r="AD105" s="4" t="s">
        <v>442</v>
      </c>
      <c r="AE105" s="4" t="s">
        <v>443</v>
      </c>
      <c r="AF105" s="4" t="s">
        <v>444</v>
      </c>
    </row>
    <row r="106" spans="1:35" ht="18" x14ac:dyDescent="0.3">
      <c r="A106" s="10" t="s">
        <v>445</v>
      </c>
      <c r="B106" s="10"/>
      <c r="C106" s="17" t="s">
        <v>138</v>
      </c>
      <c r="D106" s="12"/>
      <c r="E106" s="12"/>
      <c r="F106" s="18" t="s">
        <v>139</v>
      </c>
      <c r="G106" s="19">
        <v>395</v>
      </c>
      <c r="H106" s="19"/>
      <c r="I106" s="19">
        <v>36679.699999999997</v>
      </c>
      <c r="J106" s="20">
        <v>24.4</v>
      </c>
      <c r="M106" s="21">
        <f>ROUND(ROUND(J106, 2)*I106, 2)</f>
        <v>894984.68</v>
      </c>
      <c r="P106" s="22">
        <v>24.4</v>
      </c>
      <c r="S106" s="21">
        <f>ROUND(ROUND(P106, 2)*I106, 2)</f>
        <v>894984.68</v>
      </c>
      <c r="V106" s="9">
        <f>ROUND(ROUND(P106, 2)/1.2, 2)</f>
        <v>20.329999999999998</v>
      </c>
      <c r="Y106" s="9">
        <f>ROUND(S106 / 1.2, 2)</f>
        <v>745820.57</v>
      </c>
      <c r="AD106" s="4" t="s">
        <v>446</v>
      </c>
      <c r="AE106" s="4" t="s">
        <v>447</v>
      </c>
      <c r="AF106" s="4" t="s">
        <v>142</v>
      </c>
    </row>
    <row r="107" spans="1:35" ht="16.95" customHeight="1" x14ac:dyDescent="0.3">
      <c r="A107" s="10" t="s">
        <v>448</v>
      </c>
      <c r="B107" s="10" t="s">
        <v>449</v>
      </c>
      <c r="C107" s="51" t="s">
        <v>450</v>
      </c>
      <c r="D107" s="52"/>
      <c r="E107" s="52"/>
      <c r="F107" s="52"/>
      <c r="G107" s="52"/>
      <c r="H107" s="52"/>
      <c r="I107" s="53"/>
      <c r="M107" s="6">
        <f t="shared" ref="M107:O108" si="12">SUM(M108)</f>
        <v>55386327.449999988</v>
      </c>
      <c r="N107" s="6">
        <f t="shared" si="12"/>
        <v>152556905.19999999</v>
      </c>
      <c r="O107" s="6">
        <f t="shared" si="12"/>
        <v>207943232.64999995</v>
      </c>
      <c r="S107" s="6">
        <f t="shared" ref="S107:U108" si="13">SUM(S108)</f>
        <v>114508297.74000001</v>
      </c>
      <c r="T107" s="6">
        <f t="shared" si="13"/>
        <v>228835156.39000005</v>
      </c>
      <c r="U107" s="6">
        <f t="shared" si="13"/>
        <v>343343454.13</v>
      </c>
      <c r="Y107" s="9">
        <f t="shared" ref="Y107:AA108" si="14">SUM(Y108)</f>
        <v>95423581.569999993</v>
      </c>
      <c r="Z107" s="9">
        <f t="shared" si="14"/>
        <v>190695963.77999997</v>
      </c>
      <c r="AA107" s="9">
        <f t="shared" si="14"/>
        <v>286119545.34999996</v>
      </c>
      <c r="AD107" s="4">
        <v>311044312</v>
      </c>
      <c r="AE107" s="4">
        <v>22726877</v>
      </c>
    </row>
    <row r="108" spans="1:35" ht="16.95" customHeight="1" x14ac:dyDescent="0.3">
      <c r="A108" s="10" t="s">
        <v>451</v>
      </c>
      <c r="B108" s="10" t="s">
        <v>452</v>
      </c>
      <c r="C108" s="51" t="s">
        <v>453</v>
      </c>
      <c r="D108" s="52"/>
      <c r="E108" s="52"/>
      <c r="F108" s="52"/>
      <c r="G108" s="52"/>
      <c r="H108" s="52"/>
      <c r="I108" s="53"/>
      <c r="M108" s="6">
        <f t="shared" si="12"/>
        <v>55386327.449999988</v>
      </c>
      <c r="N108" s="6">
        <f t="shared" si="12"/>
        <v>152556905.19999999</v>
      </c>
      <c r="O108" s="6">
        <f t="shared" si="12"/>
        <v>207943232.64999995</v>
      </c>
      <c r="S108" s="6">
        <f t="shared" si="13"/>
        <v>114508297.74000001</v>
      </c>
      <c r="T108" s="6">
        <f t="shared" si="13"/>
        <v>228835156.39000005</v>
      </c>
      <c r="U108" s="6">
        <f t="shared" si="13"/>
        <v>343343454.13</v>
      </c>
      <c r="Y108" s="9">
        <f t="shared" si="14"/>
        <v>95423581.569999993</v>
      </c>
      <c r="Z108" s="9">
        <f t="shared" si="14"/>
        <v>190695963.77999997</v>
      </c>
      <c r="AA108" s="9">
        <f t="shared" si="14"/>
        <v>286119545.34999996</v>
      </c>
      <c r="AD108" s="4">
        <v>311044313</v>
      </c>
      <c r="AE108" s="4">
        <v>22726881</v>
      </c>
    </row>
    <row r="109" spans="1:35" ht="16.95" customHeight="1" x14ac:dyDescent="0.3">
      <c r="A109" s="10" t="s">
        <v>454</v>
      </c>
      <c r="B109" s="10" t="s">
        <v>455</v>
      </c>
      <c r="C109" s="51" t="s">
        <v>456</v>
      </c>
      <c r="D109" s="52"/>
      <c r="E109" s="52"/>
      <c r="F109" s="52"/>
      <c r="G109" s="52"/>
      <c r="H109" s="52"/>
      <c r="I109" s="53"/>
      <c r="M109" s="6">
        <f>SUM(M110,M288,M474,M534,M584)</f>
        <v>55386327.449999988</v>
      </c>
      <c r="N109" s="6">
        <f>SUM(N110,N288,N474,N534,N584)</f>
        <v>152556905.19999999</v>
      </c>
      <c r="O109" s="6">
        <f>SUM(O110,O288,O474,O534,O584)</f>
        <v>207943232.64999995</v>
      </c>
      <c r="S109" s="6">
        <f>SUM(S110,S288,S474,S534,S584)</f>
        <v>114508297.74000001</v>
      </c>
      <c r="T109" s="6">
        <f>SUM(T110,T288,T474,T534,T584)</f>
        <v>228835156.39000005</v>
      </c>
      <c r="U109" s="6">
        <f>SUM(U110,U288,U474,U534,U584)</f>
        <v>343343454.13</v>
      </c>
      <c r="Y109" s="9">
        <f>SUM(Y110,Y288,Y474,Y534,Y584)</f>
        <v>95423581.569999993</v>
      </c>
      <c r="Z109" s="9">
        <f>SUM(Z110,Z288,Z474,Z534,Z584)</f>
        <v>190695963.77999997</v>
      </c>
      <c r="AA109" s="9">
        <f>SUM(AA110,AA288,AA474,AA534,AA584)</f>
        <v>286119545.34999996</v>
      </c>
      <c r="AD109" s="4">
        <v>311044314</v>
      </c>
      <c r="AE109" s="4">
        <v>22726883</v>
      </c>
    </row>
    <row r="110" spans="1:35" ht="16.95" customHeight="1" x14ac:dyDescent="0.3">
      <c r="A110" s="10" t="s">
        <v>457</v>
      </c>
      <c r="B110" s="10" t="s">
        <v>458</v>
      </c>
      <c r="C110" s="51" t="s">
        <v>459</v>
      </c>
      <c r="D110" s="52"/>
      <c r="E110" s="52"/>
      <c r="F110" s="52"/>
      <c r="G110" s="52"/>
      <c r="H110" s="52"/>
      <c r="I110" s="53"/>
      <c r="M110" s="6">
        <f>SUM(M111,M193,M216,M285)</f>
        <v>37464354.159999996</v>
      </c>
      <c r="N110" s="6">
        <f>SUM(N111,N193,N216,N285)</f>
        <v>58813810.260000005</v>
      </c>
      <c r="O110" s="6">
        <f>SUM(O111,O193,O216,O285)</f>
        <v>96278164.420000002</v>
      </c>
      <c r="S110" s="6">
        <f>SUM(S111,S193,S216,S285)</f>
        <v>55076413.910000004</v>
      </c>
      <c r="T110" s="6">
        <f>SUM(T111,T193,T216,T285)</f>
        <v>84019580.810000002</v>
      </c>
      <c r="U110" s="6">
        <f>SUM(U111,U193,U216,U285)</f>
        <v>139095994.72</v>
      </c>
      <c r="Y110" s="9">
        <f>SUM(Y111,Y193,Y216,Y285)</f>
        <v>45897011.629999995</v>
      </c>
      <c r="Z110" s="9">
        <f>SUM(Z111,Z193,Z216,Z285)</f>
        <v>70016317.37999998</v>
      </c>
      <c r="AA110" s="9">
        <f>SUM(AA111,AA193,AA216,AA285)</f>
        <v>115913329.00999999</v>
      </c>
      <c r="AD110" s="4">
        <v>311044315</v>
      </c>
      <c r="AE110" s="4">
        <v>22757328</v>
      </c>
    </row>
    <row r="111" spans="1:35" ht="16.95" customHeight="1" x14ac:dyDescent="0.3">
      <c r="A111" s="10" t="s">
        <v>460</v>
      </c>
      <c r="B111" s="10" t="s">
        <v>461</v>
      </c>
      <c r="C111" s="51" t="s">
        <v>462</v>
      </c>
      <c r="D111" s="52"/>
      <c r="E111" s="52"/>
      <c r="F111" s="52"/>
      <c r="G111" s="52"/>
      <c r="H111" s="52"/>
      <c r="I111" s="53"/>
      <c r="M111" s="6">
        <f>SUM(M112,M113,M115,M117,M119,M121,M123,M125,M130,M134,M138,M142,M146,M150,M154,M158,M162,M166,M170,M173,M176,M179,M181,M185,M189)</f>
        <v>19710886.109999999</v>
      </c>
      <c r="N111" s="6">
        <f>SUM(N112,N113,N115,N117,N119,N121,N123,N125,N130,N134,N138,N142,N146,N150,N154,N158,N162,N166,N170,N173,N176,N179,N181,N185,N189)</f>
        <v>32606052.52</v>
      </c>
      <c r="O111" s="6">
        <f>SUM(O112,O113,O115,O117,O119,O121,O123,O125,O130,O134,O138,O142,O146,O150,O154,O158,O162,O166,O170,O173,O176,O179,O181,O185,O189)</f>
        <v>52316938.629999995</v>
      </c>
      <c r="S111" s="6">
        <f>SUM(S112,S113,S115,S117,S119,S121,S123,S125,S130,S134,S138,S142,S146,S150,S154,S158,S162,S166,S170,S173,S176,S179,S181,S185,S189)</f>
        <v>21525775.169999998</v>
      </c>
      <c r="T111" s="6">
        <f>SUM(T112,T113,T115,T117,T119,T121,T123,T125,T130,T134,T138,T142,T146,T150,T154,T158,T162,T166,T170,T173,T176,T179,T181,T185,T189)</f>
        <v>46579903.619999997</v>
      </c>
      <c r="U111" s="6">
        <f>SUM(U112,U113,U115,U117,U119,U121,U123,U125,U130,U134,U138,U142,U146,U150,U154,U158,U162,U166,U170,U173,U176,U179,U181,U185,U189)</f>
        <v>68105678.789999992</v>
      </c>
      <c r="Y111" s="9">
        <f>SUM(Y112,Y113,Y115,Y117,Y119,Y121,Y123,Y125,Y130,Y134,Y138,Y142,Y146,Y150,Y154,Y158,Y162,Y166,Y170,Y173,Y176,Y179,Y181,Y185,Y189)</f>
        <v>17938145.989999998</v>
      </c>
      <c r="Z111" s="9">
        <f>SUM(Z112,Z113,Z115,Z117,Z119,Z121,Z123,Z125,Z130,Z134,Z138,Z142,Z146,Z150,Z154,Z158,Z162,Z166,Z170,Z173,Z176,Z179,Z181,Z185,Z189)</f>
        <v>38816586.36999999</v>
      </c>
      <c r="AA111" s="9">
        <f>SUM(AA112,AA113,AA115,AA117,AA119,AA121,AA123,AA125,AA130,AA134,AA138,AA142,AA146,AA150,AA154,AA158,AA162,AA166,AA170,AA173,AA176,AA179,AA181,AA185,AA189)</f>
        <v>56754732.359999992</v>
      </c>
      <c r="AD111" s="4">
        <v>311044316</v>
      </c>
      <c r="AE111" s="4">
        <v>22757326</v>
      </c>
    </row>
    <row r="112" spans="1:35" ht="72" x14ac:dyDescent="0.3">
      <c r="A112" s="10" t="s">
        <v>463</v>
      </c>
      <c r="B112" s="10" t="s">
        <v>464</v>
      </c>
      <c r="C112" s="11" t="s">
        <v>465</v>
      </c>
      <c r="D112" s="12"/>
      <c r="E112" s="12" t="s">
        <v>466</v>
      </c>
      <c r="F112" s="12" t="s">
        <v>58</v>
      </c>
      <c r="G112" s="13">
        <v>1</v>
      </c>
      <c r="H112" s="13"/>
      <c r="I112" s="13">
        <v>8367.2999999999993</v>
      </c>
      <c r="J112" s="14">
        <v>0</v>
      </c>
      <c r="K112" s="15">
        <v>270</v>
      </c>
      <c r="L112" s="14">
        <f>J112+ROUND(K112, 2)</f>
        <v>270</v>
      </c>
      <c r="M112" s="14">
        <v>0</v>
      </c>
      <c r="N112" s="14">
        <f>ROUND(I112*ROUND(K112, 2), 2)</f>
        <v>2259171</v>
      </c>
      <c r="O112" s="14">
        <f>M112+N112</f>
        <v>2259171</v>
      </c>
      <c r="P112" s="14">
        <v>0</v>
      </c>
      <c r="Q112" s="16">
        <v>385.71</v>
      </c>
      <c r="R112" s="14">
        <f>P112+ROUND(Q112, 2)</f>
        <v>385.71</v>
      </c>
      <c r="S112" s="14">
        <v>0</v>
      </c>
      <c r="T112" s="14">
        <f>ROUND(I112*ROUND(Q112, 2), 2)</f>
        <v>3227351.28</v>
      </c>
      <c r="U112" s="14">
        <f>S112+T112</f>
        <v>3227351.28</v>
      </c>
      <c r="V112" s="9"/>
      <c r="W112" s="9">
        <f>ROUND(Q112 / 1.2, 2)</f>
        <v>321.43</v>
      </c>
      <c r="X112" s="9">
        <f>ROUND(R112 / 1.2, 2)</f>
        <v>321.43</v>
      </c>
      <c r="Y112" s="9"/>
      <c r="Z112" s="9">
        <f>ROUND(T112 / 1.2, 2)</f>
        <v>2689459.4</v>
      </c>
      <c r="AA112" s="9">
        <f>Y112+Z112</f>
        <v>2689459.4</v>
      </c>
      <c r="AD112" s="4">
        <v>311044318</v>
      </c>
      <c r="AE112" s="4">
        <v>23306498</v>
      </c>
      <c r="AG112" s="4" t="s">
        <v>467</v>
      </c>
      <c r="AH112" s="4" t="s">
        <v>468</v>
      </c>
      <c r="AI112" s="4" t="s">
        <v>469</v>
      </c>
    </row>
    <row r="113" spans="1:35" ht="36" x14ac:dyDescent="0.3">
      <c r="A113" s="10" t="s">
        <v>470</v>
      </c>
      <c r="B113" s="10" t="s">
        <v>471</v>
      </c>
      <c r="C113" s="11" t="s">
        <v>472</v>
      </c>
      <c r="D113" s="12"/>
      <c r="E113" s="12" t="s">
        <v>473</v>
      </c>
      <c r="F113" s="12" t="s">
        <v>58</v>
      </c>
      <c r="G113" s="13">
        <v>1</v>
      </c>
      <c r="H113" s="13"/>
      <c r="I113" s="13">
        <v>585.70000000000005</v>
      </c>
      <c r="J113" s="14">
        <f>IFERROR(ROUND(SUM(M114)/I113, 2),0)</f>
        <v>60.35</v>
      </c>
      <c r="K113" s="15">
        <v>39</v>
      </c>
      <c r="L113" s="14">
        <f>J113+ROUND(K113, 2)</f>
        <v>99.35</v>
      </c>
      <c r="M113" s="14">
        <f>ROUND(J113*I113, 2)</f>
        <v>35347</v>
      </c>
      <c r="N113" s="14">
        <f>ROUND(I113*ROUND(K113, 2), 2)</f>
        <v>22842.3</v>
      </c>
      <c r="O113" s="14">
        <f>M113+N113</f>
        <v>58189.3</v>
      </c>
      <c r="P113" s="14">
        <f>IFERROR(ROUND(SUM(S114)/I113, 2),0)</f>
        <v>60.35</v>
      </c>
      <c r="Q113" s="16">
        <v>55.71</v>
      </c>
      <c r="R113" s="14">
        <f>P113+ROUND(Q113, 2)</f>
        <v>116.06</v>
      </c>
      <c r="S113" s="14">
        <f>ROUND(P113*I113, 2)</f>
        <v>35347</v>
      </c>
      <c r="T113" s="14">
        <f>ROUND(I113*ROUND(Q113, 2), 2)</f>
        <v>32629.35</v>
      </c>
      <c r="U113" s="14">
        <f>S113+T113</f>
        <v>67976.350000000006</v>
      </c>
      <c r="V113" s="9">
        <f>ROUND(P113 / 1.2, 2)</f>
        <v>50.29</v>
      </c>
      <c r="W113" s="9">
        <f>ROUND(Q113 / 1.2, 2)</f>
        <v>46.43</v>
      </c>
      <c r="X113" s="9">
        <f>ROUND(R113 / 1.2, 2)</f>
        <v>96.72</v>
      </c>
      <c r="Y113" s="9">
        <f t="shared" ref="Y113:Y176" si="15">ROUND(S113 / 1.2, 2)</f>
        <v>29455.83</v>
      </c>
      <c r="Z113" s="9">
        <f>ROUND(T113 / 1.2, 2)</f>
        <v>27191.13</v>
      </c>
      <c r="AA113" s="9">
        <f>Y113+Z113</f>
        <v>56646.960000000006</v>
      </c>
      <c r="AD113" s="4">
        <v>311044320</v>
      </c>
      <c r="AE113" s="4">
        <v>22761920</v>
      </c>
      <c r="AG113" s="4" t="s">
        <v>474</v>
      </c>
      <c r="AH113" s="4" t="s">
        <v>475</v>
      </c>
      <c r="AI113" s="4" t="s">
        <v>469</v>
      </c>
    </row>
    <row r="114" spans="1:35" ht="36" x14ac:dyDescent="0.3">
      <c r="A114" s="10" t="s">
        <v>476</v>
      </c>
      <c r="B114" s="10"/>
      <c r="C114" s="23" t="s">
        <v>477</v>
      </c>
      <c r="D114" s="12"/>
      <c r="E114" s="12" t="s">
        <v>478</v>
      </c>
      <c r="F114" s="18" t="s">
        <v>58</v>
      </c>
      <c r="G114" s="19">
        <v>1.1000000000000001</v>
      </c>
      <c r="H114" s="19"/>
      <c r="I114" s="19">
        <v>644.27</v>
      </c>
      <c r="J114" s="20">
        <v>54.86</v>
      </c>
      <c r="M114" s="21">
        <f>ROUND(ROUND(J114, 2)*I114, 2)</f>
        <v>35344.65</v>
      </c>
      <c r="P114" s="22">
        <v>54.86</v>
      </c>
      <c r="S114" s="21">
        <f>ROUND(ROUND(P114, 2)*I114, 2)</f>
        <v>35344.65</v>
      </c>
      <c r="V114" s="9">
        <f>ROUND(ROUND(P114, 2)/1.2, 2)</f>
        <v>45.72</v>
      </c>
      <c r="Y114" s="9">
        <f t="shared" si="15"/>
        <v>29453.88</v>
      </c>
      <c r="AD114" s="4" t="s">
        <v>479</v>
      </c>
      <c r="AE114" s="4" t="s">
        <v>480</v>
      </c>
      <c r="AF114" s="4" t="s">
        <v>481</v>
      </c>
    </row>
    <row r="115" spans="1:35" ht="36" x14ac:dyDescent="0.3">
      <c r="A115" s="10" t="s">
        <v>482</v>
      </c>
      <c r="B115" s="10" t="s">
        <v>483</v>
      </c>
      <c r="C115" s="11" t="s">
        <v>484</v>
      </c>
      <c r="D115" s="12"/>
      <c r="E115" s="12" t="s">
        <v>485</v>
      </c>
      <c r="F115" s="12" t="s">
        <v>58</v>
      </c>
      <c r="G115" s="13">
        <v>1</v>
      </c>
      <c r="H115" s="13"/>
      <c r="I115" s="13">
        <v>3908.5</v>
      </c>
      <c r="J115" s="14">
        <f>IFERROR(ROUND(SUM(M116)/I115, 2),0)</f>
        <v>52.29</v>
      </c>
      <c r="K115" s="15">
        <v>40</v>
      </c>
      <c r="L115" s="14">
        <f>J115+ROUND(K115, 2)</f>
        <v>92.289999999999992</v>
      </c>
      <c r="M115" s="14">
        <f>ROUND(J115*I115, 2)</f>
        <v>204375.47</v>
      </c>
      <c r="N115" s="14">
        <f>ROUND(I115*ROUND(K115, 2), 2)</f>
        <v>156340</v>
      </c>
      <c r="O115" s="14">
        <f>M115+N115</f>
        <v>360715.47</v>
      </c>
      <c r="P115" s="14">
        <f>IFERROR(ROUND(SUM(S116)/I115, 2),0)</f>
        <v>52.29</v>
      </c>
      <c r="Q115" s="16">
        <v>57.14</v>
      </c>
      <c r="R115" s="14">
        <f>P115+ROUND(Q115, 2)</f>
        <v>109.43</v>
      </c>
      <c r="S115" s="14">
        <f>ROUND(P115*I115, 2)</f>
        <v>204375.47</v>
      </c>
      <c r="T115" s="14">
        <f>ROUND(I115*ROUND(Q115, 2), 2)</f>
        <v>223331.69</v>
      </c>
      <c r="U115" s="14">
        <f>S115+T115</f>
        <v>427707.16000000003</v>
      </c>
      <c r="V115" s="9">
        <f>ROUND(P115 / 1.2, 2)</f>
        <v>43.58</v>
      </c>
      <c r="W115" s="9">
        <f>ROUND(Q115 / 1.2, 2)</f>
        <v>47.62</v>
      </c>
      <c r="X115" s="9">
        <f>ROUND(R115 / 1.2, 2)</f>
        <v>91.19</v>
      </c>
      <c r="Y115" s="9">
        <f t="shared" si="15"/>
        <v>170312.89</v>
      </c>
      <c r="Z115" s="9">
        <f>ROUND(T115 / 1.2, 2)</f>
        <v>186109.74</v>
      </c>
      <c r="AA115" s="9">
        <f>Y115+Z115</f>
        <v>356422.63</v>
      </c>
      <c r="AD115" s="4">
        <v>311044321</v>
      </c>
      <c r="AE115" s="4">
        <v>22761919</v>
      </c>
      <c r="AG115" s="4" t="s">
        <v>486</v>
      </c>
      <c r="AH115" s="4" t="s">
        <v>487</v>
      </c>
      <c r="AI115" s="4" t="s">
        <v>469</v>
      </c>
    </row>
    <row r="116" spans="1:35" ht="18" x14ac:dyDescent="0.3">
      <c r="A116" s="10" t="s">
        <v>488</v>
      </c>
      <c r="B116" s="10"/>
      <c r="C116" s="17" t="s">
        <v>489</v>
      </c>
      <c r="D116" s="12"/>
      <c r="E116" s="12"/>
      <c r="F116" s="18" t="s">
        <v>58</v>
      </c>
      <c r="G116" s="19">
        <v>1.1000000000000001</v>
      </c>
      <c r="H116" s="19"/>
      <c r="I116" s="19">
        <v>4299.3500000000004</v>
      </c>
      <c r="J116" s="20">
        <v>47.54</v>
      </c>
      <c r="M116" s="21">
        <f>ROUND(ROUND(J116, 2)*I116, 2)</f>
        <v>204391.1</v>
      </c>
      <c r="P116" s="22">
        <v>47.54</v>
      </c>
      <c r="S116" s="21">
        <f>ROUND(ROUND(P116, 2)*I116, 2)</f>
        <v>204391.1</v>
      </c>
      <c r="V116" s="9">
        <f>ROUND(ROUND(P116, 2)/1.2, 2)</f>
        <v>39.619999999999997</v>
      </c>
      <c r="Y116" s="9">
        <f t="shared" si="15"/>
        <v>170325.92</v>
      </c>
      <c r="AD116" s="4" t="s">
        <v>490</v>
      </c>
      <c r="AE116" s="4" t="s">
        <v>491</v>
      </c>
      <c r="AF116" s="4" t="s">
        <v>492</v>
      </c>
    </row>
    <row r="117" spans="1:35" ht="108" x14ac:dyDescent="0.3">
      <c r="A117" s="10" t="s">
        <v>493</v>
      </c>
      <c r="B117" s="10" t="s">
        <v>494</v>
      </c>
      <c r="C117" s="11" t="s">
        <v>495</v>
      </c>
      <c r="D117" s="12"/>
      <c r="E117" s="12" t="s">
        <v>496</v>
      </c>
      <c r="F117" s="12" t="s">
        <v>58</v>
      </c>
      <c r="G117" s="13">
        <v>1</v>
      </c>
      <c r="H117" s="13"/>
      <c r="I117" s="13">
        <v>8367.4</v>
      </c>
      <c r="J117" s="14">
        <f>IFERROR(ROUND(SUM(M118)/I117, 2),0)</f>
        <v>0</v>
      </c>
      <c r="K117" s="15">
        <v>117</v>
      </c>
      <c r="L117" s="14">
        <f>J117+ROUND(K117, 2)</f>
        <v>117</v>
      </c>
      <c r="M117" s="14">
        <f>ROUND(J117*I117, 2)</f>
        <v>0</v>
      </c>
      <c r="N117" s="14">
        <f>ROUND(I117*ROUND(K117, 2), 2)</f>
        <v>978985.8</v>
      </c>
      <c r="O117" s="14">
        <f>M117+N117</f>
        <v>978985.8</v>
      </c>
      <c r="P117" s="14">
        <f>IFERROR(ROUND(SUM(S118)/I117, 2),0)</f>
        <v>216.9</v>
      </c>
      <c r="Q117" s="16">
        <v>167.14</v>
      </c>
      <c r="R117" s="14">
        <f>P117+ROUND(Q117, 2)</f>
        <v>384.03999999999996</v>
      </c>
      <c r="S117" s="14">
        <f>ROUND(P117*I117, 2)</f>
        <v>1814889.06</v>
      </c>
      <c r="T117" s="14">
        <f>ROUND(I117*ROUND(Q117, 2), 2)</f>
        <v>1398527.24</v>
      </c>
      <c r="U117" s="14">
        <f>S117+T117</f>
        <v>3213416.3</v>
      </c>
      <c r="V117" s="9">
        <f>ROUND(P117 / 1.2, 2)</f>
        <v>180.75</v>
      </c>
      <c r="W117" s="9">
        <f>ROUND(Q117 / 1.2, 2)</f>
        <v>139.28</v>
      </c>
      <c r="X117" s="9">
        <f>ROUND(R117 / 1.2, 2)</f>
        <v>320.02999999999997</v>
      </c>
      <c r="Y117" s="9">
        <f t="shared" si="15"/>
        <v>1512407.55</v>
      </c>
      <c r="Z117" s="9">
        <f>ROUND(T117 / 1.2, 2)</f>
        <v>1165439.3700000001</v>
      </c>
      <c r="AA117" s="9">
        <f>Y117+Z117</f>
        <v>2677846.92</v>
      </c>
      <c r="AD117" s="4">
        <v>311044323</v>
      </c>
      <c r="AE117" s="4">
        <v>22757330</v>
      </c>
      <c r="AG117" s="4" t="s">
        <v>497</v>
      </c>
      <c r="AH117" s="4" t="s">
        <v>498</v>
      </c>
      <c r="AI117" s="4" t="s">
        <v>469</v>
      </c>
    </row>
    <row r="118" spans="1:35" ht="36" x14ac:dyDescent="0.3">
      <c r="A118" s="10" t="s">
        <v>499</v>
      </c>
      <c r="B118" s="10"/>
      <c r="C118" s="17" t="s">
        <v>500</v>
      </c>
      <c r="D118" s="12"/>
      <c r="E118" s="12" t="s">
        <v>501</v>
      </c>
      <c r="F118" s="18" t="s">
        <v>99</v>
      </c>
      <c r="G118" s="19">
        <v>0.3</v>
      </c>
      <c r="H118" s="19"/>
      <c r="I118" s="19">
        <v>2510.2199999999998</v>
      </c>
      <c r="J118" s="20">
        <v>0</v>
      </c>
      <c r="M118" s="21">
        <f>ROUND(ROUND(J118, 2)*I118, 2)</f>
        <v>0</v>
      </c>
      <c r="P118" s="22">
        <v>723</v>
      </c>
      <c r="S118" s="21">
        <f>ROUND(ROUND(P118, 2)*I118, 2)</f>
        <v>1814889.06</v>
      </c>
      <c r="V118" s="9">
        <f>ROUND(ROUND(P118, 2)/1.2, 2)</f>
        <v>602.5</v>
      </c>
      <c r="Y118" s="9">
        <f t="shared" si="15"/>
        <v>1512407.55</v>
      </c>
      <c r="AD118" s="4" t="s">
        <v>502</v>
      </c>
      <c r="AE118" s="4" t="s">
        <v>503</v>
      </c>
      <c r="AF118" s="4" t="s">
        <v>504</v>
      </c>
    </row>
    <row r="119" spans="1:35" ht="54" x14ac:dyDescent="0.3">
      <c r="A119" s="10" t="s">
        <v>505</v>
      </c>
      <c r="B119" s="10" t="s">
        <v>494</v>
      </c>
      <c r="C119" s="11" t="s">
        <v>495</v>
      </c>
      <c r="D119" s="12"/>
      <c r="E119" s="12" t="s">
        <v>506</v>
      </c>
      <c r="F119" s="12" t="s">
        <v>58</v>
      </c>
      <c r="G119" s="13">
        <v>1</v>
      </c>
      <c r="H119" s="13"/>
      <c r="I119" s="13">
        <v>3291.4</v>
      </c>
      <c r="J119" s="14">
        <f>IFERROR(ROUND(SUM(M120)/I119, 2),0)</f>
        <v>54.68</v>
      </c>
      <c r="K119" s="15">
        <v>117</v>
      </c>
      <c r="L119" s="14">
        <f>J119+ROUND(K119, 2)</f>
        <v>171.68</v>
      </c>
      <c r="M119" s="14">
        <f>ROUND(J119*I119, 2)</f>
        <v>179973.75</v>
      </c>
      <c r="N119" s="14">
        <f>ROUND(I119*ROUND(K119, 2), 2)</f>
        <v>385093.8</v>
      </c>
      <c r="O119" s="14">
        <f>M119+N119</f>
        <v>565067.55000000005</v>
      </c>
      <c r="P119" s="14">
        <f>IFERROR(ROUND(SUM(S120)/I119, 2),0)</f>
        <v>54.68</v>
      </c>
      <c r="Q119" s="16">
        <v>167.14</v>
      </c>
      <c r="R119" s="14">
        <f>P119+ROUND(Q119, 2)</f>
        <v>221.82</v>
      </c>
      <c r="S119" s="14">
        <f>ROUND(P119*I119, 2)</f>
        <v>179973.75</v>
      </c>
      <c r="T119" s="14">
        <f>ROUND(I119*ROUND(Q119, 2), 2)</f>
        <v>550124.6</v>
      </c>
      <c r="U119" s="14">
        <f>S119+T119</f>
        <v>730098.35</v>
      </c>
      <c r="V119" s="9">
        <f>ROUND(P119 / 1.2, 2)</f>
        <v>45.57</v>
      </c>
      <c r="W119" s="9">
        <f>ROUND(Q119 / 1.2, 2)</f>
        <v>139.28</v>
      </c>
      <c r="X119" s="9">
        <f>ROUND(R119 / 1.2, 2)</f>
        <v>184.85</v>
      </c>
      <c r="Y119" s="9">
        <f t="shared" si="15"/>
        <v>149978.13</v>
      </c>
      <c r="Z119" s="9">
        <f>ROUND(T119 / 1.2, 2)</f>
        <v>458437.17</v>
      </c>
      <c r="AA119" s="9">
        <f>Y119+Z119</f>
        <v>608415.30000000005</v>
      </c>
      <c r="AD119" s="4">
        <v>311044418</v>
      </c>
      <c r="AE119" s="4">
        <v>22761921</v>
      </c>
      <c r="AG119" s="4" t="s">
        <v>497</v>
      </c>
      <c r="AH119" s="4" t="s">
        <v>498</v>
      </c>
      <c r="AI119" s="4" t="s">
        <v>469</v>
      </c>
    </row>
    <row r="120" spans="1:35" ht="36" x14ac:dyDescent="0.3">
      <c r="A120" s="10" t="s">
        <v>507</v>
      </c>
      <c r="B120" s="10"/>
      <c r="C120" s="17" t="s">
        <v>508</v>
      </c>
      <c r="D120" s="12"/>
      <c r="E120" s="12"/>
      <c r="F120" s="18" t="s">
        <v>99</v>
      </c>
      <c r="G120" s="19">
        <v>0.3</v>
      </c>
      <c r="H120" s="19"/>
      <c r="I120" s="19">
        <v>987.42</v>
      </c>
      <c r="J120" s="20">
        <v>182.26</v>
      </c>
      <c r="M120" s="21">
        <f>ROUND(ROUND(J120, 2)*I120, 2)</f>
        <v>179967.17</v>
      </c>
      <c r="P120" s="22">
        <v>182.26</v>
      </c>
      <c r="S120" s="21">
        <f>ROUND(ROUND(P120, 2)*I120, 2)</f>
        <v>179967.17</v>
      </c>
      <c r="V120" s="9">
        <f>ROUND(ROUND(P120, 2)/1.2, 2)</f>
        <v>151.88</v>
      </c>
      <c r="Y120" s="9">
        <f t="shared" si="15"/>
        <v>149972.64000000001</v>
      </c>
      <c r="AD120" s="4" t="s">
        <v>509</v>
      </c>
      <c r="AE120" s="4" t="s">
        <v>510</v>
      </c>
      <c r="AF120" s="4" t="s">
        <v>511</v>
      </c>
    </row>
    <row r="121" spans="1:35" ht="54" x14ac:dyDescent="0.3">
      <c r="A121" s="10" t="s">
        <v>512</v>
      </c>
      <c r="B121" s="10" t="s">
        <v>494</v>
      </c>
      <c r="C121" s="11" t="s">
        <v>495</v>
      </c>
      <c r="D121" s="12"/>
      <c r="E121" s="12" t="s">
        <v>513</v>
      </c>
      <c r="F121" s="12" t="s">
        <v>58</v>
      </c>
      <c r="G121" s="13">
        <v>1</v>
      </c>
      <c r="H121" s="13"/>
      <c r="I121" s="13">
        <v>4021.4</v>
      </c>
      <c r="J121" s="14">
        <f>IFERROR(ROUND(SUM(M122)/I121, 2),0)</f>
        <v>54.68</v>
      </c>
      <c r="K121" s="15">
        <v>117</v>
      </c>
      <c r="L121" s="14">
        <f>J121+ROUND(K121, 2)</f>
        <v>171.68</v>
      </c>
      <c r="M121" s="14">
        <f>ROUND(J121*I121, 2)</f>
        <v>219890.15</v>
      </c>
      <c r="N121" s="14">
        <f>ROUND(I121*ROUND(K121, 2), 2)</f>
        <v>470503.8</v>
      </c>
      <c r="O121" s="14">
        <f>M121+N121</f>
        <v>690393.95</v>
      </c>
      <c r="P121" s="14">
        <f>IFERROR(ROUND(SUM(S122)/I121, 2),0)</f>
        <v>54.68</v>
      </c>
      <c r="Q121" s="16">
        <v>167.14</v>
      </c>
      <c r="R121" s="14">
        <f>P121+ROUND(Q121, 2)</f>
        <v>221.82</v>
      </c>
      <c r="S121" s="14">
        <f>ROUND(P121*I121, 2)</f>
        <v>219890.15</v>
      </c>
      <c r="T121" s="14">
        <f>ROUND(I121*ROUND(Q121, 2), 2)</f>
        <v>672136.8</v>
      </c>
      <c r="U121" s="14">
        <f>S121+T121</f>
        <v>892026.95000000007</v>
      </c>
      <c r="V121" s="9">
        <f>ROUND(P121 / 1.2, 2)</f>
        <v>45.57</v>
      </c>
      <c r="W121" s="9">
        <f>ROUND(Q121 / 1.2, 2)</f>
        <v>139.28</v>
      </c>
      <c r="X121" s="9">
        <f>ROUND(R121 / 1.2, 2)</f>
        <v>184.85</v>
      </c>
      <c r="Y121" s="9">
        <f t="shared" si="15"/>
        <v>183241.79</v>
      </c>
      <c r="Z121" s="9">
        <f>ROUND(T121 / 1.2, 2)</f>
        <v>560114</v>
      </c>
      <c r="AA121" s="9">
        <f>Y121+Z121</f>
        <v>743355.79</v>
      </c>
      <c r="AD121" s="4">
        <v>311044419</v>
      </c>
      <c r="AE121" s="4">
        <v>22761922</v>
      </c>
      <c r="AG121" s="4" t="s">
        <v>497</v>
      </c>
      <c r="AH121" s="4" t="s">
        <v>498</v>
      </c>
      <c r="AI121" s="4" t="s">
        <v>469</v>
      </c>
    </row>
    <row r="122" spans="1:35" ht="36" x14ac:dyDescent="0.3">
      <c r="A122" s="10" t="s">
        <v>514</v>
      </c>
      <c r="B122" s="10"/>
      <c r="C122" s="17" t="s">
        <v>508</v>
      </c>
      <c r="D122" s="12"/>
      <c r="E122" s="12"/>
      <c r="F122" s="18" t="s">
        <v>99</v>
      </c>
      <c r="G122" s="19">
        <v>0.3</v>
      </c>
      <c r="H122" s="19"/>
      <c r="I122" s="19">
        <v>1206.42</v>
      </c>
      <c r="J122" s="20">
        <v>182.26</v>
      </c>
      <c r="M122" s="21">
        <f>ROUND(ROUND(J122, 2)*I122, 2)</f>
        <v>219882.11</v>
      </c>
      <c r="P122" s="22">
        <v>182.26</v>
      </c>
      <c r="S122" s="21">
        <f>ROUND(ROUND(P122, 2)*I122, 2)</f>
        <v>219882.11</v>
      </c>
      <c r="V122" s="9">
        <f>ROUND(ROUND(P122, 2)/1.2, 2)</f>
        <v>151.88</v>
      </c>
      <c r="Y122" s="9">
        <f t="shared" si="15"/>
        <v>183235.09</v>
      </c>
      <c r="AD122" s="4" t="s">
        <v>515</v>
      </c>
      <c r="AE122" s="4" t="s">
        <v>516</v>
      </c>
      <c r="AF122" s="4" t="s">
        <v>511</v>
      </c>
    </row>
    <row r="123" spans="1:35" ht="54" x14ac:dyDescent="0.3">
      <c r="A123" s="10" t="s">
        <v>517</v>
      </c>
      <c r="B123" s="10" t="s">
        <v>494</v>
      </c>
      <c r="C123" s="11" t="s">
        <v>495</v>
      </c>
      <c r="D123" s="12"/>
      <c r="E123" s="12" t="s">
        <v>518</v>
      </c>
      <c r="F123" s="12" t="s">
        <v>58</v>
      </c>
      <c r="G123" s="13">
        <v>1</v>
      </c>
      <c r="H123" s="13"/>
      <c r="I123" s="13">
        <v>2991</v>
      </c>
      <c r="J123" s="14">
        <f>IFERROR(ROUND(SUM(M124)/I123, 2),0)</f>
        <v>54.68</v>
      </c>
      <c r="K123" s="15">
        <v>117</v>
      </c>
      <c r="L123" s="14">
        <f>J123+ROUND(K123, 2)</f>
        <v>171.68</v>
      </c>
      <c r="M123" s="14">
        <f>ROUND(J123*I123, 2)</f>
        <v>163547.88</v>
      </c>
      <c r="N123" s="14">
        <f>ROUND(I123*ROUND(K123, 2), 2)</f>
        <v>349947</v>
      </c>
      <c r="O123" s="14">
        <f>M123+N123</f>
        <v>513494.88</v>
      </c>
      <c r="P123" s="14">
        <f>IFERROR(ROUND(SUM(S124)/I123, 2),0)</f>
        <v>54.68</v>
      </c>
      <c r="Q123" s="16">
        <v>167.14</v>
      </c>
      <c r="R123" s="14">
        <f>P123+ROUND(Q123, 2)</f>
        <v>221.82</v>
      </c>
      <c r="S123" s="14">
        <f>ROUND(P123*I123, 2)</f>
        <v>163547.88</v>
      </c>
      <c r="T123" s="14">
        <f>ROUND(I123*ROUND(Q123, 2), 2)</f>
        <v>499915.74</v>
      </c>
      <c r="U123" s="14">
        <f>S123+T123</f>
        <v>663463.62</v>
      </c>
      <c r="V123" s="9">
        <f>ROUND(P123 / 1.2, 2)</f>
        <v>45.57</v>
      </c>
      <c r="W123" s="9">
        <f>ROUND(Q123 / 1.2, 2)</f>
        <v>139.28</v>
      </c>
      <c r="X123" s="9">
        <f>ROUND(R123 / 1.2, 2)</f>
        <v>184.85</v>
      </c>
      <c r="Y123" s="9">
        <f t="shared" si="15"/>
        <v>136289.9</v>
      </c>
      <c r="Z123" s="9">
        <f>ROUND(T123 / 1.2, 2)</f>
        <v>416596.45</v>
      </c>
      <c r="AA123" s="9">
        <f>Y123+Z123</f>
        <v>552886.35</v>
      </c>
      <c r="AD123" s="4">
        <v>311044420</v>
      </c>
      <c r="AE123" s="4">
        <v>22761923</v>
      </c>
      <c r="AG123" s="4" t="s">
        <v>497</v>
      </c>
      <c r="AH123" s="4" t="s">
        <v>498</v>
      </c>
      <c r="AI123" s="4" t="s">
        <v>469</v>
      </c>
    </row>
    <row r="124" spans="1:35" ht="36" x14ac:dyDescent="0.3">
      <c r="A124" s="10" t="s">
        <v>519</v>
      </c>
      <c r="B124" s="10"/>
      <c r="C124" s="17" t="s">
        <v>508</v>
      </c>
      <c r="D124" s="12"/>
      <c r="E124" s="12"/>
      <c r="F124" s="18" t="s">
        <v>99</v>
      </c>
      <c r="G124" s="19">
        <v>0.3</v>
      </c>
      <c r="H124" s="19"/>
      <c r="I124" s="19">
        <v>897.3</v>
      </c>
      <c r="J124" s="20">
        <v>182.26</v>
      </c>
      <c r="M124" s="21">
        <f>ROUND(ROUND(J124, 2)*I124, 2)</f>
        <v>163541.9</v>
      </c>
      <c r="P124" s="22">
        <v>182.26</v>
      </c>
      <c r="S124" s="21">
        <f>ROUND(ROUND(P124, 2)*I124, 2)</f>
        <v>163541.9</v>
      </c>
      <c r="V124" s="9">
        <f>ROUND(ROUND(P124, 2)/1.2, 2)</f>
        <v>151.88</v>
      </c>
      <c r="Y124" s="9">
        <f t="shared" si="15"/>
        <v>136284.92000000001</v>
      </c>
      <c r="AD124" s="4" t="s">
        <v>520</v>
      </c>
      <c r="AE124" s="4" t="s">
        <v>521</v>
      </c>
      <c r="AF124" s="4" t="s">
        <v>511</v>
      </c>
    </row>
    <row r="125" spans="1:35" ht="72" x14ac:dyDescent="0.3">
      <c r="A125" s="10" t="s">
        <v>522</v>
      </c>
      <c r="B125" s="10" t="s">
        <v>523</v>
      </c>
      <c r="C125" s="11" t="s">
        <v>524</v>
      </c>
      <c r="D125" s="12"/>
      <c r="E125" s="12" t="s">
        <v>525</v>
      </c>
      <c r="F125" s="12" t="s">
        <v>58</v>
      </c>
      <c r="G125" s="13">
        <v>1</v>
      </c>
      <c r="H125" s="13"/>
      <c r="I125" s="13">
        <v>12.3</v>
      </c>
      <c r="J125" s="14">
        <f>IFERROR(ROUND(SUM(M126,M127,M128,M129)/I125, 2),0)</f>
        <v>652.16999999999996</v>
      </c>
      <c r="K125" s="15">
        <v>868.01</v>
      </c>
      <c r="L125" s="14">
        <f>J125+ROUND(K125, 2)</f>
        <v>1520.1799999999998</v>
      </c>
      <c r="M125" s="14">
        <f>ROUND(J125*I125, 2)</f>
        <v>8021.69</v>
      </c>
      <c r="N125" s="14">
        <f>ROUND(I125*ROUND(K125, 2), 2)</f>
        <v>10676.52</v>
      </c>
      <c r="O125" s="14">
        <f>M125+N125</f>
        <v>18698.21</v>
      </c>
      <c r="P125" s="14">
        <f>IFERROR(ROUND(SUM(S126,S127,S128,S129)/I125, 2),0)</f>
        <v>652.16999999999996</v>
      </c>
      <c r="Q125" s="16">
        <v>1240.01</v>
      </c>
      <c r="R125" s="14">
        <f>P125+ROUND(Q125, 2)</f>
        <v>1892.1799999999998</v>
      </c>
      <c r="S125" s="14">
        <f>ROUND(P125*I125, 2)</f>
        <v>8021.69</v>
      </c>
      <c r="T125" s="14">
        <f>ROUND(I125*ROUND(Q125, 2), 2)</f>
        <v>15252.12</v>
      </c>
      <c r="U125" s="14">
        <f>S125+T125</f>
        <v>23273.81</v>
      </c>
      <c r="V125" s="9">
        <f>ROUND(P125 / 1.2, 2)</f>
        <v>543.48</v>
      </c>
      <c r="W125" s="9">
        <f>ROUND(Q125 / 1.2, 2)</f>
        <v>1033.3399999999999</v>
      </c>
      <c r="X125" s="9">
        <f>ROUND(R125 / 1.2, 2)</f>
        <v>1576.82</v>
      </c>
      <c r="Y125" s="9">
        <f t="shared" si="15"/>
        <v>6684.74</v>
      </c>
      <c r="Z125" s="9">
        <f>ROUND(T125 / 1.2, 2)</f>
        <v>12710.1</v>
      </c>
      <c r="AA125" s="9">
        <f>Y125+Z125</f>
        <v>19394.84</v>
      </c>
      <c r="AD125" s="4">
        <v>311044325</v>
      </c>
      <c r="AE125" s="4">
        <v>22829011</v>
      </c>
      <c r="AG125" s="4" t="s">
        <v>526</v>
      </c>
      <c r="AH125" s="4" t="s">
        <v>527</v>
      </c>
      <c r="AI125" s="4" t="s">
        <v>469</v>
      </c>
    </row>
    <row r="126" spans="1:35" ht="18" x14ac:dyDescent="0.3">
      <c r="A126" s="10" t="s">
        <v>528</v>
      </c>
      <c r="B126" s="10"/>
      <c r="C126" s="17" t="s">
        <v>529</v>
      </c>
      <c r="D126" s="12"/>
      <c r="E126" s="12"/>
      <c r="F126" s="18" t="s">
        <v>139</v>
      </c>
      <c r="G126" s="19">
        <v>8</v>
      </c>
      <c r="H126" s="24"/>
      <c r="I126" s="24">
        <v>98.4</v>
      </c>
      <c r="J126" s="20">
        <v>2.54</v>
      </c>
      <c r="M126" s="21">
        <f>ROUND(ROUND(J126, 2)*I126, 2)</f>
        <v>249.94</v>
      </c>
      <c r="P126" s="22">
        <v>2.54</v>
      </c>
      <c r="S126" s="21">
        <f>ROUND(ROUND(P126, 2)*I126, 2)</f>
        <v>249.94</v>
      </c>
      <c r="V126" s="9">
        <f>ROUND(ROUND(P126, 2)/1.2, 2)</f>
        <v>2.12</v>
      </c>
      <c r="Y126" s="9">
        <f t="shared" si="15"/>
        <v>208.28</v>
      </c>
      <c r="AD126" s="4" t="s">
        <v>530</v>
      </c>
      <c r="AE126" s="4" t="s">
        <v>531</v>
      </c>
      <c r="AF126" s="4" t="s">
        <v>532</v>
      </c>
    </row>
    <row r="127" spans="1:35" ht="18" x14ac:dyDescent="0.3">
      <c r="A127" s="10" t="s">
        <v>533</v>
      </c>
      <c r="B127" s="10"/>
      <c r="C127" s="17" t="s">
        <v>534</v>
      </c>
      <c r="D127" s="12"/>
      <c r="E127" s="12"/>
      <c r="F127" s="18" t="s">
        <v>99</v>
      </c>
      <c r="G127" s="19">
        <v>1.8</v>
      </c>
      <c r="H127" s="24"/>
      <c r="I127" s="24">
        <v>885.6</v>
      </c>
      <c r="J127" s="20">
        <v>6.27</v>
      </c>
      <c r="M127" s="21">
        <f>ROUND(ROUND(J127, 2)*I127, 2)</f>
        <v>5552.71</v>
      </c>
      <c r="P127" s="22">
        <v>6.27</v>
      </c>
      <c r="S127" s="21">
        <f>ROUND(ROUND(P127, 2)*I127, 2)</f>
        <v>5552.71</v>
      </c>
      <c r="V127" s="9">
        <f>ROUND(ROUND(P127, 2)/1.2, 2)</f>
        <v>5.23</v>
      </c>
      <c r="Y127" s="9">
        <f t="shared" si="15"/>
        <v>4627.26</v>
      </c>
      <c r="AD127" s="4" t="s">
        <v>535</v>
      </c>
      <c r="AE127" s="4" t="s">
        <v>536</v>
      </c>
      <c r="AF127" s="4" t="s">
        <v>537</v>
      </c>
    </row>
    <row r="128" spans="1:35" ht="18" x14ac:dyDescent="0.3">
      <c r="A128" s="10" t="s">
        <v>538</v>
      </c>
      <c r="B128" s="10"/>
      <c r="C128" s="17" t="s">
        <v>539</v>
      </c>
      <c r="D128" s="12"/>
      <c r="E128" s="12"/>
      <c r="F128" s="18" t="s">
        <v>58</v>
      </c>
      <c r="G128" s="19">
        <v>1.1000000000000001</v>
      </c>
      <c r="H128" s="24"/>
      <c r="I128" s="24">
        <v>13.53</v>
      </c>
      <c r="J128" s="20">
        <v>157.6</v>
      </c>
      <c r="M128" s="21">
        <f>ROUND(ROUND(J128, 2)*I128, 2)</f>
        <v>2132.33</v>
      </c>
      <c r="P128" s="22">
        <v>157.6</v>
      </c>
      <c r="S128" s="21">
        <f>ROUND(ROUND(P128, 2)*I128, 2)</f>
        <v>2132.33</v>
      </c>
      <c r="V128" s="9">
        <f>ROUND(ROUND(P128, 2)/1.2, 2)</f>
        <v>131.33000000000001</v>
      </c>
      <c r="Y128" s="9">
        <f t="shared" si="15"/>
        <v>1776.94</v>
      </c>
      <c r="AD128" s="4" t="s">
        <v>540</v>
      </c>
      <c r="AE128" s="4" t="s">
        <v>541</v>
      </c>
      <c r="AF128" s="4" t="s">
        <v>542</v>
      </c>
    </row>
    <row r="129" spans="1:35" ht="18" x14ac:dyDescent="0.3">
      <c r="A129" s="10" t="s">
        <v>543</v>
      </c>
      <c r="B129" s="10"/>
      <c r="C129" s="17" t="s">
        <v>544</v>
      </c>
      <c r="D129" s="12"/>
      <c r="E129" s="12"/>
      <c r="F129" s="18" t="s">
        <v>258</v>
      </c>
      <c r="G129" s="19">
        <v>1</v>
      </c>
      <c r="H129" s="24"/>
      <c r="I129" s="24">
        <v>8.1999999999999993</v>
      </c>
      <c r="J129" s="20">
        <v>10.58</v>
      </c>
      <c r="M129" s="21">
        <f>ROUND(ROUND(J129, 2)*I129, 2)</f>
        <v>86.76</v>
      </c>
      <c r="P129" s="22">
        <v>10.58</v>
      </c>
      <c r="S129" s="21">
        <f>ROUND(ROUND(P129, 2)*I129, 2)</f>
        <v>86.76</v>
      </c>
      <c r="V129" s="9">
        <f>ROUND(ROUND(P129, 2)/1.2, 2)</f>
        <v>8.82</v>
      </c>
      <c r="Y129" s="9">
        <f t="shared" si="15"/>
        <v>72.3</v>
      </c>
      <c r="AD129" s="4" t="s">
        <v>545</v>
      </c>
      <c r="AE129" s="4" t="s">
        <v>546</v>
      </c>
      <c r="AF129" s="4" t="s">
        <v>547</v>
      </c>
    </row>
    <row r="130" spans="1:35" ht="72" x14ac:dyDescent="0.3">
      <c r="A130" s="10" t="s">
        <v>548</v>
      </c>
      <c r="B130" s="10" t="s">
        <v>549</v>
      </c>
      <c r="C130" s="11" t="s">
        <v>550</v>
      </c>
      <c r="D130" s="12"/>
      <c r="E130" s="12" t="s">
        <v>551</v>
      </c>
      <c r="F130" s="12" t="s">
        <v>58</v>
      </c>
      <c r="G130" s="13">
        <v>1</v>
      </c>
      <c r="H130" s="13"/>
      <c r="I130" s="13">
        <v>968</v>
      </c>
      <c r="J130" s="14">
        <f>IFERROR(ROUND(SUM(M131,M132,M133)/I130, 2),0)</f>
        <v>750.13</v>
      </c>
      <c r="K130" s="15">
        <v>941</v>
      </c>
      <c r="L130" s="14">
        <f>J130+ROUND(K130, 2)</f>
        <v>1691.13</v>
      </c>
      <c r="M130" s="14">
        <f>ROUND(J130*I130, 2)</f>
        <v>726125.84</v>
      </c>
      <c r="N130" s="14">
        <f>ROUND(I130*ROUND(K130, 2), 2)</f>
        <v>910888</v>
      </c>
      <c r="O130" s="14">
        <f>M130+N130</f>
        <v>1637013.8399999999</v>
      </c>
      <c r="P130" s="14">
        <f>IFERROR(ROUND(SUM(S131,S132,S133)/I130, 2),0)</f>
        <v>750.13</v>
      </c>
      <c r="Q130" s="16">
        <v>1344.29</v>
      </c>
      <c r="R130" s="14">
        <f>P130+ROUND(Q130, 2)</f>
        <v>2094.42</v>
      </c>
      <c r="S130" s="14">
        <f>ROUND(P130*I130, 2)</f>
        <v>726125.84</v>
      </c>
      <c r="T130" s="14">
        <f>ROUND(I130*ROUND(Q130, 2), 2)</f>
        <v>1301272.72</v>
      </c>
      <c r="U130" s="14">
        <f>S130+T130</f>
        <v>2027398.56</v>
      </c>
      <c r="V130" s="9">
        <f>ROUND(P130 / 1.2, 2)</f>
        <v>625.11</v>
      </c>
      <c r="W130" s="9">
        <f>ROUND(Q130 / 1.2, 2)</f>
        <v>1120.24</v>
      </c>
      <c r="X130" s="9">
        <f>ROUND(R130 / 1.2, 2)</f>
        <v>1745.35</v>
      </c>
      <c r="Y130" s="9">
        <f t="shared" si="15"/>
        <v>605104.87</v>
      </c>
      <c r="Z130" s="9">
        <f>ROUND(T130 / 1.2, 2)</f>
        <v>1084393.93</v>
      </c>
      <c r="AA130" s="9">
        <f>Y130+Z130</f>
        <v>1689498.7999999998</v>
      </c>
      <c r="AD130" s="4">
        <v>311044326</v>
      </c>
      <c r="AE130" s="4">
        <v>22765233</v>
      </c>
      <c r="AG130" s="4" t="s">
        <v>552</v>
      </c>
      <c r="AH130" s="4" t="s">
        <v>553</v>
      </c>
      <c r="AI130" s="4" t="s">
        <v>469</v>
      </c>
    </row>
    <row r="131" spans="1:35" ht="18" x14ac:dyDescent="0.3">
      <c r="A131" s="10" t="s">
        <v>554</v>
      </c>
      <c r="B131" s="10"/>
      <c r="C131" s="17" t="s">
        <v>529</v>
      </c>
      <c r="D131" s="12"/>
      <c r="E131" s="12"/>
      <c r="F131" s="18" t="s">
        <v>139</v>
      </c>
      <c r="G131" s="19">
        <v>8</v>
      </c>
      <c r="H131" s="24"/>
      <c r="I131" s="24">
        <v>7744</v>
      </c>
      <c r="J131" s="20">
        <v>2.54</v>
      </c>
      <c r="M131" s="21">
        <f>ROUND(ROUND(J131, 2)*I131, 2)</f>
        <v>19669.759999999998</v>
      </c>
      <c r="P131" s="22">
        <v>2.54</v>
      </c>
      <c r="S131" s="21">
        <f>ROUND(ROUND(P131, 2)*I131, 2)</f>
        <v>19669.759999999998</v>
      </c>
      <c r="V131" s="9">
        <f>ROUND(ROUND(P131, 2)/1.2, 2)</f>
        <v>2.12</v>
      </c>
      <c r="Y131" s="9">
        <f t="shared" si="15"/>
        <v>16391.47</v>
      </c>
      <c r="AD131" s="4" t="s">
        <v>555</v>
      </c>
      <c r="AE131" s="4" t="s">
        <v>556</v>
      </c>
      <c r="AF131" s="4" t="s">
        <v>532</v>
      </c>
    </row>
    <row r="132" spans="1:35" ht="18" x14ac:dyDescent="0.3">
      <c r="A132" s="10" t="s">
        <v>557</v>
      </c>
      <c r="B132" s="10"/>
      <c r="C132" s="17" t="s">
        <v>539</v>
      </c>
      <c r="D132" s="12"/>
      <c r="E132" s="12"/>
      <c r="F132" s="18" t="s">
        <v>58</v>
      </c>
      <c r="G132" s="19">
        <v>1.1000000000000001</v>
      </c>
      <c r="H132" s="24"/>
      <c r="I132" s="24">
        <v>1064.8</v>
      </c>
      <c r="J132" s="20">
        <v>157.6</v>
      </c>
      <c r="M132" s="21">
        <f>ROUND(ROUND(J132, 2)*I132, 2)</f>
        <v>167812.48000000001</v>
      </c>
      <c r="P132" s="22">
        <v>157.6</v>
      </c>
      <c r="S132" s="21">
        <f>ROUND(ROUND(P132, 2)*I132, 2)</f>
        <v>167812.48000000001</v>
      </c>
      <c r="V132" s="9">
        <f>ROUND(ROUND(P132, 2)/1.2, 2)</f>
        <v>131.33000000000001</v>
      </c>
      <c r="Y132" s="9">
        <f t="shared" si="15"/>
        <v>139843.73000000001</v>
      </c>
      <c r="AD132" s="4" t="s">
        <v>558</v>
      </c>
      <c r="AE132" s="4" t="s">
        <v>559</v>
      </c>
      <c r="AF132" s="4" t="s">
        <v>542</v>
      </c>
    </row>
    <row r="133" spans="1:35" ht="18" x14ac:dyDescent="0.3">
      <c r="A133" s="10" t="s">
        <v>560</v>
      </c>
      <c r="B133" s="10"/>
      <c r="C133" s="17" t="s">
        <v>561</v>
      </c>
      <c r="D133" s="12"/>
      <c r="E133" s="12"/>
      <c r="F133" s="18" t="s">
        <v>99</v>
      </c>
      <c r="G133" s="19">
        <v>1.8</v>
      </c>
      <c r="H133" s="24"/>
      <c r="I133" s="24">
        <v>71438.399999999994</v>
      </c>
      <c r="J133" s="20">
        <v>7.54</v>
      </c>
      <c r="M133" s="21">
        <f>ROUND(ROUND(J133, 2)*I133, 2)</f>
        <v>538645.54</v>
      </c>
      <c r="P133" s="22">
        <v>7.54</v>
      </c>
      <c r="S133" s="21">
        <f>ROUND(ROUND(P133, 2)*I133, 2)</f>
        <v>538645.54</v>
      </c>
      <c r="V133" s="9">
        <f>ROUND(ROUND(P133, 2)/1.2, 2)</f>
        <v>6.28</v>
      </c>
      <c r="Y133" s="9">
        <f t="shared" si="15"/>
        <v>448871.28</v>
      </c>
      <c r="AD133" s="4" t="s">
        <v>562</v>
      </c>
      <c r="AE133" s="4" t="s">
        <v>563</v>
      </c>
      <c r="AF133" s="4" t="s">
        <v>564</v>
      </c>
    </row>
    <row r="134" spans="1:35" ht="72" x14ac:dyDescent="0.3">
      <c r="A134" s="10" t="s">
        <v>565</v>
      </c>
      <c r="B134" s="10" t="s">
        <v>549</v>
      </c>
      <c r="C134" s="11" t="s">
        <v>550</v>
      </c>
      <c r="D134" s="12"/>
      <c r="E134" s="12" t="s">
        <v>566</v>
      </c>
      <c r="F134" s="12" t="s">
        <v>58</v>
      </c>
      <c r="G134" s="13">
        <v>1</v>
      </c>
      <c r="H134" s="13"/>
      <c r="I134" s="13">
        <v>6382.4</v>
      </c>
      <c r="J134" s="14">
        <f>IFERROR(ROUND(SUM(M135,M136,M137)/I134, 2),0)</f>
        <v>777.28</v>
      </c>
      <c r="K134" s="15">
        <v>941</v>
      </c>
      <c r="L134" s="14">
        <f>J134+ROUND(K134, 2)</f>
        <v>1718.28</v>
      </c>
      <c r="M134" s="14">
        <f>ROUND(J134*I134, 2)</f>
        <v>4960911.87</v>
      </c>
      <c r="N134" s="14">
        <f>ROUND(I134*ROUND(K134, 2), 2)</f>
        <v>6005838.4000000004</v>
      </c>
      <c r="O134" s="14">
        <f>M134+N134</f>
        <v>10966750.27</v>
      </c>
      <c r="P134" s="14">
        <f>IFERROR(ROUND(SUM(S135,S136,S137)/I134, 2),0)</f>
        <v>777.28</v>
      </c>
      <c r="Q134" s="16">
        <v>1344.29</v>
      </c>
      <c r="R134" s="14">
        <f>P134+ROUND(Q134, 2)</f>
        <v>2121.5699999999997</v>
      </c>
      <c r="S134" s="14">
        <f>ROUND(P134*I134, 2)</f>
        <v>4960911.87</v>
      </c>
      <c r="T134" s="14">
        <f>ROUND(I134*ROUND(Q134, 2), 2)</f>
        <v>8579796.5</v>
      </c>
      <c r="U134" s="14">
        <f>S134+T134</f>
        <v>13540708.370000001</v>
      </c>
      <c r="V134" s="9">
        <f>ROUND(P134 / 1.2, 2)</f>
        <v>647.73</v>
      </c>
      <c r="W134" s="9">
        <f>ROUND(Q134 / 1.2, 2)</f>
        <v>1120.24</v>
      </c>
      <c r="X134" s="9">
        <f>ROUND(R134 / 1.2, 2)</f>
        <v>1767.98</v>
      </c>
      <c r="Y134" s="9">
        <f t="shared" si="15"/>
        <v>4134093.23</v>
      </c>
      <c r="Z134" s="9">
        <f>ROUND(T134 / 1.2, 2)</f>
        <v>7149830.4199999999</v>
      </c>
      <c r="AA134" s="9">
        <f>Y134+Z134</f>
        <v>11283923.65</v>
      </c>
      <c r="AD134" s="4">
        <v>311044421</v>
      </c>
      <c r="AE134" s="4">
        <v>22767307</v>
      </c>
      <c r="AG134" s="4" t="s">
        <v>552</v>
      </c>
      <c r="AH134" s="4" t="s">
        <v>553</v>
      </c>
      <c r="AI134" s="4" t="s">
        <v>469</v>
      </c>
    </row>
    <row r="135" spans="1:35" ht="18" x14ac:dyDescent="0.3">
      <c r="A135" s="10" t="s">
        <v>567</v>
      </c>
      <c r="B135" s="10"/>
      <c r="C135" s="17" t="s">
        <v>561</v>
      </c>
      <c r="D135" s="12"/>
      <c r="E135" s="12"/>
      <c r="F135" s="18" t="s">
        <v>99</v>
      </c>
      <c r="G135" s="19">
        <v>1.8</v>
      </c>
      <c r="H135" s="24"/>
      <c r="I135" s="24">
        <v>493997.76</v>
      </c>
      <c r="J135" s="20">
        <v>7.54</v>
      </c>
      <c r="M135" s="21">
        <f>ROUND(ROUND(J135, 2)*I135, 2)</f>
        <v>3724743.11</v>
      </c>
      <c r="P135" s="22">
        <v>7.54</v>
      </c>
      <c r="S135" s="21">
        <f>ROUND(ROUND(P135, 2)*I135, 2)</f>
        <v>3724743.11</v>
      </c>
      <c r="V135" s="9">
        <f>ROUND(ROUND(P135, 2)/1.2, 2)</f>
        <v>6.28</v>
      </c>
      <c r="Y135" s="9">
        <f t="shared" si="15"/>
        <v>3103952.59</v>
      </c>
      <c r="AD135" s="4" t="s">
        <v>568</v>
      </c>
      <c r="AE135" s="4" t="s">
        <v>569</v>
      </c>
      <c r="AF135" s="4" t="s">
        <v>564</v>
      </c>
    </row>
    <row r="136" spans="1:35" ht="18" x14ac:dyDescent="0.3">
      <c r="A136" s="10" t="s">
        <v>570</v>
      </c>
      <c r="B136" s="10"/>
      <c r="C136" s="17" t="s">
        <v>539</v>
      </c>
      <c r="D136" s="12"/>
      <c r="E136" s="12"/>
      <c r="F136" s="18" t="s">
        <v>58</v>
      </c>
      <c r="G136" s="19">
        <v>1.1000000000000001</v>
      </c>
      <c r="H136" s="24"/>
      <c r="I136" s="24">
        <v>7020.64</v>
      </c>
      <c r="J136" s="20">
        <v>157.6</v>
      </c>
      <c r="M136" s="21">
        <f>ROUND(ROUND(J136, 2)*I136, 2)</f>
        <v>1106452.8600000001</v>
      </c>
      <c r="P136" s="22">
        <v>157.6</v>
      </c>
      <c r="S136" s="21">
        <f>ROUND(ROUND(P136, 2)*I136, 2)</f>
        <v>1106452.8600000001</v>
      </c>
      <c r="V136" s="9">
        <f>ROUND(ROUND(P136, 2)/1.2, 2)</f>
        <v>131.33000000000001</v>
      </c>
      <c r="Y136" s="9">
        <f t="shared" si="15"/>
        <v>922044.05</v>
      </c>
      <c r="AD136" s="4" t="s">
        <v>571</v>
      </c>
      <c r="AE136" s="4" t="s">
        <v>572</v>
      </c>
      <c r="AF136" s="4" t="s">
        <v>542</v>
      </c>
    </row>
    <row r="137" spans="1:35" ht="18" x14ac:dyDescent="0.3">
      <c r="A137" s="10" t="s">
        <v>573</v>
      </c>
      <c r="B137" s="10"/>
      <c r="C137" s="17" t="s">
        <v>529</v>
      </c>
      <c r="D137" s="12"/>
      <c r="E137" s="12"/>
      <c r="F137" s="18" t="s">
        <v>139</v>
      </c>
      <c r="G137" s="19">
        <v>8</v>
      </c>
      <c r="H137" s="24"/>
      <c r="I137" s="24">
        <v>51059.199999999997</v>
      </c>
      <c r="J137" s="20">
        <v>2.54</v>
      </c>
      <c r="M137" s="21">
        <f>ROUND(ROUND(J137, 2)*I137, 2)</f>
        <v>129690.37</v>
      </c>
      <c r="P137" s="22">
        <v>2.54</v>
      </c>
      <c r="S137" s="21">
        <f>ROUND(ROUND(P137, 2)*I137, 2)</f>
        <v>129690.37</v>
      </c>
      <c r="V137" s="9">
        <f>ROUND(ROUND(P137, 2)/1.2, 2)</f>
        <v>2.12</v>
      </c>
      <c r="Y137" s="9">
        <f t="shared" si="15"/>
        <v>108075.31</v>
      </c>
      <c r="AD137" s="4" t="s">
        <v>574</v>
      </c>
      <c r="AE137" s="4" t="s">
        <v>575</v>
      </c>
      <c r="AF137" s="4" t="s">
        <v>532</v>
      </c>
    </row>
    <row r="138" spans="1:35" ht="72" x14ac:dyDescent="0.3">
      <c r="A138" s="10" t="s">
        <v>576</v>
      </c>
      <c r="B138" s="10" t="s">
        <v>549</v>
      </c>
      <c r="C138" s="11" t="s">
        <v>550</v>
      </c>
      <c r="D138" s="12"/>
      <c r="E138" s="12" t="s">
        <v>577</v>
      </c>
      <c r="F138" s="12" t="s">
        <v>58</v>
      </c>
      <c r="G138" s="13">
        <v>1</v>
      </c>
      <c r="H138" s="13"/>
      <c r="I138" s="13">
        <v>428.4</v>
      </c>
      <c r="J138" s="14">
        <f>IFERROR(ROUND(SUM(M139,M140,M141)/I138, 2),0)</f>
        <v>953.71</v>
      </c>
      <c r="K138" s="15">
        <v>941</v>
      </c>
      <c r="L138" s="14">
        <f>J138+ROUND(K138, 2)</f>
        <v>1894.71</v>
      </c>
      <c r="M138" s="14">
        <f>ROUND(J138*I138, 2)</f>
        <v>408569.36</v>
      </c>
      <c r="N138" s="14">
        <f>ROUND(I138*ROUND(K138, 2), 2)</f>
        <v>403124.4</v>
      </c>
      <c r="O138" s="14">
        <f>M138+N138</f>
        <v>811693.76</v>
      </c>
      <c r="P138" s="14">
        <f>IFERROR(ROUND(SUM(S139,S140,S141)/I138, 2),0)</f>
        <v>953.71</v>
      </c>
      <c r="Q138" s="16">
        <v>1344.29</v>
      </c>
      <c r="R138" s="14">
        <f>P138+ROUND(Q138, 2)</f>
        <v>2298</v>
      </c>
      <c r="S138" s="14">
        <f>ROUND(P138*I138, 2)</f>
        <v>408569.36</v>
      </c>
      <c r="T138" s="14">
        <f>ROUND(I138*ROUND(Q138, 2), 2)</f>
        <v>575893.84</v>
      </c>
      <c r="U138" s="14">
        <f>S138+T138</f>
        <v>984463.2</v>
      </c>
      <c r="V138" s="9">
        <f>ROUND(P138 / 1.2, 2)</f>
        <v>794.76</v>
      </c>
      <c r="W138" s="9">
        <f>ROUND(Q138 / 1.2, 2)</f>
        <v>1120.24</v>
      </c>
      <c r="X138" s="9">
        <f>ROUND(R138 / 1.2, 2)</f>
        <v>1915</v>
      </c>
      <c r="Y138" s="9">
        <f t="shared" si="15"/>
        <v>340474.47</v>
      </c>
      <c r="Z138" s="9">
        <f>ROUND(T138 / 1.2, 2)</f>
        <v>479911.53</v>
      </c>
      <c r="AA138" s="9">
        <f>Y138+Z138</f>
        <v>820386</v>
      </c>
      <c r="AD138" s="4">
        <v>311044422</v>
      </c>
      <c r="AE138" s="4">
        <v>22767308</v>
      </c>
      <c r="AG138" s="4" t="s">
        <v>552</v>
      </c>
      <c r="AH138" s="4" t="s">
        <v>553</v>
      </c>
      <c r="AI138" s="4" t="s">
        <v>469</v>
      </c>
    </row>
    <row r="139" spans="1:35" ht="18" x14ac:dyDescent="0.3">
      <c r="A139" s="10" t="s">
        <v>578</v>
      </c>
      <c r="B139" s="10"/>
      <c r="C139" s="17" t="s">
        <v>529</v>
      </c>
      <c r="D139" s="12"/>
      <c r="E139" s="12"/>
      <c r="F139" s="18" t="s">
        <v>139</v>
      </c>
      <c r="G139" s="19">
        <v>8</v>
      </c>
      <c r="H139" s="24"/>
      <c r="I139" s="24">
        <v>3427.2</v>
      </c>
      <c r="J139" s="20">
        <v>2.54</v>
      </c>
      <c r="M139" s="21">
        <f>ROUND(ROUND(J139, 2)*I139, 2)</f>
        <v>8705.09</v>
      </c>
      <c r="P139" s="22">
        <v>2.54</v>
      </c>
      <c r="S139" s="21">
        <f>ROUND(ROUND(P139, 2)*I139, 2)</f>
        <v>8705.09</v>
      </c>
      <c r="V139" s="9">
        <f>ROUND(ROUND(P139, 2)/1.2, 2)</f>
        <v>2.12</v>
      </c>
      <c r="Y139" s="9">
        <f t="shared" si="15"/>
        <v>7254.24</v>
      </c>
      <c r="AD139" s="4" t="s">
        <v>579</v>
      </c>
      <c r="AE139" s="4" t="s">
        <v>580</v>
      </c>
      <c r="AF139" s="4" t="s">
        <v>532</v>
      </c>
    </row>
    <row r="140" spans="1:35" ht="18" x14ac:dyDescent="0.3">
      <c r="A140" s="10" t="s">
        <v>581</v>
      </c>
      <c r="B140" s="10"/>
      <c r="C140" s="17" t="s">
        <v>539</v>
      </c>
      <c r="D140" s="12"/>
      <c r="E140" s="12"/>
      <c r="F140" s="18" t="s">
        <v>58</v>
      </c>
      <c r="G140" s="19">
        <v>1.1000000000000001</v>
      </c>
      <c r="H140" s="24"/>
      <c r="I140" s="24">
        <v>471.24</v>
      </c>
      <c r="J140" s="20">
        <v>157.6</v>
      </c>
      <c r="M140" s="21">
        <f>ROUND(ROUND(J140, 2)*I140, 2)</f>
        <v>74267.42</v>
      </c>
      <c r="P140" s="22">
        <v>157.6</v>
      </c>
      <c r="S140" s="21">
        <f>ROUND(ROUND(P140, 2)*I140, 2)</f>
        <v>74267.42</v>
      </c>
      <c r="V140" s="9">
        <f>ROUND(ROUND(P140, 2)/1.2, 2)</f>
        <v>131.33000000000001</v>
      </c>
      <c r="Y140" s="9">
        <f t="shared" si="15"/>
        <v>61889.52</v>
      </c>
      <c r="AD140" s="4" t="s">
        <v>582</v>
      </c>
      <c r="AE140" s="4" t="s">
        <v>583</v>
      </c>
      <c r="AF140" s="4" t="s">
        <v>542</v>
      </c>
    </row>
    <row r="141" spans="1:35" ht="18" x14ac:dyDescent="0.3">
      <c r="A141" s="10" t="s">
        <v>584</v>
      </c>
      <c r="B141" s="10"/>
      <c r="C141" s="17" t="s">
        <v>561</v>
      </c>
      <c r="D141" s="12"/>
      <c r="E141" s="12"/>
      <c r="F141" s="18" t="s">
        <v>99</v>
      </c>
      <c r="G141" s="19">
        <v>1.8</v>
      </c>
      <c r="H141" s="24"/>
      <c r="I141" s="24">
        <v>43182.720000000001</v>
      </c>
      <c r="J141" s="20">
        <v>7.54</v>
      </c>
      <c r="M141" s="21">
        <f>ROUND(ROUND(J141, 2)*I141, 2)</f>
        <v>325597.71000000002</v>
      </c>
      <c r="P141" s="22">
        <v>7.54</v>
      </c>
      <c r="S141" s="21">
        <f>ROUND(ROUND(P141, 2)*I141, 2)</f>
        <v>325597.71000000002</v>
      </c>
      <c r="V141" s="9">
        <f>ROUND(ROUND(P141, 2)/1.2, 2)</f>
        <v>6.28</v>
      </c>
      <c r="Y141" s="9">
        <f t="shared" si="15"/>
        <v>271331.43</v>
      </c>
      <c r="AD141" s="4" t="s">
        <v>585</v>
      </c>
      <c r="AE141" s="4" t="s">
        <v>586</v>
      </c>
      <c r="AF141" s="4" t="s">
        <v>564</v>
      </c>
    </row>
    <row r="142" spans="1:35" ht="72" x14ac:dyDescent="0.3">
      <c r="A142" s="10" t="s">
        <v>587</v>
      </c>
      <c r="B142" s="10" t="s">
        <v>549</v>
      </c>
      <c r="C142" s="11" t="s">
        <v>550</v>
      </c>
      <c r="D142" s="12"/>
      <c r="E142" s="12" t="s">
        <v>588</v>
      </c>
      <c r="F142" s="12" t="s">
        <v>58</v>
      </c>
      <c r="G142" s="13">
        <v>1</v>
      </c>
      <c r="H142" s="13"/>
      <c r="I142" s="13">
        <v>585.70000000000005</v>
      </c>
      <c r="J142" s="14">
        <f>IFERROR(ROUND(SUM(M143,M144,M145)/I142, 2),0)</f>
        <v>1008</v>
      </c>
      <c r="K142" s="15">
        <v>941</v>
      </c>
      <c r="L142" s="14">
        <f>J142+ROUND(K142, 2)</f>
        <v>1949</v>
      </c>
      <c r="M142" s="14">
        <f>ROUND(J142*I142, 2)</f>
        <v>590385.6</v>
      </c>
      <c r="N142" s="14">
        <f>ROUND(I142*ROUND(K142, 2), 2)</f>
        <v>551143.69999999995</v>
      </c>
      <c r="O142" s="14">
        <f>M142+N142</f>
        <v>1141529.2999999998</v>
      </c>
      <c r="P142" s="14">
        <f>IFERROR(ROUND(SUM(S143,S144,S145)/I142, 2),0)</f>
        <v>1008</v>
      </c>
      <c r="Q142" s="16">
        <v>1344.29</v>
      </c>
      <c r="R142" s="14">
        <f>P142+ROUND(Q142, 2)</f>
        <v>2352.29</v>
      </c>
      <c r="S142" s="14">
        <f>ROUND(P142*I142, 2)</f>
        <v>590385.6</v>
      </c>
      <c r="T142" s="14">
        <f>ROUND(I142*ROUND(Q142, 2), 2)</f>
        <v>787350.65</v>
      </c>
      <c r="U142" s="14">
        <f>S142+T142</f>
        <v>1377736.25</v>
      </c>
      <c r="V142" s="9">
        <f>ROUND(P142 / 1.2, 2)</f>
        <v>840</v>
      </c>
      <c r="W142" s="9">
        <f>ROUND(Q142 / 1.2, 2)</f>
        <v>1120.24</v>
      </c>
      <c r="X142" s="9">
        <f>ROUND(R142 / 1.2, 2)</f>
        <v>1960.24</v>
      </c>
      <c r="Y142" s="9">
        <f t="shared" si="15"/>
        <v>491988</v>
      </c>
      <c r="Z142" s="9">
        <f>ROUND(T142 / 1.2, 2)</f>
        <v>656125.54</v>
      </c>
      <c r="AA142" s="9">
        <f>Y142+Z142</f>
        <v>1148113.54</v>
      </c>
      <c r="AD142" s="4">
        <v>311044423</v>
      </c>
      <c r="AE142" s="4">
        <v>22767310</v>
      </c>
      <c r="AG142" s="4" t="s">
        <v>552</v>
      </c>
      <c r="AH142" s="4" t="s">
        <v>553</v>
      </c>
      <c r="AI142" s="4" t="s">
        <v>469</v>
      </c>
    </row>
    <row r="143" spans="1:35" ht="18" x14ac:dyDescent="0.3">
      <c r="A143" s="10" t="s">
        <v>589</v>
      </c>
      <c r="B143" s="10"/>
      <c r="C143" s="17" t="s">
        <v>561</v>
      </c>
      <c r="D143" s="12"/>
      <c r="E143" s="12"/>
      <c r="F143" s="18" t="s">
        <v>99</v>
      </c>
      <c r="G143" s="19">
        <v>1.8</v>
      </c>
      <c r="H143" s="24"/>
      <c r="I143" s="24">
        <v>63255.6</v>
      </c>
      <c r="J143" s="20">
        <v>7.54</v>
      </c>
      <c r="M143" s="21">
        <f>ROUND(ROUND(J143, 2)*I143, 2)</f>
        <v>476947.22</v>
      </c>
      <c r="P143" s="22">
        <v>7.54</v>
      </c>
      <c r="S143" s="21">
        <f>ROUND(ROUND(P143, 2)*I143, 2)</f>
        <v>476947.22</v>
      </c>
      <c r="V143" s="9">
        <f>ROUND(ROUND(P143, 2)/1.2, 2)</f>
        <v>6.28</v>
      </c>
      <c r="Y143" s="9">
        <f t="shared" si="15"/>
        <v>397456.02</v>
      </c>
      <c r="AD143" s="4" t="s">
        <v>590</v>
      </c>
      <c r="AE143" s="4" t="s">
        <v>591</v>
      </c>
      <c r="AF143" s="4" t="s">
        <v>564</v>
      </c>
    </row>
    <row r="144" spans="1:35" ht="18" x14ac:dyDescent="0.3">
      <c r="A144" s="10" t="s">
        <v>592</v>
      </c>
      <c r="B144" s="10"/>
      <c r="C144" s="17" t="s">
        <v>539</v>
      </c>
      <c r="D144" s="12"/>
      <c r="E144" s="12"/>
      <c r="F144" s="18" t="s">
        <v>58</v>
      </c>
      <c r="G144" s="19">
        <v>1.1000000000000001</v>
      </c>
      <c r="H144" s="24"/>
      <c r="I144" s="24">
        <v>644.27</v>
      </c>
      <c r="J144" s="20">
        <v>157.6</v>
      </c>
      <c r="M144" s="21">
        <f>ROUND(ROUND(J144, 2)*I144, 2)</f>
        <v>101536.95</v>
      </c>
      <c r="P144" s="22">
        <v>157.6</v>
      </c>
      <c r="S144" s="21">
        <f>ROUND(ROUND(P144, 2)*I144, 2)</f>
        <v>101536.95</v>
      </c>
      <c r="V144" s="9">
        <f>ROUND(ROUND(P144, 2)/1.2, 2)</f>
        <v>131.33000000000001</v>
      </c>
      <c r="Y144" s="9">
        <f t="shared" si="15"/>
        <v>84614.13</v>
      </c>
      <c r="AD144" s="4" t="s">
        <v>593</v>
      </c>
      <c r="AE144" s="4" t="s">
        <v>594</v>
      </c>
      <c r="AF144" s="4" t="s">
        <v>542</v>
      </c>
    </row>
    <row r="145" spans="1:35" ht="18" x14ac:dyDescent="0.3">
      <c r="A145" s="10" t="s">
        <v>595</v>
      </c>
      <c r="B145" s="10"/>
      <c r="C145" s="17" t="s">
        <v>529</v>
      </c>
      <c r="D145" s="12"/>
      <c r="E145" s="12"/>
      <c r="F145" s="18" t="s">
        <v>139</v>
      </c>
      <c r="G145" s="19">
        <v>8</v>
      </c>
      <c r="H145" s="24"/>
      <c r="I145" s="24">
        <v>4685.6000000000004</v>
      </c>
      <c r="J145" s="20">
        <v>2.54</v>
      </c>
      <c r="M145" s="21">
        <f>ROUND(ROUND(J145, 2)*I145, 2)</f>
        <v>11901.42</v>
      </c>
      <c r="P145" s="22">
        <v>2.54</v>
      </c>
      <c r="S145" s="21">
        <f>ROUND(ROUND(P145, 2)*I145, 2)</f>
        <v>11901.42</v>
      </c>
      <c r="V145" s="9">
        <f>ROUND(ROUND(P145, 2)/1.2, 2)</f>
        <v>2.12</v>
      </c>
      <c r="Y145" s="9">
        <f t="shared" si="15"/>
        <v>9917.85</v>
      </c>
      <c r="AD145" s="4" t="s">
        <v>596</v>
      </c>
      <c r="AE145" s="4" t="s">
        <v>597</v>
      </c>
      <c r="AF145" s="4" t="s">
        <v>532</v>
      </c>
    </row>
    <row r="146" spans="1:35" ht="72" x14ac:dyDescent="0.3">
      <c r="A146" s="10" t="s">
        <v>598</v>
      </c>
      <c r="B146" s="10" t="s">
        <v>549</v>
      </c>
      <c r="C146" s="11" t="s">
        <v>550</v>
      </c>
      <c r="D146" s="12"/>
      <c r="E146" s="12" t="s">
        <v>599</v>
      </c>
      <c r="F146" s="12" t="s">
        <v>58</v>
      </c>
      <c r="G146" s="13">
        <v>1</v>
      </c>
      <c r="H146" s="13"/>
      <c r="I146" s="13">
        <v>39</v>
      </c>
      <c r="J146" s="14">
        <f>IFERROR(ROUND(SUM(M147,M148,M149)/I146, 2),0)</f>
        <v>1008</v>
      </c>
      <c r="K146" s="15">
        <v>941</v>
      </c>
      <c r="L146" s="14">
        <f>J146+ROUND(K146, 2)</f>
        <v>1949</v>
      </c>
      <c r="M146" s="14">
        <f>ROUND(J146*I146, 2)</f>
        <v>39312</v>
      </c>
      <c r="N146" s="14">
        <f>ROUND(I146*ROUND(K146, 2), 2)</f>
        <v>36699</v>
      </c>
      <c r="O146" s="14">
        <f>M146+N146</f>
        <v>76011</v>
      </c>
      <c r="P146" s="14">
        <f>IFERROR(ROUND(SUM(S147,S148,S149)/I146, 2),0)</f>
        <v>1008</v>
      </c>
      <c r="Q146" s="16">
        <v>1344.29</v>
      </c>
      <c r="R146" s="14">
        <f>P146+ROUND(Q146, 2)</f>
        <v>2352.29</v>
      </c>
      <c r="S146" s="14">
        <f>ROUND(P146*I146, 2)</f>
        <v>39312</v>
      </c>
      <c r="T146" s="14">
        <f>ROUND(I146*ROUND(Q146, 2), 2)</f>
        <v>52427.31</v>
      </c>
      <c r="U146" s="14">
        <f>S146+T146</f>
        <v>91739.31</v>
      </c>
      <c r="V146" s="9">
        <f>ROUND(P146 / 1.2, 2)</f>
        <v>840</v>
      </c>
      <c r="W146" s="9">
        <f>ROUND(Q146 / 1.2, 2)</f>
        <v>1120.24</v>
      </c>
      <c r="X146" s="9">
        <f>ROUND(R146 / 1.2, 2)</f>
        <v>1960.24</v>
      </c>
      <c r="Y146" s="9">
        <f t="shared" si="15"/>
        <v>32760</v>
      </c>
      <c r="Z146" s="9">
        <f>ROUND(T146 / 1.2, 2)</f>
        <v>43689.43</v>
      </c>
      <c r="AA146" s="9">
        <f>Y146+Z146</f>
        <v>76449.429999999993</v>
      </c>
      <c r="AD146" s="4">
        <v>311044424</v>
      </c>
      <c r="AE146" s="4">
        <v>22767309</v>
      </c>
      <c r="AG146" s="4" t="s">
        <v>552</v>
      </c>
      <c r="AH146" s="4" t="s">
        <v>553</v>
      </c>
      <c r="AI146" s="4" t="s">
        <v>469</v>
      </c>
    </row>
    <row r="147" spans="1:35" ht="18" x14ac:dyDescent="0.3">
      <c r="A147" s="10" t="s">
        <v>600</v>
      </c>
      <c r="B147" s="10"/>
      <c r="C147" s="17" t="s">
        <v>529</v>
      </c>
      <c r="D147" s="12"/>
      <c r="E147" s="12"/>
      <c r="F147" s="18" t="s">
        <v>139</v>
      </c>
      <c r="G147" s="19">
        <v>8</v>
      </c>
      <c r="H147" s="24"/>
      <c r="I147" s="24">
        <v>312</v>
      </c>
      <c r="J147" s="20">
        <v>2.54</v>
      </c>
      <c r="M147" s="21">
        <f>ROUND(ROUND(J147, 2)*I147, 2)</f>
        <v>792.48</v>
      </c>
      <c r="P147" s="22">
        <v>2.54</v>
      </c>
      <c r="S147" s="21">
        <f>ROUND(ROUND(P147, 2)*I147, 2)</f>
        <v>792.48</v>
      </c>
      <c r="V147" s="9">
        <f>ROUND(ROUND(P147, 2)/1.2, 2)</f>
        <v>2.12</v>
      </c>
      <c r="Y147" s="9">
        <f t="shared" si="15"/>
        <v>660.4</v>
      </c>
      <c r="AD147" s="4" t="s">
        <v>601</v>
      </c>
      <c r="AE147" s="4" t="s">
        <v>602</v>
      </c>
      <c r="AF147" s="4" t="s">
        <v>532</v>
      </c>
    </row>
    <row r="148" spans="1:35" ht="18" x14ac:dyDescent="0.3">
      <c r="A148" s="10" t="s">
        <v>603</v>
      </c>
      <c r="B148" s="10"/>
      <c r="C148" s="17" t="s">
        <v>539</v>
      </c>
      <c r="D148" s="12"/>
      <c r="E148" s="12"/>
      <c r="F148" s="18" t="s">
        <v>58</v>
      </c>
      <c r="G148" s="19">
        <v>1.1000000000000001</v>
      </c>
      <c r="H148" s="24"/>
      <c r="I148" s="24">
        <v>42.9</v>
      </c>
      <c r="J148" s="20">
        <v>157.6</v>
      </c>
      <c r="M148" s="21">
        <f>ROUND(ROUND(J148, 2)*I148, 2)</f>
        <v>6761.04</v>
      </c>
      <c r="P148" s="22">
        <v>157.6</v>
      </c>
      <c r="S148" s="21">
        <f>ROUND(ROUND(P148, 2)*I148, 2)</f>
        <v>6761.04</v>
      </c>
      <c r="V148" s="9">
        <f>ROUND(ROUND(P148, 2)/1.2, 2)</f>
        <v>131.33000000000001</v>
      </c>
      <c r="Y148" s="9">
        <f t="shared" si="15"/>
        <v>5634.2</v>
      </c>
      <c r="AD148" s="4" t="s">
        <v>604</v>
      </c>
      <c r="AE148" s="4" t="s">
        <v>605</v>
      </c>
      <c r="AF148" s="4" t="s">
        <v>542</v>
      </c>
    </row>
    <row r="149" spans="1:35" ht="18" x14ac:dyDescent="0.3">
      <c r="A149" s="10" t="s">
        <v>606</v>
      </c>
      <c r="B149" s="10"/>
      <c r="C149" s="17" t="s">
        <v>561</v>
      </c>
      <c r="D149" s="12"/>
      <c r="E149" s="12"/>
      <c r="F149" s="18" t="s">
        <v>99</v>
      </c>
      <c r="G149" s="19">
        <v>1.8</v>
      </c>
      <c r="H149" s="24"/>
      <c r="I149" s="24">
        <v>4212</v>
      </c>
      <c r="J149" s="20">
        <v>7.54</v>
      </c>
      <c r="M149" s="21">
        <f>ROUND(ROUND(J149, 2)*I149, 2)</f>
        <v>31758.48</v>
      </c>
      <c r="P149" s="22">
        <v>7.54</v>
      </c>
      <c r="S149" s="21">
        <f>ROUND(ROUND(P149, 2)*I149, 2)</f>
        <v>31758.48</v>
      </c>
      <c r="V149" s="9">
        <f>ROUND(ROUND(P149, 2)/1.2, 2)</f>
        <v>6.28</v>
      </c>
      <c r="Y149" s="9">
        <f t="shared" si="15"/>
        <v>26465.4</v>
      </c>
      <c r="AD149" s="4" t="s">
        <v>607</v>
      </c>
      <c r="AE149" s="4" t="s">
        <v>608</v>
      </c>
      <c r="AF149" s="4" t="s">
        <v>564</v>
      </c>
    </row>
    <row r="150" spans="1:35" ht="90" x14ac:dyDescent="0.3">
      <c r="A150" s="10" t="s">
        <v>609</v>
      </c>
      <c r="B150" s="10" t="s">
        <v>610</v>
      </c>
      <c r="C150" s="11" t="s">
        <v>611</v>
      </c>
      <c r="D150" s="12"/>
      <c r="E150" s="12" t="s">
        <v>612</v>
      </c>
      <c r="F150" s="12" t="s">
        <v>58</v>
      </c>
      <c r="G150" s="13">
        <v>1</v>
      </c>
      <c r="H150" s="13"/>
      <c r="I150" s="13">
        <v>2710.6</v>
      </c>
      <c r="J150" s="14">
        <f>IFERROR(ROUND(SUM(M151,M152,M153)/I150, 2),0)</f>
        <v>1089.43</v>
      </c>
      <c r="K150" s="15">
        <v>1014</v>
      </c>
      <c r="L150" s="14">
        <f>J150+ROUND(K150, 2)</f>
        <v>2103.4300000000003</v>
      </c>
      <c r="M150" s="14">
        <f>ROUND(J150*I150, 2)</f>
        <v>2953008.96</v>
      </c>
      <c r="N150" s="14">
        <f>ROUND(I150*ROUND(K150, 2), 2)</f>
        <v>2748548.4</v>
      </c>
      <c r="O150" s="14">
        <f>M150+N150</f>
        <v>5701557.3599999994</v>
      </c>
      <c r="P150" s="14">
        <f>IFERROR(ROUND(SUM(S151,S152,S153)/I150, 2),0)</f>
        <v>1089.43</v>
      </c>
      <c r="Q150" s="16">
        <v>1448.57</v>
      </c>
      <c r="R150" s="14">
        <f>P150+ROUND(Q150, 2)</f>
        <v>2538</v>
      </c>
      <c r="S150" s="14">
        <f>ROUND(P150*I150, 2)</f>
        <v>2953008.96</v>
      </c>
      <c r="T150" s="14">
        <f>ROUND(I150*ROUND(Q150, 2), 2)</f>
        <v>3926493.84</v>
      </c>
      <c r="U150" s="14">
        <f>S150+T150</f>
        <v>6879502.7999999998</v>
      </c>
      <c r="V150" s="9">
        <f>ROUND(P150 / 1.2, 2)</f>
        <v>907.86</v>
      </c>
      <c r="W150" s="9">
        <f>ROUND(Q150 / 1.2, 2)</f>
        <v>1207.1400000000001</v>
      </c>
      <c r="X150" s="9">
        <f>ROUND(R150 / 1.2, 2)</f>
        <v>2115</v>
      </c>
      <c r="Y150" s="9">
        <f t="shared" si="15"/>
        <v>2460840.7999999998</v>
      </c>
      <c r="Z150" s="9">
        <f>ROUND(T150 / 1.2, 2)</f>
        <v>3272078.2</v>
      </c>
      <c r="AA150" s="9">
        <f>Y150+Z150</f>
        <v>5732919</v>
      </c>
      <c r="AD150" s="4">
        <v>311044327</v>
      </c>
      <c r="AE150" s="4">
        <v>22767306</v>
      </c>
      <c r="AG150" s="4" t="s">
        <v>613</v>
      </c>
      <c r="AH150" s="4" t="s">
        <v>614</v>
      </c>
      <c r="AI150" s="4" t="s">
        <v>469</v>
      </c>
    </row>
    <row r="151" spans="1:35" ht="18" x14ac:dyDescent="0.3">
      <c r="A151" s="10" t="s">
        <v>615</v>
      </c>
      <c r="B151" s="10"/>
      <c r="C151" s="17" t="s">
        <v>529</v>
      </c>
      <c r="D151" s="12"/>
      <c r="E151" s="12"/>
      <c r="F151" s="18" t="s">
        <v>139</v>
      </c>
      <c r="G151" s="19">
        <v>8</v>
      </c>
      <c r="H151" s="24"/>
      <c r="I151" s="24">
        <v>21684.799999999999</v>
      </c>
      <c r="J151" s="20">
        <v>2.54</v>
      </c>
      <c r="M151" s="21">
        <f>ROUND(ROUND(J151, 2)*I151, 2)</f>
        <v>55079.39</v>
      </c>
      <c r="P151" s="22">
        <v>2.54</v>
      </c>
      <c r="S151" s="21">
        <f>ROUND(ROUND(P151, 2)*I151, 2)</f>
        <v>55079.39</v>
      </c>
      <c r="V151" s="9">
        <f>ROUND(ROUND(P151, 2)/1.2, 2)</f>
        <v>2.12</v>
      </c>
      <c r="Y151" s="9">
        <f t="shared" si="15"/>
        <v>45899.49</v>
      </c>
      <c r="AD151" s="4" t="s">
        <v>616</v>
      </c>
      <c r="AE151" s="4" t="s">
        <v>617</v>
      </c>
      <c r="AF151" s="4" t="s">
        <v>532</v>
      </c>
    </row>
    <row r="152" spans="1:35" ht="18" x14ac:dyDescent="0.3">
      <c r="A152" s="10" t="s">
        <v>618</v>
      </c>
      <c r="B152" s="10"/>
      <c r="C152" s="17" t="s">
        <v>561</v>
      </c>
      <c r="D152" s="12"/>
      <c r="E152" s="12"/>
      <c r="F152" s="18" t="s">
        <v>99</v>
      </c>
      <c r="G152" s="19">
        <v>1.8</v>
      </c>
      <c r="H152" s="24"/>
      <c r="I152" s="24">
        <v>322019.28000000003</v>
      </c>
      <c r="J152" s="20">
        <v>7.54</v>
      </c>
      <c r="M152" s="21">
        <f>ROUND(ROUND(J152, 2)*I152, 2)</f>
        <v>2428025.37</v>
      </c>
      <c r="P152" s="22">
        <v>7.54</v>
      </c>
      <c r="S152" s="21">
        <f>ROUND(ROUND(P152, 2)*I152, 2)</f>
        <v>2428025.37</v>
      </c>
      <c r="V152" s="9">
        <f>ROUND(ROUND(P152, 2)/1.2, 2)</f>
        <v>6.28</v>
      </c>
      <c r="Y152" s="9">
        <f t="shared" si="15"/>
        <v>2023354.48</v>
      </c>
      <c r="AD152" s="4" t="s">
        <v>619</v>
      </c>
      <c r="AE152" s="4" t="s">
        <v>620</v>
      </c>
      <c r="AF152" s="4" t="s">
        <v>564</v>
      </c>
    </row>
    <row r="153" spans="1:35" ht="18" x14ac:dyDescent="0.3">
      <c r="A153" s="10" t="s">
        <v>621</v>
      </c>
      <c r="B153" s="10"/>
      <c r="C153" s="17" t="s">
        <v>539</v>
      </c>
      <c r="D153" s="12"/>
      <c r="E153" s="12"/>
      <c r="F153" s="18" t="s">
        <v>58</v>
      </c>
      <c r="G153" s="19">
        <v>1.1000000000000001</v>
      </c>
      <c r="H153" s="24"/>
      <c r="I153" s="24">
        <v>2981.66</v>
      </c>
      <c r="J153" s="20">
        <v>157.6</v>
      </c>
      <c r="M153" s="21">
        <f>ROUND(ROUND(J153, 2)*I153, 2)</f>
        <v>469909.62</v>
      </c>
      <c r="P153" s="22">
        <v>157.6</v>
      </c>
      <c r="S153" s="21">
        <f>ROUND(ROUND(P153, 2)*I153, 2)</f>
        <v>469909.62</v>
      </c>
      <c r="V153" s="9">
        <f>ROUND(ROUND(P153, 2)/1.2, 2)</f>
        <v>131.33000000000001</v>
      </c>
      <c r="Y153" s="9">
        <f t="shared" si="15"/>
        <v>391591.35</v>
      </c>
      <c r="AD153" s="4" t="s">
        <v>622</v>
      </c>
      <c r="AE153" s="4" t="s">
        <v>623</v>
      </c>
      <c r="AF153" s="4" t="s">
        <v>542</v>
      </c>
    </row>
    <row r="154" spans="1:35" ht="72" x14ac:dyDescent="0.3">
      <c r="A154" s="10" t="s">
        <v>624</v>
      </c>
      <c r="B154" s="10" t="s">
        <v>610</v>
      </c>
      <c r="C154" s="11" t="s">
        <v>611</v>
      </c>
      <c r="D154" s="12"/>
      <c r="E154" s="12" t="s">
        <v>625</v>
      </c>
      <c r="F154" s="12" t="s">
        <v>58</v>
      </c>
      <c r="G154" s="13">
        <v>1</v>
      </c>
      <c r="H154" s="13"/>
      <c r="I154" s="13">
        <v>1197.9000000000001</v>
      </c>
      <c r="J154" s="14">
        <f>IFERROR(ROUND(SUM(M155,M156,M157)/I154, 2),0)</f>
        <v>1116.58</v>
      </c>
      <c r="K154" s="15">
        <v>1014</v>
      </c>
      <c r="L154" s="14">
        <f>J154+ROUND(K154, 2)</f>
        <v>2130.58</v>
      </c>
      <c r="M154" s="14">
        <f>ROUND(J154*I154, 2)</f>
        <v>1337551.18</v>
      </c>
      <c r="N154" s="14">
        <f>ROUND(I154*ROUND(K154, 2), 2)</f>
        <v>1214670.6000000001</v>
      </c>
      <c r="O154" s="14">
        <f>M154+N154</f>
        <v>2552221.7800000003</v>
      </c>
      <c r="P154" s="14">
        <f>IFERROR(ROUND(SUM(S155,S156,S157)/I154, 2),0)</f>
        <v>1116.58</v>
      </c>
      <c r="Q154" s="16">
        <v>1448.57</v>
      </c>
      <c r="R154" s="14">
        <f>P154+ROUND(Q154, 2)</f>
        <v>2565.1499999999996</v>
      </c>
      <c r="S154" s="14">
        <f>ROUND(P154*I154, 2)</f>
        <v>1337551.18</v>
      </c>
      <c r="T154" s="14">
        <f>ROUND(I154*ROUND(Q154, 2), 2)</f>
        <v>1735242</v>
      </c>
      <c r="U154" s="14">
        <f>S154+T154</f>
        <v>3072793.1799999997</v>
      </c>
      <c r="V154" s="9">
        <f>ROUND(P154 / 1.2, 2)</f>
        <v>930.48</v>
      </c>
      <c r="W154" s="9">
        <f>ROUND(Q154 / 1.2, 2)</f>
        <v>1207.1400000000001</v>
      </c>
      <c r="X154" s="9">
        <f>ROUND(R154 / 1.2, 2)</f>
        <v>2137.63</v>
      </c>
      <c r="Y154" s="9">
        <f t="shared" si="15"/>
        <v>1114625.98</v>
      </c>
      <c r="Z154" s="9">
        <f>ROUND(T154 / 1.2, 2)</f>
        <v>1446035</v>
      </c>
      <c r="AA154" s="9">
        <f>Y154+Z154</f>
        <v>2560660.98</v>
      </c>
      <c r="AD154" s="4">
        <v>311044425</v>
      </c>
      <c r="AE154" s="4">
        <v>22767305</v>
      </c>
      <c r="AG154" s="4" t="s">
        <v>613</v>
      </c>
      <c r="AH154" s="4" t="s">
        <v>614</v>
      </c>
      <c r="AI154" s="4" t="s">
        <v>469</v>
      </c>
    </row>
    <row r="155" spans="1:35" ht="18" x14ac:dyDescent="0.3">
      <c r="A155" s="10" t="s">
        <v>626</v>
      </c>
      <c r="B155" s="10"/>
      <c r="C155" s="17" t="s">
        <v>539</v>
      </c>
      <c r="D155" s="12"/>
      <c r="E155" s="12"/>
      <c r="F155" s="18" t="s">
        <v>58</v>
      </c>
      <c r="G155" s="19">
        <v>1.1000000000000001</v>
      </c>
      <c r="H155" s="24"/>
      <c r="I155" s="24">
        <v>1317.69</v>
      </c>
      <c r="J155" s="20">
        <v>157.6</v>
      </c>
      <c r="M155" s="21">
        <f>ROUND(ROUND(J155, 2)*I155, 2)</f>
        <v>207667.94</v>
      </c>
      <c r="P155" s="22">
        <v>157.6</v>
      </c>
      <c r="S155" s="21">
        <f>ROUND(ROUND(P155, 2)*I155, 2)</f>
        <v>207667.94</v>
      </c>
      <c r="V155" s="9">
        <f>ROUND(ROUND(P155, 2)/1.2, 2)</f>
        <v>131.33000000000001</v>
      </c>
      <c r="Y155" s="9">
        <f t="shared" si="15"/>
        <v>173056.62</v>
      </c>
      <c r="AD155" s="4" t="s">
        <v>627</v>
      </c>
      <c r="AE155" s="4" t="s">
        <v>628</v>
      </c>
      <c r="AF155" s="4" t="s">
        <v>542</v>
      </c>
    </row>
    <row r="156" spans="1:35" ht="18" x14ac:dyDescent="0.3">
      <c r="A156" s="10" t="s">
        <v>629</v>
      </c>
      <c r="B156" s="10"/>
      <c r="C156" s="17" t="s">
        <v>561</v>
      </c>
      <c r="D156" s="12"/>
      <c r="E156" s="12"/>
      <c r="F156" s="18" t="s">
        <v>99</v>
      </c>
      <c r="G156" s="19">
        <v>1.8</v>
      </c>
      <c r="H156" s="24"/>
      <c r="I156" s="24">
        <v>146622.96</v>
      </c>
      <c r="J156" s="20">
        <v>7.54</v>
      </c>
      <c r="M156" s="21">
        <f>ROUND(ROUND(J156, 2)*I156, 2)</f>
        <v>1105537.1200000001</v>
      </c>
      <c r="P156" s="22">
        <v>7.54</v>
      </c>
      <c r="S156" s="21">
        <f>ROUND(ROUND(P156, 2)*I156, 2)</f>
        <v>1105537.1200000001</v>
      </c>
      <c r="V156" s="9">
        <f>ROUND(ROUND(P156, 2)/1.2, 2)</f>
        <v>6.28</v>
      </c>
      <c r="Y156" s="9">
        <f t="shared" si="15"/>
        <v>921280.93</v>
      </c>
      <c r="AD156" s="4" t="s">
        <v>630</v>
      </c>
      <c r="AE156" s="4" t="s">
        <v>631</v>
      </c>
      <c r="AF156" s="4" t="s">
        <v>564</v>
      </c>
    </row>
    <row r="157" spans="1:35" ht="18" x14ac:dyDescent="0.3">
      <c r="A157" s="10" t="s">
        <v>632</v>
      </c>
      <c r="B157" s="10"/>
      <c r="C157" s="17" t="s">
        <v>529</v>
      </c>
      <c r="D157" s="12"/>
      <c r="E157" s="12"/>
      <c r="F157" s="18" t="s">
        <v>139</v>
      </c>
      <c r="G157" s="19">
        <v>8</v>
      </c>
      <c r="H157" s="24"/>
      <c r="I157" s="24">
        <v>9583.2000000000007</v>
      </c>
      <c r="J157" s="20">
        <v>2.54</v>
      </c>
      <c r="M157" s="21">
        <f>ROUND(ROUND(J157, 2)*I157, 2)</f>
        <v>24341.33</v>
      </c>
      <c r="P157" s="22">
        <v>2.54</v>
      </c>
      <c r="S157" s="21">
        <f>ROUND(ROUND(P157, 2)*I157, 2)</f>
        <v>24341.33</v>
      </c>
      <c r="V157" s="9">
        <f>ROUND(ROUND(P157, 2)/1.2, 2)</f>
        <v>2.12</v>
      </c>
      <c r="Y157" s="9">
        <f t="shared" si="15"/>
        <v>20284.439999999999</v>
      </c>
      <c r="AD157" s="4" t="s">
        <v>633</v>
      </c>
      <c r="AE157" s="4" t="s">
        <v>634</v>
      </c>
      <c r="AF157" s="4" t="s">
        <v>532</v>
      </c>
    </row>
    <row r="158" spans="1:35" ht="72" x14ac:dyDescent="0.3">
      <c r="A158" s="10" t="s">
        <v>635</v>
      </c>
      <c r="B158" s="10" t="s">
        <v>610</v>
      </c>
      <c r="C158" s="11" t="s">
        <v>611</v>
      </c>
      <c r="D158" s="12"/>
      <c r="E158" s="12" t="s">
        <v>636</v>
      </c>
      <c r="F158" s="12" t="s">
        <v>58</v>
      </c>
      <c r="G158" s="13">
        <v>1</v>
      </c>
      <c r="H158" s="13"/>
      <c r="I158" s="13">
        <v>23.2</v>
      </c>
      <c r="J158" s="14">
        <f>IFERROR(ROUND(SUM(M159,M160,M161)/I158, 2),0)</f>
        <v>1279.44</v>
      </c>
      <c r="K158" s="15">
        <v>1014</v>
      </c>
      <c r="L158" s="14">
        <f>J158+ROUND(K158, 2)</f>
        <v>2293.44</v>
      </c>
      <c r="M158" s="14">
        <f>ROUND(J158*I158, 2)</f>
        <v>29683.01</v>
      </c>
      <c r="N158" s="14">
        <f>ROUND(I158*ROUND(K158, 2), 2)</f>
        <v>23524.799999999999</v>
      </c>
      <c r="O158" s="14">
        <f>M158+N158</f>
        <v>53207.81</v>
      </c>
      <c r="P158" s="14">
        <f>IFERROR(ROUND(SUM(S159,S160,S161)/I158, 2),0)</f>
        <v>1279.44</v>
      </c>
      <c r="Q158" s="16">
        <v>1448.57</v>
      </c>
      <c r="R158" s="14">
        <f>P158+ROUND(Q158, 2)</f>
        <v>2728.01</v>
      </c>
      <c r="S158" s="14">
        <f>ROUND(P158*I158, 2)</f>
        <v>29683.01</v>
      </c>
      <c r="T158" s="14">
        <f>ROUND(I158*ROUND(Q158, 2), 2)</f>
        <v>33606.82</v>
      </c>
      <c r="U158" s="14">
        <f>S158+T158</f>
        <v>63289.83</v>
      </c>
      <c r="V158" s="9">
        <f>ROUND(P158 / 1.2, 2)</f>
        <v>1066.2</v>
      </c>
      <c r="W158" s="9">
        <f>ROUND(Q158 / 1.2, 2)</f>
        <v>1207.1400000000001</v>
      </c>
      <c r="X158" s="9">
        <f>ROUND(R158 / 1.2, 2)</f>
        <v>2273.34</v>
      </c>
      <c r="Y158" s="9">
        <f t="shared" si="15"/>
        <v>24735.84</v>
      </c>
      <c r="Z158" s="9">
        <f>ROUND(T158 / 1.2, 2)</f>
        <v>28005.68</v>
      </c>
      <c r="AA158" s="9">
        <f>Y158+Z158</f>
        <v>52741.520000000004</v>
      </c>
      <c r="AD158" s="4">
        <v>311044426</v>
      </c>
      <c r="AE158" s="4">
        <v>22767311</v>
      </c>
      <c r="AG158" s="4" t="s">
        <v>613</v>
      </c>
      <c r="AH158" s="4" t="s">
        <v>614</v>
      </c>
      <c r="AI158" s="4" t="s">
        <v>469</v>
      </c>
    </row>
    <row r="159" spans="1:35" ht="18" x14ac:dyDescent="0.3">
      <c r="A159" s="10" t="s">
        <v>637</v>
      </c>
      <c r="B159" s="10"/>
      <c r="C159" s="17" t="s">
        <v>529</v>
      </c>
      <c r="D159" s="12"/>
      <c r="E159" s="12"/>
      <c r="F159" s="18" t="s">
        <v>139</v>
      </c>
      <c r="G159" s="19">
        <v>8</v>
      </c>
      <c r="H159" s="24"/>
      <c r="I159" s="24">
        <v>185.6</v>
      </c>
      <c r="J159" s="20">
        <v>2.54</v>
      </c>
      <c r="M159" s="21">
        <f>ROUND(ROUND(J159, 2)*I159, 2)</f>
        <v>471.42</v>
      </c>
      <c r="P159" s="22">
        <v>2.54</v>
      </c>
      <c r="S159" s="21">
        <f>ROUND(ROUND(P159, 2)*I159, 2)</f>
        <v>471.42</v>
      </c>
      <c r="V159" s="9">
        <f>ROUND(ROUND(P159, 2)/1.2, 2)</f>
        <v>2.12</v>
      </c>
      <c r="Y159" s="9">
        <f t="shared" si="15"/>
        <v>392.85</v>
      </c>
      <c r="AD159" s="4" t="s">
        <v>638</v>
      </c>
      <c r="AE159" s="4" t="s">
        <v>639</v>
      </c>
      <c r="AF159" s="4" t="s">
        <v>532</v>
      </c>
    </row>
    <row r="160" spans="1:35" ht="18" x14ac:dyDescent="0.3">
      <c r="A160" s="10" t="s">
        <v>640</v>
      </c>
      <c r="B160" s="10"/>
      <c r="C160" s="17" t="s">
        <v>561</v>
      </c>
      <c r="D160" s="12"/>
      <c r="E160" s="12"/>
      <c r="F160" s="18" t="s">
        <v>99</v>
      </c>
      <c r="G160" s="19">
        <v>1.8</v>
      </c>
      <c r="H160" s="24"/>
      <c r="I160" s="24">
        <v>3340.8</v>
      </c>
      <c r="J160" s="20">
        <v>7.54</v>
      </c>
      <c r="M160" s="21">
        <f>ROUND(ROUND(J160, 2)*I160, 2)</f>
        <v>25189.63</v>
      </c>
      <c r="P160" s="22">
        <v>7.54</v>
      </c>
      <c r="S160" s="21">
        <f>ROUND(ROUND(P160, 2)*I160, 2)</f>
        <v>25189.63</v>
      </c>
      <c r="V160" s="9">
        <f>ROUND(ROUND(P160, 2)/1.2, 2)</f>
        <v>6.28</v>
      </c>
      <c r="Y160" s="9">
        <f t="shared" si="15"/>
        <v>20991.360000000001</v>
      </c>
      <c r="AD160" s="4" t="s">
        <v>641</v>
      </c>
      <c r="AE160" s="4" t="s">
        <v>642</v>
      </c>
      <c r="AF160" s="4" t="s">
        <v>564</v>
      </c>
    </row>
    <row r="161" spans="1:35" ht="18" x14ac:dyDescent="0.3">
      <c r="A161" s="10" t="s">
        <v>643</v>
      </c>
      <c r="B161" s="10"/>
      <c r="C161" s="17" t="s">
        <v>539</v>
      </c>
      <c r="D161" s="12"/>
      <c r="E161" s="12"/>
      <c r="F161" s="18" t="s">
        <v>58</v>
      </c>
      <c r="G161" s="19">
        <v>1.1000000000000001</v>
      </c>
      <c r="H161" s="24"/>
      <c r="I161" s="24">
        <v>25.52</v>
      </c>
      <c r="J161" s="20">
        <v>157.6</v>
      </c>
      <c r="M161" s="21">
        <f>ROUND(ROUND(J161, 2)*I161, 2)</f>
        <v>4021.95</v>
      </c>
      <c r="P161" s="22">
        <v>157.6</v>
      </c>
      <c r="S161" s="21">
        <f>ROUND(ROUND(P161, 2)*I161, 2)</f>
        <v>4021.95</v>
      </c>
      <c r="V161" s="9">
        <f>ROUND(ROUND(P161, 2)/1.2, 2)</f>
        <v>131.33000000000001</v>
      </c>
      <c r="Y161" s="9">
        <f t="shared" si="15"/>
        <v>3351.63</v>
      </c>
      <c r="AD161" s="4" t="s">
        <v>644</v>
      </c>
      <c r="AE161" s="4" t="s">
        <v>645</v>
      </c>
      <c r="AF161" s="4" t="s">
        <v>542</v>
      </c>
    </row>
    <row r="162" spans="1:35" ht="72" x14ac:dyDescent="0.3">
      <c r="A162" s="10" t="s">
        <v>646</v>
      </c>
      <c r="B162" s="10" t="s">
        <v>647</v>
      </c>
      <c r="C162" s="11" t="s">
        <v>648</v>
      </c>
      <c r="D162" s="12"/>
      <c r="E162" s="12" t="s">
        <v>649</v>
      </c>
      <c r="F162" s="12" t="s">
        <v>58</v>
      </c>
      <c r="G162" s="13">
        <v>1</v>
      </c>
      <c r="H162" s="13"/>
      <c r="I162" s="13">
        <v>194.1</v>
      </c>
      <c r="J162" s="14">
        <f>IFERROR(ROUND(SUM(M163,M164,M165)/I162, 2),0)</f>
        <v>1347.3</v>
      </c>
      <c r="K162" s="15">
        <v>1086</v>
      </c>
      <c r="L162" s="14">
        <f>J162+ROUND(K162, 2)</f>
        <v>2433.3000000000002</v>
      </c>
      <c r="M162" s="14">
        <f>ROUND(J162*I162, 2)</f>
        <v>261510.93</v>
      </c>
      <c r="N162" s="14">
        <f>ROUND(I162*ROUND(K162, 2), 2)</f>
        <v>210792.6</v>
      </c>
      <c r="O162" s="14">
        <f>M162+N162</f>
        <v>472303.53</v>
      </c>
      <c r="P162" s="14">
        <f>IFERROR(ROUND(SUM(S163,S164,S165)/I162, 2),0)</f>
        <v>1347.3</v>
      </c>
      <c r="Q162" s="16">
        <v>1551.43</v>
      </c>
      <c r="R162" s="14">
        <f>P162+ROUND(Q162, 2)</f>
        <v>2898.73</v>
      </c>
      <c r="S162" s="14">
        <f>ROUND(P162*I162, 2)</f>
        <v>261510.93</v>
      </c>
      <c r="T162" s="14">
        <f>ROUND(I162*ROUND(Q162, 2), 2)</f>
        <v>301132.56</v>
      </c>
      <c r="U162" s="14">
        <f>S162+T162</f>
        <v>562643.49</v>
      </c>
      <c r="V162" s="9">
        <f>ROUND(P162 / 1.2, 2)</f>
        <v>1122.75</v>
      </c>
      <c r="W162" s="9">
        <f>ROUND(Q162 / 1.2, 2)</f>
        <v>1292.8599999999999</v>
      </c>
      <c r="X162" s="9">
        <f>ROUND(R162 / 1.2, 2)</f>
        <v>2415.61</v>
      </c>
      <c r="Y162" s="9">
        <f t="shared" si="15"/>
        <v>217925.78</v>
      </c>
      <c r="Z162" s="9">
        <f>ROUND(T162 / 1.2, 2)</f>
        <v>250943.8</v>
      </c>
      <c r="AA162" s="9">
        <f>Y162+Z162</f>
        <v>468869.57999999996</v>
      </c>
      <c r="AD162" s="4">
        <v>311044328</v>
      </c>
      <c r="AE162" s="4">
        <v>22762392</v>
      </c>
      <c r="AG162" s="4" t="s">
        <v>650</v>
      </c>
      <c r="AH162" s="4" t="s">
        <v>651</v>
      </c>
      <c r="AI162" s="4" t="s">
        <v>469</v>
      </c>
    </row>
    <row r="163" spans="1:35" ht="18" x14ac:dyDescent="0.3">
      <c r="A163" s="10" t="s">
        <v>652</v>
      </c>
      <c r="B163" s="10"/>
      <c r="C163" s="17" t="s">
        <v>529</v>
      </c>
      <c r="D163" s="12"/>
      <c r="E163" s="12"/>
      <c r="F163" s="18" t="s">
        <v>139</v>
      </c>
      <c r="G163" s="19">
        <v>8</v>
      </c>
      <c r="H163" s="24"/>
      <c r="I163" s="24">
        <v>1552.8</v>
      </c>
      <c r="J163" s="20">
        <v>2.54</v>
      </c>
      <c r="M163" s="21">
        <f>ROUND(ROUND(J163, 2)*I163, 2)</f>
        <v>3944.11</v>
      </c>
      <c r="P163" s="22">
        <v>2.54</v>
      </c>
      <c r="S163" s="21">
        <f>ROUND(ROUND(P163, 2)*I163, 2)</f>
        <v>3944.11</v>
      </c>
      <c r="V163" s="9">
        <f>ROUND(ROUND(P163, 2)/1.2, 2)</f>
        <v>2.12</v>
      </c>
      <c r="Y163" s="9">
        <f t="shared" si="15"/>
        <v>3286.76</v>
      </c>
      <c r="AD163" s="4" t="s">
        <v>653</v>
      </c>
      <c r="AE163" s="4" t="s">
        <v>654</v>
      </c>
      <c r="AF163" s="4" t="s">
        <v>532</v>
      </c>
    </row>
    <row r="164" spans="1:35" ht="18" x14ac:dyDescent="0.3">
      <c r="A164" s="10" t="s">
        <v>655</v>
      </c>
      <c r="B164" s="10"/>
      <c r="C164" s="17" t="s">
        <v>561</v>
      </c>
      <c r="D164" s="12"/>
      <c r="E164" s="12"/>
      <c r="F164" s="18" t="s">
        <v>99</v>
      </c>
      <c r="G164" s="19">
        <v>1.8</v>
      </c>
      <c r="H164" s="24"/>
      <c r="I164" s="24">
        <v>29697.3</v>
      </c>
      <c r="J164" s="20">
        <v>7.54</v>
      </c>
      <c r="M164" s="21">
        <f>ROUND(ROUND(J164, 2)*I164, 2)</f>
        <v>223917.64</v>
      </c>
      <c r="P164" s="22">
        <v>7.54</v>
      </c>
      <c r="S164" s="21">
        <f>ROUND(ROUND(P164, 2)*I164, 2)</f>
        <v>223917.64</v>
      </c>
      <c r="V164" s="9">
        <f>ROUND(ROUND(P164, 2)/1.2, 2)</f>
        <v>6.28</v>
      </c>
      <c r="Y164" s="9">
        <f t="shared" si="15"/>
        <v>186598.03</v>
      </c>
      <c r="AD164" s="4" t="s">
        <v>656</v>
      </c>
      <c r="AE164" s="4" t="s">
        <v>657</v>
      </c>
      <c r="AF164" s="4" t="s">
        <v>564</v>
      </c>
    </row>
    <row r="165" spans="1:35" ht="18" x14ac:dyDescent="0.3">
      <c r="A165" s="10" t="s">
        <v>658</v>
      </c>
      <c r="B165" s="10"/>
      <c r="C165" s="17" t="s">
        <v>539</v>
      </c>
      <c r="D165" s="12"/>
      <c r="E165" s="12"/>
      <c r="F165" s="18" t="s">
        <v>58</v>
      </c>
      <c r="G165" s="19">
        <v>1.1000000000000001</v>
      </c>
      <c r="H165" s="24"/>
      <c r="I165" s="24">
        <v>213.51</v>
      </c>
      <c r="J165" s="20">
        <v>157.6</v>
      </c>
      <c r="M165" s="21">
        <f>ROUND(ROUND(J165, 2)*I165, 2)</f>
        <v>33649.18</v>
      </c>
      <c r="P165" s="22">
        <v>157.6</v>
      </c>
      <c r="S165" s="21">
        <f>ROUND(ROUND(P165, 2)*I165, 2)</f>
        <v>33649.18</v>
      </c>
      <c r="V165" s="9">
        <f>ROUND(ROUND(P165, 2)/1.2, 2)</f>
        <v>131.33000000000001</v>
      </c>
      <c r="Y165" s="9">
        <f t="shared" si="15"/>
        <v>28040.98</v>
      </c>
      <c r="AD165" s="4" t="s">
        <v>659</v>
      </c>
      <c r="AE165" s="4" t="s">
        <v>660</v>
      </c>
      <c r="AF165" s="4" t="s">
        <v>542</v>
      </c>
    </row>
    <row r="166" spans="1:35" ht="72" x14ac:dyDescent="0.3">
      <c r="A166" s="10" t="s">
        <v>661</v>
      </c>
      <c r="B166" s="10" t="s">
        <v>647</v>
      </c>
      <c r="C166" s="11" t="s">
        <v>648</v>
      </c>
      <c r="D166" s="12"/>
      <c r="E166" s="12" t="s">
        <v>662</v>
      </c>
      <c r="F166" s="12" t="s">
        <v>58</v>
      </c>
      <c r="G166" s="13">
        <v>1</v>
      </c>
      <c r="H166" s="13"/>
      <c r="I166" s="13">
        <v>75.5</v>
      </c>
      <c r="J166" s="14">
        <f>IFERROR(ROUND(SUM(M167,M168,M169)/I166, 2),0)</f>
        <v>1768.03</v>
      </c>
      <c r="K166" s="15">
        <v>1086</v>
      </c>
      <c r="L166" s="14">
        <f>J166+ROUND(K166, 2)</f>
        <v>2854.0299999999997</v>
      </c>
      <c r="M166" s="14">
        <f>ROUND(J166*I166, 2)</f>
        <v>133486.26999999999</v>
      </c>
      <c r="N166" s="14">
        <f>ROUND(I166*ROUND(K166, 2), 2)</f>
        <v>81993</v>
      </c>
      <c r="O166" s="14">
        <f>M166+N166</f>
        <v>215479.27</v>
      </c>
      <c r="P166" s="14">
        <f>IFERROR(ROUND(SUM(S167,S168,S169)/I166, 2),0)</f>
        <v>1768.03</v>
      </c>
      <c r="Q166" s="16">
        <v>1551.43</v>
      </c>
      <c r="R166" s="14">
        <f>P166+ROUND(Q166, 2)</f>
        <v>3319.46</v>
      </c>
      <c r="S166" s="14">
        <f>ROUND(P166*I166, 2)</f>
        <v>133486.26999999999</v>
      </c>
      <c r="T166" s="14">
        <f>ROUND(I166*ROUND(Q166, 2), 2)</f>
        <v>117132.97</v>
      </c>
      <c r="U166" s="14">
        <f>S166+T166</f>
        <v>250619.24</v>
      </c>
      <c r="V166" s="9">
        <f>ROUND(P166 / 1.2, 2)</f>
        <v>1473.36</v>
      </c>
      <c r="W166" s="9">
        <f>ROUND(Q166 / 1.2, 2)</f>
        <v>1292.8599999999999</v>
      </c>
      <c r="X166" s="9">
        <f>ROUND(R166 / 1.2, 2)</f>
        <v>2766.22</v>
      </c>
      <c r="Y166" s="9">
        <f t="shared" si="15"/>
        <v>111238.56</v>
      </c>
      <c r="Z166" s="9">
        <f>ROUND(T166 / 1.2, 2)</f>
        <v>97610.81</v>
      </c>
      <c r="AA166" s="9">
        <f>Y166+Z166</f>
        <v>208849.37</v>
      </c>
      <c r="AD166" s="4">
        <v>311044427</v>
      </c>
      <c r="AE166" s="4">
        <v>22767312</v>
      </c>
      <c r="AG166" s="4" t="s">
        <v>650</v>
      </c>
      <c r="AH166" s="4" t="s">
        <v>651</v>
      </c>
      <c r="AI166" s="4" t="s">
        <v>469</v>
      </c>
    </row>
    <row r="167" spans="1:35" ht="18" x14ac:dyDescent="0.3">
      <c r="A167" s="10" t="s">
        <v>663</v>
      </c>
      <c r="B167" s="10"/>
      <c r="C167" s="17" t="s">
        <v>539</v>
      </c>
      <c r="D167" s="12"/>
      <c r="E167" s="12"/>
      <c r="F167" s="18" t="s">
        <v>58</v>
      </c>
      <c r="G167" s="19">
        <v>1.1000000000000001</v>
      </c>
      <c r="H167" s="24"/>
      <c r="I167" s="24">
        <v>83.05</v>
      </c>
      <c r="J167" s="20">
        <v>157.6</v>
      </c>
      <c r="M167" s="21">
        <f>ROUND(ROUND(J167, 2)*I167, 2)</f>
        <v>13088.68</v>
      </c>
      <c r="P167" s="22">
        <v>157.6</v>
      </c>
      <c r="S167" s="21">
        <f>ROUND(ROUND(P167, 2)*I167, 2)</f>
        <v>13088.68</v>
      </c>
      <c r="V167" s="9">
        <f>ROUND(ROUND(P167, 2)/1.2, 2)</f>
        <v>131.33000000000001</v>
      </c>
      <c r="Y167" s="9">
        <f t="shared" si="15"/>
        <v>10907.23</v>
      </c>
      <c r="AD167" s="4" t="s">
        <v>664</v>
      </c>
      <c r="AE167" s="4" t="s">
        <v>665</v>
      </c>
      <c r="AF167" s="4" t="s">
        <v>542</v>
      </c>
    </row>
    <row r="168" spans="1:35" ht="18" x14ac:dyDescent="0.3">
      <c r="A168" s="10" t="s">
        <v>666</v>
      </c>
      <c r="B168" s="10"/>
      <c r="C168" s="17" t="s">
        <v>561</v>
      </c>
      <c r="D168" s="12"/>
      <c r="E168" s="12"/>
      <c r="F168" s="18" t="s">
        <v>99</v>
      </c>
      <c r="G168" s="19">
        <v>1.8</v>
      </c>
      <c r="H168" s="24"/>
      <c r="I168" s="24">
        <v>15764.4</v>
      </c>
      <c r="J168" s="20">
        <v>7.54</v>
      </c>
      <c r="M168" s="21">
        <f>ROUND(ROUND(J168, 2)*I168, 2)</f>
        <v>118863.58</v>
      </c>
      <c r="P168" s="22">
        <v>7.54</v>
      </c>
      <c r="S168" s="21">
        <f>ROUND(ROUND(P168, 2)*I168, 2)</f>
        <v>118863.58</v>
      </c>
      <c r="V168" s="9">
        <f>ROUND(ROUND(P168, 2)/1.2, 2)</f>
        <v>6.28</v>
      </c>
      <c r="Y168" s="9">
        <f t="shared" si="15"/>
        <v>99052.98</v>
      </c>
      <c r="AD168" s="4" t="s">
        <v>667</v>
      </c>
      <c r="AE168" s="4" t="s">
        <v>668</v>
      </c>
      <c r="AF168" s="4" t="s">
        <v>564</v>
      </c>
    </row>
    <row r="169" spans="1:35" ht="18" x14ac:dyDescent="0.3">
      <c r="A169" s="10" t="s">
        <v>669</v>
      </c>
      <c r="B169" s="10"/>
      <c r="C169" s="17" t="s">
        <v>529</v>
      </c>
      <c r="D169" s="12"/>
      <c r="E169" s="12"/>
      <c r="F169" s="18" t="s">
        <v>139</v>
      </c>
      <c r="G169" s="19">
        <v>8</v>
      </c>
      <c r="H169" s="24"/>
      <c r="I169" s="24">
        <v>604</v>
      </c>
      <c r="J169" s="20">
        <v>2.54</v>
      </c>
      <c r="M169" s="21">
        <f>ROUND(ROUND(J169, 2)*I169, 2)</f>
        <v>1534.16</v>
      </c>
      <c r="P169" s="22">
        <v>2.54</v>
      </c>
      <c r="S169" s="21">
        <f>ROUND(ROUND(P169, 2)*I169, 2)</f>
        <v>1534.16</v>
      </c>
      <c r="V169" s="9">
        <f>ROUND(ROUND(P169, 2)/1.2, 2)</f>
        <v>2.12</v>
      </c>
      <c r="Y169" s="9">
        <f t="shared" si="15"/>
        <v>1278.47</v>
      </c>
      <c r="AD169" s="4" t="s">
        <v>670</v>
      </c>
      <c r="AE169" s="4" t="s">
        <v>671</v>
      </c>
      <c r="AF169" s="4" t="s">
        <v>532</v>
      </c>
    </row>
    <row r="170" spans="1:35" ht="54" x14ac:dyDescent="0.3">
      <c r="A170" s="10" t="s">
        <v>672</v>
      </c>
      <c r="B170" s="10" t="s">
        <v>673</v>
      </c>
      <c r="C170" s="11" t="s">
        <v>674</v>
      </c>
      <c r="D170" s="12"/>
      <c r="E170" s="12" t="s">
        <v>675</v>
      </c>
      <c r="F170" s="12" t="s">
        <v>58</v>
      </c>
      <c r="G170" s="13">
        <v>1</v>
      </c>
      <c r="H170" s="13"/>
      <c r="I170" s="13">
        <v>667.2</v>
      </c>
      <c r="J170" s="14">
        <f>IFERROR(ROUND(SUM(M171,M172)/I170, 2),0)</f>
        <v>276.8</v>
      </c>
      <c r="K170" s="15">
        <v>648</v>
      </c>
      <c r="L170" s="14">
        <f>J170+ROUND(K170, 2)</f>
        <v>924.8</v>
      </c>
      <c r="M170" s="14">
        <f>ROUND(J170*I170, 2)</f>
        <v>184680.95999999999</v>
      </c>
      <c r="N170" s="14">
        <f>ROUND(I170*ROUND(K170, 2), 2)</f>
        <v>432345.59999999998</v>
      </c>
      <c r="O170" s="14">
        <f>M170+N170</f>
        <v>617026.55999999994</v>
      </c>
      <c r="P170" s="14">
        <f>IFERROR(ROUND(SUM(S171,S172)/I170, 2),0)</f>
        <v>276.8</v>
      </c>
      <c r="Q170" s="16">
        <v>925.71</v>
      </c>
      <c r="R170" s="14">
        <f>P170+ROUND(Q170, 2)</f>
        <v>1202.51</v>
      </c>
      <c r="S170" s="14">
        <f>ROUND(P170*I170, 2)</f>
        <v>184680.95999999999</v>
      </c>
      <c r="T170" s="14">
        <f>ROUND(I170*ROUND(Q170, 2), 2)</f>
        <v>617633.71</v>
      </c>
      <c r="U170" s="14">
        <f>S170+T170</f>
        <v>802314.66999999993</v>
      </c>
      <c r="V170" s="9">
        <f>ROUND(P170 / 1.2, 2)</f>
        <v>230.67</v>
      </c>
      <c r="W170" s="9">
        <f>ROUND(Q170 / 1.2, 2)</f>
        <v>771.43</v>
      </c>
      <c r="X170" s="9">
        <f>ROUND(R170 / 1.2, 2)</f>
        <v>1002.09</v>
      </c>
      <c r="Y170" s="9">
        <f t="shared" si="15"/>
        <v>153900.79999999999</v>
      </c>
      <c r="Z170" s="9">
        <f>ROUND(T170 / 1.2, 2)</f>
        <v>514694.76</v>
      </c>
      <c r="AA170" s="9">
        <f>Y170+Z170</f>
        <v>668595.56000000006</v>
      </c>
      <c r="AD170" s="4">
        <v>311044329</v>
      </c>
      <c r="AE170" s="4">
        <v>22764279</v>
      </c>
      <c r="AG170" s="4" t="s">
        <v>676</v>
      </c>
      <c r="AH170" s="4" t="s">
        <v>677</v>
      </c>
      <c r="AI170" s="4" t="s">
        <v>469</v>
      </c>
    </row>
    <row r="171" spans="1:35" ht="18" x14ac:dyDescent="0.3">
      <c r="A171" s="10" t="s">
        <v>678</v>
      </c>
      <c r="B171" s="10"/>
      <c r="C171" s="17" t="s">
        <v>561</v>
      </c>
      <c r="D171" s="12"/>
      <c r="E171" s="12"/>
      <c r="F171" s="18" t="s">
        <v>99</v>
      </c>
      <c r="G171" s="19">
        <v>1.8</v>
      </c>
      <c r="H171" s="24"/>
      <c r="I171" s="24">
        <v>24019.200000000001</v>
      </c>
      <c r="J171" s="20">
        <v>7.54</v>
      </c>
      <c r="M171" s="21">
        <f>ROUND(ROUND(J171, 2)*I171, 2)</f>
        <v>181104.77</v>
      </c>
      <c r="P171" s="22">
        <v>7.54</v>
      </c>
      <c r="S171" s="21">
        <f>ROUND(ROUND(P171, 2)*I171, 2)</f>
        <v>181104.77</v>
      </c>
      <c r="V171" s="9">
        <f>ROUND(ROUND(P171, 2)/1.2, 2)</f>
        <v>6.28</v>
      </c>
      <c r="Y171" s="9">
        <f t="shared" si="15"/>
        <v>150920.64000000001</v>
      </c>
      <c r="AD171" s="4" t="s">
        <v>679</v>
      </c>
      <c r="AE171" s="4" t="s">
        <v>680</v>
      </c>
      <c r="AF171" s="4" t="s">
        <v>564</v>
      </c>
    </row>
    <row r="172" spans="1:35" ht="18" x14ac:dyDescent="0.3">
      <c r="A172" s="10" t="s">
        <v>681</v>
      </c>
      <c r="B172" s="10"/>
      <c r="C172" s="17" t="s">
        <v>544</v>
      </c>
      <c r="D172" s="12"/>
      <c r="E172" s="12"/>
      <c r="F172" s="18" t="s">
        <v>258</v>
      </c>
      <c r="G172" s="19">
        <v>1</v>
      </c>
      <c r="H172" s="24"/>
      <c r="I172" s="24">
        <v>338</v>
      </c>
      <c r="J172" s="20">
        <v>10.58</v>
      </c>
      <c r="M172" s="21">
        <f>ROUND(ROUND(J172, 2)*I172, 2)</f>
        <v>3576.04</v>
      </c>
      <c r="P172" s="22">
        <v>10.58</v>
      </c>
      <c r="S172" s="21">
        <f>ROUND(ROUND(P172, 2)*I172, 2)</f>
        <v>3576.04</v>
      </c>
      <c r="V172" s="9">
        <f>ROUND(ROUND(P172, 2)/1.2, 2)</f>
        <v>8.82</v>
      </c>
      <c r="Y172" s="9">
        <f t="shared" si="15"/>
        <v>2980.03</v>
      </c>
      <c r="AD172" s="4" t="s">
        <v>682</v>
      </c>
      <c r="AE172" s="4" t="s">
        <v>683</v>
      </c>
      <c r="AF172" s="4" t="s">
        <v>547</v>
      </c>
    </row>
    <row r="173" spans="1:35" ht="126" x14ac:dyDescent="0.3">
      <c r="A173" s="10" t="s">
        <v>684</v>
      </c>
      <c r="B173" s="10" t="s">
        <v>673</v>
      </c>
      <c r="C173" s="11" t="s">
        <v>674</v>
      </c>
      <c r="D173" s="12"/>
      <c r="E173" s="12" t="s">
        <v>685</v>
      </c>
      <c r="F173" s="12" t="s">
        <v>58</v>
      </c>
      <c r="G173" s="13">
        <v>1</v>
      </c>
      <c r="H173" s="13"/>
      <c r="I173" s="13">
        <v>11347</v>
      </c>
      <c r="J173" s="14">
        <f>IFERROR(ROUND(SUM(M174,M175)/I173, 2),0)</f>
        <v>231.86</v>
      </c>
      <c r="K173" s="15">
        <v>648</v>
      </c>
      <c r="L173" s="14">
        <f>J173+ROUND(K173, 2)</f>
        <v>879.86</v>
      </c>
      <c r="M173" s="14">
        <f>ROUND(J173*I173, 2)</f>
        <v>2630915.42</v>
      </c>
      <c r="N173" s="14">
        <f>ROUND(I173*ROUND(K173, 2), 2)</f>
        <v>7352856</v>
      </c>
      <c r="O173" s="14">
        <f>M173+N173</f>
        <v>9983771.4199999999</v>
      </c>
      <c r="P173" s="14">
        <f>IFERROR(ROUND(SUM(S174,S175)/I173, 2),0)</f>
        <v>231.86</v>
      </c>
      <c r="Q173" s="16">
        <v>925.71</v>
      </c>
      <c r="R173" s="14">
        <f>P173+ROUND(Q173, 2)</f>
        <v>1157.5700000000002</v>
      </c>
      <c r="S173" s="14">
        <f>ROUND(P173*I173, 2)</f>
        <v>2630915.42</v>
      </c>
      <c r="T173" s="14">
        <f>ROUND(I173*ROUND(Q173, 2), 2)</f>
        <v>10504031.369999999</v>
      </c>
      <c r="U173" s="14">
        <f>S173+T173</f>
        <v>13134946.789999999</v>
      </c>
      <c r="V173" s="9">
        <f>ROUND(P173 / 1.2, 2)</f>
        <v>193.22</v>
      </c>
      <c r="W173" s="9">
        <f>ROUND(Q173 / 1.2, 2)</f>
        <v>771.43</v>
      </c>
      <c r="X173" s="9">
        <f>ROUND(R173 / 1.2, 2)</f>
        <v>964.64</v>
      </c>
      <c r="Y173" s="9">
        <f t="shared" si="15"/>
        <v>2192429.52</v>
      </c>
      <c r="Z173" s="9">
        <f>ROUND(T173 / 1.2, 2)</f>
        <v>8753359.4800000004</v>
      </c>
      <c r="AA173" s="9">
        <f>Y173+Z173</f>
        <v>10945789</v>
      </c>
      <c r="AD173" s="4">
        <v>311044428</v>
      </c>
      <c r="AE173" s="4">
        <v>22764278</v>
      </c>
      <c r="AG173" s="4" t="s">
        <v>676</v>
      </c>
      <c r="AH173" s="4" t="s">
        <v>677</v>
      </c>
      <c r="AI173" s="4" t="s">
        <v>469</v>
      </c>
    </row>
    <row r="174" spans="1:35" ht="18" x14ac:dyDescent="0.3">
      <c r="A174" s="10" t="s">
        <v>686</v>
      </c>
      <c r="B174" s="10"/>
      <c r="C174" s="17" t="s">
        <v>544</v>
      </c>
      <c r="D174" s="12"/>
      <c r="E174" s="12"/>
      <c r="F174" s="18" t="s">
        <v>258</v>
      </c>
      <c r="G174" s="19">
        <v>1</v>
      </c>
      <c r="H174" s="24"/>
      <c r="I174" s="24">
        <v>6581</v>
      </c>
      <c r="J174" s="20">
        <v>10.58</v>
      </c>
      <c r="M174" s="21">
        <f>ROUND(ROUND(J174, 2)*I174, 2)</f>
        <v>69626.98</v>
      </c>
      <c r="P174" s="22">
        <v>10.58</v>
      </c>
      <c r="S174" s="21">
        <f>ROUND(ROUND(P174, 2)*I174, 2)</f>
        <v>69626.98</v>
      </c>
      <c r="V174" s="9">
        <f>ROUND(ROUND(P174, 2)/1.2, 2)</f>
        <v>8.82</v>
      </c>
      <c r="Y174" s="9">
        <f t="shared" si="15"/>
        <v>58022.48</v>
      </c>
      <c r="AD174" s="4" t="s">
        <v>687</v>
      </c>
      <c r="AE174" s="4" t="s">
        <v>688</v>
      </c>
      <c r="AF174" s="4" t="s">
        <v>547</v>
      </c>
    </row>
    <row r="175" spans="1:35" ht="18" x14ac:dyDescent="0.3">
      <c r="A175" s="10" t="s">
        <v>689</v>
      </c>
      <c r="B175" s="10"/>
      <c r="C175" s="17" t="s">
        <v>534</v>
      </c>
      <c r="D175" s="12"/>
      <c r="E175" s="12"/>
      <c r="F175" s="18" t="s">
        <v>99</v>
      </c>
      <c r="G175" s="19">
        <v>1.8</v>
      </c>
      <c r="H175" s="24"/>
      <c r="I175" s="24">
        <v>408492</v>
      </c>
      <c r="J175" s="20">
        <v>6.27</v>
      </c>
      <c r="M175" s="21">
        <f>ROUND(ROUND(J175, 2)*I175, 2)</f>
        <v>2561244.84</v>
      </c>
      <c r="P175" s="22">
        <v>6.27</v>
      </c>
      <c r="S175" s="21">
        <f>ROUND(ROUND(P175, 2)*I175, 2)</f>
        <v>2561244.84</v>
      </c>
      <c r="V175" s="9">
        <f>ROUND(ROUND(P175, 2)/1.2, 2)</f>
        <v>5.23</v>
      </c>
      <c r="Y175" s="9">
        <f t="shared" si="15"/>
        <v>2134370.7000000002</v>
      </c>
      <c r="AD175" s="4" t="s">
        <v>690</v>
      </c>
      <c r="AE175" s="4" t="s">
        <v>691</v>
      </c>
      <c r="AF175" s="4" t="s">
        <v>537</v>
      </c>
    </row>
    <row r="176" spans="1:35" ht="72" x14ac:dyDescent="0.3">
      <c r="A176" s="10" t="s">
        <v>692</v>
      </c>
      <c r="B176" s="10" t="s">
        <v>673</v>
      </c>
      <c r="C176" s="11" t="s">
        <v>674</v>
      </c>
      <c r="D176" s="12"/>
      <c r="E176" s="12" t="s">
        <v>693</v>
      </c>
      <c r="F176" s="12" t="s">
        <v>58</v>
      </c>
      <c r="G176" s="13">
        <v>1</v>
      </c>
      <c r="H176" s="13"/>
      <c r="I176" s="13">
        <v>428.4</v>
      </c>
      <c r="J176" s="14">
        <f>IFERROR(ROUND(SUM(M177,M178)/I176, 2),0)</f>
        <v>61.94</v>
      </c>
      <c r="K176" s="15">
        <v>648</v>
      </c>
      <c r="L176" s="14">
        <f>J176+ROUND(K176, 2)</f>
        <v>709.94</v>
      </c>
      <c r="M176" s="14">
        <f>ROUND(J176*I176, 2)</f>
        <v>26535.1</v>
      </c>
      <c r="N176" s="14">
        <f>ROUND(I176*ROUND(K176, 2), 2)</f>
        <v>277603.20000000001</v>
      </c>
      <c r="O176" s="14">
        <f>M176+N176</f>
        <v>304138.3</v>
      </c>
      <c r="P176" s="14">
        <f>IFERROR(ROUND(SUM(S177,S178)/I176, 2),0)</f>
        <v>61.94</v>
      </c>
      <c r="Q176" s="16">
        <v>925.71</v>
      </c>
      <c r="R176" s="14">
        <f>P176+ROUND(Q176, 2)</f>
        <v>987.65000000000009</v>
      </c>
      <c r="S176" s="14">
        <f>ROUND(P176*I176, 2)</f>
        <v>26535.1</v>
      </c>
      <c r="T176" s="14">
        <f>ROUND(I176*ROUND(Q176, 2), 2)</f>
        <v>396574.16</v>
      </c>
      <c r="U176" s="14">
        <f>S176+T176</f>
        <v>423109.25999999995</v>
      </c>
      <c r="V176" s="9">
        <f>ROUND(P176 / 1.2, 2)</f>
        <v>51.62</v>
      </c>
      <c r="W176" s="9">
        <f>ROUND(Q176 / 1.2, 2)</f>
        <v>771.43</v>
      </c>
      <c r="X176" s="9">
        <f>ROUND(R176 / 1.2, 2)</f>
        <v>823.04</v>
      </c>
      <c r="Y176" s="9">
        <f t="shared" si="15"/>
        <v>22112.58</v>
      </c>
      <c r="Z176" s="9">
        <f>ROUND(T176 / 1.2, 2)</f>
        <v>330478.46999999997</v>
      </c>
      <c r="AA176" s="9">
        <f>Y176+Z176</f>
        <v>352591.05</v>
      </c>
      <c r="AD176" s="4">
        <v>311044429</v>
      </c>
      <c r="AE176" s="4">
        <v>22817294</v>
      </c>
      <c r="AG176" s="4" t="s">
        <v>676</v>
      </c>
      <c r="AH176" s="4" t="s">
        <v>677</v>
      </c>
      <c r="AI176" s="4" t="s">
        <v>469</v>
      </c>
    </row>
    <row r="177" spans="1:35" ht="18" x14ac:dyDescent="0.3">
      <c r="A177" s="10" t="s">
        <v>694</v>
      </c>
      <c r="B177" s="10"/>
      <c r="C177" s="17" t="s">
        <v>534</v>
      </c>
      <c r="D177" s="12"/>
      <c r="E177" s="12"/>
      <c r="F177" s="18" t="s">
        <v>99</v>
      </c>
      <c r="G177" s="19">
        <v>1.8</v>
      </c>
      <c r="H177" s="24"/>
      <c r="I177" s="24">
        <v>3855.6</v>
      </c>
      <c r="J177" s="20">
        <v>6.27</v>
      </c>
      <c r="M177" s="21">
        <f>ROUND(ROUND(J177, 2)*I177, 2)</f>
        <v>24174.61</v>
      </c>
      <c r="P177" s="22">
        <v>6.27</v>
      </c>
      <c r="S177" s="21">
        <f>ROUND(ROUND(P177, 2)*I177, 2)</f>
        <v>24174.61</v>
      </c>
      <c r="V177" s="9">
        <f>ROUND(ROUND(P177, 2)/1.2, 2)</f>
        <v>5.23</v>
      </c>
      <c r="Y177" s="9">
        <f t="shared" ref="Y177:Y192" si="16">ROUND(S177 / 1.2, 2)</f>
        <v>20145.509999999998</v>
      </c>
      <c r="AD177" s="4" t="s">
        <v>695</v>
      </c>
      <c r="AE177" s="4" t="s">
        <v>696</v>
      </c>
      <c r="AF177" s="4" t="s">
        <v>537</v>
      </c>
    </row>
    <row r="178" spans="1:35" ht="18" x14ac:dyDescent="0.3">
      <c r="A178" s="10" t="s">
        <v>697</v>
      </c>
      <c r="B178" s="10"/>
      <c r="C178" s="17" t="s">
        <v>544</v>
      </c>
      <c r="D178" s="12"/>
      <c r="E178" s="12"/>
      <c r="F178" s="18" t="s">
        <v>258</v>
      </c>
      <c r="G178" s="19">
        <v>1</v>
      </c>
      <c r="H178" s="24"/>
      <c r="I178" s="24">
        <v>223</v>
      </c>
      <c r="J178" s="20">
        <v>10.58</v>
      </c>
      <c r="M178" s="21">
        <f>ROUND(ROUND(J178, 2)*I178, 2)</f>
        <v>2359.34</v>
      </c>
      <c r="P178" s="22">
        <v>10.58</v>
      </c>
      <c r="S178" s="21">
        <f>ROUND(ROUND(P178, 2)*I178, 2)</f>
        <v>2359.34</v>
      </c>
      <c r="V178" s="9">
        <f>ROUND(ROUND(P178, 2)/1.2, 2)</f>
        <v>8.82</v>
      </c>
      <c r="Y178" s="9">
        <f t="shared" si="16"/>
        <v>1966.12</v>
      </c>
      <c r="AD178" s="4" t="s">
        <v>698</v>
      </c>
      <c r="AE178" s="4" t="s">
        <v>699</v>
      </c>
      <c r="AF178" s="4" t="s">
        <v>547</v>
      </c>
    </row>
    <row r="179" spans="1:35" ht="54" x14ac:dyDescent="0.3">
      <c r="A179" s="10" t="s">
        <v>700</v>
      </c>
      <c r="B179" s="10" t="s">
        <v>701</v>
      </c>
      <c r="C179" s="11" t="s">
        <v>702</v>
      </c>
      <c r="D179" s="12"/>
      <c r="E179" s="12" t="s">
        <v>703</v>
      </c>
      <c r="F179" s="12" t="s">
        <v>58</v>
      </c>
      <c r="G179" s="13">
        <v>1</v>
      </c>
      <c r="H179" s="13"/>
      <c r="I179" s="13">
        <v>68.2</v>
      </c>
      <c r="J179" s="14">
        <f>IFERROR(ROUND(SUM(M180)/I179, 2),0)</f>
        <v>352.87</v>
      </c>
      <c r="K179" s="15">
        <v>705</v>
      </c>
      <c r="L179" s="14">
        <f>J179+ROUND(K179, 2)</f>
        <v>1057.8699999999999</v>
      </c>
      <c r="M179" s="14">
        <f>ROUND(J179*I179, 2)</f>
        <v>24065.73</v>
      </c>
      <c r="N179" s="14">
        <f>ROUND(I179*ROUND(K179, 2), 2)</f>
        <v>48081</v>
      </c>
      <c r="O179" s="14">
        <f>M179+N179</f>
        <v>72146.73</v>
      </c>
      <c r="P179" s="14">
        <f>IFERROR(ROUND(SUM(S180)/I179, 2),0)</f>
        <v>352.87</v>
      </c>
      <c r="Q179" s="16">
        <v>1007.14</v>
      </c>
      <c r="R179" s="14">
        <f>P179+ROUND(Q179, 2)</f>
        <v>1360.01</v>
      </c>
      <c r="S179" s="14">
        <f>ROUND(P179*I179, 2)</f>
        <v>24065.73</v>
      </c>
      <c r="T179" s="14">
        <f>ROUND(I179*ROUND(Q179, 2), 2)</f>
        <v>68686.95</v>
      </c>
      <c r="U179" s="14">
        <f>S179+T179</f>
        <v>92752.68</v>
      </c>
      <c r="V179" s="9">
        <f>ROUND(P179 / 1.2, 2)</f>
        <v>294.06</v>
      </c>
      <c r="W179" s="9">
        <f>ROUND(Q179 / 1.2, 2)</f>
        <v>839.28</v>
      </c>
      <c r="X179" s="9">
        <f>ROUND(R179 / 1.2, 2)</f>
        <v>1133.3399999999999</v>
      </c>
      <c r="Y179" s="9">
        <f t="shared" si="16"/>
        <v>20054.78</v>
      </c>
      <c r="Z179" s="9">
        <f>ROUND(T179 / 1.2, 2)</f>
        <v>57239.13</v>
      </c>
      <c r="AA179" s="9">
        <f>Y179+Z179</f>
        <v>77293.91</v>
      </c>
      <c r="AD179" s="4">
        <v>311044330</v>
      </c>
      <c r="AE179" s="4">
        <v>22765232</v>
      </c>
      <c r="AG179" s="4" t="s">
        <v>704</v>
      </c>
      <c r="AH179" s="4" t="s">
        <v>705</v>
      </c>
      <c r="AI179" s="4" t="s">
        <v>469</v>
      </c>
    </row>
    <row r="180" spans="1:35" ht="18" x14ac:dyDescent="0.3">
      <c r="A180" s="10" t="s">
        <v>706</v>
      </c>
      <c r="B180" s="10"/>
      <c r="C180" s="17" t="s">
        <v>561</v>
      </c>
      <c r="D180" s="12"/>
      <c r="E180" s="12" t="s">
        <v>707</v>
      </c>
      <c r="F180" s="18" t="s">
        <v>99</v>
      </c>
      <c r="G180" s="19">
        <v>1.8</v>
      </c>
      <c r="H180" s="24"/>
      <c r="I180" s="24">
        <v>3191.76</v>
      </c>
      <c r="J180" s="20">
        <v>7.54</v>
      </c>
      <c r="M180" s="21">
        <f>ROUND(ROUND(J180, 2)*I180, 2)</f>
        <v>24065.87</v>
      </c>
      <c r="P180" s="22">
        <v>7.54</v>
      </c>
      <c r="S180" s="21">
        <f>ROUND(ROUND(P180, 2)*I180, 2)</f>
        <v>24065.87</v>
      </c>
      <c r="V180" s="9">
        <f>ROUND(ROUND(P180, 2)/1.2, 2)</f>
        <v>6.28</v>
      </c>
      <c r="Y180" s="9">
        <f t="shared" si="16"/>
        <v>20054.89</v>
      </c>
      <c r="AD180" s="4" t="s">
        <v>708</v>
      </c>
      <c r="AE180" s="4" t="s">
        <v>709</v>
      </c>
      <c r="AF180" s="4" t="s">
        <v>564</v>
      </c>
    </row>
    <row r="181" spans="1:35" ht="54" x14ac:dyDescent="0.3">
      <c r="A181" s="10" t="s">
        <v>710</v>
      </c>
      <c r="B181" s="10" t="s">
        <v>711</v>
      </c>
      <c r="C181" s="11" t="s">
        <v>712</v>
      </c>
      <c r="D181" s="12"/>
      <c r="E181" s="12" t="s">
        <v>713</v>
      </c>
      <c r="F181" s="12" t="s">
        <v>58</v>
      </c>
      <c r="G181" s="13">
        <v>1</v>
      </c>
      <c r="H181" s="13"/>
      <c r="I181" s="13">
        <v>8367.4</v>
      </c>
      <c r="J181" s="14">
        <f>IFERROR(ROUND(SUM(M182,M183,M184)/I181, 2),0)</f>
        <v>176.55</v>
      </c>
      <c r="K181" s="15">
        <v>557</v>
      </c>
      <c r="L181" s="14">
        <f>J181+ROUND(K181, 2)</f>
        <v>733.55</v>
      </c>
      <c r="M181" s="14">
        <f>ROUND(J181*I181, 2)</f>
        <v>1477264.47</v>
      </c>
      <c r="N181" s="14">
        <f>ROUND(I181*ROUND(K181, 2), 2)</f>
        <v>4660641.8</v>
      </c>
      <c r="O181" s="14">
        <f>M181+N181</f>
        <v>6137906.2699999996</v>
      </c>
      <c r="P181" s="14">
        <f>IFERROR(ROUND(SUM(S182,S183,S184)/I181, 2),0)</f>
        <v>176.55</v>
      </c>
      <c r="Q181" s="16">
        <v>795.71</v>
      </c>
      <c r="R181" s="14">
        <f>P181+ROUND(Q181, 2)</f>
        <v>972.26</v>
      </c>
      <c r="S181" s="14">
        <f>ROUND(P181*I181, 2)</f>
        <v>1477264.47</v>
      </c>
      <c r="T181" s="14">
        <f>ROUND(I181*ROUND(Q181, 2), 2)</f>
        <v>6658023.8499999996</v>
      </c>
      <c r="U181" s="14">
        <f>S181+T181</f>
        <v>8135288.3199999994</v>
      </c>
      <c r="V181" s="9">
        <f>ROUND(P181 / 1.2, 2)</f>
        <v>147.13</v>
      </c>
      <c r="W181" s="9">
        <f>ROUND(Q181 / 1.2, 2)</f>
        <v>663.09</v>
      </c>
      <c r="X181" s="9">
        <f>ROUND(R181 / 1.2, 2)</f>
        <v>810.22</v>
      </c>
      <c r="Y181" s="9">
        <f t="shared" si="16"/>
        <v>1231053.73</v>
      </c>
      <c r="Z181" s="9">
        <f>ROUND(T181 / 1.2, 2)</f>
        <v>5548353.21</v>
      </c>
      <c r="AA181" s="9">
        <f>Y181+Z181</f>
        <v>6779406.9399999995</v>
      </c>
      <c r="AD181" s="4">
        <v>311044332</v>
      </c>
      <c r="AE181" s="4">
        <v>22757329</v>
      </c>
      <c r="AG181" s="4" t="s">
        <v>714</v>
      </c>
      <c r="AH181" s="4" t="s">
        <v>715</v>
      </c>
      <c r="AI181" s="4" t="s">
        <v>469</v>
      </c>
    </row>
    <row r="182" spans="1:35" ht="18" x14ac:dyDescent="0.3">
      <c r="A182" s="10" t="s">
        <v>716</v>
      </c>
      <c r="B182" s="10"/>
      <c r="C182" s="17" t="s">
        <v>544</v>
      </c>
      <c r="D182" s="12"/>
      <c r="E182" s="12"/>
      <c r="F182" s="18" t="s">
        <v>258</v>
      </c>
      <c r="G182" s="19">
        <v>1</v>
      </c>
      <c r="H182" s="24"/>
      <c r="I182" s="24">
        <v>4752</v>
      </c>
      <c r="J182" s="20">
        <v>10.58</v>
      </c>
      <c r="M182" s="21">
        <f>ROUND(ROUND(J182, 2)*I182, 2)</f>
        <v>50276.160000000003</v>
      </c>
      <c r="P182" s="22">
        <v>10.58</v>
      </c>
      <c r="S182" s="21">
        <f>ROUND(ROUND(P182, 2)*I182, 2)</f>
        <v>50276.160000000003</v>
      </c>
      <c r="V182" s="9">
        <f>ROUND(ROUND(P182, 2)/1.2, 2)</f>
        <v>8.82</v>
      </c>
      <c r="Y182" s="9">
        <f t="shared" si="16"/>
        <v>41896.800000000003</v>
      </c>
      <c r="AD182" s="4" t="s">
        <v>717</v>
      </c>
      <c r="AE182" s="4" t="s">
        <v>718</v>
      </c>
      <c r="AF182" s="4" t="s">
        <v>547</v>
      </c>
    </row>
    <row r="183" spans="1:35" ht="36" x14ac:dyDescent="0.3">
      <c r="A183" s="10" t="s">
        <v>719</v>
      </c>
      <c r="B183" s="10"/>
      <c r="C183" s="17" t="s">
        <v>720</v>
      </c>
      <c r="D183" s="12"/>
      <c r="E183" s="12"/>
      <c r="F183" s="18" t="s">
        <v>99</v>
      </c>
      <c r="G183" s="19">
        <v>0.255</v>
      </c>
      <c r="H183" s="19"/>
      <c r="I183" s="19">
        <v>2133.6869999999999</v>
      </c>
      <c r="J183" s="20">
        <v>90.28</v>
      </c>
      <c r="M183" s="21">
        <f>ROUND(ROUND(J183, 2)*I183, 2)</f>
        <v>192629.26</v>
      </c>
      <c r="P183" s="22">
        <v>90.28</v>
      </c>
      <c r="S183" s="21">
        <f>ROUND(ROUND(P183, 2)*I183, 2)</f>
        <v>192629.26</v>
      </c>
      <c r="V183" s="9">
        <f>ROUND(ROUND(P183, 2)/1.2, 2)</f>
        <v>75.23</v>
      </c>
      <c r="Y183" s="9">
        <f t="shared" si="16"/>
        <v>160524.38</v>
      </c>
      <c r="AD183" s="4" t="s">
        <v>721</v>
      </c>
      <c r="AE183" s="4" t="s">
        <v>722</v>
      </c>
      <c r="AF183" s="4" t="s">
        <v>723</v>
      </c>
    </row>
    <row r="184" spans="1:35" ht="36" x14ac:dyDescent="0.3">
      <c r="A184" s="10" t="s">
        <v>724</v>
      </c>
      <c r="B184" s="10"/>
      <c r="C184" s="23" t="s">
        <v>725</v>
      </c>
      <c r="D184" s="12"/>
      <c r="E184" s="12"/>
      <c r="F184" s="18" t="s">
        <v>99</v>
      </c>
      <c r="G184" s="19">
        <v>1.6</v>
      </c>
      <c r="H184" s="24"/>
      <c r="I184" s="24">
        <v>133878.39999999999</v>
      </c>
      <c r="J184" s="20">
        <v>9.2200000000000006</v>
      </c>
      <c r="M184" s="21">
        <f>ROUND(ROUND(J184, 2)*I184, 2)</f>
        <v>1234358.8500000001</v>
      </c>
      <c r="P184" s="22">
        <v>9.2200000000000006</v>
      </c>
      <c r="S184" s="21">
        <f>ROUND(ROUND(P184, 2)*I184, 2)</f>
        <v>1234358.8500000001</v>
      </c>
      <c r="V184" s="9">
        <f>ROUND(ROUND(P184, 2)/1.2, 2)</f>
        <v>7.68</v>
      </c>
      <c r="Y184" s="9">
        <f t="shared" si="16"/>
        <v>1028632.38</v>
      </c>
      <c r="AD184" s="4" t="s">
        <v>726</v>
      </c>
      <c r="AE184" s="4" t="s">
        <v>727</v>
      </c>
      <c r="AF184" s="4" t="s">
        <v>728</v>
      </c>
    </row>
    <row r="185" spans="1:35" ht="36" x14ac:dyDescent="0.3">
      <c r="A185" s="10" t="s">
        <v>729</v>
      </c>
      <c r="B185" s="10" t="s">
        <v>711</v>
      </c>
      <c r="C185" s="11" t="s">
        <v>712</v>
      </c>
      <c r="D185" s="12"/>
      <c r="E185" s="12" t="s">
        <v>730</v>
      </c>
      <c r="F185" s="12" t="s">
        <v>58</v>
      </c>
      <c r="G185" s="13">
        <v>1</v>
      </c>
      <c r="H185" s="13"/>
      <c r="I185" s="13">
        <v>35.4</v>
      </c>
      <c r="J185" s="14">
        <f>IFERROR(ROUND(SUM(M186,M187,M188)/I185, 2),0)</f>
        <v>176.82</v>
      </c>
      <c r="K185" s="15">
        <v>557</v>
      </c>
      <c r="L185" s="14">
        <f>J185+ROUND(K185, 2)</f>
        <v>733.81999999999994</v>
      </c>
      <c r="M185" s="14">
        <f>ROUND(J185*I185, 2)</f>
        <v>6259.43</v>
      </c>
      <c r="N185" s="14">
        <f>ROUND(I185*ROUND(K185, 2), 2)</f>
        <v>19717.8</v>
      </c>
      <c r="O185" s="14">
        <f>M185+N185</f>
        <v>25977.23</v>
      </c>
      <c r="P185" s="14">
        <f>IFERROR(ROUND(SUM(S186,S187,S188)/I185, 2),0)</f>
        <v>176.82</v>
      </c>
      <c r="Q185" s="16">
        <v>795.71</v>
      </c>
      <c r="R185" s="14">
        <f>P185+ROUND(Q185, 2)</f>
        <v>972.53</v>
      </c>
      <c r="S185" s="14">
        <f>ROUND(P185*I185, 2)</f>
        <v>6259.43</v>
      </c>
      <c r="T185" s="14">
        <f>ROUND(I185*ROUND(Q185, 2), 2)</f>
        <v>28168.13</v>
      </c>
      <c r="U185" s="14">
        <f>S185+T185</f>
        <v>34427.56</v>
      </c>
      <c r="V185" s="9">
        <f>ROUND(P185 / 1.2, 2)</f>
        <v>147.35</v>
      </c>
      <c r="W185" s="9">
        <f>ROUND(Q185 / 1.2, 2)</f>
        <v>663.09</v>
      </c>
      <c r="X185" s="9">
        <f>ROUND(R185 / 1.2, 2)</f>
        <v>810.44</v>
      </c>
      <c r="Y185" s="9">
        <f t="shared" si="16"/>
        <v>5216.1899999999996</v>
      </c>
      <c r="Z185" s="9">
        <f>ROUND(T185 / 1.2, 2)</f>
        <v>23473.439999999999</v>
      </c>
      <c r="AA185" s="9">
        <f>Y185+Z185</f>
        <v>28689.629999999997</v>
      </c>
      <c r="AD185" s="4">
        <v>311044430</v>
      </c>
      <c r="AE185" s="4">
        <v>22829010</v>
      </c>
      <c r="AG185" s="4" t="s">
        <v>714</v>
      </c>
      <c r="AH185" s="4" t="s">
        <v>715</v>
      </c>
      <c r="AI185" s="4" t="s">
        <v>469</v>
      </c>
    </row>
    <row r="186" spans="1:35" ht="36" x14ac:dyDescent="0.3">
      <c r="A186" s="10" t="s">
        <v>731</v>
      </c>
      <c r="B186" s="10"/>
      <c r="C186" s="23" t="s">
        <v>725</v>
      </c>
      <c r="D186" s="12"/>
      <c r="E186" s="12"/>
      <c r="F186" s="18" t="s">
        <v>99</v>
      </c>
      <c r="G186" s="19">
        <v>1.6</v>
      </c>
      <c r="H186" s="24"/>
      <c r="I186" s="24">
        <v>566.4</v>
      </c>
      <c r="J186" s="20">
        <v>9.2200000000000006</v>
      </c>
      <c r="M186" s="21">
        <f>ROUND(ROUND(J186, 2)*I186, 2)</f>
        <v>5222.21</v>
      </c>
      <c r="P186" s="22">
        <v>9.2200000000000006</v>
      </c>
      <c r="S186" s="21">
        <f>ROUND(ROUND(P186, 2)*I186, 2)</f>
        <v>5222.21</v>
      </c>
      <c r="V186" s="9">
        <f>ROUND(ROUND(P186, 2)/1.2, 2)</f>
        <v>7.68</v>
      </c>
      <c r="Y186" s="9">
        <f t="shared" si="16"/>
        <v>4351.84</v>
      </c>
      <c r="AD186" s="4" t="s">
        <v>732</v>
      </c>
      <c r="AE186" s="4" t="s">
        <v>733</v>
      </c>
      <c r="AF186" s="4" t="s">
        <v>728</v>
      </c>
    </row>
    <row r="187" spans="1:35" ht="36" x14ac:dyDescent="0.3">
      <c r="A187" s="10" t="s">
        <v>734</v>
      </c>
      <c r="B187" s="10"/>
      <c r="C187" s="17" t="s">
        <v>720</v>
      </c>
      <c r="D187" s="12"/>
      <c r="E187" s="12"/>
      <c r="F187" s="18" t="s">
        <v>99</v>
      </c>
      <c r="G187" s="19">
        <v>0.255</v>
      </c>
      <c r="H187" s="19"/>
      <c r="I187" s="19">
        <v>9.0269999999999992</v>
      </c>
      <c r="J187" s="20">
        <v>90.28</v>
      </c>
      <c r="M187" s="21">
        <f>ROUND(ROUND(J187, 2)*I187, 2)</f>
        <v>814.96</v>
      </c>
      <c r="P187" s="22">
        <v>90.28</v>
      </c>
      <c r="S187" s="21">
        <f>ROUND(ROUND(P187, 2)*I187, 2)</f>
        <v>814.96</v>
      </c>
      <c r="V187" s="9">
        <f>ROUND(ROUND(P187, 2)/1.2, 2)</f>
        <v>75.23</v>
      </c>
      <c r="Y187" s="9">
        <f t="shared" si="16"/>
        <v>679.13</v>
      </c>
      <c r="AD187" s="4" t="s">
        <v>735</v>
      </c>
      <c r="AE187" s="4" t="s">
        <v>736</v>
      </c>
      <c r="AF187" s="4" t="s">
        <v>723</v>
      </c>
    </row>
    <row r="188" spans="1:35" ht="18" x14ac:dyDescent="0.3">
      <c r="A188" s="10" t="s">
        <v>737</v>
      </c>
      <c r="B188" s="10"/>
      <c r="C188" s="17" t="s">
        <v>544</v>
      </c>
      <c r="D188" s="12"/>
      <c r="E188" s="12"/>
      <c r="F188" s="18" t="s">
        <v>258</v>
      </c>
      <c r="G188" s="19">
        <v>1</v>
      </c>
      <c r="H188" s="24"/>
      <c r="I188" s="24">
        <v>21</v>
      </c>
      <c r="J188" s="20">
        <v>10.58</v>
      </c>
      <c r="M188" s="21">
        <f>ROUND(ROUND(J188, 2)*I188, 2)</f>
        <v>222.18</v>
      </c>
      <c r="P188" s="22">
        <v>10.58</v>
      </c>
      <c r="S188" s="21">
        <f>ROUND(ROUND(P188, 2)*I188, 2)</f>
        <v>222.18</v>
      </c>
      <c r="V188" s="9">
        <f>ROUND(ROUND(P188, 2)/1.2, 2)</f>
        <v>8.82</v>
      </c>
      <c r="Y188" s="9">
        <f t="shared" si="16"/>
        <v>185.15</v>
      </c>
      <c r="AD188" s="4" t="s">
        <v>738</v>
      </c>
      <c r="AE188" s="4" t="s">
        <v>739</v>
      </c>
      <c r="AF188" s="4" t="s">
        <v>547</v>
      </c>
    </row>
    <row r="189" spans="1:35" ht="36" x14ac:dyDescent="0.3">
      <c r="A189" s="10" t="s">
        <v>740</v>
      </c>
      <c r="B189" s="10" t="s">
        <v>741</v>
      </c>
      <c r="C189" s="11" t="s">
        <v>742</v>
      </c>
      <c r="D189" s="12"/>
      <c r="E189" s="12" t="s">
        <v>743</v>
      </c>
      <c r="F189" s="12" t="s">
        <v>58</v>
      </c>
      <c r="G189" s="13">
        <v>1</v>
      </c>
      <c r="H189" s="13"/>
      <c r="I189" s="13">
        <v>3402.3</v>
      </c>
      <c r="J189" s="14">
        <f>IFERROR(ROUND(SUM(M190,M191,M192)/I189, 2),0)</f>
        <v>913.93</v>
      </c>
      <c r="K189" s="15">
        <v>880</v>
      </c>
      <c r="L189" s="14">
        <f>J189+ROUND(K189, 2)</f>
        <v>1793.9299999999998</v>
      </c>
      <c r="M189" s="14">
        <f>ROUND(J189*I189, 2)</f>
        <v>3109464.04</v>
      </c>
      <c r="N189" s="14">
        <f>ROUND(I189*ROUND(K189, 2), 2)</f>
        <v>2994024</v>
      </c>
      <c r="O189" s="14">
        <f>M189+N189</f>
        <v>6103488.04</v>
      </c>
      <c r="P189" s="14">
        <f>IFERROR(ROUND(SUM(S190,S191,S192)/I189, 2),0)</f>
        <v>913.93</v>
      </c>
      <c r="Q189" s="16">
        <v>1257.1400000000001</v>
      </c>
      <c r="R189" s="14">
        <f>P189+ROUND(Q189, 2)</f>
        <v>2171.0700000000002</v>
      </c>
      <c r="S189" s="14">
        <f>ROUND(P189*I189, 2)</f>
        <v>3109464.04</v>
      </c>
      <c r="T189" s="14">
        <f>ROUND(I189*ROUND(Q189, 2), 2)</f>
        <v>4277167.42</v>
      </c>
      <c r="U189" s="14">
        <f>S189+T189</f>
        <v>7386631.46</v>
      </c>
      <c r="V189" s="9">
        <f>ROUND(P189 / 1.2, 2)</f>
        <v>761.61</v>
      </c>
      <c r="W189" s="9">
        <f>ROUND(Q189 / 1.2, 2)</f>
        <v>1047.6199999999999</v>
      </c>
      <c r="X189" s="9">
        <f>ROUND(R189 / 1.2, 2)</f>
        <v>1809.23</v>
      </c>
      <c r="Y189" s="9">
        <f t="shared" si="16"/>
        <v>2591220.0299999998</v>
      </c>
      <c r="Z189" s="9">
        <f>ROUND(T189 / 1.2, 2)</f>
        <v>3564306.18</v>
      </c>
      <c r="AA189" s="9">
        <f>Y189+Z189</f>
        <v>6155526.21</v>
      </c>
      <c r="AD189" s="4">
        <v>311044333</v>
      </c>
      <c r="AE189" s="4">
        <v>22829009</v>
      </c>
      <c r="AG189" s="4" t="s">
        <v>744</v>
      </c>
      <c r="AH189" s="4" t="s">
        <v>745</v>
      </c>
      <c r="AI189" s="4" t="s">
        <v>469</v>
      </c>
    </row>
    <row r="190" spans="1:35" ht="36" x14ac:dyDescent="0.3">
      <c r="A190" s="10" t="s">
        <v>746</v>
      </c>
      <c r="B190" s="10"/>
      <c r="C190" s="17" t="s">
        <v>720</v>
      </c>
      <c r="D190" s="12"/>
      <c r="E190" s="12"/>
      <c r="F190" s="18" t="s">
        <v>99</v>
      </c>
      <c r="G190" s="19">
        <v>0.255</v>
      </c>
      <c r="H190" s="19"/>
      <c r="I190" s="19">
        <v>867.58699999999999</v>
      </c>
      <c r="J190" s="20">
        <v>90.28</v>
      </c>
      <c r="M190" s="21">
        <f>ROUND(ROUND(J190, 2)*I190, 2)</f>
        <v>78325.75</v>
      </c>
      <c r="P190" s="22">
        <v>90.28</v>
      </c>
      <c r="S190" s="21">
        <f>ROUND(ROUND(P190, 2)*I190, 2)</f>
        <v>78325.75</v>
      </c>
      <c r="V190" s="9">
        <f>ROUND(ROUND(P190, 2)/1.2, 2)</f>
        <v>75.23</v>
      </c>
      <c r="Y190" s="9">
        <f t="shared" si="16"/>
        <v>65271.46</v>
      </c>
      <c r="AD190" s="4" t="s">
        <v>747</v>
      </c>
      <c r="AE190" s="4" t="s">
        <v>748</v>
      </c>
      <c r="AF190" s="4" t="s">
        <v>723</v>
      </c>
    </row>
    <row r="191" spans="1:35" ht="36" x14ac:dyDescent="0.3">
      <c r="A191" s="10" t="s">
        <v>749</v>
      </c>
      <c r="B191" s="10"/>
      <c r="C191" s="23" t="s">
        <v>725</v>
      </c>
      <c r="D191" s="12"/>
      <c r="E191" s="12" t="s">
        <v>750</v>
      </c>
      <c r="F191" s="18" t="s">
        <v>99</v>
      </c>
      <c r="G191" s="19">
        <v>1.6</v>
      </c>
      <c r="H191" s="24"/>
      <c r="I191" s="24">
        <v>326620.79999999999</v>
      </c>
      <c r="J191" s="20">
        <v>9.2200000000000006</v>
      </c>
      <c r="M191" s="21">
        <f>ROUND(ROUND(J191, 2)*I191, 2)</f>
        <v>3011443.78</v>
      </c>
      <c r="P191" s="22">
        <v>9.2200000000000006</v>
      </c>
      <c r="S191" s="21">
        <f>ROUND(ROUND(P191, 2)*I191, 2)</f>
        <v>3011443.78</v>
      </c>
      <c r="V191" s="9">
        <f>ROUND(ROUND(P191, 2)/1.2, 2)</f>
        <v>7.68</v>
      </c>
      <c r="Y191" s="9">
        <f t="shared" si="16"/>
        <v>2509536.48</v>
      </c>
      <c r="AD191" s="4" t="s">
        <v>751</v>
      </c>
      <c r="AE191" s="4" t="s">
        <v>752</v>
      </c>
      <c r="AF191" s="4" t="s">
        <v>753</v>
      </c>
    </row>
    <row r="192" spans="1:35" ht="18" x14ac:dyDescent="0.3">
      <c r="A192" s="10" t="s">
        <v>754</v>
      </c>
      <c r="B192" s="10"/>
      <c r="C192" s="17" t="s">
        <v>544</v>
      </c>
      <c r="D192" s="12"/>
      <c r="E192" s="12"/>
      <c r="F192" s="18" t="s">
        <v>258</v>
      </c>
      <c r="G192" s="19">
        <v>1</v>
      </c>
      <c r="H192" s="24"/>
      <c r="I192" s="24">
        <v>1861</v>
      </c>
      <c r="J192" s="20">
        <v>10.58</v>
      </c>
      <c r="M192" s="21">
        <f>ROUND(ROUND(J192, 2)*I192, 2)</f>
        <v>19689.38</v>
      </c>
      <c r="P192" s="22">
        <v>10.58</v>
      </c>
      <c r="S192" s="21">
        <f>ROUND(ROUND(P192, 2)*I192, 2)</f>
        <v>19689.38</v>
      </c>
      <c r="V192" s="9">
        <f>ROUND(ROUND(P192, 2)/1.2, 2)</f>
        <v>8.82</v>
      </c>
      <c r="Y192" s="9">
        <f t="shared" si="16"/>
        <v>16407.82</v>
      </c>
      <c r="AD192" s="4" t="s">
        <v>755</v>
      </c>
      <c r="AE192" s="4" t="s">
        <v>756</v>
      </c>
      <c r="AF192" s="4" t="s">
        <v>547</v>
      </c>
    </row>
    <row r="193" spans="1:35" ht="16.95" customHeight="1" x14ac:dyDescent="0.3">
      <c r="A193" s="10" t="s">
        <v>757</v>
      </c>
      <c r="B193" s="10" t="s">
        <v>758</v>
      </c>
      <c r="C193" s="51" t="s">
        <v>759</v>
      </c>
      <c r="D193" s="52"/>
      <c r="E193" s="52"/>
      <c r="F193" s="52"/>
      <c r="G193" s="52"/>
      <c r="H193" s="52"/>
      <c r="I193" s="53"/>
      <c r="M193" s="6">
        <f>SUM(M194,M196,M198,M200,M202,M204,M206,M208,M210,M212,M214)</f>
        <v>5140615.3</v>
      </c>
      <c r="N193" s="6">
        <f>SUM(N194,N196,N198,N200,N202,N204,N206,N208,N210,N212,N214)</f>
        <v>7582545.9600000009</v>
      </c>
      <c r="O193" s="6">
        <f>SUM(O194,O196,O198,O200,O202,O204,O206,O208,O210,O212,O214)</f>
        <v>12723161.26</v>
      </c>
      <c r="S193" s="6">
        <f>SUM(S194,S196,S198,S200,S202,S204,S206,S208,S210,S212,S214)</f>
        <v>5255505.1900000004</v>
      </c>
      <c r="T193" s="6">
        <f>SUM(T194,T196,T198,T200,T202,T204,T206,T208,T210,T212,T214)</f>
        <v>10832192.310000001</v>
      </c>
      <c r="U193" s="6">
        <f>SUM(U194,U196,U198,U200,U202,U204,U206,U208,U210,U212,U214)</f>
        <v>16087697.499999998</v>
      </c>
      <c r="Y193" s="9">
        <f>SUM(Y194,Y196,Y198,Y200,Y202,Y204,Y206,Y208,Y210,Y212,Y214)</f>
        <v>4379587.66</v>
      </c>
      <c r="Z193" s="9">
        <f>SUM(Z194,Z196,Z198,Z200,Z202,Z204,Z206,Z208,Z210,Z212,Z214)</f>
        <v>9026826.9399999995</v>
      </c>
      <c r="AA193" s="9">
        <f>SUM(AA194,AA196,AA198,AA200,AA202,AA204,AA206,AA208,AA210,AA212,AA214)</f>
        <v>13406414.599999998</v>
      </c>
      <c r="AD193" s="4">
        <v>311044334</v>
      </c>
      <c r="AE193" s="4">
        <v>22775403</v>
      </c>
    </row>
    <row r="194" spans="1:35" ht="90" x14ac:dyDescent="0.3">
      <c r="A194" s="10" t="s">
        <v>760</v>
      </c>
      <c r="B194" s="10" t="s">
        <v>761</v>
      </c>
      <c r="C194" s="11" t="s">
        <v>762</v>
      </c>
      <c r="D194" s="12"/>
      <c r="E194" s="12" t="s">
        <v>763</v>
      </c>
      <c r="F194" s="12" t="s">
        <v>58</v>
      </c>
      <c r="G194" s="13">
        <v>1</v>
      </c>
      <c r="H194" s="13"/>
      <c r="I194" s="13">
        <v>603.70000000000005</v>
      </c>
      <c r="J194" s="14">
        <f>IFERROR(ROUND(SUM(M195)/I194, 2),0)</f>
        <v>740.56</v>
      </c>
      <c r="K194" s="15">
        <v>324</v>
      </c>
      <c r="L194" s="14">
        <f>J194+ROUND(K194, 2)</f>
        <v>1064.56</v>
      </c>
      <c r="M194" s="14">
        <f>ROUND(J194*I194, 2)</f>
        <v>447076.07</v>
      </c>
      <c r="N194" s="14">
        <f>ROUND(I194*ROUND(K194, 2), 2)</f>
        <v>195598.8</v>
      </c>
      <c r="O194" s="14">
        <f>M194+N194</f>
        <v>642674.87</v>
      </c>
      <c r="P194" s="14">
        <f>IFERROR(ROUND(SUM(S195)/I194, 2),0)</f>
        <v>740.56</v>
      </c>
      <c r="Q194" s="16">
        <v>462.86</v>
      </c>
      <c r="R194" s="14">
        <f>P194+ROUND(Q194, 2)</f>
        <v>1203.42</v>
      </c>
      <c r="S194" s="14">
        <f>ROUND(P194*I194, 2)</f>
        <v>447076.07</v>
      </c>
      <c r="T194" s="14">
        <f>ROUND(I194*ROUND(Q194, 2), 2)</f>
        <v>279428.58</v>
      </c>
      <c r="U194" s="14">
        <f>S194+T194</f>
        <v>726504.65</v>
      </c>
      <c r="V194" s="9">
        <f>ROUND(P194 / 1.2, 2)</f>
        <v>617.13</v>
      </c>
      <c r="W194" s="9">
        <f>ROUND(Q194 / 1.2, 2)</f>
        <v>385.72</v>
      </c>
      <c r="X194" s="9">
        <f>ROUND(R194 / 1.2, 2)</f>
        <v>1002.85</v>
      </c>
      <c r="Y194" s="9">
        <f>ROUND(S194 / 1.2, 2)</f>
        <v>372563.39</v>
      </c>
      <c r="Z194" s="9">
        <f>ROUND(T194 / 1.2, 2)</f>
        <v>232857.15</v>
      </c>
      <c r="AA194" s="9">
        <f>Y194+Z194</f>
        <v>605420.54</v>
      </c>
      <c r="AD194" s="4">
        <v>311044336</v>
      </c>
      <c r="AE194" s="4">
        <v>22775411</v>
      </c>
      <c r="AG194" s="4" t="s">
        <v>764</v>
      </c>
      <c r="AH194" s="4" t="s">
        <v>765</v>
      </c>
      <c r="AI194" s="4" t="s">
        <v>469</v>
      </c>
    </row>
    <row r="195" spans="1:35" ht="18" x14ac:dyDescent="0.3">
      <c r="A195" s="10" t="s">
        <v>766</v>
      </c>
      <c r="B195" s="10"/>
      <c r="C195" s="17" t="s">
        <v>767</v>
      </c>
      <c r="D195" s="12"/>
      <c r="E195" s="12" t="s">
        <v>768</v>
      </c>
      <c r="F195" s="18" t="s">
        <v>99</v>
      </c>
      <c r="G195" s="19">
        <v>1.4</v>
      </c>
      <c r="H195" s="19"/>
      <c r="I195" s="19">
        <v>845.18</v>
      </c>
      <c r="J195" s="20">
        <v>528.97</v>
      </c>
      <c r="M195" s="21">
        <f>ROUND(ROUND(J195, 2)*I195, 2)</f>
        <v>447074.86</v>
      </c>
      <c r="P195" s="22">
        <v>528.97</v>
      </c>
      <c r="S195" s="21">
        <f>ROUND(ROUND(P195, 2)*I195, 2)</f>
        <v>447074.86</v>
      </c>
      <c r="V195" s="9">
        <f>ROUND(ROUND(P195, 2)/1.2, 2)</f>
        <v>440.81</v>
      </c>
      <c r="Y195" s="9">
        <f t="shared" ref="Y195:Y215" si="17">ROUND(S195 / 1.2, 2)</f>
        <v>372562.38</v>
      </c>
      <c r="AD195" s="4" t="s">
        <v>769</v>
      </c>
      <c r="AE195" s="4" t="s">
        <v>770</v>
      </c>
      <c r="AF195" s="4" t="s">
        <v>771</v>
      </c>
    </row>
    <row r="196" spans="1:35" ht="72" x14ac:dyDescent="0.3">
      <c r="A196" s="10" t="s">
        <v>772</v>
      </c>
      <c r="B196" s="10" t="s">
        <v>761</v>
      </c>
      <c r="C196" s="11" t="s">
        <v>762</v>
      </c>
      <c r="D196" s="12"/>
      <c r="E196" s="12" t="s">
        <v>773</v>
      </c>
      <c r="F196" s="12" t="s">
        <v>58</v>
      </c>
      <c r="G196" s="13">
        <v>1</v>
      </c>
      <c r="H196" s="13"/>
      <c r="I196" s="13">
        <v>1053.9000000000001</v>
      </c>
      <c r="J196" s="14">
        <f>IFERROR(ROUND(SUM(M197)/I196, 2),0)</f>
        <v>294.13</v>
      </c>
      <c r="K196" s="15">
        <v>324</v>
      </c>
      <c r="L196" s="14">
        <f>J196+ROUND(K196, 2)</f>
        <v>618.13</v>
      </c>
      <c r="M196" s="14">
        <f>ROUND(J196*I196, 2)</f>
        <v>309983.61</v>
      </c>
      <c r="N196" s="14">
        <f>ROUND(I196*ROUND(K196, 2), 2)</f>
        <v>341463.6</v>
      </c>
      <c r="O196" s="14">
        <f>M196+N196</f>
        <v>651447.21</v>
      </c>
      <c r="P196" s="14">
        <f>IFERROR(ROUND(SUM(S197)/I196, 2),0)</f>
        <v>294.13</v>
      </c>
      <c r="Q196" s="16">
        <v>462.86</v>
      </c>
      <c r="R196" s="14">
        <f>P196+ROUND(Q196, 2)</f>
        <v>756.99</v>
      </c>
      <c r="S196" s="14">
        <f>ROUND(P196*I196, 2)</f>
        <v>309983.61</v>
      </c>
      <c r="T196" s="14">
        <f>ROUND(I196*ROUND(Q196, 2), 2)</f>
        <v>487808.15</v>
      </c>
      <c r="U196" s="14">
        <f>S196+T196</f>
        <v>797791.76</v>
      </c>
      <c r="V196" s="9">
        <f>ROUND(P196 / 1.2, 2)</f>
        <v>245.11</v>
      </c>
      <c r="W196" s="9">
        <f>ROUND(Q196 / 1.2, 2)</f>
        <v>385.72</v>
      </c>
      <c r="X196" s="9">
        <f>ROUND(R196 / 1.2, 2)</f>
        <v>630.83000000000004</v>
      </c>
      <c r="Y196" s="9">
        <f t="shared" si="17"/>
        <v>258319.68</v>
      </c>
      <c r="Z196" s="9">
        <f>ROUND(T196 / 1.2, 2)</f>
        <v>406506.79</v>
      </c>
      <c r="AA196" s="9">
        <f>Y196+Z196</f>
        <v>664826.47</v>
      </c>
      <c r="AD196" s="4">
        <v>311044431</v>
      </c>
      <c r="AE196" s="4">
        <v>22775410</v>
      </c>
      <c r="AG196" s="4" t="s">
        <v>764</v>
      </c>
      <c r="AH196" s="4" t="s">
        <v>765</v>
      </c>
      <c r="AI196" s="4" t="s">
        <v>469</v>
      </c>
    </row>
    <row r="197" spans="1:35" ht="54" x14ac:dyDescent="0.3">
      <c r="A197" s="10" t="s">
        <v>774</v>
      </c>
      <c r="B197" s="10"/>
      <c r="C197" s="17" t="s">
        <v>775</v>
      </c>
      <c r="D197" s="12"/>
      <c r="E197" s="12"/>
      <c r="F197" s="18" t="s">
        <v>99</v>
      </c>
      <c r="G197" s="19">
        <v>1.1000000000000001</v>
      </c>
      <c r="H197" s="19"/>
      <c r="I197" s="19">
        <v>1159.29</v>
      </c>
      <c r="J197" s="20">
        <v>267.39</v>
      </c>
      <c r="M197" s="21">
        <f>ROUND(ROUND(J197, 2)*I197, 2)</f>
        <v>309982.55</v>
      </c>
      <c r="P197" s="22">
        <v>267.39</v>
      </c>
      <c r="S197" s="21">
        <f>ROUND(ROUND(P197, 2)*I197, 2)</f>
        <v>309982.55</v>
      </c>
      <c r="V197" s="9">
        <f>ROUND(ROUND(P197, 2)/1.2, 2)</f>
        <v>222.83</v>
      </c>
      <c r="Y197" s="9">
        <f t="shared" si="17"/>
        <v>258318.79</v>
      </c>
      <c r="AD197" s="4" t="s">
        <v>776</v>
      </c>
      <c r="AE197" s="4" t="s">
        <v>777</v>
      </c>
      <c r="AF197" s="4" t="s">
        <v>778</v>
      </c>
    </row>
    <row r="198" spans="1:35" ht="72" x14ac:dyDescent="0.3">
      <c r="A198" s="10" t="s">
        <v>779</v>
      </c>
      <c r="B198" s="10" t="s">
        <v>761</v>
      </c>
      <c r="C198" s="11" t="s">
        <v>762</v>
      </c>
      <c r="D198" s="12"/>
      <c r="E198" s="12" t="s">
        <v>780</v>
      </c>
      <c r="F198" s="12" t="s">
        <v>58</v>
      </c>
      <c r="G198" s="13">
        <v>1</v>
      </c>
      <c r="H198" s="13"/>
      <c r="I198" s="13">
        <v>1105.9000000000001</v>
      </c>
      <c r="J198" s="14">
        <f>IFERROR(ROUND(SUM(M199)/I198, 2),0)</f>
        <v>579.70000000000005</v>
      </c>
      <c r="K198" s="15">
        <v>324</v>
      </c>
      <c r="L198" s="14">
        <f>J198+ROUND(K198, 2)</f>
        <v>903.7</v>
      </c>
      <c r="M198" s="14">
        <f>ROUND(J198*I198, 2)</f>
        <v>641090.23</v>
      </c>
      <c r="N198" s="14">
        <f>ROUND(I198*ROUND(K198, 2), 2)</f>
        <v>358311.6</v>
      </c>
      <c r="O198" s="14">
        <f>M198+N198</f>
        <v>999401.83</v>
      </c>
      <c r="P198" s="14">
        <f>IFERROR(ROUND(SUM(S199)/I198, 2),0)</f>
        <v>579.70000000000005</v>
      </c>
      <c r="Q198" s="16">
        <v>462.86</v>
      </c>
      <c r="R198" s="14">
        <f>P198+ROUND(Q198, 2)</f>
        <v>1042.56</v>
      </c>
      <c r="S198" s="14">
        <f>ROUND(P198*I198, 2)</f>
        <v>641090.23</v>
      </c>
      <c r="T198" s="14">
        <f>ROUND(I198*ROUND(Q198, 2), 2)</f>
        <v>511876.87</v>
      </c>
      <c r="U198" s="14">
        <f>S198+T198</f>
        <v>1152967.1000000001</v>
      </c>
      <c r="V198" s="9">
        <f>ROUND(P198 / 1.2, 2)</f>
        <v>483.08</v>
      </c>
      <c r="W198" s="9">
        <f>ROUND(Q198 / 1.2, 2)</f>
        <v>385.72</v>
      </c>
      <c r="X198" s="9">
        <f>ROUND(R198 / 1.2, 2)</f>
        <v>868.8</v>
      </c>
      <c r="Y198" s="9">
        <f t="shared" si="17"/>
        <v>534241.86</v>
      </c>
      <c r="Z198" s="9">
        <f>ROUND(T198 / 1.2, 2)</f>
        <v>426564.06</v>
      </c>
      <c r="AA198" s="9">
        <f>Y198+Z198</f>
        <v>960805.91999999993</v>
      </c>
      <c r="AD198" s="4">
        <v>311044432</v>
      </c>
      <c r="AE198" s="4">
        <v>23304448</v>
      </c>
      <c r="AG198" s="4" t="s">
        <v>764</v>
      </c>
      <c r="AH198" s="4" t="s">
        <v>765</v>
      </c>
      <c r="AI198" s="4" t="s">
        <v>469</v>
      </c>
    </row>
    <row r="199" spans="1:35" ht="18" x14ac:dyDescent="0.3">
      <c r="A199" s="10" t="s">
        <v>781</v>
      </c>
      <c r="B199" s="10"/>
      <c r="C199" s="17" t="s">
        <v>782</v>
      </c>
      <c r="D199" s="12"/>
      <c r="E199" s="12" t="s">
        <v>783</v>
      </c>
      <c r="F199" s="18" t="s">
        <v>99</v>
      </c>
      <c r="G199" s="19">
        <v>2</v>
      </c>
      <c r="H199" s="19"/>
      <c r="I199" s="19">
        <v>2211.8000000000002</v>
      </c>
      <c r="J199" s="20">
        <v>289.85000000000002</v>
      </c>
      <c r="M199" s="21">
        <f>ROUND(ROUND(J199, 2)*I199, 2)</f>
        <v>641090.23</v>
      </c>
      <c r="P199" s="22">
        <v>289.85000000000002</v>
      </c>
      <c r="S199" s="21">
        <f>ROUND(ROUND(P199, 2)*I199, 2)</f>
        <v>641090.23</v>
      </c>
      <c r="V199" s="9">
        <f>ROUND(ROUND(P199, 2)/1.2, 2)</f>
        <v>241.54</v>
      </c>
      <c r="Y199" s="9">
        <f t="shared" si="17"/>
        <v>534241.86</v>
      </c>
      <c r="AD199" s="4" t="s">
        <v>784</v>
      </c>
      <c r="AE199" s="4" t="s">
        <v>785</v>
      </c>
      <c r="AF199" s="4" t="s">
        <v>786</v>
      </c>
    </row>
    <row r="200" spans="1:35" ht="90" x14ac:dyDescent="0.3">
      <c r="A200" s="10" t="s">
        <v>787</v>
      </c>
      <c r="B200" s="10" t="s">
        <v>788</v>
      </c>
      <c r="C200" s="11" t="s">
        <v>789</v>
      </c>
      <c r="D200" s="12"/>
      <c r="E200" s="12" t="s">
        <v>790</v>
      </c>
      <c r="F200" s="12" t="s">
        <v>58</v>
      </c>
      <c r="G200" s="13">
        <v>1</v>
      </c>
      <c r="H200" s="13"/>
      <c r="I200" s="13">
        <v>7817.8</v>
      </c>
      <c r="J200" s="14">
        <f>IFERROR(ROUND(SUM(M201)/I200, 2),0)</f>
        <v>316.60000000000002</v>
      </c>
      <c r="K200" s="15">
        <v>580</v>
      </c>
      <c r="L200" s="14">
        <f>J200+ROUND(K200, 2)</f>
        <v>896.6</v>
      </c>
      <c r="M200" s="14">
        <f>ROUND(J200*I200, 2)</f>
        <v>2475115.48</v>
      </c>
      <c r="N200" s="14">
        <f>ROUND(I200*ROUND(K200, 2), 2)</f>
        <v>4534324</v>
      </c>
      <c r="O200" s="14">
        <f>M200+N200</f>
        <v>7009439.4800000004</v>
      </c>
      <c r="P200" s="14">
        <f>IFERROR(ROUND(SUM(S201)/I200, 2),0)</f>
        <v>316.60000000000002</v>
      </c>
      <c r="Q200" s="16">
        <v>828.57</v>
      </c>
      <c r="R200" s="14">
        <f>P200+ROUND(Q200, 2)</f>
        <v>1145.17</v>
      </c>
      <c r="S200" s="14">
        <f>ROUND(P200*I200, 2)</f>
        <v>2475115.48</v>
      </c>
      <c r="T200" s="14">
        <f>ROUND(I200*ROUND(Q200, 2), 2)</f>
        <v>6477594.5499999998</v>
      </c>
      <c r="U200" s="14">
        <f>S200+T200</f>
        <v>8952710.0299999993</v>
      </c>
      <c r="V200" s="9">
        <f>ROUND(P200 / 1.2, 2)</f>
        <v>263.83</v>
      </c>
      <c r="W200" s="9">
        <f>ROUND(Q200 / 1.2, 2)</f>
        <v>690.48</v>
      </c>
      <c r="X200" s="9">
        <f>ROUND(R200 / 1.2, 2)</f>
        <v>954.31</v>
      </c>
      <c r="Y200" s="9">
        <f t="shared" si="17"/>
        <v>2062596.23</v>
      </c>
      <c r="Z200" s="9">
        <f>ROUND(T200 / 1.2, 2)</f>
        <v>5397995.46</v>
      </c>
      <c r="AA200" s="9">
        <f>Y200+Z200</f>
        <v>7460591.6899999995</v>
      </c>
      <c r="AD200" s="4">
        <v>311044338</v>
      </c>
      <c r="AE200" s="4">
        <v>22776848</v>
      </c>
      <c r="AG200" s="4" t="s">
        <v>791</v>
      </c>
      <c r="AH200" s="4" t="s">
        <v>792</v>
      </c>
      <c r="AI200" s="4" t="s">
        <v>469</v>
      </c>
    </row>
    <row r="201" spans="1:35" ht="36" x14ac:dyDescent="0.3">
      <c r="A201" s="10" t="s">
        <v>793</v>
      </c>
      <c r="B201" s="10"/>
      <c r="C201" s="23" t="s">
        <v>794</v>
      </c>
      <c r="D201" s="12"/>
      <c r="E201" s="12"/>
      <c r="F201" s="18" t="s">
        <v>58</v>
      </c>
      <c r="G201" s="19">
        <v>1.1000000000000001</v>
      </c>
      <c r="H201" s="24"/>
      <c r="I201" s="24">
        <v>8599.58</v>
      </c>
      <c r="J201" s="20">
        <v>287.82</v>
      </c>
      <c r="M201" s="21">
        <f>ROUND(ROUND(J201, 2)*I201, 2)</f>
        <v>2475131.12</v>
      </c>
      <c r="P201" s="22">
        <v>287.82</v>
      </c>
      <c r="S201" s="21">
        <f>ROUND(ROUND(P201, 2)*I201, 2)</f>
        <v>2475131.12</v>
      </c>
      <c r="V201" s="9">
        <f>ROUND(ROUND(P201, 2)/1.2, 2)</f>
        <v>239.85</v>
      </c>
      <c r="Y201" s="9">
        <f t="shared" si="17"/>
        <v>2062609.27</v>
      </c>
      <c r="AD201" s="4" t="s">
        <v>795</v>
      </c>
      <c r="AE201" s="4" t="s">
        <v>796</v>
      </c>
      <c r="AF201" s="4" t="s">
        <v>797</v>
      </c>
    </row>
    <row r="202" spans="1:35" ht="90" x14ac:dyDescent="0.3">
      <c r="A202" s="10" t="s">
        <v>798</v>
      </c>
      <c r="B202" s="10" t="s">
        <v>799</v>
      </c>
      <c r="C202" s="11" t="s">
        <v>800</v>
      </c>
      <c r="D202" s="12"/>
      <c r="E202" s="12" t="s">
        <v>801</v>
      </c>
      <c r="F202" s="12" t="s">
        <v>58</v>
      </c>
      <c r="G202" s="13">
        <v>1</v>
      </c>
      <c r="H202" s="13"/>
      <c r="I202" s="13">
        <v>4448.6000000000004</v>
      </c>
      <c r="J202" s="14">
        <f>IFERROR(ROUND(SUM(M203)/I202, 2),0)</f>
        <v>223.66</v>
      </c>
      <c r="K202" s="15">
        <v>439</v>
      </c>
      <c r="L202" s="14">
        <f>J202+ROUND(K202, 2)</f>
        <v>662.66</v>
      </c>
      <c r="M202" s="14">
        <f>ROUND(J202*I202, 2)</f>
        <v>994973.88</v>
      </c>
      <c r="N202" s="14">
        <f>ROUND(I202*ROUND(K202, 2), 2)</f>
        <v>1952935.4</v>
      </c>
      <c r="O202" s="14">
        <f>M202+N202</f>
        <v>2947909.28</v>
      </c>
      <c r="P202" s="14">
        <f>IFERROR(ROUND(SUM(S203)/I202, 2),0)</f>
        <v>247.78</v>
      </c>
      <c r="Q202" s="16">
        <v>627.14</v>
      </c>
      <c r="R202" s="14">
        <f>P202+ROUND(Q202, 2)</f>
        <v>874.92</v>
      </c>
      <c r="S202" s="14">
        <f>ROUND(P202*I202, 2)</f>
        <v>1102274.1100000001</v>
      </c>
      <c r="T202" s="14">
        <f>ROUND(I202*ROUND(Q202, 2), 2)</f>
        <v>2789895</v>
      </c>
      <c r="U202" s="14">
        <f>S202+T202</f>
        <v>3892169.1100000003</v>
      </c>
      <c r="V202" s="9">
        <f>ROUND(P202 / 1.2, 2)</f>
        <v>206.48</v>
      </c>
      <c r="W202" s="9">
        <f>ROUND(Q202 / 1.2, 2)</f>
        <v>522.62</v>
      </c>
      <c r="X202" s="9">
        <f>ROUND(R202 / 1.2, 2)</f>
        <v>729.1</v>
      </c>
      <c r="Y202" s="9">
        <f t="shared" si="17"/>
        <v>918561.76</v>
      </c>
      <c r="Z202" s="9">
        <f>ROUND(T202 / 1.2, 2)</f>
        <v>2324912.5</v>
      </c>
      <c r="AA202" s="9">
        <f>Y202+Z202</f>
        <v>3243474.26</v>
      </c>
      <c r="AD202" s="4">
        <v>311044340</v>
      </c>
      <c r="AE202" s="4">
        <v>22776849</v>
      </c>
      <c r="AG202" s="4" t="s">
        <v>802</v>
      </c>
      <c r="AH202" s="4" t="s">
        <v>803</v>
      </c>
      <c r="AI202" s="4" t="s">
        <v>469</v>
      </c>
    </row>
    <row r="203" spans="1:35" ht="36" x14ac:dyDescent="0.3">
      <c r="A203" s="10" t="s">
        <v>804</v>
      </c>
      <c r="B203" s="10"/>
      <c r="C203" s="23" t="s">
        <v>805</v>
      </c>
      <c r="D203" s="12"/>
      <c r="E203" s="12" t="s">
        <v>806</v>
      </c>
      <c r="F203" s="18" t="s">
        <v>82</v>
      </c>
      <c r="G203" s="19">
        <v>1.03</v>
      </c>
      <c r="H203" s="24"/>
      <c r="I203" s="24">
        <v>137.46199999999999</v>
      </c>
      <c r="J203" s="20">
        <v>7238.3</v>
      </c>
      <c r="M203" s="21">
        <f>ROUND(ROUND(J203, 2)*I203, 2)</f>
        <v>994991.19</v>
      </c>
      <c r="P203" s="22">
        <v>8018.9</v>
      </c>
      <c r="S203" s="21">
        <f>ROUND(ROUND(P203, 2)*I203, 2)</f>
        <v>1102294.03</v>
      </c>
      <c r="V203" s="9">
        <f>ROUND(ROUND(P203, 2)/1.2, 2)</f>
        <v>6682.42</v>
      </c>
      <c r="Y203" s="9">
        <f t="shared" si="17"/>
        <v>918578.36</v>
      </c>
      <c r="AD203" s="4" t="s">
        <v>807</v>
      </c>
      <c r="AE203" s="4" t="s">
        <v>808</v>
      </c>
      <c r="AF203" s="4" t="s">
        <v>809</v>
      </c>
    </row>
    <row r="204" spans="1:35" ht="90" x14ac:dyDescent="0.3">
      <c r="A204" s="10" t="s">
        <v>810</v>
      </c>
      <c r="B204" s="10" t="s">
        <v>799</v>
      </c>
      <c r="C204" s="11" t="s">
        <v>800</v>
      </c>
      <c r="D204" s="12"/>
      <c r="E204" s="12" t="s">
        <v>811</v>
      </c>
      <c r="F204" s="12" t="s">
        <v>58</v>
      </c>
      <c r="G204" s="13">
        <v>1</v>
      </c>
      <c r="H204" s="13"/>
      <c r="I204" s="13">
        <v>45.6</v>
      </c>
      <c r="J204" s="14">
        <f>IFERROR(ROUND(SUM(M205)/I204, 2),0)</f>
        <v>372.71</v>
      </c>
      <c r="K204" s="15">
        <v>439</v>
      </c>
      <c r="L204" s="14">
        <f>J204+ROUND(K204, 2)</f>
        <v>811.71</v>
      </c>
      <c r="M204" s="14">
        <f>ROUND(J204*I204, 2)</f>
        <v>16995.580000000002</v>
      </c>
      <c r="N204" s="14">
        <f>ROUND(I204*ROUND(K204, 2), 2)</f>
        <v>20018.400000000001</v>
      </c>
      <c r="O204" s="14">
        <f>M204+N204</f>
        <v>37013.980000000003</v>
      </c>
      <c r="P204" s="14">
        <f>IFERROR(ROUND(SUM(S205)/I204, 2),0)</f>
        <v>539.15</v>
      </c>
      <c r="Q204" s="16">
        <v>627.14</v>
      </c>
      <c r="R204" s="14">
        <f>P204+ROUND(Q204, 2)</f>
        <v>1166.29</v>
      </c>
      <c r="S204" s="14">
        <f>ROUND(P204*I204, 2)</f>
        <v>24585.24</v>
      </c>
      <c r="T204" s="14">
        <f>ROUND(I204*ROUND(Q204, 2), 2)</f>
        <v>28597.58</v>
      </c>
      <c r="U204" s="14">
        <f>S204+T204</f>
        <v>53182.820000000007</v>
      </c>
      <c r="V204" s="9">
        <f>ROUND(P204 / 1.2, 2)</f>
        <v>449.29</v>
      </c>
      <c r="W204" s="9">
        <f>ROUND(Q204 / 1.2, 2)</f>
        <v>522.62</v>
      </c>
      <c r="X204" s="9">
        <f>ROUND(R204 / 1.2, 2)</f>
        <v>971.91</v>
      </c>
      <c r="Y204" s="9">
        <f t="shared" si="17"/>
        <v>20487.7</v>
      </c>
      <c r="Z204" s="9">
        <f>ROUND(T204 / 1.2, 2)</f>
        <v>23831.32</v>
      </c>
      <c r="AA204" s="9">
        <f>Y204+Z204</f>
        <v>44319.020000000004</v>
      </c>
      <c r="AD204" s="4">
        <v>311044433</v>
      </c>
      <c r="AE204" s="4">
        <v>22776847</v>
      </c>
      <c r="AG204" s="4" t="s">
        <v>802</v>
      </c>
      <c r="AH204" s="4" t="s">
        <v>803</v>
      </c>
      <c r="AI204" s="4" t="s">
        <v>469</v>
      </c>
    </row>
    <row r="205" spans="1:35" ht="36" x14ac:dyDescent="0.3">
      <c r="A205" s="10" t="s">
        <v>812</v>
      </c>
      <c r="B205" s="10"/>
      <c r="C205" s="23" t="s">
        <v>805</v>
      </c>
      <c r="D205" s="12"/>
      <c r="E205" s="12" t="s">
        <v>813</v>
      </c>
      <c r="F205" s="18" t="s">
        <v>82</v>
      </c>
      <c r="G205" s="19">
        <v>1.03</v>
      </c>
      <c r="H205" s="24"/>
      <c r="I205" s="24">
        <v>2.3479999999999999</v>
      </c>
      <c r="J205" s="20">
        <v>7238.3</v>
      </c>
      <c r="M205" s="21">
        <f>ROUND(ROUND(J205, 2)*I205, 2)</f>
        <v>16995.53</v>
      </c>
      <c r="P205" s="22">
        <v>10470.719999999999</v>
      </c>
      <c r="S205" s="21">
        <f>ROUND(ROUND(P205, 2)*I205, 2)</f>
        <v>24585.25</v>
      </c>
      <c r="V205" s="9">
        <f>ROUND(ROUND(P205, 2)/1.2, 2)</f>
        <v>8725.6</v>
      </c>
      <c r="Y205" s="9">
        <f t="shared" si="17"/>
        <v>20487.71</v>
      </c>
      <c r="AD205" s="4" t="s">
        <v>814</v>
      </c>
      <c r="AE205" s="4" t="s">
        <v>815</v>
      </c>
      <c r="AF205" s="4" t="s">
        <v>809</v>
      </c>
    </row>
    <row r="206" spans="1:35" ht="72" x14ac:dyDescent="0.3">
      <c r="A206" s="10" t="s">
        <v>816</v>
      </c>
      <c r="B206" s="10" t="s">
        <v>817</v>
      </c>
      <c r="C206" s="11" t="s">
        <v>818</v>
      </c>
      <c r="D206" s="12"/>
      <c r="E206" s="12" t="s">
        <v>819</v>
      </c>
      <c r="F206" s="12" t="s">
        <v>82</v>
      </c>
      <c r="G206" s="13">
        <v>1</v>
      </c>
      <c r="H206" s="13"/>
      <c r="I206" s="13">
        <v>52.713000000000001</v>
      </c>
      <c r="J206" s="14">
        <f>IFERROR(ROUND(SUM(M207)/I206, 2),0)</f>
        <v>2644.34</v>
      </c>
      <c r="K206" s="15">
        <v>2157</v>
      </c>
      <c r="L206" s="14">
        <f>J206+ROUND(K206, 2)</f>
        <v>4801.34</v>
      </c>
      <c r="M206" s="14">
        <f>ROUND(J206*I206, 2)</f>
        <v>139391.09</v>
      </c>
      <c r="N206" s="14">
        <f>ROUND(I206*ROUND(K206, 2), 2)</f>
        <v>113701.94</v>
      </c>
      <c r="O206" s="14">
        <f>M206+N206</f>
        <v>253093.03</v>
      </c>
      <c r="P206" s="14">
        <f>IFERROR(ROUND(SUM(S207)/I206, 2),0)</f>
        <v>2644.34</v>
      </c>
      <c r="Q206" s="16">
        <v>3081.43</v>
      </c>
      <c r="R206" s="14">
        <f>P206+ROUND(Q206, 2)</f>
        <v>5725.77</v>
      </c>
      <c r="S206" s="14">
        <f>ROUND(P206*I206, 2)</f>
        <v>139391.09</v>
      </c>
      <c r="T206" s="14">
        <f>ROUND(I206*ROUND(Q206, 2), 2)</f>
        <v>162431.42000000001</v>
      </c>
      <c r="U206" s="14">
        <f>S206+T206</f>
        <v>301822.51</v>
      </c>
      <c r="V206" s="9">
        <f>ROUND(P206 / 1.2, 2)</f>
        <v>2203.62</v>
      </c>
      <c r="W206" s="9">
        <f>ROUND(Q206 / 1.2, 2)</f>
        <v>2567.86</v>
      </c>
      <c r="X206" s="9">
        <f>ROUND(R206 / 1.2, 2)</f>
        <v>4771.4799999999996</v>
      </c>
      <c r="Y206" s="9">
        <f t="shared" si="17"/>
        <v>116159.24</v>
      </c>
      <c r="Z206" s="9">
        <f>ROUND(T206 / 1.2, 2)</f>
        <v>135359.51999999999</v>
      </c>
      <c r="AA206" s="9">
        <f>Y206+Z206</f>
        <v>251518.76</v>
      </c>
      <c r="AD206" s="4">
        <v>311044342</v>
      </c>
      <c r="AE206" s="4">
        <v>22776850</v>
      </c>
      <c r="AG206" s="4" t="s">
        <v>820</v>
      </c>
      <c r="AH206" s="4" t="s">
        <v>821</v>
      </c>
      <c r="AI206" s="4" t="s">
        <v>469</v>
      </c>
    </row>
    <row r="207" spans="1:35" ht="18" x14ac:dyDescent="0.3">
      <c r="A207" s="10" t="s">
        <v>822</v>
      </c>
      <c r="B207" s="10"/>
      <c r="C207" s="17" t="s">
        <v>823</v>
      </c>
      <c r="D207" s="12"/>
      <c r="E207" s="12"/>
      <c r="F207" s="18" t="s">
        <v>82</v>
      </c>
      <c r="G207" s="19">
        <v>1.02</v>
      </c>
      <c r="H207" s="19"/>
      <c r="I207" s="19">
        <v>53.767000000000003</v>
      </c>
      <c r="J207" s="20">
        <v>2592.5</v>
      </c>
      <c r="M207" s="21">
        <f>ROUND(ROUND(J207, 2)*I207, 2)</f>
        <v>139390.95000000001</v>
      </c>
      <c r="P207" s="22">
        <v>2592.5</v>
      </c>
      <c r="S207" s="21">
        <f>ROUND(ROUND(P207, 2)*I207, 2)</f>
        <v>139390.95000000001</v>
      </c>
      <c r="V207" s="9">
        <f>ROUND(ROUND(P207, 2)/1.2, 2)</f>
        <v>2160.42</v>
      </c>
      <c r="Y207" s="9">
        <f t="shared" si="17"/>
        <v>116159.13</v>
      </c>
      <c r="AD207" s="4" t="s">
        <v>824</v>
      </c>
      <c r="AE207" s="4" t="s">
        <v>825</v>
      </c>
      <c r="AF207" s="4" t="s">
        <v>826</v>
      </c>
    </row>
    <row r="208" spans="1:35" ht="54" x14ac:dyDescent="0.3">
      <c r="A208" s="10" t="s">
        <v>827</v>
      </c>
      <c r="B208" s="10" t="s">
        <v>817</v>
      </c>
      <c r="C208" s="11" t="s">
        <v>818</v>
      </c>
      <c r="D208" s="12"/>
      <c r="E208" s="12" t="s">
        <v>828</v>
      </c>
      <c r="F208" s="12" t="s">
        <v>82</v>
      </c>
      <c r="G208" s="13">
        <v>1</v>
      </c>
      <c r="H208" s="13"/>
      <c r="I208" s="13">
        <v>1.502</v>
      </c>
      <c r="J208" s="14">
        <f>IFERROR(ROUND(SUM(M209)/I208, 2),0)</f>
        <v>2644.28</v>
      </c>
      <c r="K208" s="15">
        <v>2157</v>
      </c>
      <c r="L208" s="14">
        <f>J208+ROUND(K208, 2)</f>
        <v>4801.2800000000007</v>
      </c>
      <c r="M208" s="14">
        <f>ROUND(J208*I208, 2)</f>
        <v>3971.71</v>
      </c>
      <c r="N208" s="14">
        <f>ROUND(I208*ROUND(K208, 2), 2)</f>
        <v>3239.81</v>
      </c>
      <c r="O208" s="14">
        <f>M208+N208</f>
        <v>7211.52</v>
      </c>
      <c r="P208" s="14">
        <f>IFERROR(ROUND(SUM(S209)/I208, 2),0)</f>
        <v>2644.28</v>
      </c>
      <c r="Q208" s="16">
        <v>3081.43</v>
      </c>
      <c r="R208" s="14">
        <f>P208+ROUND(Q208, 2)</f>
        <v>5725.71</v>
      </c>
      <c r="S208" s="14">
        <f>ROUND(P208*I208, 2)</f>
        <v>3971.71</v>
      </c>
      <c r="T208" s="14">
        <f>ROUND(I208*ROUND(Q208, 2), 2)</f>
        <v>4628.3100000000004</v>
      </c>
      <c r="U208" s="14">
        <f>S208+T208</f>
        <v>8600.02</v>
      </c>
      <c r="V208" s="9">
        <f>ROUND(P208 / 1.2, 2)</f>
        <v>2203.5700000000002</v>
      </c>
      <c r="W208" s="9">
        <f>ROUND(Q208 / 1.2, 2)</f>
        <v>2567.86</v>
      </c>
      <c r="X208" s="9">
        <f>ROUND(R208 / 1.2, 2)</f>
        <v>4771.43</v>
      </c>
      <c r="Y208" s="9">
        <f t="shared" si="17"/>
        <v>3309.76</v>
      </c>
      <c r="Z208" s="9">
        <f>ROUND(T208 / 1.2, 2)</f>
        <v>3856.93</v>
      </c>
      <c r="AA208" s="9">
        <f>Y208+Z208</f>
        <v>7166.6900000000005</v>
      </c>
      <c r="AD208" s="4">
        <v>311044434</v>
      </c>
      <c r="AE208" s="4">
        <v>22779789</v>
      </c>
      <c r="AG208" s="4" t="s">
        <v>820</v>
      </c>
      <c r="AH208" s="4" t="s">
        <v>821</v>
      </c>
      <c r="AI208" s="4" t="s">
        <v>469</v>
      </c>
    </row>
    <row r="209" spans="1:35" ht="18" x14ac:dyDescent="0.3">
      <c r="A209" s="10" t="s">
        <v>829</v>
      </c>
      <c r="B209" s="10"/>
      <c r="C209" s="17" t="s">
        <v>823</v>
      </c>
      <c r="D209" s="12"/>
      <c r="E209" s="12"/>
      <c r="F209" s="18" t="s">
        <v>82</v>
      </c>
      <c r="G209" s="19">
        <v>1.02</v>
      </c>
      <c r="H209" s="19"/>
      <c r="I209" s="19">
        <v>1.532</v>
      </c>
      <c r="J209" s="20">
        <v>2592.5</v>
      </c>
      <c r="M209" s="21">
        <f>ROUND(ROUND(J209, 2)*I209, 2)</f>
        <v>3971.71</v>
      </c>
      <c r="P209" s="22">
        <v>2592.5</v>
      </c>
      <c r="S209" s="21">
        <f>ROUND(ROUND(P209, 2)*I209, 2)</f>
        <v>3971.71</v>
      </c>
      <c r="V209" s="9">
        <f>ROUND(ROUND(P209, 2)/1.2, 2)</f>
        <v>2160.42</v>
      </c>
      <c r="Y209" s="9">
        <f t="shared" si="17"/>
        <v>3309.76</v>
      </c>
      <c r="AD209" s="4" t="s">
        <v>830</v>
      </c>
      <c r="AE209" s="4" t="s">
        <v>831</v>
      </c>
      <c r="AF209" s="4" t="s">
        <v>826</v>
      </c>
    </row>
    <row r="210" spans="1:35" ht="54" x14ac:dyDescent="0.3">
      <c r="A210" s="10" t="s">
        <v>832</v>
      </c>
      <c r="B210" s="10" t="s">
        <v>817</v>
      </c>
      <c r="C210" s="11" t="s">
        <v>818</v>
      </c>
      <c r="D210" s="12"/>
      <c r="E210" s="12" t="s">
        <v>833</v>
      </c>
      <c r="F210" s="12" t="s">
        <v>82</v>
      </c>
      <c r="G210" s="13">
        <v>1</v>
      </c>
      <c r="H210" s="13"/>
      <c r="I210" s="13">
        <v>1.921</v>
      </c>
      <c r="J210" s="14">
        <f>IFERROR(ROUND(SUM(M211)/I210, 2),0)</f>
        <v>2643.78</v>
      </c>
      <c r="K210" s="15">
        <v>2157</v>
      </c>
      <c r="L210" s="14">
        <f>J210+ROUND(K210, 2)</f>
        <v>4800.7800000000007</v>
      </c>
      <c r="M210" s="14">
        <f>ROUND(J210*I210, 2)</f>
        <v>5078.7</v>
      </c>
      <c r="N210" s="14">
        <f>ROUND(I210*ROUND(K210, 2), 2)</f>
        <v>4143.6000000000004</v>
      </c>
      <c r="O210" s="14">
        <f>M210+N210</f>
        <v>9222.2999999999993</v>
      </c>
      <c r="P210" s="14">
        <f>IFERROR(ROUND(SUM(S211)/I210, 2),0)</f>
        <v>2643.78</v>
      </c>
      <c r="Q210" s="16">
        <v>3081.43</v>
      </c>
      <c r="R210" s="14">
        <f>P210+ROUND(Q210, 2)</f>
        <v>5725.21</v>
      </c>
      <c r="S210" s="14">
        <f>ROUND(P210*I210, 2)</f>
        <v>5078.7</v>
      </c>
      <c r="T210" s="14">
        <f>ROUND(I210*ROUND(Q210, 2), 2)</f>
        <v>5919.43</v>
      </c>
      <c r="U210" s="14">
        <f>S210+T210</f>
        <v>10998.130000000001</v>
      </c>
      <c r="V210" s="9">
        <f>ROUND(P210 / 1.2, 2)</f>
        <v>2203.15</v>
      </c>
      <c r="W210" s="9">
        <f>ROUND(Q210 / 1.2, 2)</f>
        <v>2567.86</v>
      </c>
      <c r="X210" s="9">
        <f>ROUND(R210 / 1.2, 2)</f>
        <v>4771.01</v>
      </c>
      <c r="Y210" s="9">
        <f t="shared" si="17"/>
        <v>4232.25</v>
      </c>
      <c r="Z210" s="9">
        <f>ROUND(T210 / 1.2, 2)</f>
        <v>4932.8599999999997</v>
      </c>
      <c r="AA210" s="9">
        <f>Y210+Z210</f>
        <v>9165.11</v>
      </c>
      <c r="AD210" s="4">
        <v>311044435</v>
      </c>
      <c r="AE210" s="4">
        <v>22779788</v>
      </c>
      <c r="AG210" s="4" t="s">
        <v>820</v>
      </c>
      <c r="AH210" s="4" t="s">
        <v>821</v>
      </c>
      <c r="AI210" s="4" t="s">
        <v>469</v>
      </c>
    </row>
    <row r="211" spans="1:35" ht="18" x14ac:dyDescent="0.3">
      <c r="A211" s="10" t="s">
        <v>834</v>
      </c>
      <c r="B211" s="10"/>
      <c r="C211" s="17" t="s">
        <v>823</v>
      </c>
      <c r="D211" s="12"/>
      <c r="E211" s="12"/>
      <c r="F211" s="18" t="s">
        <v>82</v>
      </c>
      <c r="G211" s="19">
        <v>1.02</v>
      </c>
      <c r="H211" s="19"/>
      <c r="I211" s="19">
        <v>1.9590000000000001</v>
      </c>
      <c r="J211" s="20">
        <v>2592.5</v>
      </c>
      <c r="M211" s="21">
        <f>ROUND(ROUND(J211, 2)*I211, 2)</f>
        <v>5078.71</v>
      </c>
      <c r="P211" s="22">
        <v>2592.5</v>
      </c>
      <c r="S211" s="21">
        <f>ROUND(ROUND(P211, 2)*I211, 2)</f>
        <v>5078.71</v>
      </c>
      <c r="V211" s="9">
        <f>ROUND(ROUND(P211, 2)/1.2, 2)</f>
        <v>2160.42</v>
      </c>
      <c r="Y211" s="9">
        <f t="shared" si="17"/>
        <v>4232.26</v>
      </c>
      <c r="AD211" s="4" t="s">
        <v>835</v>
      </c>
      <c r="AE211" s="4" t="s">
        <v>836</v>
      </c>
      <c r="AF211" s="4" t="s">
        <v>826</v>
      </c>
    </row>
    <row r="212" spans="1:35" ht="54" x14ac:dyDescent="0.3">
      <c r="A212" s="10" t="s">
        <v>837</v>
      </c>
      <c r="B212" s="10" t="s">
        <v>817</v>
      </c>
      <c r="C212" s="11" t="s">
        <v>818</v>
      </c>
      <c r="D212" s="12"/>
      <c r="E212" s="12" t="s">
        <v>838</v>
      </c>
      <c r="F212" s="12" t="s">
        <v>82</v>
      </c>
      <c r="G212" s="13">
        <v>1</v>
      </c>
      <c r="H212" s="13"/>
      <c r="I212" s="13">
        <v>2.423</v>
      </c>
      <c r="J212" s="14">
        <f>IFERROR(ROUND(SUM(M213)/I212, 2),0)</f>
        <v>2643.86</v>
      </c>
      <c r="K212" s="15">
        <v>2157</v>
      </c>
      <c r="L212" s="14">
        <f>J212+ROUND(K212, 2)</f>
        <v>4800.8600000000006</v>
      </c>
      <c r="M212" s="14">
        <f>ROUND(J212*I212, 2)</f>
        <v>6406.07</v>
      </c>
      <c r="N212" s="14">
        <f>ROUND(I212*ROUND(K212, 2), 2)</f>
        <v>5226.41</v>
      </c>
      <c r="O212" s="14">
        <f>M212+N212</f>
        <v>11632.48</v>
      </c>
      <c r="P212" s="14">
        <f>IFERROR(ROUND(SUM(S213)/I212, 2),0)</f>
        <v>2643.86</v>
      </c>
      <c r="Q212" s="16">
        <v>3081.43</v>
      </c>
      <c r="R212" s="14">
        <f>P212+ROUND(Q212, 2)</f>
        <v>5725.29</v>
      </c>
      <c r="S212" s="14">
        <f>ROUND(P212*I212, 2)</f>
        <v>6406.07</v>
      </c>
      <c r="T212" s="14">
        <f>ROUND(I212*ROUND(Q212, 2), 2)</f>
        <v>7466.3</v>
      </c>
      <c r="U212" s="14">
        <f>S212+T212</f>
        <v>13872.369999999999</v>
      </c>
      <c r="V212" s="9">
        <f>ROUND(P212 / 1.2, 2)</f>
        <v>2203.2199999999998</v>
      </c>
      <c r="W212" s="9">
        <f>ROUND(Q212 / 1.2, 2)</f>
        <v>2567.86</v>
      </c>
      <c r="X212" s="9">
        <f>ROUND(R212 / 1.2, 2)</f>
        <v>4771.08</v>
      </c>
      <c r="Y212" s="9">
        <f t="shared" si="17"/>
        <v>5338.39</v>
      </c>
      <c r="Z212" s="9">
        <f>ROUND(T212 / 1.2, 2)</f>
        <v>6221.92</v>
      </c>
      <c r="AA212" s="9">
        <f>Y212+Z212</f>
        <v>11560.310000000001</v>
      </c>
      <c r="AD212" s="4">
        <v>311044436</v>
      </c>
      <c r="AE212" s="4">
        <v>22779787</v>
      </c>
      <c r="AG212" s="4" t="s">
        <v>820</v>
      </c>
      <c r="AH212" s="4" t="s">
        <v>821</v>
      </c>
      <c r="AI212" s="4" t="s">
        <v>469</v>
      </c>
    </row>
    <row r="213" spans="1:35" ht="18" x14ac:dyDescent="0.3">
      <c r="A213" s="10" t="s">
        <v>839</v>
      </c>
      <c r="B213" s="10"/>
      <c r="C213" s="17" t="s">
        <v>823</v>
      </c>
      <c r="D213" s="12"/>
      <c r="E213" s="12"/>
      <c r="F213" s="18" t="s">
        <v>82</v>
      </c>
      <c r="G213" s="19">
        <v>1.02</v>
      </c>
      <c r="H213" s="19"/>
      <c r="I213" s="19">
        <v>2.4710000000000001</v>
      </c>
      <c r="J213" s="20">
        <v>2592.5</v>
      </c>
      <c r="M213" s="21">
        <f>ROUND(ROUND(J213, 2)*I213, 2)</f>
        <v>6406.07</v>
      </c>
      <c r="P213" s="22">
        <v>2592.5</v>
      </c>
      <c r="S213" s="21">
        <f>ROUND(ROUND(P213, 2)*I213, 2)</f>
        <v>6406.07</v>
      </c>
      <c r="V213" s="9">
        <f>ROUND(ROUND(P213, 2)/1.2, 2)</f>
        <v>2160.42</v>
      </c>
      <c r="Y213" s="9">
        <f t="shared" si="17"/>
        <v>5338.39</v>
      </c>
      <c r="AD213" s="4" t="s">
        <v>840</v>
      </c>
      <c r="AE213" s="4" t="s">
        <v>841</v>
      </c>
      <c r="AF213" s="4" t="s">
        <v>826</v>
      </c>
    </row>
    <row r="214" spans="1:35" ht="36" x14ac:dyDescent="0.3">
      <c r="A214" s="10" t="s">
        <v>842</v>
      </c>
      <c r="B214" s="10" t="s">
        <v>843</v>
      </c>
      <c r="C214" s="11" t="s">
        <v>844</v>
      </c>
      <c r="D214" s="12"/>
      <c r="E214" s="12" t="s">
        <v>845</v>
      </c>
      <c r="F214" s="12" t="s">
        <v>82</v>
      </c>
      <c r="G214" s="13">
        <v>1</v>
      </c>
      <c r="H214" s="13"/>
      <c r="I214" s="13">
        <v>58.56</v>
      </c>
      <c r="J214" s="14">
        <f>IFERROR(ROUND(SUM(M215)/I214, 2),0)</f>
        <v>1716.75</v>
      </c>
      <c r="K214" s="15">
        <v>915</v>
      </c>
      <c r="L214" s="14">
        <f>J214+ROUND(K214, 2)</f>
        <v>2631.75</v>
      </c>
      <c r="M214" s="14">
        <f>ROUND(J214*I214, 2)</f>
        <v>100532.88</v>
      </c>
      <c r="N214" s="14">
        <f>ROUND(I214*ROUND(K214, 2), 2)</f>
        <v>53582.400000000001</v>
      </c>
      <c r="O214" s="14">
        <f>M214+N214</f>
        <v>154115.28</v>
      </c>
      <c r="P214" s="14">
        <f>IFERROR(ROUND(SUM(S215)/I214, 2),0)</f>
        <v>1716.75</v>
      </c>
      <c r="Q214" s="16">
        <v>1307.1400000000001</v>
      </c>
      <c r="R214" s="14">
        <f>P214+ROUND(Q214, 2)</f>
        <v>3023.8900000000003</v>
      </c>
      <c r="S214" s="14">
        <f>ROUND(P214*I214, 2)</f>
        <v>100532.88</v>
      </c>
      <c r="T214" s="14">
        <f>ROUND(I214*ROUND(Q214, 2), 2)</f>
        <v>76546.12</v>
      </c>
      <c r="U214" s="14">
        <f>S214+T214</f>
        <v>177079</v>
      </c>
      <c r="V214" s="9">
        <f>ROUND(P214 / 1.2, 2)</f>
        <v>1430.63</v>
      </c>
      <c r="W214" s="9">
        <f>ROUND(Q214 / 1.2, 2)</f>
        <v>1089.28</v>
      </c>
      <c r="X214" s="9">
        <f>ROUND(R214 / 1.2, 2)</f>
        <v>2519.91</v>
      </c>
      <c r="Y214" s="9">
        <f t="shared" si="17"/>
        <v>83777.399999999994</v>
      </c>
      <c r="Z214" s="9">
        <f>ROUND(T214 / 1.2, 2)</f>
        <v>63788.43</v>
      </c>
      <c r="AA214" s="9">
        <f>Y214+Z214</f>
        <v>147565.82999999999</v>
      </c>
      <c r="AD214" s="4">
        <v>311044344</v>
      </c>
      <c r="AE214" s="4">
        <v>22779863</v>
      </c>
      <c r="AG214" s="4" t="s">
        <v>846</v>
      </c>
      <c r="AH214" s="4" t="s">
        <v>847</v>
      </c>
      <c r="AI214" s="4" t="s">
        <v>469</v>
      </c>
    </row>
    <row r="215" spans="1:35" ht="18" x14ac:dyDescent="0.3">
      <c r="A215" s="10" t="s">
        <v>848</v>
      </c>
      <c r="B215" s="10"/>
      <c r="C215" s="17" t="s">
        <v>849</v>
      </c>
      <c r="D215" s="12"/>
      <c r="E215" s="12"/>
      <c r="F215" s="18" t="s">
        <v>99</v>
      </c>
      <c r="G215" s="19">
        <v>225</v>
      </c>
      <c r="H215" s="19"/>
      <c r="I215" s="19">
        <v>13176</v>
      </c>
      <c r="J215" s="20">
        <v>7.63</v>
      </c>
      <c r="M215" s="21">
        <f>ROUND(ROUND(J215, 2)*I215, 2)</f>
        <v>100532.88</v>
      </c>
      <c r="P215" s="22">
        <v>7.63</v>
      </c>
      <c r="S215" s="21">
        <f>ROUND(ROUND(P215, 2)*I215, 2)</f>
        <v>100532.88</v>
      </c>
      <c r="V215" s="9">
        <f>ROUND(ROUND(P215, 2)/1.2, 2)</f>
        <v>6.36</v>
      </c>
      <c r="Y215" s="9">
        <f t="shared" si="17"/>
        <v>83777.399999999994</v>
      </c>
      <c r="AD215" s="4" t="s">
        <v>850</v>
      </c>
      <c r="AE215" s="4" t="s">
        <v>851</v>
      </c>
      <c r="AF215" s="4" t="s">
        <v>852</v>
      </c>
    </row>
    <row r="216" spans="1:35" ht="16.95" customHeight="1" x14ac:dyDescent="0.3">
      <c r="A216" s="10" t="s">
        <v>853</v>
      </c>
      <c r="B216" s="10" t="s">
        <v>854</v>
      </c>
      <c r="C216" s="51" t="s">
        <v>855</v>
      </c>
      <c r="D216" s="52"/>
      <c r="E216" s="52"/>
      <c r="F216" s="52"/>
      <c r="G216" s="52"/>
      <c r="H216" s="52"/>
      <c r="I216" s="53"/>
      <c r="M216" s="6">
        <f>SUM(M217,M222,M227,M231,M235,M238,M240,M245,M250,M255,M260,M265,M270,M275,M280)</f>
        <v>12374871.249999998</v>
      </c>
      <c r="N216" s="6">
        <f>SUM(N217,N222,N227,N231,N235,N238,N240,N245,N250,N255,N260,N265,N270,N275,N280)</f>
        <v>18604612.490000002</v>
      </c>
      <c r="O216" s="6">
        <f>SUM(O217,O222,O227,O231,O235,O238,O240,O245,O250,O255,O260,O265,O270,O275,O280)</f>
        <v>30979483.740000002</v>
      </c>
      <c r="S216" s="6">
        <f>SUM(S217,S222,S227,S231,S235,S238,S240,S245,S250,S255,S260,S265,S270,S275,S280)</f>
        <v>28057152.050000004</v>
      </c>
      <c r="T216" s="6">
        <f>SUM(T217,T222,T227,T231,T235,T238,T240,T245,T250,T255,T260,T265,T270,T275,T280)</f>
        <v>26578057.330000002</v>
      </c>
      <c r="U216" s="6">
        <f>SUM(U217,U222,U227,U231,U235,U238,U240,U245,U250,U255,U260,U265,U270,U275,U280)</f>
        <v>54635209.380000003</v>
      </c>
      <c r="Y216" s="9">
        <f>SUM(Y217,Y222,Y227,Y231,Y235,Y238,Y240,Y245,Y250,Y255,Y260,Y265,Y270,Y275,Y280)</f>
        <v>23380960.059999999</v>
      </c>
      <c r="Z216" s="9">
        <f>SUM(Z217,Z222,Z227,Z231,Z235,Z238,Z240,Z245,Z250,Z255,Z260,Z265,Z270,Z275,Z280)</f>
        <v>22148381.110000003</v>
      </c>
      <c r="AA216" s="9">
        <f>SUM(AA217,AA222,AA227,AA231,AA235,AA238,AA240,AA245,AA250,AA255,AA260,AA265,AA270,AA275,AA280)</f>
        <v>45529341.170000009</v>
      </c>
      <c r="AD216" s="4">
        <v>311044345</v>
      </c>
      <c r="AE216" s="4">
        <v>22895265</v>
      </c>
    </row>
    <row r="217" spans="1:35" ht="18" x14ac:dyDescent="0.3">
      <c r="A217" s="10" t="s">
        <v>856</v>
      </c>
      <c r="B217" s="10" t="s">
        <v>857</v>
      </c>
      <c r="C217" s="11" t="s">
        <v>858</v>
      </c>
      <c r="D217" s="12" t="s">
        <v>859</v>
      </c>
      <c r="E217" s="12" t="s">
        <v>860</v>
      </c>
      <c r="F217" s="12" t="s">
        <v>58</v>
      </c>
      <c r="G217" s="13">
        <v>1</v>
      </c>
      <c r="H217" s="13"/>
      <c r="I217" s="13">
        <v>582.87</v>
      </c>
      <c r="J217" s="14">
        <f>IFERROR(ROUND(SUM(M218,M219,M220,M221)/I217, 2),0)</f>
        <v>1600.95</v>
      </c>
      <c r="K217" s="15">
        <v>556</v>
      </c>
      <c r="L217" s="14">
        <f>J217+ROUND(K217, 2)</f>
        <v>2156.9499999999998</v>
      </c>
      <c r="M217" s="14">
        <f>ROUND(J217*I217, 2)</f>
        <v>933145.73</v>
      </c>
      <c r="N217" s="14">
        <f>ROUND(I217*ROUND(K217, 2), 2)</f>
        <v>324075.71999999997</v>
      </c>
      <c r="O217" s="14">
        <f>M217+N217</f>
        <v>1257221.45</v>
      </c>
      <c r="P217" s="14">
        <f>IFERROR(ROUND(SUM(S218,S219,S220,S221)/I217, 2),0)</f>
        <v>1716.7</v>
      </c>
      <c r="Q217" s="16">
        <v>794.29</v>
      </c>
      <c r="R217" s="14">
        <f>P217+ROUND(Q217, 2)</f>
        <v>2510.9899999999998</v>
      </c>
      <c r="S217" s="14">
        <f>ROUND(P217*I217, 2)</f>
        <v>1000612.93</v>
      </c>
      <c r="T217" s="14">
        <f>ROUND(I217*ROUND(Q217, 2), 2)</f>
        <v>462967.81</v>
      </c>
      <c r="U217" s="14">
        <f>S217+T217</f>
        <v>1463580.74</v>
      </c>
      <c r="V217" s="9">
        <f>ROUND(P217 / 1.2, 2)</f>
        <v>1430.58</v>
      </c>
      <c r="W217" s="9">
        <f>ROUND(Q217 / 1.2, 2)</f>
        <v>661.91</v>
      </c>
      <c r="X217" s="9">
        <f>ROUND(R217 / 1.2, 2)</f>
        <v>2092.4899999999998</v>
      </c>
      <c r="Y217" s="9">
        <f>ROUND(S217 / 1.2, 2)</f>
        <v>833844.11</v>
      </c>
      <c r="Z217" s="9">
        <f>ROUND(T217 / 1.2, 2)</f>
        <v>385806.51</v>
      </c>
      <c r="AA217" s="9">
        <f>Y217+Z217</f>
        <v>1219650.6200000001</v>
      </c>
      <c r="AD217" s="4">
        <v>311044347</v>
      </c>
      <c r="AE217" s="4">
        <v>22895278</v>
      </c>
      <c r="AG217" s="4" t="s">
        <v>861</v>
      </c>
      <c r="AH217" s="4" t="s">
        <v>862</v>
      </c>
      <c r="AI217" s="4" t="s">
        <v>469</v>
      </c>
    </row>
    <row r="218" spans="1:35" ht="90" x14ac:dyDescent="0.3">
      <c r="A218" s="10" t="s">
        <v>863</v>
      </c>
      <c r="B218" s="10"/>
      <c r="C218" s="17" t="s">
        <v>864</v>
      </c>
      <c r="D218" s="12"/>
      <c r="E218" s="12" t="s">
        <v>865</v>
      </c>
      <c r="F218" s="18" t="s">
        <v>99</v>
      </c>
      <c r="G218" s="19">
        <v>0.3</v>
      </c>
      <c r="H218" s="19"/>
      <c r="I218" s="19">
        <v>174.86099999999999</v>
      </c>
      <c r="J218" s="20">
        <v>223.66</v>
      </c>
      <c r="M218" s="21">
        <f>ROUND(ROUND(J218, 2)*I218, 2)</f>
        <v>39109.410000000003</v>
      </c>
      <c r="P218" s="22">
        <v>609.5</v>
      </c>
      <c r="S218" s="21">
        <f>ROUND(ROUND(P218, 2)*I218, 2)</f>
        <v>106577.78</v>
      </c>
      <c r="V218" s="9">
        <f>ROUND(ROUND(P218, 2)/1.2, 2)</f>
        <v>507.92</v>
      </c>
      <c r="Y218" s="9">
        <f t="shared" ref="Y218:Y281" si="18">ROUND(S218 / 1.2, 2)</f>
        <v>88814.82</v>
      </c>
      <c r="AD218" s="4" t="s">
        <v>866</v>
      </c>
      <c r="AE218" s="4" t="s">
        <v>867</v>
      </c>
      <c r="AF218" s="4" t="s">
        <v>868</v>
      </c>
    </row>
    <row r="219" spans="1:35" ht="36" x14ac:dyDescent="0.3">
      <c r="A219" s="10" t="s">
        <v>869</v>
      </c>
      <c r="B219" s="10"/>
      <c r="C219" s="17" t="s">
        <v>870</v>
      </c>
      <c r="D219" s="12"/>
      <c r="E219" s="12"/>
      <c r="F219" s="18" t="s">
        <v>99</v>
      </c>
      <c r="G219" s="19">
        <v>0.15</v>
      </c>
      <c r="H219" s="19"/>
      <c r="I219" s="19">
        <v>87.430999999999997</v>
      </c>
      <c r="J219" s="20">
        <v>69.540000000000006</v>
      </c>
      <c r="M219" s="21">
        <f>ROUND(ROUND(J219, 2)*I219, 2)</f>
        <v>6079.95</v>
      </c>
      <c r="P219" s="22">
        <v>69.540000000000006</v>
      </c>
      <c r="S219" s="21">
        <f>ROUND(ROUND(P219, 2)*I219, 2)</f>
        <v>6079.95</v>
      </c>
      <c r="V219" s="9">
        <f>ROUND(ROUND(P219, 2)/1.2, 2)</f>
        <v>57.95</v>
      </c>
      <c r="Y219" s="9">
        <f t="shared" si="18"/>
        <v>5066.63</v>
      </c>
      <c r="AD219" s="4" t="s">
        <v>871</v>
      </c>
      <c r="AE219" s="4" t="s">
        <v>872</v>
      </c>
      <c r="AF219" s="4" t="s">
        <v>873</v>
      </c>
    </row>
    <row r="220" spans="1:35" ht="72" x14ac:dyDescent="0.3">
      <c r="A220" s="10" t="s">
        <v>874</v>
      </c>
      <c r="B220" s="10"/>
      <c r="C220" s="23" t="s">
        <v>875</v>
      </c>
      <c r="D220" s="12"/>
      <c r="E220" s="12"/>
      <c r="F220" s="18" t="s">
        <v>258</v>
      </c>
      <c r="G220" s="19">
        <v>1</v>
      </c>
      <c r="H220" s="24"/>
      <c r="I220" s="24">
        <v>292</v>
      </c>
      <c r="J220" s="20">
        <v>51.85</v>
      </c>
      <c r="M220" s="21">
        <f>ROUND(ROUND(J220, 2)*I220, 2)</f>
        <v>15140.2</v>
      </c>
      <c r="P220" s="22">
        <v>51.85</v>
      </c>
      <c r="S220" s="21">
        <f>ROUND(ROUND(P220, 2)*I220, 2)</f>
        <v>15140.2</v>
      </c>
      <c r="V220" s="9">
        <f>ROUND(ROUND(P220, 2)/1.2, 2)</f>
        <v>43.21</v>
      </c>
      <c r="Y220" s="9">
        <f t="shared" si="18"/>
        <v>12616.83</v>
      </c>
      <c r="AD220" s="4" t="s">
        <v>876</v>
      </c>
      <c r="AE220" s="4" t="s">
        <v>877</v>
      </c>
      <c r="AF220" s="4" t="s">
        <v>878</v>
      </c>
    </row>
    <row r="221" spans="1:35" ht="54" x14ac:dyDescent="0.3">
      <c r="A221" s="10" t="s">
        <v>879</v>
      </c>
      <c r="B221" s="10"/>
      <c r="C221" s="23" t="s">
        <v>880</v>
      </c>
      <c r="D221" s="12"/>
      <c r="E221" s="12"/>
      <c r="F221" s="18" t="s">
        <v>58</v>
      </c>
      <c r="G221" s="19">
        <v>1.1000000000000001</v>
      </c>
      <c r="H221" s="24"/>
      <c r="I221" s="24">
        <v>641.15700000000004</v>
      </c>
      <c r="J221" s="20">
        <v>1361.31</v>
      </c>
      <c r="M221" s="21">
        <f>ROUND(ROUND(J221, 2)*I221, 2)</f>
        <v>872813.44</v>
      </c>
      <c r="P221" s="22">
        <v>1361.31</v>
      </c>
      <c r="S221" s="21">
        <f>ROUND(ROUND(P221, 2)*I221, 2)</f>
        <v>872813.44</v>
      </c>
      <c r="V221" s="9">
        <f>ROUND(ROUND(P221, 2)/1.2, 2)</f>
        <v>1134.43</v>
      </c>
      <c r="Y221" s="9">
        <f t="shared" si="18"/>
        <v>727344.53</v>
      </c>
      <c r="AD221" s="4" t="s">
        <v>881</v>
      </c>
      <c r="AE221" s="4" t="s">
        <v>882</v>
      </c>
      <c r="AF221" s="4" t="s">
        <v>883</v>
      </c>
    </row>
    <row r="222" spans="1:35" ht="18" x14ac:dyDescent="0.3">
      <c r="A222" s="10" t="s">
        <v>884</v>
      </c>
      <c r="B222" s="10" t="s">
        <v>857</v>
      </c>
      <c r="C222" s="11" t="s">
        <v>858</v>
      </c>
      <c r="D222" s="12" t="s">
        <v>859</v>
      </c>
      <c r="E222" s="12" t="s">
        <v>885</v>
      </c>
      <c r="F222" s="12" t="s">
        <v>58</v>
      </c>
      <c r="G222" s="13">
        <v>1</v>
      </c>
      <c r="H222" s="13"/>
      <c r="I222" s="13">
        <v>165.24</v>
      </c>
      <c r="J222" s="14">
        <f>IFERROR(ROUND(SUM(M223,M224,M225,M226)/I222, 2),0)</f>
        <v>1601.01</v>
      </c>
      <c r="K222" s="15">
        <v>556</v>
      </c>
      <c r="L222" s="14">
        <f>J222+ROUND(K222, 2)</f>
        <v>2157.0100000000002</v>
      </c>
      <c r="M222" s="14">
        <f>ROUND(J222*I222, 2)</f>
        <v>264550.89</v>
      </c>
      <c r="N222" s="14">
        <f>ROUND(I222*ROUND(K222, 2), 2)</f>
        <v>91873.44</v>
      </c>
      <c r="O222" s="14">
        <f>M222+N222</f>
        <v>356424.33</v>
      </c>
      <c r="P222" s="14">
        <f>IFERROR(ROUND(SUM(S223,S224,S225,S226)/I222, 2),0)</f>
        <v>1716.77</v>
      </c>
      <c r="Q222" s="16">
        <v>794.29</v>
      </c>
      <c r="R222" s="14">
        <f>P222+ROUND(Q222, 2)</f>
        <v>2511.06</v>
      </c>
      <c r="S222" s="14">
        <f>ROUND(P222*I222, 2)</f>
        <v>283679.07</v>
      </c>
      <c r="T222" s="14">
        <f>ROUND(I222*ROUND(Q222, 2), 2)</f>
        <v>131248.48000000001</v>
      </c>
      <c r="U222" s="14">
        <f>S222+T222</f>
        <v>414927.55000000005</v>
      </c>
      <c r="V222" s="9">
        <f>ROUND(P222 / 1.2, 2)</f>
        <v>1430.64</v>
      </c>
      <c r="W222" s="9">
        <f>ROUND(Q222 / 1.2, 2)</f>
        <v>661.91</v>
      </c>
      <c r="X222" s="9">
        <f>ROUND(R222 / 1.2, 2)</f>
        <v>2092.5500000000002</v>
      </c>
      <c r="Y222" s="9">
        <f t="shared" si="18"/>
        <v>236399.23</v>
      </c>
      <c r="Z222" s="9">
        <f>ROUND(T222 / 1.2, 2)</f>
        <v>109373.73</v>
      </c>
      <c r="AA222" s="9">
        <f>Y222+Z222</f>
        <v>345772.96</v>
      </c>
      <c r="AD222" s="4">
        <v>311044437</v>
      </c>
      <c r="AE222" s="4">
        <v>22895279</v>
      </c>
      <c r="AG222" s="4" t="s">
        <v>861</v>
      </c>
      <c r="AH222" s="4" t="s">
        <v>862</v>
      </c>
      <c r="AI222" s="4" t="s">
        <v>469</v>
      </c>
    </row>
    <row r="223" spans="1:35" ht="72" x14ac:dyDescent="0.3">
      <c r="A223" s="10" t="s">
        <v>886</v>
      </c>
      <c r="B223" s="10"/>
      <c r="C223" s="23" t="s">
        <v>887</v>
      </c>
      <c r="D223" s="12"/>
      <c r="E223" s="12" t="s">
        <v>888</v>
      </c>
      <c r="F223" s="18" t="s">
        <v>58</v>
      </c>
      <c r="G223" s="19">
        <v>1.1000000000000001</v>
      </c>
      <c r="H223" s="24"/>
      <c r="I223" s="24">
        <v>181.76400000000001</v>
      </c>
      <c r="J223" s="20">
        <v>1361.31</v>
      </c>
      <c r="M223" s="21">
        <f>ROUND(ROUND(J223, 2)*I223, 2)</f>
        <v>247437.15</v>
      </c>
      <c r="P223" s="22">
        <v>1361.31</v>
      </c>
      <c r="S223" s="21">
        <f>ROUND(ROUND(P223, 2)*I223, 2)</f>
        <v>247437.15</v>
      </c>
      <c r="V223" s="9">
        <f>ROUND(ROUND(P223, 2)/1.2, 2)</f>
        <v>1134.43</v>
      </c>
      <c r="Y223" s="9">
        <f t="shared" si="18"/>
        <v>206197.63</v>
      </c>
      <c r="AD223" s="4" t="s">
        <v>889</v>
      </c>
      <c r="AE223" s="4" t="s">
        <v>890</v>
      </c>
      <c r="AF223" s="4" t="s">
        <v>891</v>
      </c>
    </row>
    <row r="224" spans="1:35" ht="72" x14ac:dyDescent="0.3">
      <c r="A224" s="10" t="s">
        <v>892</v>
      </c>
      <c r="B224" s="10"/>
      <c r="C224" s="23" t="s">
        <v>893</v>
      </c>
      <c r="D224" s="12"/>
      <c r="E224" s="12"/>
      <c r="F224" s="18" t="s">
        <v>258</v>
      </c>
      <c r="G224" s="19">
        <v>1</v>
      </c>
      <c r="H224" s="24"/>
      <c r="I224" s="24">
        <v>83</v>
      </c>
      <c r="J224" s="20">
        <v>51.85</v>
      </c>
      <c r="M224" s="21">
        <f>ROUND(ROUND(J224, 2)*I224, 2)</f>
        <v>4303.55</v>
      </c>
      <c r="P224" s="22">
        <v>51.85</v>
      </c>
      <c r="S224" s="21">
        <f>ROUND(ROUND(P224, 2)*I224, 2)</f>
        <v>4303.55</v>
      </c>
      <c r="V224" s="9">
        <f>ROUND(ROUND(P224, 2)/1.2, 2)</f>
        <v>43.21</v>
      </c>
      <c r="Y224" s="9">
        <f t="shared" si="18"/>
        <v>3586.29</v>
      </c>
      <c r="AD224" s="4" t="s">
        <v>894</v>
      </c>
      <c r="AE224" s="4" t="s">
        <v>895</v>
      </c>
      <c r="AF224" s="4" t="s">
        <v>896</v>
      </c>
    </row>
    <row r="225" spans="1:35" ht="36" x14ac:dyDescent="0.3">
      <c r="A225" s="10" t="s">
        <v>897</v>
      </c>
      <c r="B225" s="10"/>
      <c r="C225" s="17" t="s">
        <v>870</v>
      </c>
      <c r="D225" s="12"/>
      <c r="E225" s="12"/>
      <c r="F225" s="18" t="s">
        <v>99</v>
      </c>
      <c r="G225" s="19">
        <v>0.15</v>
      </c>
      <c r="H225" s="19"/>
      <c r="I225" s="19">
        <v>24.786000000000001</v>
      </c>
      <c r="J225" s="20">
        <v>69.540000000000006</v>
      </c>
      <c r="M225" s="21">
        <f>ROUND(ROUND(J225, 2)*I225, 2)</f>
        <v>1723.62</v>
      </c>
      <c r="P225" s="22">
        <v>69.540000000000006</v>
      </c>
      <c r="S225" s="21">
        <f>ROUND(ROUND(P225, 2)*I225, 2)</f>
        <v>1723.62</v>
      </c>
      <c r="V225" s="9">
        <f>ROUND(ROUND(P225, 2)/1.2, 2)</f>
        <v>57.95</v>
      </c>
      <c r="Y225" s="9">
        <f t="shared" si="18"/>
        <v>1436.35</v>
      </c>
      <c r="AD225" s="4" t="s">
        <v>898</v>
      </c>
      <c r="AE225" s="4" t="s">
        <v>899</v>
      </c>
      <c r="AF225" s="4" t="s">
        <v>873</v>
      </c>
    </row>
    <row r="226" spans="1:35" ht="54" x14ac:dyDescent="0.3">
      <c r="A226" s="10" t="s">
        <v>900</v>
      </c>
      <c r="B226" s="10"/>
      <c r="C226" s="17" t="s">
        <v>864</v>
      </c>
      <c r="D226" s="12"/>
      <c r="E226" s="12" t="s">
        <v>901</v>
      </c>
      <c r="F226" s="18" t="s">
        <v>99</v>
      </c>
      <c r="G226" s="19">
        <v>0.3</v>
      </c>
      <c r="H226" s="19"/>
      <c r="I226" s="19">
        <v>49.572000000000003</v>
      </c>
      <c r="J226" s="20">
        <v>223.66</v>
      </c>
      <c r="M226" s="21">
        <f>ROUND(ROUND(J226, 2)*I226, 2)</f>
        <v>11087.27</v>
      </c>
      <c r="P226" s="22">
        <v>609.5</v>
      </c>
      <c r="S226" s="21">
        <f>ROUND(ROUND(P226, 2)*I226, 2)</f>
        <v>30214.13</v>
      </c>
      <c r="V226" s="9">
        <f>ROUND(ROUND(P226, 2)/1.2, 2)</f>
        <v>507.92</v>
      </c>
      <c r="Y226" s="9">
        <f t="shared" si="18"/>
        <v>25178.44</v>
      </c>
      <c r="AD226" s="4" t="s">
        <v>902</v>
      </c>
      <c r="AE226" s="4" t="s">
        <v>903</v>
      </c>
      <c r="AF226" s="4" t="s">
        <v>868</v>
      </c>
    </row>
    <row r="227" spans="1:35" ht="36" x14ac:dyDescent="0.3">
      <c r="A227" s="10" t="s">
        <v>904</v>
      </c>
      <c r="B227" s="10" t="s">
        <v>905</v>
      </c>
      <c r="C227" s="11" t="s">
        <v>906</v>
      </c>
      <c r="D227" s="12"/>
      <c r="E227" s="12" t="s">
        <v>907</v>
      </c>
      <c r="F227" s="12" t="s">
        <v>58</v>
      </c>
      <c r="G227" s="13">
        <v>1</v>
      </c>
      <c r="H227" s="13"/>
      <c r="I227" s="13">
        <v>8025.66</v>
      </c>
      <c r="J227" s="14">
        <f>IFERROR(ROUND(SUM(M228,M229,M230)/I227, 2),0)</f>
        <v>10.43</v>
      </c>
      <c r="K227" s="15">
        <v>661</v>
      </c>
      <c r="L227" s="14">
        <f>J227+ROUND(K227, 2)</f>
        <v>671.43</v>
      </c>
      <c r="M227" s="14">
        <f>ROUND(J227*I227, 2)</f>
        <v>83707.63</v>
      </c>
      <c r="N227" s="14">
        <f>ROUND(I227*ROUND(K227, 2), 2)</f>
        <v>5304961.26</v>
      </c>
      <c r="O227" s="14">
        <f>M227+N227</f>
        <v>5388668.8899999997</v>
      </c>
      <c r="P227" s="14">
        <f>IFERROR(ROUND(SUM(S228,S229,S230)/I227, 2),0)</f>
        <v>1944.51</v>
      </c>
      <c r="Q227" s="16">
        <v>944.29</v>
      </c>
      <c r="R227" s="14">
        <f>P227+ROUND(Q227, 2)</f>
        <v>2888.8</v>
      </c>
      <c r="S227" s="14">
        <f>ROUND(P227*I227, 2)</f>
        <v>15605976.130000001</v>
      </c>
      <c r="T227" s="14">
        <f>ROUND(I227*ROUND(Q227, 2), 2)</f>
        <v>7578550.4800000004</v>
      </c>
      <c r="U227" s="14">
        <f>S227+T227</f>
        <v>23184526.609999999</v>
      </c>
      <c r="V227" s="9">
        <f>ROUND(P227 / 1.2, 2)</f>
        <v>1620.43</v>
      </c>
      <c r="W227" s="9">
        <f>ROUND(Q227 / 1.2, 2)</f>
        <v>786.91</v>
      </c>
      <c r="X227" s="9">
        <f>ROUND(R227 / 1.2, 2)</f>
        <v>2407.33</v>
      </c>
      <c r="Y227" s="9">
        <f t="shared" si="18"/>
        <v>13004980.109999999</v>
      </c>
      <c r="Z227" s="9">
        <f>ROUND(T227 / 1.2, 2)</f>
        <v>6315458.7300000004</v>
      </c>
      <c r="AA227" s="9">
        <f>Y227+Z227</f>
        <v>19320438.84</v>
      </c>
      <c r="AD227" s="4">
        <v>311044349</v>
      </c>
      <c r="AE227" s="4">
        <v>22895276</v>
      </c>
      <c r="AG227" s="4" t="s">
        <v>908</v>
      </c>
      <c r="AH227" s="4" t="s">
        <v>909</v>
      </c>
      <c r="AI227" s="4" t="s">
        <v>469</v>
      </c>
    </row>
    <row r="228" spans="1:35" ht="90" x14ac:dyDescent="0.3">
      <c r="A228" s="10" t="s">
        <v>910</v>
      </c>
      <c r="B228" s="10"/>
      <c r="C228" s="17" t="s">
        <v>911</v>
      </c>
      <c r="D228" s="12"/>
      <c r="E228" s="12" t="s">
        <v>912</v>
      </c>
      <c r="F228" s="18" t="s">
        <v>139</v>
      </c>
      <c r="G228" s="19">
        <v>1</v>
      </c>
      <c r="H228" s="24"/>
      <c r="I228" s="24">
        <v>837.94500000000005</v>
      </c>
      <c r="J228" s="20">
        <v>0</v>
      </c>
      <c r="M228" s="21">
        <f>ROUND(ROUND(J228, 2)*I228, 2)</f>
        <v>0</v>
      </c>
      <c r="P228" s="22">
        <v>2740</v>
      </c>
      <c r="S228" s="21">
        <f>ROUND(ROUND(P228, 2)*I228, 2)</f>
        <v>2295969.2999999998</v>
      </c>
      <c r="V228" s="9">
        <f>ROUND(ROUND(P228, 2)/1.2, 2)</f>
        <v>2283.33</v>
      </c>
      <c r="Y228" s="9">
        <f t="shared" si="18"/>
        <v>1913307.75</v>
      </c>
      <c r="AD228" s="4" t="s">
        <v>913</v>
      </c>
      <c r="AE228" s="4" t="s">
        <v>914</v>
      </c>
      <c r="AF228" s="4" t="s">
        <v>915</v>
      </c>
    </row>
    <row r="229" spans="1:35" ht="90" x14ac:dyDescent="0.3">
      <c r="A229" s="10" t="s">
        <v>916</v>
      </c>
      <c r="B229" s="10"/>
      <c r="C229" s="17" t="s">
        <v>917</v>
      </c>
      <c r="D229" s="12"/>
      <c r="E229" s="12" t="s">
        <v>918</v>
      </c>
      <c r="F229" s="18" t="s">
        <v>58</v>
      </c>
      <c r="G229" s="19">
        <v>1.03</v>
      </c>
      <c r="H229" s="24"/>
      <c r="I229" s="24">
        <v>8266.43</v>
      </c>
      <c r="J229" s="20">
        <v>0</v>
      </c>
      <c r="M229" s="21">
        <f>ROUND(ROUND(J229, 2)*I229, 2)</f>
        <v>0</v>
      </c>
      <c r="P229" s="22">
        <v>1600</v>
      </c>
      <c r="S229" s="21">
        <f>ROUND(ROUND(P229, 2)*I229, 2)</f>
        <v>13226288</v>
      </c>
      <c r="V229" s="9">
        <f>ROUND(ROUND(P229, 2)/1.2, 2)</f>
        <v>1333.33</v>
      </c>
      <c r="Y229" s="9">
        <f t="shared" si="18"/>
        <v>11021906.67</v>
      </c>
      <c r="AD229" s="4" t="s">
        <v>919</v>
      </c>
      <c r="AE229" s="4" t="s">
        <v>920</v>
      </c>
      <c r="AF229" s="4" t="s">
        <v>921</v>
      </c>
    </row>
    <row r="230" spans="1:35" ht="36" x14ac:dyDescent="0.3">
      <c r="A230" s="10" t="s">
        <v>922</v>
      </c>
      <c r="B230" s="10"/>
      <c r="C230" s="17" t="s">
        <v>870</v>
      </c>
      <c r="D230" s="12"/>
      <c r="E230" s="12"/>
      <c r="F230" s="18" t="s">
        <v>99</v>
      </c>
      <c r="G230" s="19">
        <v>0.15</v>
      </c>
      <c r="H230" s="19"/>
      <c r="I230" s="19">
        <v>1203.8489999999999</v>
      </c>
      <c r="J230" s="20">
        <v>69.540000000000006</v>
      </c>
      <c r="M230" s="21">
        <f>ROUND(ROUND(J230, 2)*I230, 2)</f>
        <v>83715.66</v>
      </c>
      <c r="P230" s="22">
        <v>69.540000000000006</v>
      </c>
      <c r="S230" s="21">
        <f>ROUND(ROUND(P230, 2)*I230, 2)</f>
        <v>83715.66</v>
      </c>
      <c r="V230" s="9">
        <f>ROUND(ROUND(P230, 2)/1.2, 2)</f>
        <v>57.95</v>
      </c>
      <c r="Y230" s="9">
        <f t="shared" si="18"/>
        <v>69763.05</v>
      </c>
      <c r="AD230" s="4" t="s">
        <v>923</v>
      </c>
      <c r="AE230" s="4" t="s">
        <v>924</v>
      </c>
      <c r="AF230" s="4" t="s">
        <v>873</v>
      </c>
    </row>
    <row r="231" spans="1:35" ht="36" x14ac:dyDescent="0.3">
      <c r="A231" s="10" t="s">
        <v>925</v>
      </c>
      <c r="B231" s="10" t="s">
        <v>905</v>
      </c>
      <c r="C231" s="11" t="s">
        <v>906</v>
      </c>
      <c r="D231" s="12"/>
      <c r="E231" s="12" t="s">
        <v>926</v>
      </c>
      <c r="F231" s="12" t="s">
        <v>58</v>
      </c>
      <c r="G231" s="13">
        <v>1</v>
      </c>
      <c r="H231" s="13"/>
      <c r="I231" s="13">
        <v>37.96</v>
      </c>
      <c r="J231" s="14">
        <f>IFERROR(ROUND(SUM(M232,M233,M234)/I231, 2),0)</f>
        <v>10.43</v>
      </c>
      <c r="K231" s="15">
        <v>661</v>
      </c>
      <c r="L231" s="14">
        <f>J231+ROUND(K231, 2)</f>
        <v>671.43</v>
      </c>
      <c r="M231" s="14">
        <f>ROUND(J231*I231, 2)</f>
        <v>395.92</v>
      </c>
      <c r="N231" s="14">
        <f>ROUND(I231*ROUND(K231, 2), 2)</f>
        <v>25091.56</v>
      </c>
      <c r="O231" s="14">
        <f>M231+N231</f>
        <v>25487.48</v>
      </c>
      <c r="P231" s="14">
        <f>IFERROR(ROUND(SUM(S232,S233,S234)/I231, 2),0)</f>
        <v>1944.49</v>
      </c>
      <c r="Q231" s="16">
        <v>944.29</v>
      </c>
      <c r="R231" s="14">
        <f>P231+ROUND(Q231, 2)</f>
        <v>2888.7799999999997</v>
      </c>
      <c r="S231" s="14">
        <f>ROUND(P231*I231, 2)</f>
        <v>73812.84</v>
      </c>
      <c r="T231" s="14">
        <f>ROUND(I231*ROUND(Q231, 2), 2)</f>
        <v>35845.25</v>
      </c>
      <c r="U231" s="14">
        <f>S231+T231</f>
        <v>109658.09</v>
      </c>
      <c r="V231" s="9">
        <f>ROUND(P231 / 1.2, 2)</f>
        <v>1620.41</v>
      </c>
      <c r="W231" s="9">
        <f>ROUND(Q231 / 1.2, 2)</f>
        <v>786.91</v>
      </c>
      <c r="X231" s="9">
        <f>ROUND(R231 / 1.2, 2)</f>
        <v>2407.3200000000002</v>
      </c>
      <c r="Y231" s="9">
        <f t="shared" si="18"/>
        <v>61510.7</v>
      </c>
      <c r="Z231" s="9">
        <f>ROUND(T231 / 1.2, 2)</f>
        <v>29871.040000000001</v>
      </c>
      <c r="AA231" s="9">
        <f>Y231+Z231</f>
        <v>91381.739999999991</v>
      </c>
      <c r="AD231" s="4">
        <v>311044438</v>
      </c>
      <c r="AE231" s="4">
        <v>22895277</v>
      </c>
      <c r="AG231" s="4" t="s">
        <v>908</v>
      </c>
      <c r="AH231" s="4" t="s">
        <v>909</v>
      </c>
      <c r="AI231" s="4" t="s">
        <v>469</v>
      </c>
    </row>
    <row r="232" spans="1:35" ht="36" x14ac:dyDescent="0.3">
      <c r="A232" s="10" t="s">
        <v>927</v>
      </c>
      <c r="B232" s="10"/>
      <c r="C232" s="17" t="s">
        <v>870</v>
      </c>
      <c r="D232" s="12"/>
      <c r="E232" s="12"/>
      <c r="F232" s="18" t="s">
        <v>99</v>
      </c>
      <c r="G232" s="19">
        <v>0.15</v>
      </c>
      <c r="H232" s="19"/>
      <c r="I232" s="19">
        <v>5.694</v>
      </c>
      <c r="J232" s="20">
        <v>69.540000000000006</v>
      </c>
      <c r="M232" s="21">
        <f>ROUND(ROUND(J232, 2)*I232, 2)</f>
        <v>395.96</v>
      </c>
      <c r="P232" s="22">
        <v>69.540000000000006</v>
      </c>
      <c r="S232" s="21">
        <f>ROUND(ROUND(P232, 2)*I232, 2)</f>
        <v>395.96</v>
      </c>
      <c r="V232" s="9">
        <f>ROUND(ROUND(P232, 2)/1.2, 2)</f>
        <v>57.95</v>
      </c>
      <c r="Y232" s="9">
        <f t="shared" si="18"/>
        <v>329.97</v>
      </c>
      <c r="AD232" s="4" t="s">
        <v>928</v>
      </c>
      <c r="AE232" s="4" t="s">
        <v>929</v>
      </c>
      <c r="AF232" s="4" t="s">
        <v>873</v>
      </c>
    </row>
    <row r="233" spans="1:35" ht="90" x14ac:dyDescent="0.3">
      <c r="A233" s="10" t="s">
        <v>930</v>
      </c>
      <c r="B233" s="10"/>
      <c r="C233" s="17" t="s">
        <v>917</v>
      </c>
      <c r="D233" s="12"/>
      <c r="E233" s="12" t="s">
        <v>918</v>
      </c>
      <c r="F233" s="18" t="s">
        <v>58</v>
      </c>
      <c r="G233" s="19">
        <v>1.03</v>
      </c>
      <c r="H233" s="24"/>
      <c r="I233" s="24">
        <v>39.098999999999997</v>
      </c>
      <c r="J233" s="20">
        <v>0</v>
      </c>
      <c r="M233" s="21">
        <f>ROUND(ROUND(J233, 2)*I233, 2)</f>
        <v>0</v>
      </c>
      <c r="P233" s="22">
        <v>1600</v>
      </c>
      <c r="S233" s="21">
        <f>ROUND(ROUND(P233, 2)*I233, 2)</f>
        <v>62558.400000000001</v>
      </c>
      <c r="V233" s="9">
        <f>ROUND(ROUND(P233, 2)/1.2, 2)</f>
        <v>1333.33</v>
      </c>
      <c r="Y233" s="9">
        <f t="shared" si="18"/>
        <v>52132</v>
      </c>
      <c r="AD233" s="4" t="s">
        <v>931</v>
      </c>
      <c r="AE233" s="4" t="s">
        <v>932</v>
      </c>
      <c r="AF233" s="4" t="s">
        <v>921</v>
      </c>
    </row>
    <row r="234" spans="1:35" ht="90" x14ac:dyDescent="0.3">
      <c r="A234" s="10" t="s">
        <v>933</v>
      </c>
      <c r="B234" s="10"/>
      <c r="C234" s="17" t="s">
        <v>911</v>
      </c>
      <c r="D234" s="12"/>
      <c r="E234" s="12" t="s">
        <v>934</v>
      </c>
      <c r="F234" s="18" t="s">
        <v>139</v>
      </c>
      <c r="G234" s="19">
        <v>1</v>
      </c>
      <c r="H234" s="24"/>
      <c r="I234" s="24">
        <v>3.9630000000000001</v>
      </c>
      <c r="J234" s="20">
        <v>0</v>
      </c>
      <c r="M234" s="21">
        <f>ROUND(ROUND(J234, 2)*I234, 2)</f>
        <v>0</v>
      </c>
      <c r="P234" s="22">
        <v>2740</v>
      </c>
      <c r="S234" s="21">
        <f>ROUND(ROUND(P234, 2)*I234, 2)</f>
        <v>10858.62</v>
      </c>
      <c r="V234" s="9">
        <f>ROUND(ROUND(P234, 2)/1.2, 2)</f>
        <v>2283.33</v>
      </c>
      <c r="Y234" s="9">
        <f t="shared" si="18"/>
        <v>9048.85</v>
      </c>
      <c r="AD234" s="4" t="s">
        <v>935</v>
      </c>
      <c r="AE234" s="4" t="s">
        <v>936</v>
      </c>
      <c r="AF234" s="4" t="s">
        <v>915</v>
      </c>
    </row>
    <row r="235" spans="1:35" ht="36" x14ac:dyDescent="0.3">
      <c r="A235" s="10" t="s">
        <v>937</v>
      </c>
      <c r="B235" s="10" t="s">
        <v>938</v>
      </c>
      <c r="C235" s="11" t="s">
        <v>939</v>
      </c>
      <c r="D235" s="12"/>
      <c r="E235" s="12" t="s">
        <v>940</v>
      </c>
      <c r="F235" s="12" t="s">
        <v>258</v>
      </c>
      <c r="G235" s="13">
        <v>1</v>
      </c>
      <c r="H235" s="13"/>
      <c r="I235" s="13">
        <v>81.61</v>
      </c>
      <c r="J235" s="14">
        <f>IFERROR(ROUND(SUM(M236,M237)/I235, 2),0)</f>
        <v>189.2</v>
      </c>
      <c r="K235" s="15">
        <v>167.99</v>
      </c>
      <c r="L235" s="14">
        <f>J235+ROUND(K235, 2)</f>
        <v>357.19</v>
      </c>
      <c r="M235" s="14">
        <f>ROUND(J235*I235, 2)</f>
        <v>15440.61</v>
      </c>
      <c r="N235" s="14">
        <f>ROUND(I235*ROUND(K235, 2), 2)</f>
        <v>13709.66</v>
      </c>
      <c r="O235" s="14">
        <f>M235+N235</f>
        <v>29150.27</v>
      </c>
      <c r="P235" s="14">
        <f>IFERROR(ROUND(SUM(S236,S237)/I235, 2),0)</f>
        <v>189.2</v>
      </c>
      <c r="Q235" s="16">
        <v>239.99</v>
      </c>
      <c r="R235" s="14">
        <f>P235+ROUND(Q235, 2)</f>
        <v>429.19</v>
      </c>
      <c r="S235" s="14">
        <f>ROUND(P235*I235, 2)</f>
        <v>15440.61</v>
      </c>
      <c r="T235" s="14">
        <f>ROUND(I235*ROUND(Q235, 2), 2)</f>
        <v>19585.580000000002</v>
      </c>
      <c r="U235" s="14">
        <f>S235+T235</f>
        <v>35026.19</v>
      </c>
      <c r="V235" s="9">
        <f>ROUND(P235 / 1.2, 2)</f>
        <v>157.66999999999999</v>
      </c>
      <c r="W235" s="9">
        <f>ROUND(Q235 / 1.2, 2)</f>
        <v>199.99</v>
      </c>
      <c r="X235" s="9">
        <f>ROUND(R235 / 1.2, 2)</f>
        <v>357.66</v>
      </c>
      <c r="Y235" s="9">
        <f t="shared" si="18"/>
        <v>12867.18</v>
      </c>
      <c r="Z235" s="9">
        <f>ROUND(T235 / 1.2, 2)</f>
        <v>16321.32</v>
      </c>
      <c r="AA235" s="9">
        <f>Y235+Z235</f>
        <v>29188.5</v>
      </c>
      <c r="AD235" s="4">
        <v>311044351</v>
      </c>
      <c r="AE235" s="4">
        <v>22896632</v>
      </c>
      <c r="AG235" s="4" t="s">
        <v>941</v>
      </c>
      <c r="AH235" s="4" t="s">
        <v>942</v>
      </c>
      <c r="AI235" s="4" t="s">
        <v>469</v>
      </c>
    </row>
    <row r="236" spans="1:35" ht="90" x14ac:dyDescent="0.3">
      <c r="A236" s="10" t="s">
        <v>943</v>
      </c>
      <c r="B236" s="10"/>
      <c r="C236" s="17" t="s">
        <v>944</v>
      </c>
      <c r="D236" s="12"/>
      <c r="E236" s="12" t="s">
        <v>945</v>
      </c>
      <c r="F236" s="18" t="s">
        <v>258</v>
      </c>
      <c r="G236" s="19">
        <v>1.1000000000000001</v>
      </c>
      <c r="H236" s="19"/>
      <c r="I236" s="19">
        <v>89.771000000000001</v>
      </c>
      <c r="J236" s="20">
        <v>163.68</v>
      </c>
      <c r="M236" s="21">
        <f>ROUND(ROUND(J236, 2)*I236, 2)</f>
        <v>14693.72</v>
      </c>
      <c r="P236" s="22">
        <v>163.68</v>
      </c>
      <c r="S236" s="21">
        <f>ROUND(ROUND(P236, 2)*I236, 2)</f>
        <v>14693.72</v>
      </c>
      <c r="V236" s="9">
        <f>ROUND(ROUND(P236, 2)/1.2, 2)</f>
        <v>136.4</v>
      </c>
      <c r="Y236" s="9">
        <f t="shared" si="18"/>
        <v>12244.77</v>
      </c>
      <c r="AD236" s="4" t="s">
        <v>946</v>
      </c>
      <c r="AE236" s="4" t="s">
        <v>947</v>
      </c>
      <c r="AF236" s="4" t="s">
        <v>948</v>
      </c>
    </row>
    <row r="237" spans="1:35" ht="18" x14ac:dyDescent="0.3">
      <c r="A237" s="10" t="s">
        <v>949</v>
      </c>
      <c r="B237" s="10"/>
      <c r="C237" s="17" t="s">
        <v>950</v>
      </c>
      <c r="D237" s="12"/>
      <c r="E237" s="12"/>
      <c r="F237" s="18" t="s">
        <v>139</v>
      </c>
      <c r="G237" s="19">
        <v>0.09</v>
      </c>
      <c r="H237" s="19"/>
      <c r="I237" s="19">
        <v>7.3449999999999998</v>
      </c>
      <c r="J237" s="20">
        <v>101.66</v>
      </c>
      <c r="M237" s="21">
        <f>ROUND(ROUND(J237, 2)*I237, 2)</f>
        <v>746.69</v>
      </c>
      <c r="P237" s="22">
        <v>101.66</v>
      </c>
      <c r="S237" s="21">
        <f>ROUND(ROUND(P237, 2)*I237, 2)</f>
        <v>746.69</v>
      </c>
      <c r="V237" s="9">
        <f>ROUND(ROUND(P237, 2)/1.2, 2)</f>
        <v>84.72</v>
      </c>
      <c r="Y237" s="9">
        <f t="shared" si="18"/>
        <v>622.24</v>
      </c>
      <c r="AD237" s="4" t="s">
        <v>951</v>
      </c>
      <c r="AE237" s="4" t="s">
        <v>952</v>
      </c>
      <c r="AF237" s="4" t="s">
        <v>953</v>
      </c>
    </row>
    <row r="238" spans="1:35" ht="36" x14ac:dyDescent="0.3">
      <c r="A238" s="10" t="s">
        <v>954</v>
      </c>
      <c r="B238" s="10" t="s">
        <v>955</v>
      </c>
      <c r="C238" s="11" t="s">
        <v>956</v>
      </c>
      <c r="D238" s="12"/>
      <c r="E238" s="12" t="s">
        <v>957</v>
      </c>
      <c r="F238" s="12" t="s">
        <v>258</v>
      </c>
      <c r="G238" s="13">
        <v>1</v>
      </c>
      <c r="H238" s="13"/>
      <c r="I238" s="13">
        <v>4126.28</v>
      </c>
      <c r="J238" s="14">
        <f>IFERROR(ROUND(SUM(M239)/I238, 2),0)</f>
        <v>385.54</v>
      </c>
      <c r="K238" s="15">
        <v>210</v>
      </c>
      <c r="L238" s="14">
        <f>J238+ROUND(K238, 2)</f>
        <v>595.54</v>
      </c>
      <c r="M238" s="14">
        <f>ROUND(J238*I238, 2)</f>
        <v>1590845.99</v>
      </c>
      <c r="N238" s="14">
        <f>ROUND(I238*ROUND(K238, 2), 2)</f>
        <v>866518.8</v>
      </c>
      <c r="O238" s="14">
        <f>M238+N238</f>
        <v>2457364.79</v>
      </c>
      <c r="P238" s="14">
        <f>IFERROR(ROUND(SUM(S239)/I238, 2),0)</f>
        <v>385.54</v>
      </c>
      <c r="Q238" s="16">
        <v>300</v>
      </c>
      <c r="R238" s="14">
        <f>P238+ROUND(Q238, 2)</f>
        <v>685.54</v>
      </c>
      <c r="S238" s="14">
        <f>ROUND(P238*I238, 2)</f>
        <v>1590845.99</v>
      </c>
      <c r="T238" s="14">
        <f>ROUND(I238*ROUND(Q238, 2), 2)</f>
        <v>1237884</v>
      </c>
      <c r="U238" s="14">
        <f>S238+T238</f>
        <v>2828729.99</v>
      </c>
      <c r="V238" s="9">
        <f>ROUND(P238 / 1.2, 2)</f>
        <v>321.27999999999997</v>
      </c>
      <c r="W238" s="9">
        <f>ROUND(Q238 / 1.2, 2)</f>
        <v>250</v>
      </c>
      <c r="X238" s="9">
        <f>ROUND(R238 / 1.2, 2)</f>
        <v>571.28</v>
      </c>
      <c r="Y238" s="9">
        <f t="shared" si="18"/>
        <v>1325704.99</v>
      </c>
      <c r="Z238" s="9">
        <f>ROUND(T238 / 1.2, 2)</f>
        <v>1031570</v>
      </c>
      <c r="AA238" s="9">
        <f>Y238+Z238</f>
        <v>2357274.9900000002</v>
      </c>
      <c r="AD238" s="4">
        <v>311044352</v>
      </c>
      <c r="AE238" s="4">
        <v>22896631</v>
      </c>
      <c r="AG238" s="4" t="s">
        <v>958</v>
      </c>
      <c r="AH238" s="4" t="s">
        <v>959</v>
      </c>
      <c r="AI238" s="4" t="s">
        <v>469</v>
      </c>
    </row>
    <row r="239" spans="1:35" ht="72" x14ac:dyDescent="0.3">
      <c r="A239" s="10" t="s">
        <v>960</v>
      </c>
      <c r="B239" s="10"/>
      <c r="C239" s="17" t="s">
        <v>961</v>
      </c>
      <c r="D239" s="12"/>
      <c r="E239" s="12" t="s">
        <v>962</v>
      </c>
      <c r="F239" s="18" t="s">
        <v>258</v>
      </c>
      <c r="G239" s="19">
        <v>1.1000000000000001</v>
      </c>
      <c r="H239" s="24"/>
      <c r="I239" s="24">
        <v>4538.9080000000004</v>
      </c>
      <c r="J239" s="20">
        <v>350.49</v>
      </c>
      <c r="M239" s="21">
        <f>ROUND(ROUND(J239, 2)*I239, 2)</f>
        <v>1590841.86</v>
      </c>
      <c r="P239" s="22">
        <v>350.49</v>
      </c>
      <c r="S239" s="21">
        <f>ROUND(ROUND(P239, 2)*I239, 2)</f>
        <v>1590841.86</v>
      </c>
      <c r="V239" s="9">
        <f>ROUND(ROUND(P239, 2)/1.2, 2)</f>
        <v>292.08</v>
      </c>
      <c r="Y239" s="9">
        <f t="shared" si="18"/>
        <v>1325701.55</v>
      </c>
      <c r="AD239" s="4" t="s">
        <v>963</v>
      </c>
      <c r="AE239" s="4" t="s">
        <v>964</v>
      </c>
      <c r="AF239" s="4" t="s">
        <v>965</v>
      </c>
    </row>
    <row r="240" spans="1:35" ht="144" x14ac:dyDescent="0.3">
      <c r="A240" s="10" t="s">
        <v>966</v>
      </c>
      <c r="B240" s="10" t="s">
        <v>967</v>
      </c>
      <c r="C240" s="11" t="s">
        <v>968</v>
      </c>
      <c r="D240" s="12"/>
      <c r="E240" s="12" t="s">
        <v>969</v>
      </c>
      <c r="F240" s="12" t="s">
        <v>58</v>
      </c>
      <c r="G240" s="13">
        <v>1</v>
      </c>
      <c r="H240" s="13"/>
      <c r="I240" s="13">
        <v>225.06</v>
      </c>
      <c r="J240" s="14">
        <f>IFERROR(ROUND(SUM(M241,M242,M243,M244)/I240, 2),0)</f>
        <v>4597.0200000000004</v>
      </c>
      <c r="K240" s="15">
        <v>2310</v>
      </c>
      <c r="L240" s="14">
        <f>J240+ROUND(K240, 2)</f>
        <v>6907.02</v>
      </c>
      <c r="M240" s="14">
        <f>ROUND(J240*I240, 2)</f>
        <v>1034605.32</v>
      </c>
      <c r="N240" s="14">
        <f>ROUND(I240*ROUND(K240, 2), 2)</f>
        <v>519888.6</v>
      </c>
      <c r="O240" s="14">
        <f>M240+N240</f>
        <v>1554493.92</v>
      </c>
      <c r="P240" s="14">
        <f>IFERROR(ROUND(SUM(S241,S242,S243,S244)/I240, 2),0)</f>
        <v>4597.0200000000004</v>
      </c>
      <c r="Q240" s="16">
        <v>3300</v>
      </c>
      <c r="R240" s="14">
        <f>P240+ROUND(Q240, 2)</f>
        <v>7897.02</v>
      </c>
      <c r="S240" s="14">
        <f>ROUND(P240*I240, 2)</f>
        <v>1034605.32</v>
      </c>
      <c r="T240" s="14">
        <f>ROUND(I240*ROUND(Q240, 2), 2)</f>
        <v>742698</v>
      </c>
      <c r="U240" s="14">
        <f>S240+T240</f>
        <v>1777303.3199999998</v>
      </c>
      <c r="V240" s="9">
        <f>ROUND(P240 / 1.2, 2)</f>
        <v>3830.85</v>
      </c>
      <c r="W240" s="9">
        <f>ROUND(Q240 / 1.2, 2)</f>
        <v>2750</v>
      </c>
      <c r="X240" s="9">
        <f>ROUND(R240 / 1.2, 2)</f>
        <v>6580.85</v>
      </c>
      <c r="Y240" s="9">
        <f t="shared" si="18"/>
        <v>862171.1</v>
      </c>
      <c r="Z240" s="9">
        <f>ROUND(T240 / 1.2, 2)</f>
        <v>618915</v>
      </c>
      <c r="AA240" s="9">
        <f>Y240+Z240</f>
        <v>1481086.1</v>
      </c>
      <c r="AD240" s="4">
        <v>311044354</v>
      </c>
      <c r="AE240" s="4">
        <v>22896620</v>
      </c>
      <c r="AG240" s="4" t="s">
        <v>970</v>
      </c>
      <c r="AH240" s="4" t="s">
        <v>971</v>
      </c>
      <c r="AI240" s="4" t="s">
        <v>469</v>
      </c>
    </row>
    <row r="241" spans="1:35" ht="54" x14ac:dyDescent="0.3">
      <c r="A241" s="10" t="s">
        <v>972</v>
      </c>
      <c r="B241" s="10"/>
      <c r="C241" s="23" t="s">
        <v>973</v>
      </c>
      <c r="D241" s="12"/>
      <c r="E241" s="12" t="s">
        <v>974</v>
      </c>
      <c r="F241" s="18" t="s">
        <v>139</v>
      </c>
      <c r="G241" s="19">
        <v>4</v>
      </c>
      <c r="H241" s="19"/>
      <c r="I241" s="19">
        <v>900.24</v>
      </c>
      <c r="J241" s="20">
        <v>1118.74</v>
      </c>
      <c r="M241" s="21">
        <f>ROUND(ROUND(J241, 2)*I241, 2)</f>
        <v>1007134.5</v>
      </c>
      <c r="P241" s="22">
        <v>1118.74</v>
      </c>
      <c r="S241" s="21">
        <f>ROUND(ROUND(P241, 2)*I241, 2)</f>
        <v>1007134.5</v>
      </c>
      <c r="V241" s="9">
        <f>ROUND(ROUND(P241, 2)/1.2, 2)</f>
        <v>932.28</v>
      </c>
      <c r="Y241" s="9">
        <f t="shared" si="18"/>
        <v>839278.75</v>
      </c>
      <c r="AD241" s="4" t="s">
        <v>975</v>
      </c>
      <c r="AE241" s="4" t="s">
        <v>976</v>
      </c>
      <c r="AF241" s="4" t="s">
        <v>977</v>
      </c>
    </row>
    <row r="242" spans="1:35" ht="36" x14ac:dyDescent="0.3">
      <c r="A242" s="10" t="s">
        <v>978</v>
      </c>
      <c r="B242" s="10"/>
      <c r="C242" s="23" t="s">
        <v>979</v>
      </c>
      <c r="D242" s="12"/>
      <c r="E242" s="12"/>
      <c r="F242" s="18" t="s">
        <v>99</v>
      </c>
      <c r="G242" s="19">
        <v>1.2</v>
      </c>
      <c r="H242" s="24"/>
      <c r="I242" s="24">
        <v>1350.36</v>
      </c>
      <c r="J242" s="20">
        <v>16.38</v>
      </c>
      <c r="M242" s="21">
        <f>ROUND(ROUND(J242, 2)*I242, 2)</f>
        <v>22118.9</v>
      </c>
      <c r="P242" s="22">
        <v>16.38</v>
      </c>
      <c r="S242" s="21">
        <f>ROUND(ROUND(P242, 2)*I242, 2)</f>
        <v>22118.9</v>
      </c>
      <c r="V242" s="9">
        <f>ROUND(ROUND(P242, 2)/1.2, 2)</f>
        <v>13.65</v>
      </c>
      <c r="Y242" s="9">
        <f t="shared" si="18"/>
        <v>18432.419999999998</v>
      </c>
      <c r="AD242" s="4" t="s">
        <v>980</v>
      </c>
      <c r="AE242" s="4" t="s">
        <v>981</v>
      </c>
      <c r="AF242" s="4" t="s">
        <v>982</v>
      </c>
    </row>
    <row r="243" spans="1:35" ht="18" x14ac:dyDescent="0.3">
      <c r="A243" s="10" t="s">
        <v>983</v>
      </c>
      <c r="B243" s="10"/>
      <c r="C243" s="17" t="s">
        <v>984</v>
      </c>
      <c r="D243" s="12"/>
      <c r="E243" s="12"/>
      <c r="F243" s="18" t="s">
        <v>99</v>
      </c>
      <c r="G243" s="19">
        <v>0.25</v>
      </c>
      <c r="H243" s="19"/>
      <c r="I243" s="19">
        <v>56.265000000000001</v>
      </c>
      <c r="J243" s="20">
        <v>40.94</v>
      </c>
      <c r="M243" s="21">
        <f>ROUND(ROUND(J243, 2)*I243, 2)</f>
        <v>2303.4899999999998</v>
      </c>
      <c r="P243" s="22">
        <v>40.94</v>
      </c>
      <c r="S243" s="21">
        <f>ROUND(ROUND(P243, 2)*I243, 2)</f>
        <v>2303.4899999999998</v>
      </c>
      <c r="V243" s="9">
        <f>ROUND(ROUND(P243, 2)/1.2, 2)</f>
        <v>34.119999999999997</v>
      </c>
      <c r="Y243" s="9">
        <f t="shared" si="18"/>
        <v>1919.58</v>
      </c>
      <c r="AD243" s="4" t="s">
        <v>985</v>
      </c>
      <c r="AE243" s="4" t="s">
        <v>986</v>
      </c>
      <c r="AF243" s="4" t="s">
        <v>987</v>
      </c>
    </row>
    <row r="244" spans="1:35" ht="36" x14ac:dyDescent="0.3">
      <c r="A244" s="10" t="s">
        <v>988</v>
      </c>
      <c r="B244" s="10"/>
      <c r="C244" s="17" t="s">
        <v>720</v>
      </c>
      <c r="D244" s="12"/>
      <c r="E244" s="12"/>
      <c r="F244" s="18" t="s">
        <v>99</v>
      </c>
      <c r="G244" s="19">
        <v>0.15</v>
      </c>
      <c r="H244" s="19"/>
      <c r="I244" s="19">
        <v>33.759</v>
      </c>
      <c r="J244" s="20">
        <v>90.28</v>
      </c>
      <c r="M244" s="21">
        <f>ROUND(ROUND(J244, 2)*I244, 2)</f>
        <v>3047.76</v>
      </c>
      <c r="P244" s="22">
        <v>90.28</v>
      </c>
      <c r="S244" s="21">
        <f>ROUND(ROUND(P244, 2)*I244, 2)</f>
        <v>3047.76</v>
      </c>
      <c r="V244" s="9">
        <f>ROUND(ROUND(P244, 2)/1.2, 2)</f>
        <v>75.23</v>
      </c>
      <c r="Y244" s="9">
        <f t="shared" si="18"/>
        <v>2539.8000000000002</v>
      </c>
      <c r="AD244" s="4" t="s">
        <v>989</v>
      </c>
      <c r="AE244" s="4" t="s">
        <v>990</v>
      </c>
      <c r="AF244" s="4" t="s">
        <v>723</v>
      </c>
    </row>
    <row r="245" spans="1:35" ht="144" x14ac:dyDescent="0.3">
      <c r="A245" s="10" t="s">
        <v>991</v>
      </c>
      <c r="B245" s="10" t="s">
        <v>967</v>
      </c>
      <c r="C245" s="11" t="s">
        <v>968</v>
      </c>
      <c r="D245" s="12"/>
      <c r="E245" s="12" t="s">
        <v>992</v>
      </c>
      <c r="F245" s="12" t="s">
        <v>58</v>
      </c>
      <c r="G245" s="13">
        <v>1</v>
      </c>
      <c r="H245" s="13"/>
      <c r="I245" s="13">
        <v>107.84</v>
      </c>
      <c r="J245" s="14">
        <f>IFERROR(ROUND(SUM(M246,M247,M248,M249)/I245, 2),0)</f>
        <v>1570.26</v>
      </c>
      <c r="K245" s="15">
        <v>2310</v>
      </c>
      <c r="L245" s="14">
        <f>J245+ROUND(K245, 2)</f>
        <v>3880.26</v>
      </c>
      <c r="M245" s="14">
        <f>ROUND(J245*I245, 2)</f>
        <v>169336.84</v>
      </c>
      <c r="N245" s="14">
        <f>ROUND(I245*ROUND(K245, 2), 2)</f>
        <v>249110.39999999999</v>
      </c>
      <c r="O245" s="14">
        <f>M245+N245</f>
        <v>418447.24</v>
      </c>
      <c r="P245" s="14">
        <f>IFERROR(ROUND(SUM(S246,S247,S248,S249)/I245, 2),0)</f>
        <v>1570.26</v>
      </c>
      <c r="Q245" s="16">
        <v>3300</v>
      </c>
      <c r="R245" s="14">
        <f>P245+ROUND(Q245, 2)</f>
        <v>4870.26</v>
      </c>
      <c r="S245" s="14">
        <f>ROUND(P245*I245, 2)</f>
        <v>169336.84</v>
      </c>
      <c r="T245" s="14">
        <f>ROUND(I245*ROUND(Q245, 2), 2)</f>
        <v>355872</v>
      </c>
      <c r="U245" s="14">
        <f>S245+T245</f>
        <v>525208.84</v>
      </c>
      <c r="V245" s="9">
        <f>ROUND(P245 / 1.2, 2)</f>
        <v>1308.55</v>
      </c>
      <c r="W245" s="9">
        <f>ROUND(Q245 / 1.2, 2)</f>
        <v>2750</v>
      </c>
      <c r="X245" s="9">
        <f>ROUND(R245 / 1.2, 2)</f>
        <v>4058.55</v>
      </c>
      <c r="Y245" s="9">
        <f t="shared" si="18"/>
        <v>141114.03</v>
      </c>
      <c r="Z245" s="9">
        <f>ROUND(T245 / 1.2, 2)</f>
        <v>296560</v>
      </c>
      <c r="AA245" s="9">
        <f>Y245+Z245</f>
        <v>437674.03</v>
      </c>
      <c r="AD245" s="4">
        <v>311044439</v>
      </c>
      <c r="AE245" s="4">
        <v>22896621</v>
      </c>
      <c r="AG245" s="4" t="s">
        <v>970</v>
      </c>
      <c r="AH245" s="4" t="s">
        <v>971</v>
      </c>
      <c r="AI245" s="4" t="s">
        <v>469</v>
      </c>
    </row>
    <row r="246" spans="1:35" ht="36" x14ac:dyDescent="0.3">
      <c r="A246" s="10" t="s">
        <v>993</v>
      </c>
      <c r="B246" s="10"/>
      <c r="C246" s="17" t="s">
        <v>720</v>
      </c>
      <c r="D246" s="12"/>
      <c r="E246" s="12"/>
      <c r="F246" s="18" t="s">
        <v>99</v>
      </c>
      <c r="G246" s="19">
        <v>0.15</v>
      </c>
      <c r="H246" s="19"/>
      <c r="I246" s="19">
        <v>16.175999999999998</v>
      </c>
      <c r="J246" s="20">
        <v>90.28</v>
      </c>
      <c r="M246" s="21">
        <f>ROUND(ROUND(J246, 2)*I246, 2)</f>
        <v>1460.37</v>
      </c>
      <c r="P246" s="22">
        <v>90.28</v>
      </c>
      <c r="S246" s="21">
        <f>ROUND(ROUND(P246, 2)*I246, 2)</f>
        <v>1460.37</v>
      </c>
      <c r="V246" s="9">
        <f>ROUND(ROUND(P246, 2)/1.2, 2)</f>
        <v>75.23</v>
      </c>
      <c r="Y246" s="9">
        <f t="shared" si="18"/>
        <v>1216.98</v>
      </c>
      <c r="AD246" s="4" t="s">
        <v>994</v>
      </c>
      <c r="AE246" s="4" t="s">
        <v>995</v>
      </c>
      <c r="AF246" s="4" t="s">
        <v>723</v>
      </c>
    </row>
    <row r="247" spans="1:35" ht="18" x14ac:dyDescent="0.3">
      <c r="A247" s="10" t="s">
        <v>996</v>
      </c>
      <c r="B247" s="10"/>
      <c r="C247" s="17" t="s">
        <v>984</v>
      </c>
      <c r="D247" s="12"/>
      <c r="E247" s="12"/>
      <c r="F247" s="18" t="s">
        <v>99</v>
      </c>
      <c r="G247" s="19">
        <v>0.25</v>
      </c>
      <c r="H247" s="19"/>
      <c r="I247" s="19">
        <v>26.96</v>
      </c>
      <c r="J247" s="20">
        <v>40.94</v>
      </c>
      <c r="M247" s="21">
        <f>ROUND(ROUND(J247, 2)*I247, 2)</f>
        <v>1103.74</v>
      </c>
      <c r="P247" s="22">
        <v>40.94</v>
      </c>
      <c r="S247" s="21">
        <f>ROUND(ROUND(P247, 2)*I247, 2)</f>
        <v>1103.74</v>
      </c>
      <c r="V247" s="9">
        <f>ROUND(ROUND(P247, 2)/1.2, 2)</f>
        <v>34.119999999999997</v>
      </c>
      <c r="Y247" s="9">
        <f t="shared" si="18"/>
        <v>919.78</v>
      </c>
      <c r="AD247" s="4" t="s">
        <v>997</v>
      </c>
      <c r="AE247" s="4" t="s">
        <v>998</v>
      </c>
      <c r="AF247" s="4" t="s">
        <v>987</v>
      </c>
    </row>
    <row r="248" spans="1:35" ht="36" x14ac:dyDescent="0.3">
      <c r="A248" s="10" t="s">
        <v>999</v>
      </c>
      <c r="B248" s="10"/>
      <c r="C248" s="23" t="s">
        <v>979</v>
      </c>
      <c r="D248" s="12"/>
      <c r="E248" s="12"/>
      <c r="F248" s="18" t="s">
        <v>99</v>
      </c>
      <c r="G248" s="19">
        <v>1.2</v>
      </c>
      <c r="H248" s="24"/>
      <c r="I248" s="24">
        <v>647.04</v>
      </c>
      <c r="J248" s="20">
        <v>16.38</v>
      </c>
      <c r="M248" s="21">
        <f>ROUND(ROUND(J248, 2)*I248, 2)</f>
        <v>10598.52</v>
      </c>
      <c r="P248" s="22">
        <v>16.38</v>
      </c>
      <c r="S248" s="21">
        <f>ROUND(ROUND(P248, 2)*I248, 2)</f>
        <v>10598.52</v>
      </c>
      <c r="V248" s="9">
        <f>ROUND(ROUND(P248, 2)/1.2, 2)</f>
        <v>13.65</v>
      </c>
      <c r="Y248" s="9">
        <f t="shared" si="18"/>
        <v>8832.1</v>
      </c>
      <c r="AD248" s="4" t="s">
        <v>1000</v>
      </c>
      <c r="AE248" s="4" t="s">
        <v>1001</v>
      </c>
      <c r="AF248" s="4" t="s">
        <v>982</v>
      </c>
    </row>
    <row r="249" spans="1:35" ht="54" x14ac:dyDescent="0.3">
      <c r="A249" s="10" t="s">
        <v>1002</v>
      </c>
      <c r="B249" s="10"/>
      <c r="C249" s="17" t="s">
        <v>1003</v>
      </c>
      <c r="D249" s="12"/>
      <c r="E249" s="12" t="s">
        <v>1004</v>
      </c>
      <c r="F249" s="18" t="s">
        <v>139</v>
      </c>
      <c r="G249" s="19">
        <v>4</v>
      </c>
      <c r="H249" s="19"/>
      <c r="I249" s="19">
        <v>431.36</v>
      </c>
      <c r="J249" s="20">
        <v>362.05</v>
      </c>
      <c r="M249" s="21">
        <f>ROUND(ROUND(J249, 2)*I249, 2)</f>
        <v>156173.89000000001</v>
      </c>
      <c r="P249" s="22">
        <v>362.05</v>
      </c>
      <c r="S249" s="21">
        <f>ROUND(ROUND(P249, 2)*I249, 2)</f>
        <v>156173.89000000001</v>
      </c>
      <c r="V249" s="9">
        <f>ROUND(ROUND(P249, 2)/1.2, 2)</f>
        <v>301.70999999999998</v>
      </c>
      <c r="Y249" s="9">
        <f t="shared" si="18"/>
        <v>130144.91</v>
      </c>
      <c r="AD249" s="4" t="s">
        <v>1005</v>
      </c>
      <c r="AE249" s="4" t="s">
        <v>1006</v>
      </c>
      <c r="AF249" s="4" t="s">
        <v>1007</v>
      </c>
    </row>
    <row r="250" spans="1:35" ht="126" x14ac:dyDescent="0.3">
      <c r="A250" s="10" t="s">
        <v>1008</v>
      </c>
      <c r="B250" s="10" t="s">
        <v>967</v>
      </c>
      <c r="C250" s="11" t="s">
        <v>968</v>
      </c>
      <c r="D250" s="12"/>
      <c r="E250" s="12" t="s">
        <v>1009</v>
      </c>
      <c r="F250" s="12" t="s">
        <v>58</v>
      </c>
      <c r="G250" s="13">
        <v>1</v>
      </c>
      <c r="H250" s="13"/>
      <c r="I250" s="13">
        <v>177.36</v>
      </c>
      <c r="J250" s="14">
        <f>IFERROR(ROUND(SUM(M251,M252,M253,M254)/I250, 2),0)</f>
        <v>4597.0200000000004</v>
      </c>
      <c r="K250" s="15">
        <v>2310</v>
      </c>
      <c r="L250" s="14">
        <f>J250+ROUND(K250, 2)</f>
        <v>6907.02</v>
      </c>
      <c r="M250" s="14">
        <f>ROUND(J250*I250, 2)</f>
        <v>815327.47</v>
      </c>
      <c r="N250" s="14">
        <f>ROUND(I250*ROUND(K250, 2), 2)</f>
        <v>409701.6</v>
      </c>
      <c r="O250" s="14">
        <f>M250+N250</f>
        <v>1225029.0699999998</v>
      </c>
      <c r="P250" s="14">
        <f>IFERROR(ROUND(SUM(S251,S252,S253,S254)/I250, 2),0)</f>
        <v>4597.0200000000004</v>
      </c>
      <c r="Q250" s="16">
        <v>3300</v>
      </c>
      <c r="R250" s="14">
        <f>P250+ROUND(Q250, 2)</f>
        <v>7897.02</v>
      </c>
      <c r="S250" s="14">
        <f>ROUND(P250*I250, 2)</f>
        <v>815327.47</v>
      </c>
      <c r="T250" s="14">
        <f>ROUND(I250*ROUND(Q250, 2), 2)</f>
        <v>585288</v>
      </c>
      <c r="U250" s="14">
        <f>S250+T250</f>
        <v>1400615.47</v>
      </c>
      <c r="V250" s="9">
        <f>ROUND(P250 / 1.2, 2)</f>
        <v>3830.85</v>
      </c>
      <c r="W250" s="9">
        <f>ROUND(Q250 / 1.2, 2)</f>
        <v>2750</v>
      </c>
      <c r="X250" s="9">
        <f>ROUND(R250 / 1.2, 2)</f>
        <v>6580.85</v>
      </c>
      <c r="Y250" s="9">
        <f t="shared" si="18"/>
        <v>679439.56</v>
      </c>
      <c r="Z250" s="9">
        <f>ROUND(T250 / 1.2, 2)</f>
        <v>487740</v>
      </c>
      <c r="AA250" s="9">
        <f>Y250+Z250</f>
        <v>1167179.56</v>
      </c>
      <c r="AD250" s="4">
        <v>311044440</v>
      </c>
      <c r="AE250" s="4">
        <v>22896623</v>
      </c>
      <c r="AG250" s="4" t="s">
        <v>970</v>
      </c>
      <c r="AH250" s="4" t="s">
        <v>971</v>
      </c>
      <c r="AI250" s="4" t="s">
        <v>469</v>
      </c>
    </row>
    <row r="251" spans="1:35" ht="54" x14ac:dyDescent="0.3">
      <c r="A251" s="10" t="s">
        <v>1010</v>
      </c>
      <c r="B251" s="10"/>
      <c r="C251" s="23" t="s">
        <v>973</v>
      </c>
      <c r="D251" s="12"/>
      <c r="E251" s="12" t="s">
        <v>1011</v>
      </c>
      <c r="F251" s="18" t="s">
        <v>139</v>
      </c>
      <c r="G251" s="19">
        <v>4</v>
      </c>
      <c r="H251" s="19"/>
      <c r="I251" s="19">
        <v>709.44</v>
      </c>
      <c r="J251" s="20">
        <v>1118.74</v>
      </c>
      <c r="M251" s="21">
        <f>ROUND(ROUND(J251, 2)*I251, 2)</f>
        <v>793678.91</v>
      </c>
      <c r="P251" s="22">
        <v>1118.74</v>
      </c>
      <c r="S251" s="21">
        <f>ROUND(ROUND(P251, 2)*I251, 2)</f>
        <v>793678.91</v>
      </c>
      <c r="V251" s="9">
        <f>ROUND(ROUND(P251, 2)/1.2, 2)</f>
        <v>932.28</v>
      </c>
      <c r="Y251" s="9">
        <f t="shared" si="18"/>
        <v>661399.09</v>
      </c>
      <c r="AD251" s="4" t="s">
        <v>1012</v>
      </c>
      <c r="AE251" s="4" t="s">
        <v>1013</v>
      </c>
      <c r="AF251" s="4" t="s">
        <v>977</v>
      </c>
    </row>
    <row r="252" spans="1:35" ht="36" x14ac:dyDescent="0.3">
      <c r="A252" s="10" t="s">
        <v>1014</v>
      </c>
      <c r="B252" s="10"/>
      <c r="C252" s="23" t="s">
        <v>979</v>
      </c>
      <c r="D252" s="12"/>
      <c r="E252" s="12"/>
      <c r="F252" s="18" t="s">
        <v>99</v>
      </c>
      <c r="G252" s="19">
        <v>1.2</v>
      </c>
      <c r="H252" s="24"/>
      <c r="I252" s="24">
        <v>1064.1600000000001</v>
      </c>
      <c r="J252" s="20">
        <v>16.38</v>
      </c>
      <c r="M252" s="21">
        <f>ROUND(ROUND(J252, 2)*I252, 2)</f>
        <v>17430.939999999999</v>
      </c>
      <c r="P252" s="22">
        <v>16.38</v>
      </c>
      <c r="S252" s="21">
        <f>ROUND(ROUND(P252, 2)*I252, 2)</f>
        <v>17430.939999999999</v>
      </c>
      <c r="V252" s="9">
        <f>ROUND(ROUND(P252, 2)/1.2, 2)</f>
        <v>13.65</v>
      </c>
      <c r="Y252" s="9">
        <f t="shared" si="18"/>
        <v>14525.78</v>
      </c>
      <c r="AD252" s="4" t="s">
        <v>1015</v>
      </c>
      <c r="AE252" s="4" t="s">
        <v>1016</v>
      </c>
      <c r="AF252" s="4" t="s">
        <v>982</v>
      </c>
    </row>
    <row r="253" spans="1:35" ht="18" x14ac:dyDescent="0.3">
      <c r="A253" s="10" t="s">
        <v>1017</v>
      </c>
      <c r="B253" s="10"/>
      <c r="C253" s="17" t="s">
        <v>984</v>
      </c>
      <c r="D253" s="12"/>
      <c r="E253" s="12"/>
      <c r="F253" s="18" t="s">
        <v>99</v>
      </c>
      <c r="G253" s="19">
        <v>0.25</v>
      </c>
      <c r="H253" s="19"/>
      <c r="I253" s="19">
        <v>44.34</v>
      </c>
      <c r="J253" s="20">
        <v>40.94</v>
      </c>
      <c r="M253" s="21">
        <f>ROUND(ROUND(J253, 2)*I253, 2)</f>
        <v>1815.28</v>
      </c>
      <c r="P253" s="22">
        <v>40.94</v>
      </c>
      <c r="S253" s="21">
        <f>ROUND(ROUND(P253, 2)*I253, 2)</f>
        <v>1815.28</v>
      </c>
      <c r="V253" s="9">
        <f>ROUND(ROUND(P253, 2)/1.2, 2)</f>
        <v>34.119999999999997</v>
      </c>
      <c r="Y253" s="9">
        <f t="shared" si="18"/>
        <v>1512.73</v>
      </c>
      <c r="AD253" s="4" t="s">
        <v>1018</v>
      </c>
      <c r="AE253" s="4" t="s">
        <v>1019</v>
      </c>
      <c r="AF253" s="4" t="s">
        <v>987</v>
      </c>
    </row>
    <row r="254" spans="1:35" ht="36" x14ac:dyDescent="0.3">
      <c r="A254" s="10" t="s">
        <v>1020</v>
      </c>
      <c r="B254" s="10"/>
      <c r="C254" s="17" t="s">
        <v>720</v>
      </c>
      <c r="D254" s="12"/>
      <c r="E254" s="12"/>
      <c r="F254" s="18" t="s">
        <v>99</v>
      </c>
      <c r="G254" s="19">
        <v>0.15</v>
      </c>
      <c r="H254" s="19"/>
      <c r="I254" s="19">
        <v>26.603999999999999</v>
      </c>
      <c r="J254" s="20">
        <v>90.28</v>
      </c>
      <c r="M254" s="21">
        <f>ROUND(ROUND(J254, 2)*I254, 2)</f>
        <v>2401.81</v>
      </c>
      <c r="P254" s="22">
        <v>90.28</v>
      </c>
      <c r="S254" s="21">
        <f>ROUND(ROUND(P254, 2)*I254, 2)</f>
        <v>2401.81</v>
      </c>
      <c r="V254" s="9">
        <f>ROUND(ROUND(P254, 2)/1.2, 2)</f>
        <v>75.23</v>
      </c>
      <c r="Y254" s="9">
        <f t="shared" si="18"/>
        <v>2001.51</v>
      </c>
      <c r="AD254" s="4" t="s">
        <v>1021</v>
      </c>
      <c r="AE254" s="4" t="s">
        <v>1022</v>
      </c>
      <c r="AF254" s="4" t="s">
        <v>723</v>
      </c>
    </row>
    <row r="255" spans="1:35" ht="108" x14ac:dyDescent="0.3">
      <c r="A255" s="10" t="s">
        <v>1023</v>
      </c>
      <c r="B255" s="10" t="s">
        <v>967</v>
      </c>
      <c r="C255" s="11" t="s">
        <v>968</v>
      </c>
      <c r="D255" s="12"/>
      <c r="E255" s="12" t="s">
        <v>1024</v>
      </c>
      <c r="F255" s="12" t="s">
        <v>58</v>
      </c>
      <c r="G255" s="13">
        <v>1</v>
      </c>
      <c r="H255" s="13"/>
      <c r="I255" s="13">
        <v>28.49</v>
      </c>
      <c r="J255" s="14">
        <f>IFERROR(ROUND(SUM(M256,M257,M258,M259)/I255, 2),0)</f>
        <v>1570.26</v>
      </c>
      <c r="K255" s="15">
        <v>2310</v>
      </c>
      <c r="L255" s="14">
        <f>J255+ROUND(K255, 2)</f>
        <v>3880.26</v>
      </c>
      <c r="M255" s="14">
        <f>ROUND(J255*I255, 2)</f>
        <v>44736.71</v>
      </c>
      <c r="N255" s="14">
        <f>ROUND(I255*ROUND(K255, 2), 2)</f>
        <v>65811.899999999994</v>
      </c>
      <c r="O255" s="14">
        <f>M255+N255</f>
        <v>110548.60999999999</v>
      </c>
      <c r="P255" s="14">
        <f>IFERROR(ROUND(SUM(S256,S257,S258,S259)/I255, 2),0)</f>
        <v>1570.26</v>
      </c>
      <c r="Q255" s="16">
        <v>3300</v>
      </c>
      <c r="R255" s="14">
        <f>P255+ROUND(Q255, 2)</f>
        <v>4870.26</v>
      </c>
      <c r="S255" s="14">
        <f>ROUND(P255*I255, 2)</f>
        <v>44736.71</v>
      </c>
      <c r="T255" s="14">
        <f>ROUND(I255*ROUND(Q255, 2), 2)</f>
        <v>94017</v>
      </c>
      <c r="U255" s="14">
        <f>S255+T255</f>
        <v>138753.71</v>
      </c>
      <c r="V255" s="9">
        <f>ROUND(P255 / 1.2, 2)</f>
        <v>1308.55</v>
      </c>
      <c r="W255" s="9">
        <f>ROUND(Q255 / 1.2, 2)</f>
        <v>2750</v>
      </c>
      <c r="X255" s="9">
        <f>ROUND(R255 / 1.2, 2)</f>
        <v>4058.55</v>
      </c>
      <c r="Y255" s="9">
        <f t="shared" si="18"/>
        <v>37280.589999999997</v>
      </c>
      <c r="Z255" s="9">
        <f>ROUND(T255 / 1.2, 2)</f>
        <v>78347.5</v>
      </c>
      <c r="AA255" s="9">
        <f>Y255+Z255</f>
        <v>115628.09</v>
      </c>
      <c r="AD255" s="4">
        <v>311044441</v>
      </c>
      <c r="AE255" s="4">
        <v>22896626</v>
      </c>
      <c r="AG255" s="4" t="s">
        <v>970</v>
      </c>
      <c r="AH255" s="4" t="s">
        <v>971</v>
      </c>
      <c r="AI255" s="4" t="s">
        <v>469</v>
      </c>
    </row>
    <row r="256" spans="1:35" ht="36" x14ac:dyDescent="0.3">
      <c r="A256" s="10" t="s">
        <v>1025</v>
      </c>
      <c r="B256" s="10"/>
      <c r="C256" s="17" t="s">
        <v>720</v>
      </c>
      <c r="D256" s="12"/>
      <c r="E256" s="12"/>
      <c r="F256" s="18" t="s">
        <v>99</v>
      </c>
      <c r="G256" s="19">
        <v>0.15</v>
      </c>
      <c r="H256" s="19"/>
      <c r="I256" s="19">
        <v>4.274</v>
      </c>
      <c r="J256" s="20">
        <v>90.28</v>
      </c>
      <c r="M256" s="21">
        <f>ROUND(ROUND(J256, 2)*I256, 2)</f>
        <v>385.86</v>
      </c>
      <c r="P256" s="22">
        <v>90.28</v>
      </c>
      <c r="S256" s="21">
        <f>ROUND(ROUND(P256, 2)*I256, 2)</f>
        <v>385.86</v>
      </c>
      <c r="V256" s="9">
        <f>ROUND(ROUND(P256, 2)/1.2, 2)</f>
        <v>75.23</v>
      </c>
      <c r="Y256" s="9">
        <f t="shared" si="18"/>
        <v>321.55</v>
      </c>
      <c r="AD256" s="4" t="s">
        <v>1026</v>
      </c>
      <c r="AE256" s="4" t="s">
        <v>1027</v>
      </c>
      <c r="AF256" s="4" t="s">
        <v>723</v>
      </c>
    </row>
    <row r="257" spans="1:35" ht="18" x14ac:dyDescent="0.3">
      <c r="A257" s="10" t="s">
        <v>1028</v>
      </c>
      <c r="B257" s="10"/>
      <c r="C257" s="17" t="s">
        <v>984</v>
      </c>
      <c r="D257" s="12"/>
      <c r="E257" s="12"/>
      <c r="F257" s="18" t="s">
        <v>99</v>
      </c>
      <c r="G257" s="19">
        <v>0.25</v>
      </c>
      <c r="H257" s="19"/>
      <c r="I257" s="19">
        <v>7.1230000000000002</v>
      </c>
      <c r="J257" s="20">
        <v>40.94</v>
      </c>
      <c r="M257" s="21">
        <f>ROUND(ROUND(J257, 2)*I257, 2)</f>
        <v>291.62</v>
      </c>
      <c r="P257" s="22">
        <v>40.94</v>
      </c>
      <c r="S257" s="21">
        <f>ROUND(ROUND(P257, 2)*I257, 2)</f>
        <v>291.62</v>
      </c>
      <c r="V257" s="9">
        <f>ROUND(ROUND(P257, 2)/1.2, 2)</f>
        <v>34.119999999999997</v>
      </c>
      <c r="Y257" s="9">
        <f t="shared" si="18"/>
        <v>243.02</v>
      </c>
      <c r="AD257" s="4" t="s">
        <v>1029</v>
      </c>
      <c r="AE257" s="4" t="s">
        <v>1030</v>
      </c>
      <c r="AF257" s="4" t="s">
        <v>987</v>
      </c>
    </row>
    <row r="258" spans="1:35" ht="36" x14ac:dyDescent="0.3">
      <c r="A258" s="10" t="s">
        <v>1031</v>
      </c>
      <c r="B258" s="10"/>
      <c r="C258" s="23" t="s">
        <v>979</v>
      </c>
      <c r="D258" s="12"/>
      <c r="E258" s="12"/>
      <c r="F258" s="18" t="s">
        <v>99</v>
      </c>
      <c r="G258" s="19">
        <v>1.2</v>
      </c>
      <c r="H258" s="24"/>
      <c r="I258" s="24">
        <v>170.94</v>
      </c>
      <c r="J258" s="20">
        <v>16.38</v>
      </c>
      <c r="M258" s="21">
        <f>ROUND(ROUND(J258, 2)*I258, 2)</f>
        <v>2800</v>
      </c>
      <c r="P258" s="22">
        <v>16.38</v>
      </c>
      <c r="S258" s="21">
        <f>ROUND(ROUND(P258, 2)*I258, 2)</f>
        <v>2800</v>
      </c>
      <c r="V258" s="9">
        <f>ROUND(ROUND(P258, 2)/1.2, 2)</f>
        <v>13.65</v>
      </c>
      <c r="Y258" s="9">
        <f t="shared" si="18"/>
        <v>2333.33</v>
      </c>
      <c r="AD258" s="4" t="s">
        <v>1032</v>
      </c>
      <c r="AE258" s="4" t="s">
        <v>1033</v>
      </c>
      <c r="AF258" s="4" t="s">
        <v>982</v>
      </c>
    </row>
    <row r="259" spans="1:35" ht="36" x14ac:dyDescent="0.3">
      <c r="A259" s="10" t="s">
        <v>1034</v>
      </c>
      <c r="B259" s="10"/>
      <c r="C259" s="17" t="s">
        <v>1003</v>
      </c>
      <c r="D259" s="12"/>
      <c r="E259" s="12" t="s">
        <v>1011</v>
      </c>
      <c r="F259" s="18" t="s">
        <v>139</v>
      </c>
      <c r="G259" s="19">
        <v>4</v>
      </c>
      <c r="H259" s="19"/>
      <c r="I259" s="19">
        <v>113.96</v>
      </c>
      <c r="J259" s="20">
        <v>362.05</v>
      </c>
      <c r="M259" s="21">
        <f>ROUND(ROUND(J259, 2)*I259, 2)</f>
        <v>41259.22</v>
      </c>
      <c r="P259" s="22">
        <v>362.05</v>
      </c>
      <c r="S259" s="21">
        <f>ROUND(ROUND(P259, 2)*I259, 2)</f>
        <v>41259.22</v>
      </c>
      <c r="V259" s="9">
        <f>ROUND(ROUND(P259, 2)/1.2, 2)</f>
        <v>301.70999999999998</v>
      </c>
      <c r="Y259" s="9">
        <f t="shared" si="18"/>
        <v>34382.68</v>
      </c>
      <c r="AD259" s="4" t="s">
        <v>1035</v>
      </c>
      <c r="AE259" s="4" t="s">
        <v>1036</v>
      </c>
      <c r="AF259" s="4" t="s">
        <v>1007</v>
      </c>
    </row>
    <row r="260" spans="1:35" ht="144" x14ac:dyDescent="0.3">
      <c r="A260" s="10" t="s">
        <v>1037</v>
      </c>
      <c r="B260" s="10" t="s">
        <v>1038</v>
      </c>
      <c r="C260" s="11" t="s">
        <v>1039</v>
      </c>
      <c r="D260" s="12"/>
      <c r="E260" s="12" t="s">
        <v>1040</v>
      </c>
      <c r="F260" s="12" t="s">
        <v>258</v>
      </c>
      <c r="G260" s="13">
        <v>1</v>
      </c>
      <c r="H260" s="13"/>
      <c r="I260" s="13">
        <v>1146.0999999999999</v>
      </c>
      <c r="J260" s="14">
        <f>IFERROR(ROUND(SUM(M261,M262,M263,M264)/I260, 2),0)</f>
        <v>255.17</v>
      </c>
      <c r="K260" s="15">
        <v>472.99</v>
      </c>
      <c r="L260" s="14">
        <f>J260+ROUND(K260, 2)</f>
        <v>728.16</v>
      </c>
      <c r="M260" s="14">
        <f>ROUND(J260*I260, 2)</f>
        <v>292450.34000000003</v>
      </c>
      <c r="N260" s="14">
        <f>ROUND(I260*ROUND(K260, 2), 2)</f>
        <v>542093.84</v>
      </c>
      <c r="O260" s="14">
        <f>M260+N260</f>
        <v>834544.17999999993</v>
      </c>
      <c r="P260" s="14">
        <f>IFERROR(ROUND(SUM(S261,S262,S263,S264)/I260, 2),0)</f>
        <v>255.17</v>
      </c>
      <c r="Q260" s="16">
        <v>675.7</v>
      </c>
      <c r="R260" s="14">
        <f>P260+ROUND(Q260, 2)</f>
        <v>930.87</v>
      </c>
      <c r="S260" s="14">
        <f>ROUND(P260*I260, 2)</f>
        <v>292450.34000000003</v>
      </c>
      <c r="T260" s="14">
        <f>ROUND(I260*ROUND(Q260, 2), 2)</f>
        <v>774419.77</v>
      </c>
      <c r="U260" s="14">
        <f>S260+T260</f>
        <v>1066870.1100000001</v>
      </c>
      <c r="V260" s="9">
        <f>ROUND(P260 / 1.2, 2)</f>
        <v>212.64</v>
      </c>
      <c r="W260" s="9">
        <f>ROUND(Q260 / 1.2, 2)</f>
        <v>563.08000000000004</v>
      </c>
      <c r="X260" s="9">
        <f>ROUND(R260 / 1.2, 2)</f>
        <v>775.73</v>
      </c>
      <c r="Y260" s="9">
        <f t="shared" si="18"/>
        <v>243708.62</v>
      </c>
      <c r="Z260" s="9">
        <f>ROUND(T260 / 1.2, 2)</f>
        <v>645349.81000000006</v>
      </c>
      <c r="AA260" s="9">
        <f>Y260+Z260</f>
        <v>889058.43</v>
      </c>
      <c r="AD260" s="4">
        <v>311044356</v>
      </c>
      <c r="AE260" s="4">
        <v>22896630</v>
      </c>
      <c r="AG260" s="4" t="s">
        <v>1041</v>
      </c>
      <c r="AH260" s="4" t="s">
        <v>1042</v>
      </c>
      <c r="AI260" s="4" t="s">
        <v>469</v>
      </c>
    </row>
    <row r="261" spans="1:35" ht="36" x14ac:dyDescent="0.3">
      <c r="A261" s="10" t="s">
        <v>1043</v>
      </c>
      <c r="B261" s="10"/>
      <c r="C261" s="17" t="s">
        <v>1044</v>
      </c>
      <c r="D261" s="12"/>
      <c r="E261" s="12"/>
      <c r="F261" s="18" t="s">
        <v>139</v>
      </c>
      <c r="G261" s="19">
        <v>1.84</v>
      </c>
      <c r="H261" s="24"/>
      <c r="I261" s="24">
        <v>2108.8240000000001</v>
      </c>
      <c r="J261" s="20">
        <v>130.82</v>
      </c>
      <c r="M261" s="21">
        <f>ROUND(ROUND(J261, 2)*I261, 2)</f>
        <v>275876.36</v>
      </c>
      <c r="P261" s="22">
        <v>130.82</v>
      </c>
      <c r="S261" s="21">
        <f>ROUND(ROUND(P261, 2)*I261, 2)</f>
        <v>275876.36</v>
      </c>
      <c r="V261" s="9">
        <f>ROUND(ROUND(P261, 2)/1.2, 2)</f>
        <v>109.02</v>
      </c>
      <c r="Y261" s="9">
        <f t="shared" si="18"/>
        <v>229896.97</v>
      </c>
      <c r="AD261" s="4" t="s">
        <v>1045</v>
      </c>
      <c r="AE261" s="4" t="s">
        <v>1046</v>
      </c>
      <c r="AF261" s="4" t="s">
        <v>1047</v>
      </c>
    </row>
    <row r="262" spans="1:35" ht="36" x14ac:dyDescent="0.3">
      <c r="A262" s="10" t="s">
        <v>1048</v>
      </c>
      <c r="B262" s="10"/>
      <c r="C262" s="23" t="s">
        <v>1049</v>
      </c>
      <c r="D262" s="12"/>
      <c r="E262" s="12"/>
      <c r="F262" s="18" t="s">
        <v>99</v>
      </c>
      <c r="G262" s="19">
        <v>0.7</v>
      </c>
      <c r="H262" s="24"/>
      <c r="I262" s="24">
        <v>802.27</v>
      </c>
      <c r="J262" s="20">
        <v>16.38</v>
      </c>
      <c r="M262" s="21">
        <f>ROUND(ROUND(J262, 2)*I262, 2)</f>
        <v>13141.18</v>
      </c>
      <c r="P262" s="22">
        <v>16.38</v>
      </c>
      <c r="S262" s="21">
        <f>ROUND(ROUND(P262, 2)*I262, 2)</f>
        <v>13141.18</v>
      </c>
      <c r="V262" s="9">
        <f>ROUND(ROUND(P262, 2)/1.2, 2)</f>
        <v>13.65</v>
      </c>
      <c r="Y262" s="9">
        <f t="shared" si="18"/>
        <v>10950.98</v>
      </c>
      <c r="AD262" s="4" t="s">
        <v>1050</v>
      </c>
      <c r="AE262" s="4" t="s">
        <v>1051</v>
      </c>
      <c r="AF262" s="4" t="s">
        <v>1052</v>
      </c>
    </row>
    <row r="263" spans="1:35" ht="18" x14ac:dyDescent="0.3">
      <c r="A263" s="10" t="s">
        <v>1053</v>
      </c>
      <c r="B263" s="10"/>
      <c r="C263" s="17" t="s">
        <v>984</v>
      </c>
      <c r="D263" s="12"/>
      <c r="E263" s="12"/>
      <c r="F263" s="18" t="s">
        <v>99</v>
      </c>
      <c r="G263" s="19">
        <v>0.04</v>
      </c>
      <c r="H263" s="19"/>
      <c r="I263" s="19">
        <v>45.844000000000001</v>
      </c>
      <c r="J263" s="20">
        <v>40.94</v>
      </c>
      <c r="M263" s="21">
        <f>ROUND(ROUND(J263, 2)*I263, 2)</f>
        <v>1876.85</v>
      </c>
      <c r="P263" s="22">
        <v>40.94</v>
      </c>
      <c r="S263" s="21">
        <f>ROUND(ROUND(P263, 2)*I263, 2)</f>
        <v>1876.85</v>
      </c>
      <c r="V263" s="9">
        <f>ROUND(ROUND(P263, 2)/1.2, 2)</f>
        <v>34.119999999999997</v>
      </c>
      <c r="Y263" s="9">
        <f t="shared" si="18"/>
        <v>1564.04</v>
      </c>
      <c r="AD263" s="4" t="s">
        <v>1054</v>
      </c>
      <c r="AE263" s="4" t="s">
        <v>1055</v>
      </c>
      <c r="AF263" s="4" t="s">
        <v>987</v>
      </c>
    </row>
    <row r="264" spans="1:35" ht="36" x14ac:dyDescent="0.3">
      <c r="A264" s="10" t="s">
        <v>1056</v>
      </c>
      <c r="B264" s="10"/>
      <c r="C264" s="17" t="s">
        <v>1057</v>
      </c>
      <c r="D264" s="12"/>
      <c r="E264" s="12"/>
      <c r="F264" s="18" t="s">
        <v>99</v>
      </c>
      <c r="G264" s="19">
        <v>1.4999999999999999E-2</v>
      </c>
      <c r="H264" s="19"/>
      <c r="I264" s="19">
        <v>17.192</v>
      </c>
      <c r="J264" s="20">
        <v>90.28</v>
      </c>
      <c r="M264" s="21">
        <f>ROUND(ROUND(J264, 2)*I264, 2)</f>
        <v>1552.09</v>
      </c>
      <c r="P264" s="22">
        <v>90.28</v>
      </c>
      <c r="S264" s="21">
        <f>ROUND(ROUND(P264, 2)*I264, 2)</f>
        <v>1552.09</v>
      </c>
      <c r="V264" s="9">
        <f>ROUND(ROUND(P264, 2)/1.2, 2)</f>
        <v>75.23</v>
      </c>
      <c r="Y264" s="9">
        <f t="shared" si="18"/>
        <v>1293.4100000000001</v>
      </c>
      <c r="AD264" s="4" t="s">
        <v>1058</v>
      </c>
      <c r="AE264" s="4" t="s">
        <v>1059</v>
      </c>
      <c r="AF264" s="4" t="s">
        <v>1060</v>
      </c>
    </row>
    <row r="265" spans="1:35" ht="126" x14ac:dyDescent="0.3">
      <c r="A265" s="10" t="s">
        <v>1061</v>
      </c>
      <c r="B265" s="10" t="s">
        <v>1038</v>
      </c>
      <c r="C265" s="11" t="s">
        <v>1039</v>
      </c>
      <c r="D265" s="12"/>
      <c r="E265" s="12" t="s">
        <v>1062</v>
      </c>
      <c r="F265" s="12" t="s">
        <v>258</v>
      </c>
      <c r="G265" s="13">
        <v>1</v>
      </c>
      <c r="H265" s="13"/>
      <c r="I265" s="13">
        <v>1426.14</v>
      </c>
      <c r="J265" s="14">
        <f>IFERROR(ROUND(SUM(M266,M267,M268,M269)/I265, 2),0)</f>
        <v>64.78</v>
      </c>
      <c r="K265" s="15">
        <v>472.99</v>
      </c>
      <c r="L265" s="14">
        <f>J265+ROUND(K265, 2)</f>
        <v>537.77</v>
      </c>
      <c r="M265" s="14">
        <f>ROUND(J265*I265, 2)</f>
        <v>92385.35</v>
      </c>
      <c r="N265" s="14">
        <f>ROUND(I265*ROUND(K265, 2), 2)</f>
        <v>674549.96</v>
      </c>
      <c r="O265" s="14">
        <f>M265+N265</f>
        <v>766935.30999999994</v>
      </c>
      <c r="P265" s="14">
        <f>IFERROR(ROUND(SUM(S266,S267,S268,S269)/I265, 2),0)</f>
        <v>64.78</v>
      </c>
      <c r="Q265" s="16">
        <v>675.7</v>
      </c>
      <c r="R265" s="14">
        <f>P265+ROUND(Q265, 2)</f>
        <v>740.48</v>
      </c>
      <c r="S265" s="14">
        <f>ROUND(P265*I265, 2)</f>
        <v>92385.35</v>
      </c>
      <c r="T265" s="14">
        <f>ROUND(I265*ROUND(Q265, 2), 2)</f>
        <v>963642.8</v>
      </c>
      <c r="U265" s="14">
        <f>S265+T265</f>
        <v>1056028.1500000001</v>
      </c>
      <c r="V265" s="9">
        <f>ROUND(P265 / 1.2, 2)</f>
        <v>53.98</v>
      </c>
      <c r="W265" s="9">
        <f>ROUND(Q265 / 1.2, 2)</f>
        <v>563.08000000000004</v>
      </c>
      <c r="X265" s="9">
        <f>ROUND(R265 / 1.2, 2)</f>
        <v>617.07000000000005</v>
      </c>
      <c r="Y265" s="9">
        <f t="shared" si="18"/>
        <v>76987.789999999994</v>
      </c>
      <c r="Z265" s="9">
        <f>ROUND(T265 / 1.2, 2)</f>
        <v>803035.67</v>
      </c>
      <c r="AA265" s="9">
        <f>Y265+Z265</f>
        <v>880023.46000000008</v>
      </c>
      <c r="AD265" s="4">
        <v>311044442</v>
      </c>
      <c r="AE265" s="4">
        <v>22896633</v>
      </c>
      <c r="AG265" s="4" t="s">
        <v>1041</v>
      </c>
      <c r="AH265" s="4" t="s">
        <v>1042</v>
      </c>
      <c r="AI265" s="4" t="s">
        <v>469</v>
      </c>
    </row>
    <row r="266" spans="1:35" ht="36" x14ac:dyDescent="0.3">
      <c r="A266" s="10" t="s">
        <v>1063</v>
      </c>
      <c r="B266" s="10"/>
      <c r="C266" s="17" t="s">
        <v>1057</v>
      </c>
      <c r="D266" s="12"/>
      <c r="E266" s="12"/>
      <c r="F266" s="18" t="s">
        <v>99</v>
      </c>
      <c r="G266" s="19">
        <v>1.4999999999999999E-2</v>
      </c>
      <c r="H266" s="19"/>
      <c r="I266" s="19">
        <v>21.391999999999999</v>
      </c>
      <c r="J266" s="20">
        <v>90.28</v>
      </c>
      <c r="M266" s="21">
        <f>ROUND(ROUND(J266, 2)*I266, 2)</f>
        <v>1931.27</v>
      </c>
      <c r="P266" s="22">
        <v>90.28</v>
      </c>
      <c r="S266" s="21">
        <f>ROUND(ROUND(P266, 2)*I266, 2)</f>
        <v>1931.27</v>
      </c>
      <c r="V266" s="9">
        <f>ROUND(ROUND(P266, 2)/1.2, 2)</f>
        <v>75.23</v>
      </c>
      <c r="Y266" s="9">
        <f t="shared" si="18"/>
        <v>1609.39</v>
      </c>
      <c r="AD266" s="4" t="s">
        <v>1064</v>
      </c>
      <c r="AE266" s="4" t="s">
        <v>1065</v>
      </c>
      <c r="AF266" s="4" t="s">
        <v>1060</v>
      </c>
    </row>
    <row r="267" spans="1:35" ht="18" x14ac:dyDescent="0.3">
      <c r="A267" s="10" t="s">
        <v>1066</v>
      </c>
      <c r="B267" s="10"/>
      <c r="C267" s="17" t="s">
        <v>1067</v>
      </c>
      <c r="D267" s="12"/>
      <c r="E267" s="12"/>
      <c r="F267" s="18" t="s">
        <v>99</v>
      </c>
      <c r="G267" s="19">
        <v>0.04</v>
      </c>
      <c r="H267" s="19"/>
      <c r="I267" s="19">
        <v>57.045999999999999</v>
      </c>
      <c r="J267" s="20">
        <v>48.23</v>
      </c>
      <c r="M267" s="21">
        <f>ROUND(ROUND(J267, 2)*I267, 2)</f>
        <v>2751.33</v>
      </c>
      <c r="P267" s="22">
        <v>48.23</v>
      </c>
      <c r="S267" s="21">
        <f>ROUND(ROUND(P267, 2)*I267, 2)</f>
        <v>2751.33</v>
      </c>
      <c r="V267" s="9">
        <f>ROUND(ROUND(P267, 2)/1.2, 2)</f>
        <v>40.19</v>
      </c>
      <c r="Y267" s="9">
        <f t="shared" si="18"/>
        <v>2292.7800000000002</v>
      </c>
      <c r="AD267" s="4" t="s">
        <v>1068</v>
      </c>
      <c r="AE267" s="4" t="s">
        <v>1069</v>
      </c>
      <c r="AF267" s="4" t="s">
        <v>1070</v>
      </c>
    </row>
    <row r="268" spans="1:35" ht="36" x14ac:dyDescent="0.3">
      <c r="A268" s="10" t="s">
        <v>1071</v>
      </c>
      <c r="B268" s="10"/>
      <c r="C268" s="23" t="s">
        <v>1049</v>
      </c>
      <c r="D268" s="12"/>
      <c r="E268" s="12"/>
      <c r="F268" s="18" t="s">
        <v>99</v>
      </c>
      <c r="G268" s="19">
        <v>0.7</v>
      </c>
      <c r="H268" s="24"/>
      <c r="I268" s="24">
        <v>998.298</v>
      </c>
      <c r="J268" s="20">
        <v>16.38</v>
      </c>
      <c r="M268" s="21">
        <f>ROUND(ROUND(J268, 2)*I268, 2)</f>
        <v>16352.12</v>
      </c>
      <c r="P268" s="22">
        <v>16.38</v>
      </c>
      <c r="S268" s="21">
        <f>ROUND(ROUND(P268, 2)*I268, 2)</f>
        <v>16352.12</v>
      </c>
      <c r="V268" s="9">
        <f>ROUND(ROUND(P268, 2)/1.2, 2)</f>
        <v>13.65</v>
      </c>
      <c r="Y268" s="9">
        <f t="shared" si="18"/>
        <v>13626.77</v>
      </c>
      <c r="AD268" s="4" t="s">
        <v>1072</v>
      </c>
      <c r="AE268" s="4" t="s">
        <v>1073</v>
      </c>
      <c r="AF268" s="4" t="s">
        <v>1052</v>
      </c>
    </row>
    <row r="269" spans="1:35" ht="36" x14ac:dyDescent="0.3">
      <c r="A269" s="10" t="s">
        <v>1074</v>
      </c>
      <c r="B269" s="10"/>
      <c r="C269" s="23" t="s">
        <v>1075</v>
      </c>
      <c r="D269" s="12"/>
      <c r="E269" s="12"/>
      <c r="F269" s="18" t="s">
        <v>58</v>
      </c>
      <c r="G269" s="19">
        <v>0.11</v>
      </c>
      <c r="H269" s="19"/>
      <c r="I269" s="19">
        <v>156.875</v>
      </c>
      <c r="J269" s="20">
        <v>454.86</v>
      </c>
      <c r="M269" s="21">
        <f>ROUND(ROUND(J269, 2)*I269, 2)</f>
        <v>71356.160000000003</v>
      </c>
      <c r="P269" s="22">
        <v>454.86</v>
      </c>
      <c r="S269" s="21">
        <f>ROUND(ROUND(P269, 2)*I269, 2)</f>
        <v>71356.160000000003</v>
      </c>
      <c r="V269" s="9">
        <f>ROUND(ROUND(P269, 2)/1.2, 2)</f>
        <v>379.05</v>
      </c>
      <c r="Y269" s="9">
        <f t="shared" si="18"/>
        <v>59463.47</v>
      </c>
      <c r="AD269" s="4" t="s">
        <v>1076</v>
      </c>
      <c r="AE269" s="4" t="s">
        <v>1077</v>
      </c>
      <c r="AF269" s="4" t="s">
        <v>1078</v>
      </c>
    </row>
    <row r="270" spans="1:35" ht="108" x14ac:dyDescent="0.3">
      <c r="A270" s="10" t="s">
        <v>1079</v>
      </c>
      <c r="B270" s="10" t="s">
        <v>1080</v>
      </c>
      <c r="C270" s="11" t="s">
        <v>1081</v>
      </c>
      <c r="D270" s="12"/>
      <c r="E270" s="12" t="s">
        <v>1082</v>
      </c>
      <c r="F270" s="12" t="s">
        <v>58</v>
      </c>
      <c r="G270" s="13">
        <v>1</v>
      </c>
      <c r="H270" s="13"/>
      <c r="I270" s="13">
        <v>1217.3499999999999</v>
      </c>
      <c r="J270" s="14">
        <f>IFERROR(ROUND(SUM(M271,M272,M273,M274)/I270, 2),0)</f>
        <v>626.96</v>
      </c>
      <c r="K270" s="15">
        <v>1655</v>
      </c>
      <c r="L270" s="14">
        <f>J270+ROUND(K270, 2)</f>
        <v>2281.96</v>
      </c>
      <c r="M270" s="14">
        <f>ROUND(J270*I270, 2)</f>
        <v>763229.76</v>
      </c>
      <c r="N270" s="14">
        <f>ROUND(I270*ROUND(K270, 2), 2)</f>
        <v>2014714.25</v>
      </c>
      <c r="O270" s="14">
        <f>M270+N270</f>
        <v>2777944.01</v>
      </c>
      <c r="P270" s="14">
        <f>IFERROR(ROUND(SUM(S271,S272,S273,S274)/I270, 2),0)</f>
        <v>626.96</v>
      </c>
      <c r="Q270" s="16">
        <v>2364.29</v>
      </c>
      <c r="R270" s="14">
        <f>P270+ROUND(Q270, 2)</f>
        <v>2991.25</v>
      </c>
      <c r="S270" s="14">
        <f>ROUND(P270*I270, 2)</f>
        <v>763229.76</v>
      </c>
      <c r="T270" s="14">
        <f>ROUND(I270*ROUND(Q270, 2), 2)</f>
        <v>2878168.43</v>
      </c>
      <c r="U270" s="14">
        <f>S270+T270</f>
        <v>3641398.1900000004</v>
      </c>
      <c r="V270" s="9">
        <f>ROUND(P270 / 1.2, 2)</f>
        <v>522.47</v>
      </c>
      <c r="W270" s="9">
        <f>ROUND(Q270 / 1.2, 2)</f>
        <v>1970.24</v>
      </c>
      <c r="X270" s="9">
        <f>ROUND(R270 / 1.2, 2)</f>
        <v>2492.71</v>
      </c>
      <c r="Y270" s="9">
        <f t="shared" si="18"/>
        <v>636024.80000000005</v>
      </c>
      <c r="Z270" s="9">
        <f>ROUND(T270 / 1.2, 2)</f>
        <v>2398473.69</v>
      </c>
      <c r="AA270" s="9">
        <f>Y270+Z270</f>
        <v>3034498.49</v>
      </c>
      <c r="AD270" s="4">
        <v>311044358</v>
      </c>
      <c r="AE270" s="4">
        <v>22895274</v>
      </c>
      <c r="AG270" s="4" t="s">
        <v>1083</v>
      </c>
      <c r="AH270" s="4" t="s">
        <v>1084</v>
      </c>
      <c r="AI270" s="4" t="s">
        <v>469</v>
      </c>
    </row>
    <row r="271" spans="1:35" ht="36" x14ac:dyDescent="0.3">
      <c r="A271" s="10" t="s">
        <v>1085</v>
      </c>
      <c r="B271" s="10"/>
      <c r="C271" s="23" t="s">
        <v>1086</v>
      </c>
      <c r="D271" s="12"/>
      <c r="E271" s="12"/>
      <c r="F271" s="18" t="s">
        <v>99</v>
      </c>
      <c r="G271" s="19">
        <v>7</v>
      </c>
      <c r="H271" s="19"/>
      <c r="I271" s="19">
        <v>8521.4500000000007</v>
      </c>
      <c r="J271" s="20">
        <v>16.38</v>
      </c>
      <c r="M271" s="21">
        <f>ROUND(ROUND(J271, 2)*I271, 2)</f>
        <v>139581.35</v>
      </c>
      <c r="P271" s="22">
        <v>16.38</v>
      </c>
      <c r="S271" s="21">
        <f>ROUND(ROUND(P271, 2)*I271, 2)</f>
        <v>139581.35</v>
      </c>
      <c r="V271" s="9">
        <f>ROUND(ROUND(P271, 2)/1.2, 2)</f>
        <v>13.65</v>
      </c>
      <c r="Y271" s="9">
        <f t="shared" si="18"/>
        <v>116317.79</v>
      </c>
      <c r="AD271" s="4" t="s">
        <v>1087</v>
      </c>
      <c r="AE271" s="4" t="s">
        <v>1088</v>
      </c>
      <c r="AF271" s="4" t="s">
        <v>1089</v>
      </c>
    </row>
    <row r="272" spans="1:35" ht="36" x14ac:dyDescent="0.3">
      <c r="A272" s="10" t="s">
        <v>1090</v>
      </c>
      <c r="B272" s="10"/>
      <c r="C272" s="23" t="s">
        <v>1075</v>
      </c>
      <c r="D272" s="12"/>
      <c r="E272" s="12"/>
      <c r="F272" s="18" t="s">
        <v>58</v>
      </c>
      <c r="G272" s="19">
        <v>1.07</v>
      </c>
      <c r="H272" s="24"/>
      <c r="I272" s="24">
        <v>1302.5650000000001</v>
      </c>
      <c r="J272" s="20">
        <v>454.86</v>
      </c>
      <c r="M272" s="21">
        <f>ROUND(ROUND(J272, 2)*I272, 2)</f>
        <v>592484.72</v>
      </c>
      <c r="P272" s="22">
        <v>454.86</v>
      </c>
      <c r="S272" s="21">
        <f>ROUND(ROUND(P272, 2)*I272, 2)</f>
        <v>592484.72</v>
      </c>
      <c r="V272" s="9">
        <f>ROUND(ROUND(P272, 2)/1.2, 2)</f>
        <v>379.05</v>
      </c>
      <c r="Y272" s="9">
        <f t="shared" si="18"/>
        <v>493737.27</v>
      </c>
      <c r="AD272" s="4" t="s">
        <v>1091</v>
      </c>
      <c r="AE272" s="4" t="s">
        <v>1092</v>
      </c>
      <c r="AF272" s="4" t="s">
        <v>1078</v>
      </c>
    </row>
    <row r="273" spans="1:35" ht="18" x14ac:dyDescent="0.3">
      <c r="A273" s="10" t="s">
        <v>1093</v>
      </c>
      <c r="B273" s="10"/>
      <c r="C273" s="17" t="s">
        <v>1067</v>
      </c>
      <c r="D273" s="12"/>
      <c r="E273" s="12"/>
      <c r="F273" s="18" t="s">
        <v>99</v>
      </c>
      <c r="G273" s="19">
        <v>0.25</v>
      </c>
      <c r="H273" s="24"/>
      <c r="I273" s="24">
        <v>304.33800000000002</v>
      </c>
      <c r="J273" s="20">
        <v>48.23</v>
      </c>
      <c r="M273" s="21">
        <f>ROUND(ROUND(J273, 2)*I273, 2)</f>
        <v>14678.22</v>
      </c>
      <c r="P273" s="22">
        <v>48.23</v>
      </c>
      <c r="S273" s="21">
        <f>ROUND(ROUND(P273, 2)*I273, 2)</f>
        <v>14678.22</v>
      </c>
      <c r="V273" s="9">
        <f>ROUND(ROUND(P273, 2)/1.2, 2)</f>
        <v>40.19</v>
      </c>
      <c r="Y273" s="9">
        <f t="shared" si="18"/>
        <v>12231.85</v>
      </c>
      <c r="AD273" s="4" t="s">
        <v>1094</v>
      </c>
      <c r="AE273" s="4" t="s">
        <v>1095</v>
      </c>
      <c r="AF273" s="4" t="s">
        <v>1070</v>
      </c>
    </row>
    <row r="274" spans="1:35" ht="36" x14ac:dyDescent="0.3">
      <c r="A274" s="10" t="s">
        <v>1096</v>
      </c>
      <c r="B274" s="10"/>
      <c r="C274" s="17" t="s">
        <v>1057</v>
      </c>
      <c r="D274" s="12"/>
      <c r="E274" s="12"/>
      <c r="F274" s="18" t="s">
        <v>99</v>
      </c>
      <c r="G274" s="19">
        <v>0.15</v>
      </c>
      <c r="H274" s="19"/>
      <c r="I274" s="19">
        <v>182.60300000000001</v>
      </c>
      <c r="J274" s="20">
        <v>90.28</v>
      </c>
      <c r="M274" s="21">
        <f>ROUND(ROUND(J274, 2)*I274, 2)</f>
        <v>16485.400000000001</v>
      </c>
      <c r="P274" s="22">
        <v>90.28</v>
      </c>
      <c r="S274" s="21">
        <f>ROUND(ROUND(P274, 2)*I274, 2)</f>
        <v>16485.400000000001</v>
      </c>
      <c r="V274" s="9">
        <f>ROUND(ROUND(P274, 2)/1.2, 2)</f>
        <v>75.23</v>
      </c>
      <c r="Y274" s="9">
        <f t="shared" si="18"/>
        <v>13737.83</v>
      </c>
      <c r="AD274" s="4" t="s">
        <v>1097</v>
      </c>
      <c r="AE274" s="4" t="s">
        <v>1098</v>
      </c>
      <c r="AF274" s="4" t="s">
        <v>1060</v>
      </c>
    </row>
    <row r="275" spans="1:35" ht="144" x14ac:dyDescent="0.3">
      <c r="A275" s="10" t="s">
        <v>1099</v>
      </c>
      <c r="B275" s="10" t="s">
        <v>1100</v>
      </c>
      <c r="C275" s="11" t="s">
        <v>1101</v>
      </c>
      <c r="D275" s="12"/>
      <c r="E275" s="12" t="s">
        <v>1102</v>
      </c>
      <c r="F275" s="12" t="s">
        <v>58</v>
      </c>
      <c r="G275" s="13">
        <v>1</v>
      </c>
      <c r="H275" s="13"/>
      <c r="I275" s="13">
        <v>2655.54</v>
      </c>
      <c r="J275" s="14">
        <f>IFERROR(ROUND(SUM(M276,M277,M278,M279)/I275, 2),0)</f>
        <v>2329.23</v>
      </c>
      <c r="K275" s="15">
        <v>2785</v>
      </c>
      <c r="L275" s="14">
        <f>J275+ROUND(K275, 2)</f>
        <v>5114.2299999999996</v>
      </c>
      <c r="M275" s="14">
        <f>ROUND(J275*I275, 2)</f>
        <v>6185363.4299999997</v>
      </c>
      <c r="N275" s="14">
        <f>ROUND(I275*ROUND(K275, 2), 2)</f>
        <v>7395678.9000000004</v>
      </c>
      <c r="O275" s="14">
        <f>M275+N275</f>
        <v>13581042.33</v>
      </c>
      <c r="P275" s="14">
        <f>IFERROR(ROUND(SUM(S276,S277,S278,S279)/I275, 2),0)</f>
        <v>2329.23</v>
      </c>
      <c r="Q275" s="16">
        <v>3978.57</v>
      </c>
      <c r="R275" s="14">
        <f>P275+ROUND(Q275, 2)</f>
        <v>6307.8</v>
      </c>
      <c r="S275" s="14">
        <f>ROUND(P275*I275, 2)</f>
        <v>6185363.4299999997</v>
      </c>
      <c r="T275" s="14">
        <f>ROUND(I275*ROUND(Q275, 2), 2)</f>
        <v>10565251.779999999</v>
      </c>
      <c r="U275" s="14">
        <f>S275+T275</f>
        <v>16750615.209999999</v>
      </c>
      <c r="V275" s="9">
        <f>ROUND(P275 / 1.2, 2)</f>
        <v>1941.03</v>
      </c>
      <c r="W275" s="9">
        <f>ROUND(Q275 / 1.2, 2)</f>
        <v>3315.48</v>
      </c>
      <c r="X275" s="9">
        <f>ROUND(R275 / 1.2, 2)</f>
        <v>5256.5</v>
      </c>
      <c r="Y275" s="9">
        <f t="shared" si="18"/>
        <v>5154469.53</v>
      </c>
      <c r="Z275" s="9">
        <f>ROUND(T275 / 1.2, 2)</f>
        <v>8804376.4800000004</v>
      </c>
      <c r="AA275" s="9">
        <f>Y275+Z275</f>
        <v>13958846.010000002</v>
      </c>
      <c r="AD275" s="4">
        <v>311044359</v>
      </c>
      <c r="AE275" s="4">
        <v>22895273</v>
      </c>
      <c r="AG275" s="4" t="s">
        <v>1103</v>
      </c>
      <c r="AH275" s="4" t="s">
        <v>1104</v>
      </c>
      <c r="AI275" s="4" t="s">
        <v>469</v>
      </c>
    </row>
    <row r="276" spans="1:35" ht="36" x14ac:dyDescent="0.3">
      <c r="A276" s="10" t="s">
        <v>1105</v>
      </c>
      <c r="B276" s="10"/>
      <c r="C276" s="23" t="s">
        <v>1106</v>
      </c>
      <c r="D276" s="12"/>
      <c r="E276" s="12"/>
      <c r="F276" s="18" t="s">
        <v>99</v>
      </c>
      <c r="G276" s="19">
        <v>1.2</v>
      </c>
      <c r="H276" s="24"/>
      <c r="I276" s="24">
        <v>15933.24</v>
      </c>
      <c r="J276" s="20">
        <v>16.38</v>
      </c>
      <c r="M276" s="21">
        <f>ROUND(ROUND(J276, 2)*I276, 2)</f>
        <v>260986.47</v>
      </c>
      <c r="P276" s="22">
        <v>16.38</v>
      </c>
      <c r="S276" s="21">
        <f>ROUND(ROUND(P276, 2)*I276, 2)</f>
        <v>260986.47</v>
      </c>
      <c r="V276" s="9">
        <f>ROUND(ROUND(P276, 2)/1.2, 2)</f>
        <v>13.65</v>
      </c>
      <c r="Y276" s="9">
        <f t="shared" si="18"/>
        <v>217488.73</v>
      </c>
      <c r="AD276" s="4" t="s">
        <v>1107</v>
      </c>
      <c r="AE276" s="4" t="s">
        <v>1108</v>
      </c>
      <c r="AF276" s="4" t="s">
        <v>1109</v>
      </c>
    </row>
    <row r="277" spans="1:35" ht="72" x14ac:dyDescent="0.3">
      <c r="A277" s="10" t="s">
        <v>1110</v>
      </c>
      <c r="B277" s="10"/>
      <c r="C277" s="17" t="s">
        <v>1111</v>
      </c>
      <c r="D277" s="12"/>
      <c r="E277" s="12"/>
      <c r="F277" s="18" t="s">
        <v>58</v>
      </c>
      <c r="G277" s="19">
        <v>1.2</v>
      </c>
      <c r="H277" s="24"/>
      <c r="I277" s="24">
        <v>3186.6480000000001</v>
      </c>
      <c r="J277" s="20">
        <v>1839.31</v>
      </c>
      <c r="M277" s="21">
        <f>ROUND(ROUND(J277, 2)*I277, 2)</f>
        <v>5861233.5300000003</v>
      </c>
      <c r="P277" s="22">
        <v>1839.31</v>
      </c>
      <c r="S277" s="21">
        <f>ROUND(ROUND(P277, 2)*I277, 2)</f>
        <v>5861233.5300000003</v>
      </c>
      <c r="V277" s="9">
        <f>ROUND(ROUND(P277, 2)/1.2, 2)</f>
        <v>1532.76</v>
      </c>
      <c r="Y277" s="9">
        <f t="shared" si="18"/>
        <v>4884361.28</v>
      </c>
      <c r="AD277" s="4" t="s">
        <v>1112</v>
      </c>
      <c r="AE277" s="4" t="s">
        <v>1113</v>
      </c>
      <c r="AF277" s="4" t="s">
        <v>1114</v>
      </c>
    </row>
    <row r="278" spans="1:35" ht="18" x14ac:dyDescent="0.3">
      <c r="A278" s="10" t="s">
        <v>1115</v>
      </c>
      <c r="B278" s="10"/>
      <c r="C278" s="17" t="s">
        <v>1116</v>
      </c>
      <c r="D278" s="12"/>
      <c r="E278" s="12"/>
      <c r="F278" s="18" t="s">
        <v>99</v>
      </c>
      <c r="G278" s="19">
        <v>0.25</v>
      </c>
      <c r="H278" s="24"/>
      <c r="I278" s="24">
        <v>663.88499999999999</v>
      </c>
      <c r="J278" s="20">
        <v>40.94</v>
      </c>
      <c r="M278" s="21">
        <f>ROUND(ROUND(J278, 2)*I278, 2)</f>
        <v>27179.45</v>
      </c>
      <c r="P278" s="22">
        <v>40.94</v>
      </c>
      <c r="S278" s="21">
        <f>ROUND(ROUND(P278, 2)*I278, 2)</f>
        <v>27179.45</v>
      </c>
      <c r="V278" s="9">
        <f>ROUND(ROUND(P278, 2)/1.2, 2)</f>
        <v>34.119999999999997</v>
      </c>
      <c r="Y278" s="9">
        <f t="shared" si="18"/>
        <v>22649.54</v>
      </c>
      <c r="AD278" s="4" t="s">
        <v>1117</v>
      </c>
      <c r="AE278" s="4" t="s">
        <v>1118</v>
      </c>
      <c r="AF278" s="4" t="s">
        <v>1119</v>
      </c>
    </row>
    <row r="279" spans="1:35" ht="36" x14ac:dyDescent="0.3">
      <c r="A279" s="10" t="s">
        <v>1120</v>
      </c>
      <c r="B279" s="10"/>
      <c r="C279" s="17" t="s">
        <v>1057</v>
      </c>
      <c r="D279" s="12"/>
      <c r="E279" s="12"/>
      <c r="F279" s="18" t="s">
        <v>99</v>
      </c>
      <c r="G279" s="19">
        <v>0.15</v>
      </c>
      <c r="H279" s="19"/>
      <c r="I279" s="19">
        <v>398.33100000000002</v>
      </c>
      <c r="J279" s="20">
        <v>90.28</v>
      </c>
      <c r="M279" s="21">
        <f>ROUND(ROUND(J279, 2)*I279, 2)</f>
        <v>35961.32</v>
      </c>
      <c r="P279" s="22">
        <v>90.28</v>
      </c>
      <c r="S279" s="21">
        <f>ROUND(ROUND(P279, 2)*I279, 2)</f>
        <v>35961.32</v>
      </c>
      <c r="V279" s="9">
        <f>ROUND(ROUND(P279, 2)/1.2, 2)</f>
        <v>75.23</v>
      </c>
      <c r="Y279" s="9">
        <f t="shared" si="18"/>
        <v>29967.77</v>
      </c>
      <c r="AD279" s="4" t="s">
        <v>1121</v>
      </c>
      <c r="AE279" s="4" t="s">
        <v>1122</v>
      </c>
      <c r="AF279" s="4" t="s">
        <v>1060</v>
      </c>
    </row>
    <row r="280" spans="1:35" ht="162" x14ac:dyDescent="0.3">
      <c r="A280" s="10" t="s">
        <v>1123</v>
      </c>
      <c r="B280" s="10" t="s">
        <v>1100</v>
      </c>
      <c r="C280" s="11" t="s">
        <v>1101</v>
      </c>
      <c r="D280" s="12"/>
      <c r="E280" s="12" t="s">
        <v>1124</v>
      </c>
      <c r="F280" s="12" t="s">
        <v>58</v>
      </c>
      <c r="G280" s="13">
        <v>1</v>
      </c>
      <c r="H280" s="13"/>
      <c r="I280" s="13">
        <v>38.36</v>
      </c>
      <c r="J280" s="14">
        <f>IFERROR(ROUND(SUM(M281,M282,M283,M284)/I280, 2),0)</f>
        <v>2329.23</v>
      </c>
      <c r="K280" s="15">
        <v>2785</v>
      </c>
      <c r="L280" s="14">
        <f>J280+ROUND(K280, 2)</f>
        <v>5114.2299999999996</v>
      </c>
      <c r="M280" s="14">
        <f>ROUND(J280*I280, 2)</f>
        <v>89349.26</v>
      </c>
      <c r="N280" s="14">
        <f>ROUND(I280*ROUND(K280, 2), 2)</f>
        <v>106832.6</v>
      </c>
      <c r="O280" s="14">
        <f>M280+N280</f>
        <v>196181.86</v>
      </c>
      <c r="P280" s="14">
        <f>IFERROR(ROUND(SUM(S281,S282,S283,S284)/I280, 2),0)</f>
        <v>2329.23</v>
      </c>
      <c r="Q280" s="16">
        <v>3978.57</v>
      </c>
      <c r="R280" s="14">
        <f>P280+ROUND(Q280, 2)</f>
        <v>6307.8</v>
      </c>
      <c r="S280" s="14">
        <f>ROUND(P280*I280, 2)</f>
        <v>89349.26</v>
      </c>
      <c r="T280" s="14">
        <f>ROUND(I280*ROUND(Q280, 2), 2)</f>
        <v>152617.95000000001</v>
      </c>
      <c r="U280" s="14">
        <f>S280+T280</f>
        <v>241967.21000000002</v>
      </c>
      <c r="V280" s="9">
        <f>ROUND(P280 / 1.2, 2)</f>
        <v>1941.03</v>
      </c>
      <c r="W280" s="9">
        <f>ROUND(Q280 / 1.2, 2)</f>
        <v>3315.48</v>
      </c>
      <c r="X280" s="9">
        <f>ROUND(R280 / 1.2, 2)</f>
        <v>5256.5</v>
      </c>
      <c r="Y280" s="9">
        <f t="shared" si="18"/>
        <v>74457.72</v>
      </c>
      <c r="Z280" s="9">
        <f>ROUND(T280 / 1.2, 2)</f>
        <v>127181.63</v>
      </c>
      <c r="AA280" s="9">
        <f>Y280+Z280</f>
        <v>201639.35</v>
      </c>
      <c r="AD280" s="4">
        <v>311044443</v>
      </c>
      <c r="AE280" s="4">
        <v>22895275</v>
      </c>
      <c r="AG280" s="4" t="s">
        <v>1103</v>
      </c>
      <c r="AH280" s="4" t="s">
        <v>1104</v>
      </c>
      <c r="AI280" s="4" t="s">
        <v>469</v>
      </c>
    </row>
    <row r="281" spans="1:35" ht="36" x14ac:dyDescent="0.3">
      <c r="A281" s="10" t="s">
        <v>1125</v>
      </c>
      <c r="B281" s="10"/>
      <c r="C281" s="17" t="s">
        <v>1057</v>
      </c>
      <c r="D281" s="12"/>
      <c r="E281" s="12"/>
      <c r="F281" s="18" t="s">
        <v>99</v>
      </c>
      <c r="G281" s="19">
        <v>0.15</v>
      </c>
      <c r="H281" s="19"/>
      <c r="I281" s="19">
        <v>5.7539999999999996</v>
      </c>
      <c r="J281" s="20">
        <v>90.28</v>
      </c>
      <c r="M281" s="21">
        <f>ROUND(ROUND(J281, 2)*I281, 2)</f>
        <v>519.47</v>
      </c>
      <c r="P281" s="22">
        <v>90.28</v>
      </c>
      <c r="S281" s="21">
        <f>ROUND(ROUND(P281, 2)*I281, 2)</f>
        <v>519.47</v>
      </c>
      <c r="V281" s="9">
        <f>ROUND(ROUND(P281, 2)/1.2, 2)</f>
        <v>75.23</v>
      </c>
      <c r="Y281" s="9">
        <f t="shared" si="18"/>
        <v>432.89</v>
      </c>
      <c r="AD281" s="4" t="s">
        <v>1126</v>
      </c>
      <c r="AE281" s="4" t="s">
        <v>1127</v>
      </c>
      <c r="AF281" s="4" t="s">
        <v>1060</v>
      </c>
    </row>
    <row r="282" spans="1:35" ht="18" x14ac:dyDescent="0.3">
      <c r="A282" s="10" t="s">
        <v>1128</v>
      </c>
      <c r="B282" s="10"/>
      <c r="C282" s="17" t="s">
        <v>1116</v>
      </c>
      <c r="D282" s="12"/>
      <c r="E282" s="12"/>
      <c r="F282" s="18" t="s">
        <v>99</v>
      </c>
      <c r="G282" s="19">
        <v>0.25</v>
      </c>
      <c r="H282" s="24"/>
      <c r="I282" s="24">
        <v>9.59</v>
      </c>
      <c r="J282" s="20">
        <v>40.94</v>
      </c>
      <c r="M282" s="21">
        <f>ROUND(ROUND(J282, 2)*I282, 2)</f>
        <v>392.61</v>
      </c>
      <c r="P282" s="22">
        <v>40.94</v>
      </c>
      <c r="S282" s="21">
        <f>ROUND(ROUND(P282, 2)*I282, 2)</f>
        <v>392.61</v>
      </c>
      <c r="V282" s="9">
        <f>ROUND(ROUND(P282, 2)/1.2, 2)</f>
        <v>34.119999999999997</v>
      </c>
      <c r="Y282" s="9">
        <f t="shared" ref="Y282:Y284" si="19">ROUND(S282 / 1.2, 2)</f>
        <v>327.18</v>
      </c>
      <c r="AD282" s="4" t="s">
        <v>1129</v>
      </c>
      <c r="AE282" s="4" t="s">
        <v>1130</v>
      </c>
      <c r="AF282" s="4" t="s">
        <v>1119</v>
      </c>
    </row>
    <row r="283" spans="1:35" ht="72" x14ac:dyDescent="0.3">
      <c r="A283" s="10" t="s">
        <v>1131</v>
      </c>
      <c r="B283" s="10"/>
      <c r="C283" s="17" t="s">
        <v>1111</v>
      </c>
      <c r="D283" s="12"/>
      <c r="E283" s="12"/>
      <c r="F283" s="18" t="s">
        <v>58</v>
      </c>
      <c r="G283" s="19">
        <v>1.2</v>
      </c>
      <c r="H283" s="24"/>
      <c r="I283" s="24">
        <v>46.031999999999996</v>
      </c>
      <c r="J283" s="20">
        <v>1839.31</v>
      </c>
      <c r="M283" s="21">
        <f>ROUND(ROUND(J283, 2)*I283, 2)</f>
        <v>84667.12</v>
      </c>
      <c r="P283" s="22">
        <v>1839.31</v>
      </c>
      <c r="S283" s="21">
        <f>ROUND(ROUND(P283, 2)*I283, 2)</f>
        <v>84667.12</v>
      </c>
      <c r="V283" s="9">
        <f>ROUND(ROUND(P283, 2)/1.2, 2)</f>
        <v>1532.76</v>
      </c>
      <c r="Y283" s="9">
        <f t="shared" si="19"/>
        <v>70555.929999999993</v>
      </c>
      <c r="AD283" s="4" t="s">
        <v>1132</v>
      </c>
      <c r="AE283" s="4" t="s">
        <v>1133</v>
      </c>
      <c r="AF283" s="4" t="s">
        <v>1114</v>
      </c>
    </row>
    <row r="284" spans="1:35" ht="36" x14ac:dyDescent="0.3">
      <c r="A284" s="10" t="s">
        <v>1134</v>
      </c>
      <c r="B284" s="10"/>
      <c r="C284" s="23" t="s">
        <v>1106</v>
      </c>
      <c r="D284" s="12"/>
      <c r="E284" s="12"/>
      <c r="F284" s="18" t="s">
        <v>99</v>
      </c>
      <c r="G284" s="19">
        <v>1.2</v>
      </c>
      <c r="H284" s="24"/>
      <c r="I284" s="24">
        <v>230.16</v>
      </c>
      <c r="J284" s="20">
        <v>16.38</v>
      </c>
      <c r="M284" s="21">
        <f>ROUND(ROUND(J284, 2)*I284, 2)</f>
        <v>3770.02</v>
      </c>
      <c r="P284" s="22">
        <v>16.38</v>
      </c>
      <c r="S284" s="21">
        <f>ROUND(ROUND(P284, 2)*I284, 2)</f>
        <v>3770.02</v>
      </c>
      <c r="V284" s="9">
        <f>ROUND(ROUND(P284, 2)/1.2, 2)</f>
        <v>13.65</v>
      </c>
      <c r="Y284" s="9">
        <f t="shared" si="19"/>
        <v>3141.68</v>
      </c>
      <c r="AD284" s="4" t="s">
        <v>1135</v>
      </c>
      <c r="AE284" s="4" t="s">
        <v>1136</v>
      </c>
      <c r="AF284" s="4" t="s">
        <v>1109</v>
      </c>
    </row>
    <row r="285" spans="1:35" ht="16.95" customHeight="1" x14ac:dyDescent="0.3">
      <c r="A285" s="10" t="s">
        <v>1137</v>
      </c>
      <c r="B285" s="10" t="s">
        <v>1138</v>
      </c>
      <c r="C285" s="51" t="s">
        <v>1139</v>
      </c>
      <c r="D285" s="52"/>
      <c r="E285" s="52"/>
      <c r="F285" s="52"/>
      <c r="G285" s="52"/>
      <c r="H285" s="52"/>
      <c r="I285" s="53"/>
      <c r="M285" s="6">
        <f>SUM(M286)</f>
        <v>237981.5</v>
      </c>
      <c r="N285" s="6">
        <f>SUM(N286)</f>
        <v>20599.29</v>
      </c>
      <c r="O285" s="6">
        <f>SUM(O286)</f>
        <v>258580.79</v>
      </c>
      <c r="S285" s="6">
        <f>SUM(S286)</f>
        <v>237981.5</v>
      </c>
      <c r="T285" s="6">
        <f>SUM(T286)</f>
        <v>29427.55</v>
      </c>
      <c r="U285" s="6">
        <f>SUM(U286)</f>
        <v>267409.05</v>
      </c>
      <c r="Y285" s="9">
        <f>SUM(Y286)</f>
        <v>198317.92</v>
      </c>
      <c r="Z285" s="9">
        <f>SUM(Z286)</f>
        <v>24522.959999999999</v>
      </c>
      <c r="AA285" s="9">
        <f>SUM(AA286)</f>
        <v>222840.88</v>
      </c>
      <c r="AD285" s="4">
        <v>311044360</v>
      </c>
      <c r="AE285" s="4">
        <v>22895271</v>
      </c>
    </row>
    <row r="286" spans="1:35" ht="18" x14ac:dyDescent="0.3">
      <c r="A286" s="10" t="s">
        <v>1140</v>
      </c>
      <c r="B286" s="10" t="s">
        <v>1141</v>
      </c>
      <c r="C286" s="11" t="s">
        <v>1142</v>
      </c>
      <c r="D286" s="12"/>
      <c r="E286" s="12" t="s">
        <v>1143</v>
      </c>
      <c r="F286" s="12" t="s">
        <v>58</v>
      </c>
      <c r="G286" s="13">
        <v>1</v>
      </c>
      <c r="H286" s="13"/>
      <c r="I286" s="13">
        <v>24.64</v>
      </c>
      <c r="J286" s="14">
        <f>IFERROR(ROUND(SUM(M287)/I286, 2),0)</f>
        <v>9658.34</v>
      </c>
      <c r="K286" s="15">
        <v>836.01</v>
      </c>
      <c r="L286" s="14">
        <f>J286+ROUND(K286, 2)</f>
        <v>10494.35</v>
      </c>
      <c r="M286" s="14">
        <f>ROUND(J286*I286, 2)</f>
        <v>237981.5</v>
      </c>
      <c r="N286" s="14">
        <f>ROUND(I286*ROUND(K286, 2), 2)</f>
        <v>20599.29</v>
      </c>
      <c r="O286" s="14">
        <f>M286+N286</f>
        <v>258580.79</v>
      </c>
      <c r="P286" s="14">
        <f>IFERROR(ROUND(SUM(S287)/I286, 2),0)</f>
        <v>9658.34</v>
      </c>
      <c r="Q286" s="16">
        <v>1194.3</v>
      </c>
      <c r="R286" s="14">
        <f>P286+ROUND(Q286, 2)</f>
        <v>10852.64</v>
      </c>
      <c r="S286" s="14">
        <f>ROUND(P286*I286, 2)</f>
        <v>237981.5</v>
      </c>
      <c r="T286" s="14">
        <f>ROUND(I286*ROUND(Q286, 2), 2)</f>
        <v>29427.55</v>
      </c>
      <c r="U286" s="14">
        <f>S286+T286</f>
        <v>267409.05</v>
      </c>
      <c r="V286" s="9">
        <f>ROUND(P286 / 1.2, 2)</f>
        <v>8048.62</v>
      </c>
      <c r="W286" s="9">
        <f>ROUND(Q286 / 1.2, 2)</f>
        <v>995.25</v>
      </c>
      <c r="X286" s="9">
        <f>ROUND(R286 / 1.2, 2)</f>
        <v>9043.8700000000008</v>
      </c>
      <c r="Y286" s="9">
        <f>ROUND(S286 / 1.2, 2)</f>
        <v>198317.92</v>
      </c>
      <c r="Z286" s="9">
        <f>ROUND(T286 / 1.2, 2)</f>
        <v>24522.959999999999</v>
      </c>
      <c r="AA286" s="9">
        <f>Y286+Z286</f>
        <v>222840.88</v>
      </c>
      <c r="AD286" s="4">
        <v>311044362</v>
      </c>
      <c r="AE286" s="4">
        <v>22895272</v>
      </c>
      <c r="AG286" s="4" t="s">
        <v>1144</v>
      </c>
      <c r="AH286" s="4" t="s">
        <v>1145</v>
      </c>
      <c r="AI286" s="4" t="s">
        <v>469</v>
      </c>
    </row>
    <row r="287" spans="1:35" ht="36" x14ac:dyDescent="0.3">
      <c r="A287" s="10" t="s">
        <v>1146</v>
      </c>
      <c r="B287" s="10"/>
      <c r="C287" s="17" t="s">
        <v>1147</v>
      </c>
      <c r="D287" s="12"/>
      <c r="E287" s="12"/>
      <c r="F287" s="18" t="s">
        <v>58</v>
      </c>
      <c r="G287" s="19">
        <v>1</v>
      </c>
      <c r="H287" s="19"/>
      <c r="I287" s="19">
        <v>24.64</v>
      </c>
      <c r="J287" s="20">
        <v>9658.34</v>
      </c>
      <c r="M287" s="21">
        <f>ROUND(ROUND(J287, 2)*I287, 2)</f>
        <v>237981.5</v>
      </c>
      <c r="P287" s="22">
        <v>9658.34</v>
      </c>
      <c r="S287" s="21">
        <f>ROUND(ROUND(P287, 2)*I287, 2)</f>
        <v>237981.5</v>
      </c>
      <c r="V287" s="9">
        <f>ROUND(ROUND(P287, 2)/1.2, 2)</f>
        <v>8048.62</v>
      </c>
      <c r="Y287" s="9">
        <f>ROUND(S287 / 1.2, 2)</f>
        <v>198317.92</v>
      </c>
      <c r="AD287" s="4" t="s">
        <v>1148</v>
      </c>
      <c r="AE287" s="4" t="s">
        <v>1149</v>
      </c>
      <c r="AF287" s="4" t="s">
        <v>1150</v>
      </c>
    </row>
    <row r="288" spans="1:35" ht="16.95" customHeight="1" x14ac:dyDescent="0.3">
      <c r="A288" s="10" t="s">
        <v>1151</v>
      </c>
      <c r="B288" s="10" t="s">
        <v>1152</v>
      </c>
      <c r="C288" s="51" t="s">
        <v>1153</v>
      </c>
      <c r="D288" s="52"/>
      <c r="E288" s="52"/>
      <c r="F288" s="52"/>
      <c r="G288" s="52"/>
      <c r="H288" s="52"/>
      <c r="I288" s="53"/>
      <c r="M288" s="6">
        <f>SUM(M289,M373)</f>
        <v>14595014.16</v>
      </c>
      <c r="N288" s="6">
        <f>SUM(N289,N373)</f>
        <v>58875693.929999992</v>
      </c>
      <c r="O288" s="6">
        <f>SUM(O289,O373)</f>
        <v>73470708.090000004</v>
      </c>
      <c r="S288" s="6">
        <f>SUM(S289,S373)</f>
        <v>17661574.800000001</v>
      </c>
      <c r="T288" s="6">
        <f>SUM(T289,T373)</f>
        <v>84108066.770000026</v>
      </c>
      <c r="U288" s="6">
        <f>SUM(U289,U373)</f>
        <v>101769641.57000001</v>
      </c>
      <c r="Y288" s="9">
        <f>SUM(Y289,Y373)</f>
        <v>14717979.060000002</v>
      </c>
      <c r="Z288" s="9">
        <f>SUM(Z289,Z373)</f>
        <v>70090055.720000014</v>
      </c>
      <c r="AA288" s="9">
        <f>SUM(AA289,AA373)</f>
        <v>84808034.780000001</v>
      </c>
      <c r="AD288" s="4">
        <v>311044363</v>
      </c>
      <c r="AE288" s="4">
        <v>22781783</v>
      </c>
    </row>
    <row r="289" spans="1:35" ht="16.95" customHeight="1" x14ac:dyDescent="0.3">
      <c r="A289" s="10" t="s">
        <v>1154</v>
      </c>
      <c r="B289" s="10" t="s">
        <v>1155</v>
      </c>
      <c r="C289" s="51" t="s">
        <v>1156</v>
      </c>
      <c r="D289" s="52"/>
      <c r="E289" s="52"/>
      <c r="F289" s="52"/>
      <c r="G289" s="52"/>
      <c r="H289" s="52"/>
      <c r="I289" s="53"/>
      <c r="M289" s="6">
        <f>SUM(M290,M293,M297,M300,M304,M308,M312,M316,M319,M323,M326,M330,M333,M337,M341,M345,M349,M353,M357,M361,M365,M369)</f>
        <v>6742862.3899999997</v>
      </c>
      <c r="N289" s="6">
        <f>SUM(N290,N293,N297,N300,N304,N308,N312,N316,N319,N323,N326,N330,N333,N337,N341,N345,N349,N353,N357,N361,N365,N369)</f>
        <v>38058836.439999998</v>
      </c>
      <c r="O289" s="6">
        <f>SUM(O290,O293,O297,O300,O304,O308,O312,O316,O319,O323,O326,O330,O333,O337,O341,O345,O349,O353,O357,O361,O365,O369)</f>
        <v>44801698.829999998</v>
      </c>
      <c r="S289" s="6">
        <f>SUM(S290,S293,S297,S300,S304,S308,S312,S316,S319,S323,S326,S330,S333,S337,S341,S345,S349,S353,S357,S361,S365,S369)</f>
        <v>6742862.3899999997</v>
      </c>
      <c r="T289" s="6">
        <f>SUM(T290,T293,T297,T300,T304,T308,T312,T316,T319,T323,T326,T330,T333,T337,T341,T345,T349,T353,T357,T361,T365,T369)</f>
        <v>54369657.520000018</v>
      </c>
      <c r="U289" s="6">
        <f>SUM(U290,U293,U297,U300,U304,U308,U312,U316,U319,U323,U326,U330,U333,U337,U341,U345,U349,U353,U357,U361,U365,U369)</f>
        <v>61112519.910000011</v>
      </c>
      <c r="Y289" s="9">
        <f>SUM(Y290,Y293,Y297,Y300,Y304,Y308,Y312,Y316,Y319,Y323,Y326,Y330,Y333,Y337,Y341,Y345,Y349,Y353,Y357,Y361,Y365,Y369)</f>
        <v>5619052.0100000007</v>
      </c>
      <c r="Z289" s="9">
        <f>SUM(Z290,Z293,Z297,Z300,Z304,Z308,Z312,Z316,Z319,Z323,Z326,Z330,Z333,Z337,Z341,Z345,Z349,Z353,Z357,Z361,Z365,Z369)</f>
        <v>45308047.980000012</v>
      </c>
      <c r="AA289" s="9">
        <f>SUM(AA290,AA293,AA297,AA300,AA304,AA308,AA312,AA316,AA319,AA323,AA326,AA330,AA333,AA337,AA341,AA345,AA349,AA353,AA357,AA361,AA365,AA369)</f>
        <v>50927099.990000002</v>
      </c>
      <c r="AD289" s="4">
        <v>311044364</v>
      </c>
      <c r="AE289" s="4">
        <v>22781788</v>
      </c>
    </row>
    <row r="290" spans="1:35" ht="180" x14ac:dyDescent="0.3">
      <c r="A290" s="10" t="s">
        <v>1157</v>
      </c>
      <c r="B290" s="10" t="s">
        <v>1158</v>
      </c>
      <c r="C290" s="11" t="s">
        <v>1159</v>
      </c>
      <c r="D290" s="12"/>
      <c r="E290" s="12" t="s">
        <v>1160</v>
      </c>
      <c r="F290" s="12" t="s">
        <v>258</v>
      </c>
      <c r="G290" s="13">
        <v>1</v>
      </c>
      <c r="H290" s="13"/>
      <c r="I290" s="13">
        <v>2181.16</v>
      </c>
      <c r="J290" s="14">
        <f>IFERROR(ROUND(SUM(M291,M292)/I290, 2),0)</f>
        <v>17.23</v>
      </c>
      <c r="K290" s="15">
        <v>28</v>
      </c>
      <c r="L290" s="14">
        <f>J290+ROUND(K290, 2)</f>
        <v>45.230000000000004</v>
      </c>
      <c r="M290" s="14">
        <f>ROUND(J290*I290, 2)</f>
        <v>37581.39</v>
      </c>
      <c r="N290" s="14">
        <f>ROUND(I290*ROUND(K290, 2), 2)</f>
        <v>61072.480000000003</v>
      </c>
      <c r="O290" s="14">
        <f>M290+N290</f>
        <v>98653.87</v>
      </c>
      <c r="P290" s="14">
        <f>IFERROR(ROUND(SUM(S291,S292)/I290, 2),0)</f>
        <v>17.23</v>
      </c>
      <c r="Q290" s="16">
        <v>40</v>
      </c>
      <c r="R290" s="14">
        <f>P290+ROUND(Q290, 2)</f>
        <v>57.230000000000004</v>
      </c>
      <c r="S290" s="14">
        <f>ROUND(P290*I290, 2)</f>
        <v>37581.39</v>
      </c>
      <c r="T290" s="14">
        <f>ROUND(I290*ROUND(Q290, 2), 2)</f>
        <v>87246.399999999994</v>
      </c>
      <c r="U290" s="14">
        <f>S290+T290</f>
        <v>124827.79</v>
      </c>
      <c r="V290" s="9">
        <f>ROUND(P290 / 1.2, 2)</f>
        <v>14.36</v>
      </c>
      <c r="W290" s="9">
        <f>ROUND(Q290 / 1.2, 2)</f>
        <v>33.33</v>
      </c>
      <c r="X290" s="9">
        <f>ROUND(R290 / 1.2, 2)</f>
        <v>47.69</v>
      </c>
      <c r="Y290" s="9">
        <f>ROUND(S290 / 1.2, 2)</f>
        <v>31317.83</v>
      </c>
      <c r="Z290" s="9">
        <f>ROUND(T290 / 1.2, 2)</f>
        <v>72705.33</v>
      </c>
      <c r="AA290" s="9">
        <f>Y290+Z290</f>
        <v>104023.16</v>
      </c>
      <c r="AD290" s="4">
        <v>311044366</v>
      </c>
      <c r="AE290" s="4">
        <v>22781792</v>
      </c>
      <c r="AG290" s="4" t="s">
        <v>1161</v>
      </c>
      <c r="AH290" s="4" t="s">
        <v>1162</v>
      </c>
      <c r="AI290" s="4" t="s">
        <v>469</v>
      </c>
    </row>
    <row r="291" spans="1:35" ht="54" x14ac:dyDescent="0.3">
      <c r="A291" s="10" t="s">
        <v>1163</v>
      </c>
      <c r="B291" s="10"/>
      <c r="C291" s="23" t="s">
        <v>1164</v>
      </c>
      <c r="D291" s="12"/>
      <c r="E291" s="12" t="s">
        <v>1165</v>
      </c>
      <c r="F291" s="18" t="s">
        <v>99</v>
      </c>
      <c r="G291" s="19">
        <v>0.1</v>
      </c>
      <c r="H291" s="24"/>
      <c r="I291" s="24">
        <v>436.23200000000003</v>
      </c>
      <c r="J291" s="20">
        <v>7.92</v>
      </c>
      <c r="M291" s="21">
        <f>ROUND(ROUND(J291, 2)*I291, 2)</f>
        <v>3454.96</v>
      </c>
      <c r="P291" s="22">
        <v>7.92</v>
      </c>
      <c r="S291" s="21">
        <f>ROUND(ROUND(P291, 2)*I291, 2)</f>
        <v>3454.96</v>
      </c>
      <c r="V291" s="9">
        <f>ROUND(ROUND(P291, 2)/1.2, 2)</f>
        <v>6.6</v>
      </c>
      <c r="Y291" s="9">
        <f t="shared" ref="Y291:Y354" si="20">ROUND(S291 / 1.2, 2)</f>
        <v>2879.13</v>
      </c>
      <c r="AD291" s="4" t="s">
        <v>1166</v>
      </c>
      <c r="AE291" s="4" t="s">
        <v>1167</v>
      </c>
      <c r="AF291" s="4" t="s">
        <v>1168</v>
      </c>
    </row>
    <row r="292" spans="1:35" ht="18" x14ac:dyDescent="0.3">
      <c r="A292" s="10" t="s">
        <v>1169</v>
      </c>
      <c r="B292" s="10"/>
      <c r="C292" s="17" t="s">
        <v>1170</v>
      </c>
      <c r="D292" s="12"/>
      <c r="E292" s="12" t="s">
        <v>1171</v>
      </c>
      <c r="F292" s="18" t="s">
        <v>258</v>
      </c>
      <c r="G292" s="19">
        <v>1.1000000000000001</v>
      </c>
      <c r="H292" s="24"/>
      <c r="I292" s="24">
        <v>4798.5519999999997</v>
      </c>
      <c r="J292" s="20">
        <v>7.11</v>
      </c>
      <c r="M292" s="21">
        <f>ROUND(ROUND(J292, 2)*I292, 2)</f>
        <v>34117.699999999997</v>
      </c>
      <c r="P292" s="22">
        <v>7.11</v>
      </c>
      <c r="S292" s="21">
        <f>ROUND(ROUND(P292, 2)*I292, 2)</f>
        <v>34117.699999999997</v>
      </c>
      <c r="V292" s="9">
        <f>ROUND(ROUND(P292, 2)/1.2, 2)</f>
        <v>5.93</v>
      </c>
      <c r="Y292" s="9">
        <f t="shared" si="20"/>
        <v>28431.42</v>
      </c>
      <c r="AD292" s="4" t="s">
        <v>1172</v>
      </c>
      <c r="AE292" s="4" t="s">
        <v>1173</v>
      </c>
      <c r="AF292" s="4" t="s">
        <v>1174</v>
      </c>
    </row>
    <row r="293" spans="1:35" ht="144" x14ac:dyDescent="0.3">
      <c r="A293" s="10" t="s">
        <v>1175</v>
      </c>
      <c r="B293" s="10" t="s">
        <v>1176</v>
      </c>
      <c r="C293" s="11" t="s">
        <v>1177</v>
      </c>
      <c r="D293" s="12"/>
      <c r="E293" s="12" t="s">
        <v>1178</v>
      </c>
      <c r="F293" s="12" t="s">
        <v>58</v>
      </c>
      <c r="G293" s="13">
        <v>1</v>
      </c>
      <c r="H293" s="13"/>
      <c r="I293" s="13">
        <v>57.5</v>
      </c>
      <c r="J293" s="14">
        <f>IFERROR(ROUND(SUM(M294,M295,M296)/I293, 2),0)</f>
        <v>542.97</v>
      </c>
      <c r="K293" s="15">
        <v>717.99</v>
      </c>
      <c r="L293" s="14">
        <f>J293+ROUND(K293, 2)</f>
        <v>1260.96</v>
      </c>
      <c r="M293" s="14">
        <f>ROUND(J293*I293, 2)</f>
        <v>31220.78</v>
      </c>
      <c r="N293" s="14">
        <f>ROUND(I293*ROUND(K293, 2), 2)</f>
        <v>41284.43</v>
      </c>
      <c r="O293" s="14">
        <f>M293+N293</f>
        <v>72505.209999999992</v>
      </c>
      <c r="P293" s="14">
        <f>IFERROR(ROUND(SUM(S294,S295,S296)/I293, 2),0)</f>
        <v>542.97</v>
      </c>
      <c r="Q293" s="16">
        <v>1025.7</v>
      </c>
      <c r="R293" s="14">
        <f>P293+ROUND(Q293, 2)</f>
        <v>1568.67</v>
      </c>
      <c r="S293" s="14">
        <f>ROUND(P293*I293, 2)</f>
        <v>31220.78</v>
      </c>
      <c r="T293" s="14">
        <f>ROUND(I293*ROUND(Q293, 2), 2)</f>
        <v>58977.75</v>
      </c>
      <c r="U293" s="14">
        <f>S293+T293</f>
        <v>90198.53</v>
      </c>
      <c r="V293" s="9">
        <f>ROUND(P293 / 1.2, 2)</f>
        <v>452.48</v>
      </c>
      <c r="W293" s="9">
        <f>ROUND(Q293 / 1.2, 2)</f>
        <v>854.75</v>
      </c>
      <c r="X293" s="9">
        <f>ROUND(R293 / 1.2, 2)</f>
        <v>1307.23</v>
      </c>
      <c r="Y293" s="9">
        <f t="shared" si="20"/>
        <v>26017.32</v>
      </c>
      <c r="Z293" s="9">
        <f>ROUND(T293 / 1.2, 2)</f>
        <v>49148.13</v>
      </c>
      <c r="AA293" s="9">
        <f>Y293+Z293</f>
        <v>75165.45</v>
      </c>
      <c r="AD293" s="4">
        <v>311044368</v>
      </c>
      <c r="AE293" s="4">
        <v>22781793</v>
      </c>
      <c r="AG293" s="4" t="s">
        <v>1179</v>
      </c>
      <c r="AH293" s="4" t="s">
        <v>1180</v>
      </c>
      <c r="AI293" s="4" t="s">
        <v>469</v>
      </c>
    </row>
    <row r="294" spans="1:35" ht="36" x14ac:dyDescent="0.3">
      <c r="A294" s="10" t="s">
        <v>1181</v>
      </c>
      <c r="B294" s="10"/>
      <c r="C294" s="17" t="s">
        <v>1182</v>
      </c>
      <c r="D294" s="12"/>
      <c r="E294" s="12"/>
      <c r="F294" s="18" t="s">
        <v>99</v>
      </c>
      <c r="G294" s="19">
        <v>1.5</v>
      </c>
      <c r="H294" s="24"/>
      <c r="I294" s="24">
        <v>862.5</v>
      </c>
      <c r="J294" s="20">
        <v>33.450000000000003</v>
      </c>
      <c r="M294" s="21">
        <f>ROUND(ROUND(J294, 2)*I294, 2)</f>
        <v>28850.63</v>
      </c>
      <c r="P294" s="22">
        <v>33.450000000000003</v>
      </c>
      <c r="S294" s="21">
        <f>ROUND(ROUND(P294, 2)*I294, 2)</f>
        <v>28850.63</v>
      </c>
      <c r="V294" s="9">
        <f>ROUND(ROUND(P294, 2)/1.2, 2)</f>
        <v>27.88</v>
      </c>
      <c r="Y294" s="9">
        <f t="shared" si="20"/>
        <v>24042.19</v>
      </c>
      <c r="AD294" s="4" t="s">
        <v>1183</v>
      </c>
      <c r="AE294" s="4" t="s">
        <v>1184</v>
      </c>
      <c r="AF294" s="4" t="s">
        <v>1185</v>
      </c>
    </row>
    <row r="295" spans="1:35" ht="36" x14ac:dyDescent="0.3">
      <c r="A295" s="10" t="s">
        <v>1186</v>
      </c>
      <c r="B295" s="10"/>
      <c r="C295" s="17" t="s">
        <v>1187</v>
      </c>
      <c r="D295" s="12"/>
      <c r="E295" s="12"/>
      <c r="F295" s="18" t="s">
        <v>58</v>
      </c>
      <c r="G295" s="19">
        <v>1.1000000000000001</v>
      </c>
      <c r="H295" s="19"/>
      <c r="I295" s="19">
        <v>63.25</v>
      </c>
      <c r="J295" s="20">
        <v>22.18</v>
      </c>
      <c r="M295" s="21">
        <f>ROUND(ROUND(J295, 2)*I295, 2)</f>
        <v>1402.89</v>
      </c>
      <c r="P295" s="22">
        <v>22.18</v>
      </c>
      <c r="S295" s="21">
        <f>ROUND(ROUND(P295, 2)*I295, 2)</f>
        <v>1402.89</v>
      </c>
      <c r="V295" s="9">
        <f>ROUND(ROUND(P295, 2)/1.2, 2)</f>
        <v>18.48</v>
      </c>
      <c r="Y295" s="9">
        <f t="shared" si="20"/>
        <v>1169.08</v>
      </c>
      <c r="AD295" s="4" t="s">
        <v>1188</v>
      </c>
      <c r="AE295" s="4" t="s">
        <v>1189</v>
      </c>
      <c r="AF295" s="4" t="s">
        <v>1190</v>
      </c>
    </row>
    <row r="296" spans="1:35" ht="18" x14ac:dyDescent="0.3">
      <c r="A296" s="10" t="s">
        <v>1191</v>
      </c>
      <c r="B296" s="10"/>
      <c r="C296" s="17" t="s">
        <v>1192</v>
      </c>
      <c r="D296" s="12"/>
      <c r="E296" s="12"/>
      <c r="F296" s="18" t="s">
        <v>258</v>
      </c>
      <c r="G296" s="19">
        <v>1.05</v>
      </c>
      <c r="H296" s="19"/>
      <c r="I296" s="19">
        <v>60.375</v>
      </c>
      <c r="J296" s="20">
        <v>16.02</v>
      </c>
      <c r="M296" s="21">
        <f>ROUND(ROUND(J296, 2)*I296, 2)</f>
        <v>967.21</v>
      </c>
      <c r="P296" s="22">
        <v>16.02</v>
      </c>
      <c r="S296" s="21">
        <f>ROUND(ROUND(P296, 2)*I296, 2)</f>
        <v>967.21</v>
      </c>
      <c r="V296" s="9">
        <f>ROUND(ROUND(P296, 2)/1.2, 2)</f>
        <v>13.35</v>
      </c>
      <c r="Y296" s="9">
        <f t="shared" si="20"/>
        <v>806.01</v>
      </c>
      <c r="AD296" s="4" t="s">
        <v>1193</v>
      </c>
      <c r="AE296" s="4" t="s">
        <v>1194</v>
      </c>
      <c r="AF296" s="4" t="s">
        <v>1195</v>
      </c>
    </row>
    <row r="297" spans="1:35" ht="108" x14ac:dyDescent="0.3">
      <c r="A297" s="10" t="s">
        <v>1196</v>
      </c>
      <c r="B297" s="10" t="s">
        <v>1197</v>
      </c>
      <c r="C297" s="11" t="s">
        <v>1198</v>
      </c>
      <c r="D297" s="12"/>
      <c r="E297" s="12" t="s">
        <v>1199</v>
      </c>
      <c r="F297" s="12" t="s">
        <v>58</v>
      </c>
      <c r="G297" s="13">
        <v>1</v>
      </c>
      <c r="H297" s="13"/>
      <c r="I297" s="13">
        <v>244.06700000000001</v>
      </c>
      <c r="J297" s="14">
        <f>IFERROR(ROUND(SUM(M298,M299)/I297, 2),0)</f>
        <v>938.93</v>
      </c>
      <c r="K297" s="15">
        <v>564.99</v>
      </c>
      <c r="L297" s="14">
        <f>J297+ROUND(K297, 2)</f>
        <v>1503.92</v>
      </c>
      <c r="M297" s="14">
        <f>ROUND(J297*I297, 2)</f>
        <v>229161.83</v>
      </c>
      <c r="N297" s="14">
        <f>ROUND(I297*ROUND(K297, 2), 2)</f>
        <v>137895.41</v>
      </c>
      <c r="O297" s="14">
        <f>M297+N297</f>
        <v>367057.24</v>
      </c>
      <c r="P297" s="14">
        <f>IFERROR(ROUND(SUM(S298,S299)/I297, 2),0)</f>
        <v>938.93</v>
      </c>
      <c r="Q297" s="16">
        <v>807.13</v>
      </c>
      <c r="R297" s="14">
        <f>P297+ROUND(Q297, 2)</f>
        <v>1746.06</v>
      </c>
      <c r="S297" s="14">
        <f>ROUND(P297*I297, 2)</f>
        <v>229161.83</v>
      </c>
      <c r="T297" s="14">
        <f>ROUND(I297*ROUND(Q297, 2), 2)</f>
        <v>196993.8</v>
      </c>
      <c r="U297" s="14">
        <f>S297+T297</f>
        <v>426155.63</v>
      </c>
      <c r="V297" s="9">
        <f>ROUND(P297 / 1.2, 2)</f>
        <v>782.44</v>
      </c>
      <c r="W297" s="9">
        <f>ROUND(Q297 / 1.2, 2)</f>
        <v>672.61</v>
      </c>
      <c r="X297" s="9">
        <f>ROUND(R297 / 1.2, 2)</f>
        <v>1455.05</v>
      </c>
      <c r="Y297" s="9">
        <f t="shared" si="20"/>
        <v>190968.19</v>
      </c>
      <c r="Z297" s="9">
        <f>ROUND(T297 / 1.2, 2)</f>
        <v>164161.5</v>
      </c>
      <c r="AA297" s="9">
        <f>Y297+Z297</f>
        <v>355129.69</v>
      </c>
      <c r="AD297" s="4">
        <v>311044370</v>
      </c>
      <c r="AE297" s="4">
        <v>22781796</v>
      </c>
      <c r="AG297" s="4" t="s">
        <v>1200</v>
      </c>
      <c r="AH297" s="4" t="s">
        <v>1201</v>
      </c>
      <c r="AI297" s="4" t="s">
        <v>469</v>
      </c>
    </row>
    <row r="298" spans="1:35" ht="36" x14ac:dyDescent="0.3">
      <c r="A298" s="10" t="s">
        <v>1202</v>
      </c>
      <c r="B298" s="10"/>
      <c r="C298" s="23" t="s">
        <v>1203</v>
      </c>
      <c r="D298" s="12"/>
      <c r="E298" s="12"/>
      <c r="F298" s="18" t="s">
        <v>82</v>
      </c>
      <c r="G298" s="19">
        <v>1.03</v>
      </c>
      <c r="H298" s="24"/>
      <c r="I298" s="24">
        <v>37.707999999999998</v>
      </c>
      <c r="J298" s="20">
        <v>5639.61</v>
      </c>
      <c r="M298" s="21">
        <f>ROUND(ROUND(J298, 2)*I298, 2)</f>
        <v>212658.41</v>
      </c>
      <c r="P298" s="22">
        <v>5639.61</v>
      </c>
      <c r="S298" s="21">
        <f>ROUND(ROUND(P298, 2)*I298, 2)</f>
        <v>212658.41</v>
      </c>
      <c r="V298" s="9">
        <f>ROUND(ROUND(P298, 2)/1.2, 2)</f>
        <v>4699.68</v>
      </c>
      <c r="Y298" s="9">
        <f t="shared" si="20"/>
        <v>177215.34</v>
      </c>
      <c r="AD298" s="4" t="s">
        <v>1204</v>
      </c>
      <c r="AE298" s="4" t="s">
        <v>1205</v>
      </c>
      <c r="AF298" s="4" t="s">
        <v>1206</v>
      </c>
    </row>
    <row r="299" spans="1:35" ht="36" x14ac:dyDescent="0.3">
      <c r="A299" s="10" t="s">
        <v>1207</v>
      </c>
      <c r="B299" s="10"/>
      <c r="C299" s="17" t="s">
        <v>1208</v>
      </c>
      <c r="D299" s="12"/>
      <c r="E299" s="12"/>
      <c r="F299" s="18" t="s">
        <v>139</v>
      </c>
      <c r="G299" s="19">
        <v>7</v>
      </c>
      <c r="H299" s="19"/>
      <c r="I299" s="19">
        <v>1708.4690000000001</v>
      </c>
      <c r="J299" s="20">
        <v>9.66</v>
      </c>
      <c r="M299" s="21">
        <f>ROUND(ROUND(J299, 2)*I299, 2)</f>
        <v>16503.810000000001</v>
      </c>
      <c r="P299" s="22">
        <v>9.66</v>
      </c>
      <c r="S299" s="21">
        <f>ROUND(ROUND(P299, 2)*I299, 2)</f>
        <v>16503.810000000001</v>
      </c>
      <c r="V299" s="9">
        <f>ROUND(ROUND(P299, 2)/1.2, 2)</f>
        <v>8.0500000000000007</v>
      </c>
      <c r="Y299" s="9">
        <f t="shared" si="20"/>
        <v>13753.18</v>
      </c>
      <c r="AD299" s="4" t="s">
        <v>1209</v>
      </c>
      <c r="AE299" s="4" t="s">
        <v>1210</v>
      </c>
      <c r="AF299" s="4" t="s">
        <v>1211</v>
      </c>
    </row>
    <row r="300" spans="1:35" ht="126" x14ac:dyDescent="0.3">
      <c r="A300" s="10" t="s">
        <v>1212</v>
      </c>
      <c r="B300" s="10" t="s">
        <v>1197</v>
      </c>
      <c r="C300" s="11" t="s">
        <v>1198</v>
      </c>
      <c r="D300" s="12"/>
      <c r="E300" s="12" t="s">
        <v>1213</v>
      </c>
      <c r="F300" s="12" t="s">
        <v>58</v>
      </c>
      <c r="G300" s="13">
        <v>1</v>
      </c>
      <c r="H300" s="13"/>
      <c r="I300" s="13">
        <v>20.5</v>
      </c>
      <c r="J300" s="14">
        <f>IFERROR(ROUND(SUM(M301,M302,M303)/I300, 2),0)</f>
        <v>470.23</v>
      </c>
      <c r="K300" s="15">
        <v>564.99</v>
      </c>
      <c r="L300" s="14">
        <f>J300+ROUND(K300, 2)</f>
        <v>1035.22</v>
      </c>
      <c r="M300" s="14">
        <f>ROUND(J300*I300, 2)</f>
        <v>9639.7199999999993</v>
      </c>
      <c r="N300" s="14">
        <f>ROUND(I300*ROUND(K300, 2), 2)</f>
        <v>11582.3</v>
      </c>
      <c r="O300" s="14">
        <f>M300+N300</f>
        <v>21222.019999999997</v>
      </c>
      <c r="P300" s="14">
        <f>IFERROR(ROUND(SUM(S301,S302,S303)/I300, 2),0)</f>
        <v>470.23</v>
      </c>
      <c r="Q300" s="16">
        <v>807.13</v>
      </c>
      <c r="R300" s="14">
        <f>P300+ROUND(Q300, 2)</f>
        <v>1277.3600000000001</v>
      </c>
      <c r="S300" s="14">
        <f>ROUND(P300*I300, 2)</f>
        <v>9639.7199999999993</v>
      </c>
      <c r="T300" s="14">
        <f>ROUND(I300*ROUND(Q300, 2), 2)</f>
        <v>16546.169999999998</v>
      </c>
      <c r="U300" s="14">
        <f>S300+T300</f>
        <v>26185.89</v>
      </c>
      <c r="V300" s="9">
        <f>ROUND(P300 / 1.2, 2)</f>
        <v>391.86</v>
      </c>
      <c r="W300" s="9">
        <f>ROUND(Q300 / 1.2, 2)</f>
        <v>672.61</v>
      </c>
      <c r="X300" s="9">
        <f>ROUND(R300 / 1.2, 2)</f>
        <v>1064.47</v>
      </c>
      <c r="Y300" s="9">
        <f t="shared" si="20"/>
        <v>8033.1</v>
      </c>
      <c r="Z300" s="9">
        <f>ROUND(T300 / 1.2, 2)</f>
        <v>13788.48</v>
      </c>
      <c r="AA300" s="9">
        <f>Y300+Z300</f>
        <v>21821.58</v>
      </c>
      <c r="AD300" s="4">
        <v>311044444</v>
      </c>
      <c r="AE300" s="4">
        <v>22782182</v>
      </c>
      <c r="AG300" s="4" t="s">
        <v>1200</v>
      </c>
      <c r="AH300" s="4" t="s">
        <v>1201</v>
      </c>
      <c r="AI300" s="4" t="s">
        <v>469</v>
      </c>
    </row>
    <row r="301" spans="1:35" ht="36" x14ac:dyDescent="0.3">
      <c r="A301" s="10" t="s">
        <v>1214</v>
      </c>
      <c r="B301" s="10"/>
      <c r="C301" s="17" t="s">
        <v>1215</v>
      </c>
      <c r="D301" s="12"/>
      <c r="E301" s="12"/>
      <c r="F301" s="18" t="s">
        <v>139</v>
      </c>
      <c r="G301" s="19">
        <v>7</v>
      </c>
      <c r="H301" s="19"/>
      <c r="I301" s="19">
        <v>143.5</v>
      </c>
      <c r="J301" s="20">
        <v>8.24</v>
      </c>
      <c r="M301" s="21">
        <f>ROUND(ROUND(J301, 2)*I301, 2)</f>
        <v>1182.44</v>
      </c>
      <c r="P301" s="22">
        <v>8.24</v>
      </c>
      <c r="S301" s="21">
        <f>ROUND(ROUND(P301, 2)*I301, 2)</f>
        <v>1182.44</v>
      </c>
      <c r="V301" s="9">
        <f>ROUND(ROUND(P301, 2)/1.2, 2)</f>
        <v>6.87</v>
      </c>
      <c r="Y301" s="9">
        <f t="shared" si="20"/>
        <v>985.37</v>
      </c>
      <c r="AD301" s="4" t="s">
        <v>1216</v>
      </c>
      <c r="AE301" s="4" t="s">
        <v>1217</v>
      </c>
      <c r="AF301" s="4" t="s">
        <v>1218</v>
      </c>
    </row>
    <row r="302" spans="1:35" ht="36" x14ac:dyDescent="0.3">
      <c r="A302" s="10" t="s">
        <v>1219</v>
      </c>
      <c r="B302" s="10"/>
      <c r="C302" s="17" t="s">
        <v>1220</v>
      </c>
      <c r="D302" s="12"/>
      <c r="E302" s="12"/>
      <c r="F302" s="18" t="s">
        <v>99</v>
      </c>
      <c r="G302" s="19">
        <v>6</v>
      </c>
      <c r="H302" s="24"/>
      <c r="I302" s="24">
        <v>123</v>
      </c>
      <c r="J302" s="20">
        <v>20.34</v>
      </c>
      <c r="M302" s="21">
        <f>ROUND(ROUND(J302, 2)*I302, 2)</f>
        <v>2501.8200000000002</v>
      </c>
      <c r="P302" s="22">
        <v>20.34</v>
      </c>
      <c r="S302" s="21">
        <f>ROUND(ROUND(P302, 2)*I302, 2)</f>
        <v>2501.8200000000002</v>
      </c>
      <c r="V302" s="9">
        <f>ROUND(ROUND(P302, 2)/1.2, 2)</f>
        <v>16.95</v>
      </c>
      <c r="Y302" s="9">
        <f t="shared" si="20"/>
        <v>2084.85</v>
      </c>
      <c r="AD302" s="4" t="s">
        <v>1221</v>
      </c>
      <c r="AE302" s="4" t="s">
        <v>1222</v>
      </c>
      <c r="AF302" s="4" t="s">
        <v>1223</v>
      </c>
    </row>
    <row r="303" spans="1:35" ht="36" x14ac:dyDescent="0.3">
      <c r="A303" s="10" t="s">
        <v>1224</v>
      </c>
      <c r="B303" s="10"/>
      <c r="C303" s="23" t="s">
        <v>1203</v>
      </c>
      <c r="D303" s="12"/>
      <c r="E303" s="12"/>
      <c r="F303" s="18" t="s">
        <v>82</v>
      </c>
      <c r="G303" s="19">
        <v>1.03</v>
      </c>
      <c r="H303" s="24"/>
      <c r="I303" s="24">
        <v>1.056</v>
      </c>
      <c r="J303" s="20">
        <v>5639.61</v>
      </c>
      <c r="M303" s="21">
        <f>ROUND(ROUND(J303, 2)*I303, 2)</f>
        <v>5955.43</v>
      </c>
      <c r="P303" s="22">
        <v>5639.61</v>
      </c>
      <c r="S303" s="21">
        <f>ROUND(ROUND(P303, 2)*I303, 2)</f>
        <v>5955.43</v>
      </c>
      <c r="V303" s="9">
        <f>ROUND(ROUND(P303, 2)/1.2, 2)</f>
        <v>4699.68</v>
      </c>
      <c r="Y303" s="9">
        <f t="shared" si="20"/>
        <v>4962.8599999999997</v>
      </c>
      <c r="AD303" s="4" t="s">
        <v>1225</v>
      </c>
      <c r="AE303" s="4" t="s">
        <v>1226</v>
      </c>
      <c r="AF303" s="4" t="s">
        <v>1206</v>
      </c>
    </row>
    <row r="304" spans="1:35" ht="126" x14ac:dyDescent="0.3">
      <c r="A304" s="10" t="s">
        <v>1227</v>
      </c>
      <c r="B304" s="10" t="s">
        <v>1197</v>
      </c>
      <c r="C304" s="11" t="s">
        <v>1198</v>
      </c>
      <c r="D304" s="12"/>
      <c r="E304" s="12" t="s">
        <v>1228</v>
      </c>
      <c r="F304" s="12" t="s">
        <v>58</v>
      </c>
      <c r="G304" s="13">
        <v>1</v>
      </c>
      <c r="H304" s="13"/>
      <c r="I304" s="13">
        <v>37</v>
      </c>
      <c r="J304" s="14">
        <f>IFERROR(ROUND(SUM(M305,M306,M307)/I304, 2),0)</f>
        <v>1075.27</v>
      </c>
      <c r="K304" s="15">
        <v>564.99</v>
      </c>
      <c r="L304" s="14">
        <f>J304+ROUND(K304, 2)</f>
        <v>1640.26</v>
      </c>
      <c r="M304" s="14">
        <f>ROUND(J304*I304, 2)</f>
        <v>39784.99</v>
      </c>
      <c r="N304" s="14">
        <f>ROUND(I304*ROUND(K304, 2), 2)</f>
        <v>20904.63</v>
      </c>
      <c r="O304" s="14">
        <f>M304+N304</f>
        <v>60689.619999999995</v>
      </c>
      <c r="P304" s="14">
        <f>IFERROR(ROUND(SUM(S305,S306,S307)/I304, 2),0)</f>
        <v>1075.27</v>
      </c>
      <c r="Q304" s="16">
        <v>807.13</v>
      </c>
      <c r="R304" s="14">
        <f>P304+ROUND(Q304, 2)</f>
        <v>1882.4</v>
      </c>
      <c r="S304" s="14">
        <f>ROUND(P304*I304, 2)</f>
        <v>39784.99</v>
      </c>
      <c r="T304" s="14">
        <f>ROUND(I304*ROUND(Q304, 2), 2)</f>
        <v>29863.81</v>
      </c>
      <c r="U304" s="14">
        <f>S304+T304</f>
        <v>69648.800000000003</v>
      </c>
      <c r="V304" s="9">
        <f>ROUND(P304 / 1.2, 2)</f>
        <v>896.06</v>
      </c>
      <c r="W304" s="9">
        <f>ROUND(Q304 / 1.2, 2)</f>
        <v>672.61</v>
      </c>
      <c r="X304" s="9">
        <f>ROUND(R304 / 1.2, 2)</f>
        <v>1568.67</v>
      </c>
      <c r="Y304" s="9">
        <f t="shared" si="20"/>
        <v>33154.160000000003</v>
      </c>
      <c r="Z304" s="9">
        <f>ROUND(T304 / 1.2, 2)</f>
        <v>24886.51</v>
      </c>
      <c r="AA304" s="9">
        <f>Y304+Z304</f>
        <v>58040.67</v>
      </c>
      <c r="AD304" s="4">
        <v>311044445</v>
      </c>
      <c r="AE304" s="4">
        <v>22782181</v>
      </c>
      <c r="AG304" s="4" t="s">
        <v>1200</v>
      </c>
      <c r="AH304" s="4" t="s">
        <v>1201</v>
      </c>
      <c r="AI304" s="4" t="s">
        <v>469</v>
      </c>
    </row>
    <row r="305" spans="1:35" ht="36" x14ac:dyDescent="0.3">
      <c r="A305" s="10" t="s">
        <v>1229</v>
      </c>
      <c r="B305" s="10"/>
      <c r="C305" s="23" t="s">
        <v>1203</v>
      </c>
      <c r="D305" s="12"/>
      <c r="E305" s="12"/>
      <c r="F305" s="18" t="s">
        <v>82</v>
      </c>
      <c r="G305" s="19">
        <v>1.03</v>
      </c>
      <c r="H305" s="24"/>
      <c r="I305" s="24">
        <v>5.7169999999999996</v>
      </c>
      <c r="J305" s="20">
        <v>5639.61</v>
      </c>
      <c r="M305" s="21">
        <f>ROUND(ROUND(J305, 2)*I305, 2)</f>
        <v>32241.65</v>
      </c>
      <c r="P305" s="22">
        <v>5639.61</v>
      </c>
      <c r="S305" s="21">
        <f>ROUND(ROUND(P305, 2)*I305, 2)</f>
        <v>32241.65</v>
      </c>
      <c r="V305" s="9">
        <f>ROUND(ROUND(P305, 2)/1.2, 2)</f>
        <v>4699.68</v>
      </c>
      <c r="Y305" s="9">
        <f t="shared" si="20"/>
        <v>26868.04</v>
      </c>
      <c r="AD305" s="4" t="s">
        <v>1230</v>
      </c>
      <c r="AE305" s="4" t="s">
        <v>1231</v>
      </c>
      <c r="AF305" s="4" t="s">
        <v>1206</v>
      </c>
    </row>
    <row r="306" spans="1:35" ht="36" x14ac:dyDescent="0.3">
      <c r="A306" s="10" t="s">
        <v>1232</v>
      </c>
      <c r="B306" s="10"/>
      <c r="C306" s="17" t="s">
        <v>1220</v>
      </c>
      <c r="D306" s="12"/>
      <c r="E306" s="12"/>
      <c r="F306" s="18" t="s">
        <v>99</v>
      </c>
      <c r="G306" s="19">
        <v>6</v>
      </c>
      <c r="H306" s="24"/>
      <c r="I306" s="24">
        <v>222</v>
      </c>
      <c r="J306" s="20">
        <v>20.34</v>
      </c>
      <c r="M306" s="21">
        <f>ROUND(ROUND(J306, 2)*I306, 2)</f>
        <v>4515.4799999999996</v>
      </c>
      <c r="P306" s="22">
        <v>20.34</v>
      </c>
      <c r="S306" s="21">
        <f>ROUND(ROUND(P306, 2)*I306, 2)</f>
        <v>4515.4799999999996</v>
      </c>
      <c r="V306" s="9">
        <f>ROUND(ROUND(P306, 2)/1.2, 2)</f>
        <v>16.95</v>
      </c>
      <c r="Y306" s="9">
        <f t="shared" si="20"/>
        <v>3762.9</v>
      </c>
      <c r="AD306" s="4" t="s">
        <v>1233</v>
      </c>
      <c r="AE306" s="4" t="s">
        <v>1234</v>
      </c>
      <c r="AF306" s="4" t="s">
        <v>1223</v>
      </c>
    </row>
    <row r="307" spans="1:35" ht="36" x14ac:dyDescent="0.3">
      <c r="A307" s="10" t="s">
        <v>1235</v>
      </c>
      <c r="B307" s="10"/>
      <c r="C307" s="17" t="s">
        <v>1236</v>
      </c>
      <c r="D307" s="12"/>
      <c r="E307" s="12"/>
      <c r="F307" s="18" t="s">
        <v>139</v>
      </c>
      <c r="G307" s="19">
        <v>7</v>
      </c>
      <c r="H307" s="19"/>
      <c r="I307" s="19">
        <v>259</v>
      </c>
      <c r="J307" s="20">
        <v>11.69</v>
      </c>
      <c r="M307" s="21">
        <f>ROUND(ROUND(J307, 2)*I307, 2)</f>
        <v>3027.71</v>
      </c>
      <c r="P307" s="22">
        <v>11.69</v>
      </c>
      <c r="S307" s="21">
        <f>ROUND(ROUND(P307, 2)*I307, 2)</f>
        <v>3027.71</v>
      </c>
      <c r="V307" s="9">
        <f>ROUND(ROUND(P307, 2)/1.2, 2)</f>
        <v>9.74</v>
      </c>
      <c r="Y307" s="9">
        <f t="shared" si="20"/>
        <v>2523.09</v>
      </c>
      <c r="AD307" s="4" t="s">
        <v>1237</v>
      </c>
      <c r="AE307" s="4" t="s">
        <v>1238</v>
      </c>
      <c r="AF307" s="4" t="s">
        <v>1239</v>
      </c>
    </row>
    <row r="308" spans="1:35" ht="72" x14ac:dyDescent="0.3">
      <c r="A308" s="10" t="s">
        <v>1240</v>
      </c>
      <c r="B308" s="10" t="s">
        <v>1241</v>
      </c>
      <c r="C308" s="11" t="s">
        <v>1242</v>
      </c>
      <c r="D308" s="12"/>
      <c r="E308" s="12" t="s">
        <v>1243</v>
      </c>
      <c r="F308" s="12" t="s">
        <v>58</v>
      </c>
      <c r="G308" s="13">
        <v>1</v>
      </c>
      <c r="H308" s="13"/>
      <c r="I308" s="13">
        <v>601</v>
      </c>
      <c r="J308" s="14">
        <f>IFERROR(ROUND(SUM(M309,M310,M311)/I308, 2),0)</f>
        <v>82.62</v>
      </c>
      <c r="K308" s="15">
        <v>639</v>
      </c>
      <c r="L308" s="14">
        <f>J308+ROUND(K308, 2)</f>
        <v>721.62</v>
      </c>
      <c r="M308" s="14">
        <f>ROUND(J308*I308, 2)</f>
        <v>49654.62</v>
      </c>
      <c r="N308" s="14">
        <f>ROUND(I308*ROUND(K308, 2), 2)</f>
        <v>384039</v>
      </c>
      <c r="O308" s="14">
        <f>M308+N308</f>
        <v>433693.62</v>
      </c>
      <c r="P308" s="14">
        <f>IFERROR(ROUND(SUM(S309,S310,S311)/I308, 2),0)</f>
        <v>82.62</v>
      </c>
      <c r="Q308" s="16">
        <v>912.86</v>
      </c>
      <c r="R308" s="14">
        <f>P308+ROUND(Q308, 2)</f>
        <v>995.48</v>
      </c>
      <c r="S308" s="14">
        <f>ROUND(P308*I308, 2)</f>
        <v>49654.62</v>
      </c>
      <c r="T308" s="14">
        <f>ROUND(I308*ROUND(Q308, 2), 2)</f>
        <v>548628.86</v>
      </c>
      <c r="U308" s="14">
        <f>S308+T308</f>
        <v>598283.48</v>
      </c>
      <c r="V308" s="9">
        <f>ROUND(P308 / 1.2, 2)</f>
        <v>68.849999999999994</v>
      </c>
      <c r="W308" s="9">
        <f>ROUND(Q308 / 1.2, 2)</f>
        <v>760.72</v>
      </c>
      <c r="X308" s="9">
        <f>ROUND(R308 / 1.2, 2)</f>
        <v>829.57</v>
      </c>
      <c r="Y308" s="9">
        <f t="shared" si="20"/>
        <v>41378.85</v>
      </c>
      <c r="Z308" s="9">
        <f>ROUND(T308 / 1.2, 2)</f>
        <v>457190.72</v>
      </c>
      <c r="AA308" s="9">
        <f>Y308+Z308</f>
        <v>498569.56999999995</v>
      </c>
      <c r="AD308" s="4">
        <v>311044372</v>
      </c>
      <c r="AE308" s="4">
        <v>22788873</v>
      </c>
      <c r="AG308" s="4" t="s">
        <v>1244</v>
      </c>
      <c r="AH308" s="4" t="s">
        <v>1245</v>
      </c>
      <c r="AI308" s="4" t="s">
        <v>469</v>
      </c>
    </row>
    <row r="309" spans="1:35" ht="18" x14ac:dyDescent="0.3">
      <c r="A309" s="10" t="s">
        <v>1246</v>
      </c>
      <c r="B309" s="10"/>
      <c r="C309" s="17" t="s">
        <v>1247</v>
      </c>
      <c r="D309" s="12"/>
      <c r="E309" s="12" t="s">
        <v>1248</v>
      </c>
      <c r="F309" s="18" t="s">
        <v>99</v>
      </c>
      <c r="G309" s="19">
        <v>2</v>
      </c>
      <c r="H309" s="19"/>
      <c r="I309" s="19">
        <v>1202</v>
      </c>
      <c r="J309" s="20">
        <v>23.39</v>
      </c>
      <c r="M309" s="21">
        <f>ROUND(ROUND(J309, 2)*I309, 2)</f>
        <v>28114.78</v>
      </c>
      <c r="P309" s="22">
        <v>23.39</v>
      </c>
      <c r="S309" s="21">
        <f>ROUND(ROUND(P309, 2)*I309, 2)</f>
        <v>28114.78</v>
      </c>
      <c r="V309" s="9">
        <f>ROUND(ROUND(P309, 2)/1.2, 2)</f>
        <v>19.489999999999998</v>
      </c>
      <c r="Y309" s="9">
        <f t="shared" si="20"/>
        <v>23428.98</v>
      </c>
      <c r="AD309" s="4" t="s">
        <v>1249</v>
      </c>
      <c r="AE309" s="4" t="s">
        <v>1250</v>
      </c>
      <c r="AF309" s="4" t="s">
        <v>1251</v>
      </c>
    </row>
    <row r="310" spans="1:35" ht="36" x14ac:dyDescent="0.3">
      <c r="A310" s="10" t="s">
        <v>1252</v>
      </c>
      <c r="B310" s="10"/>
      <c r="C310" s="17" t="s">
        <v>1253</v>
      </c>
      <c r="D310" s="12"/>
      <c r="E310" s="12"/>
      <c r="F310" s="18" t="s">
        <v>139</v>
      </c>
      <c r="G310" s="19">
        <v>0.3</v>
      </c>
      <c r="H310" s="19"/>
      <c r="I310" s="19">
        <v>180.3</v>
      </c>
      <c r="J310" s="20">
        <v>74.319999999999993</v>
      </c>
      <c r="M310" s="21">
        <f>ROUND(ROUND(J310, 2)*I310, 2)</f>
        <v>13399.9</v>
      </c>
      <c r="P310" s="22">
        <v>74.319999999999993</v>
      </c>
      <c r="S310" s="21">
        <f>ROUND(ROUND(P310, 2)*I310, 2)</f>
        <v>13399.9</v>
      </c>
      <c r="V310" s="9">
        <f>ROUND(ROUND(P310, 2)/1.2, 2)</f>
        <v>61.93</v>
      </c>
      <c r="Y310" s="9">
        <f t="shared" si="20"/>
        <v>11166.58</v>
      </c>
      <c r="AD310" s="4" t="s">
        <v>1254</v>
      </c>
      <c r="AE310" s="4" t="s">
        <v>1255</v>
      </c>
      <c r="AF310" s="4" t="s">
        <v>1256</v>
      </c>
    </row>
    <row r="311" spans="1:35" ht="36" x14ac:dyDescent="0.3">
      <c r="A311" s="10" t="s">
        <v>1257</v>
      </c>
      <c r="B311" s="10"/>
      <c r="C311" s="17" t="s">
        <v>1057</v>
      </c>
      <c r="D311" s="12"/>
      <c r="E311" s="12"/>
      <c r="F311" s="18" t="s">
        <v>99</v>
      </c>
      <c r="G311" s="19">
        <v>0.15</v>
      </c>
      <c r="H311" s="19"/>
      <c r="I311" s="19">
        <v>90.15</v>
      </c>
      <c r="J311" s="20">
        <v>90.28</v>
      </c>
      <c r="M311" s="21">
        <f>ROUND(ROUND(J311, 2)*I311, 2)</f>
        <v>8138.74</v>
      </c>
      <c r="P311" s="22">
        <v>90.28</v>
      </c>
      <c r="S311" s="21">
        <f>ROUND(ROUND(P311, 2)*I311, 2)</f>
        <v>8138.74</v>
      </c>
      <c r="V311" s="9">
        <f>ROUND(ROUND(P311, 2)/1.2, 2)</f>
        <v>75.23</v>
      </c>
      <c r="Y311" s="9">
        <f t="shared" si="20"/>
        <v>6782.28</v>
      </c>
      <c r="AD311" s="4" t="s">
        <v>1258</v>
      </c>
      <c r="AE311" s="4" t="s">
        <v>1259</v>
      </c>
      <c r="AF311" s="4" t="s">
        <v>1060</v>
      </c>
    </row>
    <row r="312" spans="1:35" ht="54" x14ac:dyDescent="0.3">
      <c r="A312" s="10" t="s">
        <v>1260</v>
      </c>
      <c r="B312" s="10" t="s">
        <v>1241</v>
      </c>
      <c r="C312" s="11" t="s">
        <v>1242</v>
      </c>
      <c r="D312" s="12"/>
      <c r="E312" s="12" t="s">
        <v>1261</v>
      </c>
      <c r="F312" s="12" t="s">
        <v>58</v>
      </c>
      <c r="G312" s="13">
        <v>1</v>
      </c>
      <c r="H312" s="13"/>
      <c r="I312" s="13">
        <v>405</v>
      </c>
      <c r="J312" s="14">
        <f>IFERROR(ROUND(SUM(M313,M314,M315)/I312, 2),0)</f>
        <v>54.23</v>
      </c>
      <c r="K312" s="15">
        <v>639</v>
      </c>
      <c r="L312" s="14">
        <f>J312+ROUND(K312, 2)</f>
        <v>693.23</v>
      </c>
      <c r="M312" s="14">
        <f>ROUND(J312*I312, 2)</f>
        <v>21963.15</v>
      </c>
      <c r="N312" s="14">
        <f>ROUND(I312*ROUND(K312, 2), 2)</f>
        <v>258795</v>
      </c>
      <c r="O312" s="14">
        <f>M312+N312</f>
        <v>280758.15000000002</v>
      </c>
      <c r="P312" s="14">
        <f>IFERROR(ROUND(SUM(S313,S314,S315)/I312, 2),0)</f>
        <v>54.23</v>
      </c>
      <c r="Q312" s="16">
        <v>912.86</v>
      </c>
      <c r="R312" s="14">
        <f>P312+ROUND(Q312, 2)</f>
        <v>967.09</v>
      </c>
      <c r="S312" s="14">
        <f>ROUND(P312*I312, 2)</f>
        <v>21963.15</v>
      </c>
      <c r="T312" s="14">
        <f>ROUND(I312*ROUND(Q312, 2), 2)</f>
        <v>369708.3</v>
      </c>
      <c r="U312" s="14">
        <f>S312+T312</f>
        <v>391671.45</v>
      </c>
      <c r="V312" s="9">
        <f>ROUND(P312 / 1.2, 2)</f>
        <v>45.19</v>
      </c>
      <c r="W312" s="9">
        <f>ROUND(Q312 / 1.2, 2)</f>
        <v>760.72</v>
      </c>
      <c r="X312" s="9">
        <f>ROUND(R312 / 1.2, 2)</f>
        <v>805.91</v>
      </c>
      <c r="Y312" s="9">
        <f t="shared" si="20"/>
        <v>18302.63</v>
      </c>
      <c r="Z312" s="9">
        <f>ROUND(T312 / 1.2, 2)</f>
        <v>308090.25</v>
      </c>
      <c r="AA312" s="9">
        <f>Y312+Z312</f>
        <v>326392.88</v>
      </c>
      <c r="AD312" s="4">
        <v>311044446</v>
      </c>
      <c r="AE312" s="4">
        <v>22788868</v>
      </c>
      <c r="AG312" s="4" t="s">
        <v>1244</v>
      </c>
      <c r="AH312" s="4" t="s">
        <v>1245</v>
      </c>
      <c r="AI312" s="4" t="s">
        <v>469</v>
      </c>
    </row>
    <row r="313" spans="1:35" ht="36" x14ac:dyDescent="0.3">
      <c r="A313" s="10" t="s">
        <v>1262</v>
      </c>
      <c r="B313" s="10"/>
      <c r="C313" s="17" t="s">
        <v>1057</v>
      </c>
      <c r="D313" s="12"/>
      <c r="E313" s="12"/>
      <c r="F313" s="18" t="s">
        <v>99</v>
      </c>
      <c r="G313" s="19">
        <v>0.15</v>
      </c>
      <c r="H313" s="19"/>
      <c r="I313" s="19">
        <v>60.75</v>
      </c>
      <c r="J313" s="20">
        <v>90.28</v>
      </c>
      <c r="M313" s="21">
        <f>ROUND(ROUND(J313, 2)*I313, 2)</f>
        <v>5484.51</v>
      </c>
      <c r="P313" s="22">
        <v>90.28</v>
      </c>
      <c r="S313" s="21">
        <f>ROUND(ROUND(P313, 2)*I313, 2)</f>
        <v>5484.51</v>
      </c>
      <c r="V313" s="9">
        <f>ROUND(ROUND(P313, 2)/1.2, 2)</f>
        <v>75.23</v>
      </c>
      <c r="Y313" s="9">
        <f t="shared" si="20"/>
        <v>4570.43</v>
      </c>
      <c r="AD313" s="4" t="s">
        <v>1263</v>
      </c>
      <c r="AE313" s="4" t="s">
        <v>1264</v>
      </c>
      <c r="AF313" s="4" t="s">
        <v>1060</v>
      </c>
    </row>
    <row r="314" spans="1:35" ht="36" x14ac:dyDescent="0.3">
      <c r="A314" s="10" t="s">
        <v>1265</v>
      </c>
      <c r="B314" s="10"/>
      <c r="C314" s="17" t="s">
        <v>1253</v>
      </c>
      <c r="D314" s="12"/>
      <c r="E314" s="12"/>
      <c r="F314" s="18" t="s">
        <v>139</v>
      </c>
      <c r="G314" s="19">
        <v>0.3</v>
      </c>
      <c r="H314" s="19"/>
      <c r="I314" s="19">
        <v>121.5</v>
      </c>
      <c r="J314" s="20">
        <v>74.319999999999993</v>
      </c>
      <c r="M314" s="21">
        <f>ROUND(ROUND(J314, 2)*I314, 2)</f>
        <v>9029.8799999999992</v>
      </c>
      <c r="P314" s="22">
        <v>74.319999999999993</v>
      </c>
      <c r="S314" s="21">
        <f>ROUND(ROUND(P314, 2)*I314, 2)</f>
        <v>9029.8799999999992</v>
      </c>
      <c r="V314" s="9">
        <f>ROUND(ROUND(P314, 2)/1.2, 2)</f>
        <v>61.93</v>
      </c>
      <c r="Y314" s="9">
        <f t="shared" si="20"/>
        <v>7524.9</v>
      </c>
      <c r="AD314" s="4" t="s">
        <v>1266</v>
      </c>
      <c r="AE314" s="4" t="s">
        <v>1267</v>
      </c>
      <c r="AF314" s="4" t="s">
        <v>1256</v>
      </c>
    </row>
    <row r="315" spans="1:35" ht="36" x14ac:dyDescent="0.3">
      <c r="A315" s="10" t="s">
        <v>1268</v>
      </c>
      <c r="B315" s="10"/>
      <c r="C315" s="23" t="s">
        <v>1269</v>
      </c>
      <c r="D315" s="12"/>
      <c r="E315" s="12"/>
      <c r="F315" s="18" t="s">
        <v>99</v>
      </c>
      <c r="G315" s="19">
        <v>1.5</v>
      </c>
      <c r="H315" s="19"/>
      <c r="I315" s="19">
        <v>607.5</v>
      </c>
      <c r="J315" s="20">
        <v>12.26</v>
      </c>
      <c r="M315" s="21">
        <f>ROUND(ROUND(J315, 2)*I315, 2)</f>
        <v>7447.95</v>
      </c>
      <c r="P315" s="22">
        <v>12.26</v>
      </c>
      <c r="S315" s="21">
        <f>ROUND(ROUND(P315, 2)*I315, 2)</f>
        <v>7447.95</v>
      </c>
      <c r="V315" s="9">
        <f>ROUND(ROUND(P315, 2)/1.2, 2)</f>
        <v>10.220000000000001</v>
      </c>
      <c r="Y315" s="9">
        <f t="shared" si="20"/>
        <v>6206.63</v>
      </c>
      <c r="AD315" s="4" t="s">
        <v>1270</v>
      </c>
      <c r="AE315" s="4" t="s">
        <v>1271</v>
      </c>
      <c r="AF315" s="4" t="s">
        <v>1272</v>
      </c>
    </row>
    <row r="316" spans="1:35" ht="36" x14ac:dyDescent="0.3">
      <c r="A316" s="10" t="s">
        <v>1273</v>
      </c>
      <c r="B316" s="10" t="s">
        <v>1241</v>
      </c>
      <c r="C316" s="11" t="s">
        <v>1242</v>
      </c>
      <c r="D316" s="12"/>
      <c r="E316" s="12" t="s">
        <v>1274</v>
      </c>
      <c r="F316" s="12" t="s">
        <v>58</v>
      </c>
      <c r="G316" s="13">
        <v>1</v>
      </c>
      <c r="H316" s="13"/>
      <c r="I316" s="13">
        <v>405</v>
      </c>
      <c r="J316" s="14">
        <f>IFERROR(ROUND(SUM(M317,M318)/I316, 2),0)</f>
        <v>31.93</v>
      </c>
      <c r="K316" s="15">
        <v>639</v>
      </c>
      <c r="L316" s="14">
        <f>J316+ROUND(K316, 2)</f>
        <v>670.93</v>
      </c>
      <c r="M316" s="14">
        <f>ROUND(J316*I316, 2)</f>
        <v>12931.65</v>
      </c>
      <c r="N316" s="14">
        <f>ROUND(I316*ROUND(K316, 2), 2)</f>
        <v>258795</v>
      </c>
      <c r="O316" s="14">
        <f>M316+N316</f>
        <v>271726.65000000002</v>
      </c>
      <c r="P316" s="14">
        <f>IFERROR(ROUND(SUM(S317,S318)/I316, 2),0)</f>
        <v>31.93</v>
      </c>
      <c r="Q316" s="16">
        <v>912.86</v>
      </c>
      <c r="R316" s="14">
        <f>P316+ROUND(Q316, 2)</f>
        <v>944.79</v>
      </c>
      <c r="S316" s="14">
        <f>ROUND(P316*I316, 2)</f>
        <v>12931.65</v>
      </c>
      <c r="T316" s="14">
        <f>ROUND(I316*ROUND(Q316, 2), 2)</f>
        <v>369708.3</v>
      </c>
      <c r="U316" s="14">
        <f>S316+T316</f>
        <v>382639.95</v>
      </c>
      <c r="V316" s="9">
        <f>ROUND(P316 / 1.2, 2)</f>
        <v>26.61</v>
      </c>
      <c r="W316" s="9">
        <f>ROUND(Q316 / 1.2, 2)</f>
        <v>760.72</v>
      </c>
      <c r="X316" s="9">
        <f>ROUND(R316 / 1.2, 2)</f>
        <v>787.33</v>
      </c>
      <c r="Y316" s="9">
        <f t="shared" si="20"/>
        <v>10776.38</v>
      </c>
      <c r="Z316" s="9">
        <f>ROUND(T316 / 1.2, 2)</f>
        <v>308090.25</v>
      </c>
      <c r="AA316" s="9">
        <f>Y316+Z316</f>
        <v>318866.63</v>
      </c>
      <c r="AD316" s="4">
        <v>311044447</v>
      </c>
      <c r="AE316" s="4">
        <v>22788870</v>
      </c>
      <c r="AG316" s="4" t="s">
        <v>1244</v>
      </c>
      <c r="AH316" s="4" t="s">
        <v>1245</v>
      </c>
      <c r="AI316" s="4" t="s">
        <v>469</v>
      </c>
    </row>
    <row r="317" spans="1:35" ht="36" x14ac:dyDescent="0.3">
      <c r="A317" s="10" t="s">
        <v>1275</v>
      </c>
      <c r="B317" s="10"/>
      <c r="C317" s="23" t="s">
        <v>1269</v>
      </c>
      <c r="D317" s="12"/>
      <c r="E317" s="12"/>
      <c r="F317" s="18" t="s">
        <v>99</v>
      </c>
      <c r="G317" s="19">
        <v>1.5</v>
      </c>
      <c r="H317" s="19"/>
      <c r="I317" s="19">
        <v>607.5</v>
      </c>
      <c r="J317" s="20">
        <v>12.26</v>
      </c>
      <c r="M317" s="21">
        <f>ROUND(ROUND(J317, 2)*I317, 2)</f>
        <v>7447.95</v>
      </c>
      <c r="P317" s="22">
        <v>12.26</v>
      </c>
      <c r="S317" s="21">
        <f>ROUND(ROUND(P317, 2)*I317, 2)</f>
        <v>7447.95</v>
      </c>
      <c r="V317" s="9">
        <f>ROUND(ROUND(P317, 2)/1.2, 2)</f>
        <v>10.220000000000001</v>
      </c>
      <c r="Y317" s="9">
        <f t="shared" si="20"/>
        <v>6206.63</v>
      </c>
      <c r="AD317" s="4" t="s">
        <v>1276</v>
      </c>
      <c r="AE317" s="4" t="s">
        <v>1277</v>
      </c>
      <c r="AF317" s="4" t="s">
        <v>1272</v>
      </c>
    </row>
    <row r="318" spans="1:35" ht="36" x14ac:dyDescent="0.3">
      <c r="A318" s="10" t="s">
        <v>1278</v>
      </c>
      <c r="B318" s="10"/>
      <c r="C318" s="17" t="s">
        <v>1057</v>
      </c>
      <c r="D318" s="12"/>
      <c r="E318" s="12"/>
      <c r="F318" s="18" t="s">
        <v>99</v>
      </c>
      <c r="G318" s="19">
        <v>0.15</v>
      </c>
      <c r="H318" s="19"/>
      <c r="I318" s="19">
        <v>60.75</v>
      </c>
      <c r="J318" s="20">
        <v>90.28</v>
      </c>
      <c r="M318" s="21">
        <f>ROUND(ROUND(J318, 2)*I318, 2)</f>
        <v>5484.51</v>
      </c>
      <c r="P318" s="22">
        <v>90.28</v>
      </c>
      <c r="S318" s="21">
        <f>ROUND(ROUND(P318, 2)*I318, 2)</f>
        <v>5484.51</v>
      </c>
      <c r="V318" s="9">
        <f>ROUND(ROUND(P318, 2)/1.2, 2)</f>
        <v>75.23</v>
      </c>
      <c r="Y318" s="9">
        <f t="shared" si="20"/>
        <v>4570.43</v>
      </c>
      <c r="AD318" s="4" t="s">
        <v>1279</v>
      </c>
      <c r="AE318" s="4" t="s">
        <v>1280</v>
      </c>
      <c r="AF318" s="4" t="s">
        <v>1060</v>
      </c>
    </row>
    <row r="319" spans="1:35" ht="54" x14ac:dyDescent="0.3">
      <c r="A319" s="10" t="s">
        <v>1281</v>
      </c>
      <c r="B319" s="10" t="s">
        <v>1282</v>
      </c>
      <c r="C319" s="11" t="s">
        <v>1283</v>
      </c>
      <c r="D319" s="12"/>
      <c r="E319" s="12" t="s">
        <v>1284</v>
      </c>
      <c r="F319" s="12" t="s">
        <v>58</v>
      </c>
      <c r="G319" s="13">
        <v>1</v>
      </c>
      <c r="H319" s="13"/>
      <c r="I319" s="13">
        <v>15093.2</v>
      </c>
      <c r="J319" s="14">
        <f>IFERROR(ROUND(SUM(M320,M321,M322)/I319, 2),0)</f>
        <v>57.91</v>
      </c>
      <c r="K319" s="15">
        <v>508</v>
      </c>
      <c r="L319" s="14">
        <f>J319+ROUND(K319, 2)</f>
        <v>565.91</v>
      </c>
      <c r="M319" s="14">
        <f>ROUND(J319*I319, 2)</f>
        <v>874047.21</v>
      </c>
      <c r="N319" s="14">
        <f>ROUND(I319*ROUND(K319, 2), 2)</f>
        <v>7667345.5999999996</v>
      </c>
      <c r="O319" s="14">
        <f>M319+N319</f>
        <v>8541392.8099999987</v>
      </c>
      <c r="P319" s="14">
        <f>IFERROR(ROUND(SUM(S320,S321,S322)/I319, 2),0)</f>
        <v>57.91</v>
      </c>
      <c r="Q319" s="16">
        <v>725.71</v>
      </c>
      <c r="R319" s="14">
        <f>P319+ROUND(Q319, 2)</f>
        <v>783.62</v>
      </c>
      <c r="S319" s="14">
        <f>ROUND(P319*I319, 2)</f>
        <v>874047.21</v>
      </c>
      <c r="T319" s="14">
        <f>ROUND(I319*ROUND(Q319, 2), 2)</f>
        <v>10953286.17</v>
      </c>
      <c r="U319" s="14">
        <f>S319+T319</f>
        <v>11827333.379999999</v>
      </c>
      <c r="V319" s="9">
        <f>ROUND(P319 / 1.2, 2)</f>
        <v>48.26</v>
      </c>
      <c r="W319" s="9">
        <f>ROUND(Q319 / 1.2, 2)</f>
        <v>604.76</v>
      </c>
      <c r="X319" s="9">
        <f>ROUND(R319 / 1.2, 2)</f>
        <v>653.02</v>
      </c>
      <c r="Y319" s="9">
        <f t="shared" si="20"/>
        <v>728372.68</v>
      </c>
      <c r="Z319" s="9">
        <f>ROUND(T319 / 1.2, 2)</f>
        <v>9127738.4800000004</v>
      </c>
      <c r="AA319" s="9">
        <f>Y319+Z319</f>
        <v>9856111.1600000001</v>
      </c>
      <c r="AD319" s="4">
        <v>311044373</v>
      </c>
      <c r="AE319" s="4">
        <v>22788869</v>
      </c>
      <c r="AG319" s="4" t="s">
        <v>1285</v>
      </c>
      <c r="AH319" s="4" t="s">
        <v>1286</v>
      </c>
      <c r="AI319" s="4" t="s">
        <v>469</v>
      </c>
    </row>
    <row r="320" spans="1:35" ht="36" x14ac:dyDescent="0.3">
      <c r="A320" s="10" t="s">
        <v>1287</v>
      </c>
      <c r="B320" s="10"/>
      <c r="C320" s="23" t="s">
        <v>1269</v>
      </c>
      <c r="D320" s="12"/>
      <c r="E320" s="12"/>
      <c r="F320" s="18" t="s">
        <v>99</v>
      </c>
      <c r="G320" s="19">
        <v>1.8</v>
      </c>
      <c r="H320" s="19"/>
      <c r="I320" s="19">
        <v>27167.759999999998</v>
      </c>
      <c r="J320" s="20">
        <v>12.26</v>
      </c>
      <c r="M320" s="21">
        <f>ROUND(ROUND(J320, 2)*I320, 2)</f>
        <v>333076.74</v>
      </c>
      <c r="P320" s="22">
        <v>12.26</v>
      </c>
      <c r="S320" s="21">
        <f>ROUND(ROUND(P320, 2)*I320, 2)</f>
        <v>333076.74</v>
      </c>
      <c r="V320" s="9">
        <f>ROUND(ROUND(P320, 2)/1.2, 2)</f>
        <v>10.220000000000001</v>
      </c>
      <c r="Y320" s="9">
        <f t="shared" si="20"/>
        <v>277563.95</v>
      </c>
      <c r="AD320" s="4" t="s">
        <v>1288</v>
      </c>
      <c r="AE320" s="4" t="s">
        <v>1289</v>
      </c>
      <c r="AF320" s="4" t="s">
        <v>1290</v>
      </c>
    </row>
    <row r="321" spans="1:35" ht="18" x14ac:dyDescent="0.3">
      <c r="A321" s="10" t="s">
        <v>1291</v>
      </c>
      <c r="B321" s="10"/>
      <c r="C321" s="17" t="s">
        <v>1292</v>
      </c>
      <c r="D321" s="12"/>
      <c r="E321" s="12"/>
      <c r="F321" s="18" t="s">
        <v>139</v>
      </c>
      <c r="G321" s="19">
        <v>0.3</v>
      </c>
      <c r="H321" s="19"/>
      <c r="I321" s="19">
        <v>4527.96</v>
      </c>
      <c r="J321" s="20">
        <v>74.319999999999993</v>
      </c>
      <c r="M321" s="21">
        <f>ROUND(ROUND(J321, 2)*I321, 2)</f>
        <v>336517.99</v>
      </c>
      <c r="P321" s="22">
        <v>74.319999999999993</v>
      </c>
      <c r="S321" s="21">
        <f>ROUND(ROUND(P321, 2)*I321, 2)</f>
        <v>336517.99</v>
      </c>
      <c r="V321" s="9">
        <f>ROUND(ROUND(P321, 2)/1.2, 2)</f>
        <v>61.93</v>
      </c>
      <c r="Y321" s="9">
        <f t="shared" si="20"/>
        <v>280431.65999999997</v>
      </c>
      <c r="AD321" s="4" t="s">
        <v>1293</v>
      </c>
      <c r="AE321" s="4" t="s">
        <v>1294</v>
      </c>
      <c r="AF321" s="4" t="s">
        <v>1295</v>
      </c>
    </row>
    <row r="322" spans="1:35" ht="36" x14ac:dyDescent="0.3">
      <c r="A322" s="10" t="s">
        <v>1296</v>
      </c>
      <c r="B322" s="10"/>
      <c r="C322" s="17" t="s">
        <v>1057</v>
      </c>
      <c r="D322" s="12"/>
      <c r="E322" s="12"/>
      <c r="F322" s="18" t="s">
        <v>99</v>
      </c>
      <c r="G322" s="19">
        <v>0.15</v>
      </c>
      <c r="H322" s="19"/>
      <c r="I322" s="19">
        <v>2263.98</v>
      </c>
      <c r="J322" s="20">
        <v>90.28</v>
      </c>
      <c r="M322" s="21">
        <f>ROUND(ROUND(J322, 2)*I322, 2)</f>
        <v>204392.11</v>
      </c>
      <c r="P322" s="22">
        <v>90.28</v>
      </c>
      <c r="S322" s="21">
        <f>ROUND(ROUND(P322, 2)*I322, 2)</f>
        <v>204392.11</v>
      </c>
      <c r="V322" s="9">
        <f>ROUND(ROUND(P322, 2)/1.2, 2)</f>
        <v>75.23</v>
      </c>
      <c r="Y322" s="9">
        <f t="shared" si="20"/>
        <v>170326.76</v>
      </c>
      <c r="AD322" s="4" t="s">
        <v>1297</v>
      </c>
      <c r="AE322" s="4" t="s">
        <v>1298</v>
      </c>
      <c r="AF322" s="4" t="s">
        <v>1060</v>
      </c>
    </row>
    <row r="323" spans="1:35" ht="54" x14ac:dyDescent="0.3">
      <c r="A323" s="10" t="s">
        <v>1299</v>
      </c>
      <c r="B323" s="10" t="s">
        <v>1282</v>
      </c>
      <c r="C323" s="11" t="s">
        <v>1283</v>
      </c>
      <c r="D323" s="12"/>
      <c r="E323" s="12" t="s">
        <v>1300</v>
      </c>
      <c r="F323" s="12" t="s">
        <v>58</v>
      </c>
      <c r="G323" s="13">
        <v>1</v>
      </c>
      <c r="H323" s="13"/>
      <c r="I323" s="13">
        <v>15093.2</v>
      </c>
      <c r="J323" s="14">
        <f>IFERROR(ROUND(SUM(M324,M325)/I323, 2),0)</f>
        <v>35.61</v>
      </c>
      <c r="K323" s="15">
        <v>508</v>
      </c>
      <c r="L323" s="14">
        <f>J323+ROUND(K323, 2)</f>
        <v>543.61</v>
      </c>
      <c r="M323" s="14">
        <f>ROUND(J323*I323, 2)</f>
        <v>537468.85</v>
      </c>
      <c r="N323" s="14">
        <f>ROUND(I323*ROUND(K323, 2), 2)</f>
        <v>7667345.5999999996</v>
      </c>
      <c r="O323" s="14">
        <f>M323+N323</f>
        <v>8204814.4499999993</v>
      </c>
      <c r="P323" s="14">
        <f>IFERROR(ROUND(SUM(S324,S325)/I323, 2),0)</f>
        <v>35.61</v>
      </c>
      <c r="Q323" s="16">
        <v>725.71</v>
      </c>
      <c r="R323" s="14">
        <f>P323+ROUND(Q323, 2)</f>
        <v>761.32</v>
      </c>
      <c r="S323" s="14">
        <f>ROUND(P323*I323, 2)</f>
        <v>537468.85</v>
      </c>
      <c r="T323" s="14">
        <f>ROUND(I323*ROUND(Q323, 2), 2)</f>
        <v>10953286.17</v>
      </c>
      <c r="U323" s="14">
        <f>S323+T323</f>
        <v>11490755.02</v>
      </c>
      <c r="V323" s="9">
        <f>ROUND(P323 / 1.2, 2)</f>
        <v>29.68</v>
      </c>
      <c r="W323" s="9">
        <f>ROUND(Q323 / 1.2, 2)</f>
        <v>604.76</v>
      </c>
      <c r="X323" s="9">
        <f>ROUND(R323 / 1.2, 2)</f>
        <v>634.42999999999995</v>
      </c>
      <c r="Y323" s="9">
        <f t="shared" si="20"/>
        <v>447890.71</v>
      </c>
      <c r="Z323" s="9">
        <f>ROUND(T323 / 1.2, 2)</f>
        <v>9127738.4800000004</v>
      </c>
      <c r="AA323" s="9">
        <f>Y323+Z323</f>
        <v>9575629.1900000013</v>
      </c>
      <c r="AD323" s="4">
        <v>311044448</v>
      </c>
      <c r="AE323" s="4">
        <v>22788871</v>
      </c>
      <c r="AG323" s="4" t="s">
        <v>1285</v>
      </c>
      <c r="AH323" s="4" t="s">
        <v>1286</v>
      </c>
      <c r="AI323" s="4" t="s">
        <v>469</v>
      </c>
    </row>
    <row r="324" spans="1:35" ht="36" x14ac:dyDescent="0.3">
      <c r="A324" s="10" t="s">
        <v>1301</v>
      </c>
      <c r="B324" s="10"/>
      <c r="C324" s="17" t="s">
        <v>1057</v>
      </c>
      <c r="D324" s="12"/>
      <c r="E324" s="12"/>
      <c r="F324" s="18" t="s">
        <v>99</v>
      </c>
      <c r="G324" s="19">
        <v>0.15</v>
      </c>
      <c r="H324" s="19"/>
      <c r="I324" s="19">
        <v>2263.98</v>
      </c>
      <c r="J324" s="20">
        <v>90.28</v>
      </c>
      <c r="M324" s="21">
        <f>ROUND(ROUND(J324, 2)*I324, 2)</f>
        <v>204392.11</v>
      </c>
      <c r="P324" s="22">
        <v>90.28</v>
      </c>
      <c r="S324" s="21">
        <f>ROUND(ROUND(P324, 2)*I324, 2)</f>
        <v>204392.11</v>
      </c>
      <c r="V324" s="9">
        <f>ROUND(ROUND(P324, 2)/1.2, 2)</f>
        <v>75.23</v>
      </c>
      <c r="Y324" s="9">
        <f t="shared" si="20"/>
        <v>170326.76</v>
      </c>
      <c r="AD324" s="4" t="s">
        <v>1302</v>
      </c>
      <c r="AE324" s="4" t="s">
        <v>1303</v>
      </c>
      <c r="AF324" s="4" t="s">
        <v>1060</v>
      </c>
    </row>
    <row r="325" spans="1:35" ht="36" x14ac:dyDescent="0.3">
      <c r="A325" s="10" t="s">
        <v>1304</v>
      </c>
      <c r="B325" s="10"/>
      <c r="C325" s="23" t="s">
        <v>1269</v>
      </c>
      <c r="D325" s="12"/>
      <c r="E325" s="12"/>
      <c r="F325" s="18" t="s">
        <v>99</v>
      </c>
      <c r="G325" s="19">
        <v>1.8</v>
      </c>
      <c r="H325" s="19"/>
      <c r="I325" s="19">
        <v>27167.759999999998</v>
      </c>
      <c r="J325" s="20">
        <v>12.26</v>
      </c>
      <c r="M325" s="21">
        <f>ROUND(ROUND(J325, 2)*I325, 2)</f>
        <v>333076.74</v>
      </c>
      <c r="P325" s="22">
        <v>12.26</v>
      </c>
      <c r="S325" s="21">
        <f>ROUND(ROUND(P325, 2)*I325, 2)</f>
        <v>333076.74</v>
      </c>
      <c r="V325" s="9">
        <f>ROUND(ROUND(P325, 2)/1.2, 2)</f>
        <v>10.220000000000001</v>
      </c>
      <c r="Y325" s="9">
        <f t="shared" si="20"/>
        <v>277563.95</v>
      </c>
      <c r="AD325" s="4" t="s">
        <v>1305</v>
      </c>
      <c r="AE325" s="4" t="s">
        <v>1306</v>
      </c>
      <c r="AF325" s="4" t="s">
        <v>1290</v>
      </c>
    </row>
    <row r="326" spans="1:35" ht="54" x14ac:dyDescent="0.3">
      <c r="A326" s="10" t="s">
        <v>1307</v>
      </c>
      <c r="B326" s="10" t="s">
        <v>1282</v>
      </c>
      <c r="C326" s="11" t="s">
        <v>1283</v>
      </c>
      <c r="D326" s="12"/>
      <c r="E326" s="12" t="s">
        <v>1308</v>
      </c>
      <c r="F326" s="12" t="s">
        <v>58</v>
      </c>
      <c r="G326" s="13">
        <v>1</v>
      </c>
      <c r="H326" s="13"/>
      <c r="I326" s="13">
        <v>3992.4</v>
      </c>
      <c r="J326" s="14">
        <f>IFERROR(ROUND(SUM(M327,M328,M329)/I326, 2),0)</f>
        <v>82.62</v>
      </c>
      <c r="K326" s="15">
        <v>508</v>
      </c>
      <c r="L326" s="14">
        <f>J326+ROUND(K326, 2)</f>
        <v>590.62</v>
      </c>
      <c r="M326" s="14">
        <f>ROUND(J326*I326, 2)</f>
        <v>329852.09000000003</v>
      </c>
      <c r="N326" s="14">
        <f>ROUND(I326*ROUND(K326, 2), 2)</f>
        <v>2028139.2</v>
      </c>
      <c r="O326" s="14">
        <f>M326+N326</f>
        <v>2357991.29</v>
      </c>
      <c r="P326" s="14">
        <f>IFERROR(ROUND(SUM(S327,S328,S329)/I326, 2),0)</f>
        <v>82.62</v>
      </c>
      <c r="Q326" s="16">
        <v>725.71</v>
      </c>
      <c r="R326" s="14">
        <f>P326+ROUND(Q326, 2)</f>
        <v>808.33</v>
      </c>
      <c r="S326" s="14">
        <f>ROUND(P326*I326, 2)</f>
        <v>329852.09000000003</v>
      </c>
      <c r="T326" s="14">
        <f>ROUND(I326*ROUND(Q326, 2), 2)</f>
        <v>2897324.6</v>
      </c>
      <c r="U326" s="14">
        <f>S326+T326</f>
        <v>3227176.69</v>
      </c>
      <c r="V326" s="9">
        <f>ROUND(P326 / 1.2, 2)</f>
        <v>68.849999999999994</v>
      </c>
      <c r="W326" s="9">
        <f>ROUND(Q326 / 1.2, 2)</f>
        <v>604.76</v>
      </c>
      <c r="X326" s="9">
        <f>ROUND(R326 / 1.2, 2)</f>
        <v>673.61</v>
      </c>
      <c r="Y326" s="9">
        <f t="shared" si="20"/>
        <v>274876.74</v>
      </c>
      <c r="Z326" s="9">
        <f>ROUND(T326 / 1.2, 2)</f>
        <v>2414437.17</v>
      </c>
      <c r="AA326" s="9">
        <f>Y326+Z326</f>
        <v>2689313.91</v>
      </c>
      <c r="AD326" s="4">
        <v>311044449</v>
      </c>
      <c r="AE326" s="4">
        <v>22789138</v>
      </c>
      <c r="AG326" s="4" t="s">
        <v>1285</v>
      </c>
      <c r="AH326" s="4" t="s">
        <v>1286</v>
      </c>
      <c r="AI326" s="4" t="s">
        <v>469</v>
      </c>
    </row>
    <row r="327" spans="1:35" ht="18" x14ac:dyDescent="0.3">
      <c r="A327" s="10" t="s">
        <v>1309</v>
      </c>
      <c r="B327" s="10"/>
      <c r="C327" s="17" t="s">
        <v>1247</v>
      </c>
      <c r="D327" s="12"/>
      <c r="E327" s="12"/>
      <c r="F327" s="18" t="s">
        <v>99</v>
      </c>
      <c r="G327" s="19">
        <v>2</v>
      </c>
      <c r="H327" s="19"/>
      <c r="I327" s="19">
        <v>7984.8</v>
      </c>
      <c r="J327" s="20">
        <v>23.39</v>
      </c>
      <c r="M327" s="21">
        <f>ROUND(ROUND(J327, 2)*I327, 2)</f>
        <v>186764.47</v>
      </c>
      <c r="P327" s="22">
        <v>23.39</v>
      </c>
      <c r="S327" s="21">
        <f>ROUND(ROUND(P327, 2)*I327, 2)</f>
        <v>186764.47</v>
      </c>
      <c r="V327" s="9">
        <f>ROUND(ROUND(P327, 2)/1.2, 2)</f>
        <v>19.489999999999998</v>
      </c>
      <c r="Y327" s="9">
        <f t="shared" si="20"/>
        <v>155637.06</v>
      </c>
      <c r="AD327" s="4" t="s">
        <v>1310</v>
      </c>
      <c r="AE327" s="4" t="s">
        <v>1311</v>
      </c>
      <c r="AF327" s="4" t="s">
        <v>1251</v>
      </c>
    </row>
    <row r="328" spans="1:35" ht="18" x14ac:dyDescent="0.3">
      <c r="A328" s="10" t="s">
        <v>1312</v>
      </c>
      <c r="B328" s="10"/>
      <c r="C328" s="17" t="s">
        <v>1292</v>
      </c>
      <c r="D328" s="12"/>
      <c r="E328" s="12"/>
      <c r="F328" s="18" t="s">
        <v>139</v>
      </c>
      <c r="G328" s="19">
        <v>0.3</v>
      </c>
      <c r="H328" s="19"/>
      <c r="I328" s="19">
        <v>1197.72</v>
      </c>
      <c r="J328" s="20">
        <v>74.319999999999993</v>
      </c>
      <c r="M328" s="21">
        <f>ROUND(ROUND(J328, 2)*I328, 2)</f>
        <v>89014.55</v>
      </c>
      <c r="P328" s="22">
        <v>74.319999999999993</v>
      </c>
      <c r="S328" s="21">
        <f>ROUND(ROUND(P328, 2)*I328, 2)</f>
        <v>89014.55</v>
      </c>
      <c r="V328" s="9">
        <f>ROUND(ROUND(P328, 2)/1.2, 2)</f>
        <v>61.93</v>
      </c>
      <c r="Y328" s="9">
        <f t="shared" si="20"/>
        <v>74178.789999999994</v>
      </c>
      <c r="AD328" s="4" t="s">
        <v>1313</v>
      </c>
      <c r="AE328" s="4" t="s">
        <v>1314</v>
      </c>
      <c r="AF328" s="4" t="s">
        <v>1295</v>
      </c>
    </row>
    <row r="329" spans="1:35" ht="36" x14ac:dyDescent="0.3">
      <c r="A329" s="10" t="s">
        <v>1315</v>
      </c>
      <c r="B329" s="10"/>
      <c r="C329" s="17" t="s">
        <v>1057</v>
      </c>
      <c r="D329" s="12"/>
      <c r="E329" s="12"/>
      <c r="F329" s="18" t="s">
        <v>99</v>
      </c>
      <c r="G329" s="19">
        <v>0.15</v>
      </c>
      <c r="H329" s="19"/>
      <c r="I329" s="19">
        <v>598.86</v>
      </c>
      <c r="J329" s="20">
        <v>90.28</v>
      </c>
      <c r="M329" s="21">
        <f>ROUND(ROUND(J329, 2)*I329, 2)</f>
        <v>54065.08</v>
      </c>
      <c r="P329" s="22">
        <v>90.28</v>
      </c>
      <c r="S329" s="21">
        <f>ROUND(ROUND(P329, 2)*I329, 2)</f>
        <v>54065.08</v>
      </c>
      <c r="V329" s="9">
        <f>ROUND(ROUND(P329, 2)/1.2, 2)</f>
        <v>75.23</v>
      </c>
      <c r="Y329" s="9">
        <f t="shared" si="20"/>
        <v>45054.23</v>
      </c>
      <c r="AD329" s="4" t="s">
        <v>1316</v>
      </c>
      <c r="AE329" s="4" t="s">
        <v>1317</v>
      </c>
      <c r="AF329" s="4" t="s">
        <v>1060</v>
      </c>
    </row>
    <row r="330" spans="1:35" ht="54" x14ac:dyDescent="0.3">
      <c r="A330" s="10" t="s">
        <v>1318</v>
      </c>
      <c r="B330" s="10" t="s">
        <v>1282</v>
      </c>
      <c r="C330" s="11" t="s">
        <v>1283</v>
      </c>
      <c r="D330" s="12"/>
      <c r="E330" s="12" t="s">
        <v>1319</v>
      </c>
      <c r="F330" s="12" t="s">
        <v>58</v>
      </c>
      <c r="G330" s="13">
        <v>1</v>
      </c>
      <c r="H330" s="13"/>
      <c r="I330" s="13">
        <v>3992.4</v>
      </c>
      <c r="J330" s="14">
        <f>IFERROR(ROUND(SUM(M331,M332)/I330, 2),0)</f>
        <v>60.32</v>
      </c>
      <c r="K330" s="15">
        <v>508</v>
      </c>
      <c r="L330" s="14">
        <f>J330+ROUND(K330, 2)</f>
        <v>568.32000000000005</v>
      </c>
      <c r="M330" s="14">
        <f>ROUND(J330*I330, 2)</f>
        <v>240821.57</v>
      </c>
      <c r="N330" s="14">
        <f>ROUND(I330*ROUND(K330, 2), 2)</f>
        <v>2028139.2</v>
      </c>
      <c r="O330" s="14">
        <f>M330+N330</f>
        <v>2268960.77</v>
      </c>
      <c r="P330" s="14">
        <f>IFERROR(ROUND(SUM(S331,S332)/I330, 2),0)</f>
        <v>60.32</v>
      </c>
      <c r="Q330" s="16">
        <v>725.71</v>
      </c>
      <c r="R330" s="14">
        <f>P330+ROUND(Q330, 2)</f>
        <v>786.03000000000009</v>
      </c>
      <c r="S330" s="14">
        <f>ROUND(P330*I330, 2)</f>
        <v>240821.57</v>
      </c>
      <c r="T330" s="14">
        <f>ROUND(I330*ROUND(Q330, 2), 2)</f>
        <v>2897324.6</v>
      </c>
      <c r="U330" s="14">
        <f>S330+T330</f>
        <v>3138146.17</v>
      </c>
      <c r="V330" s="9">
        <f>ROUND(P330 / 1.2, 2)</f>
        <v>50.27</v>
      </c>
      <c r="W330" s="9">
        <f>ROUND(Q330 / 1.2, 2)</f>
        <v>604.76</v>
      </c>
      <c r="X330" s="9">
        <f>ROUND(R330 / 1.2, 2)</f>
        <v>655.03</v>
      </c>
      <c r="Y330" s="9">
        <f t="shared" si="20"/>
        <v>200684.64</v>
      </c>
      <c r="Z330" s="9">
        <f>ROUND(T330 / 1.2, 2)</f>
        <v>2414437.17</v>
      </c>
      <c r="AA330" s="9">
        <f>Y330+Z330</f>
        <v>2615121.81</v>
      </c>
      <c r="AD330" s="4">
        <v>311044450</v>
      </c>
      <c r="AE330" s="4">
        <v>22789139</v>
      </c>
      <c r="AG330" s="4" t="s">
        <v>1285</v>
      </c>
      <c r="AH330" s="4" t="s">
        <v>1286</v>
      </c>
      <c r="AI330" s="4" t="s">
        <v>469</v>
      </c>
    </row>
    <row r="331" spans="1:35" ht="36" x14ac:dyDescent="0.3">
      <c r="A331" s="10" t="s">
        <v>1320</v>
      </c>
      <c r="B331" s="10"/>
      <c r="C331" s="17" t="s">
        <v>1057</v>
      </c>
      <c r="D331" s="12"/>
      <c r="E331" s="12"/>
      <c r="F331" s="18" t="s">
        <v>99</v>
      </c>
      <c r="G331" s="19">
        <v>0.15</v>
      </c>
      <c r="H331" s="19"/>
      <c r="I331" s="19">
        <v>598.86</v>
      </c>
      <c r="J331" s="20">
        <v>90.28</v>
      </c>
      <c r="M331" s="21">
        <f>ROUND(ROUND(J331, 2)*I331, 2)</f>
        <v>54065.08</v>
      </c>
      <c r="P331" s="22">
        <v>90.28</v>
      </c>
      <c r="S331" s="21">
        <f>ROUND(ROUND(P331, 2)*I331, 2)</f>
        <v>54065.08</v>
      </c>
      <c r="V331" s="9">
        <f>ROUND(ROUND(P331, 2)/1.2, 2)</f>
        <v>75.23</v>
      </c>
      <c r="Y331" s="9">
        <f t="shared" si="20"/>
        <v>45054.23</v>
      </c>
      <c r="AD331" s="4" t="s">
        <v>1321</v>
      </c>
      <c r="AE331" s="4" t="s">
        <v>1322</v>
      </c>
      <c r="AF331" s="4" t="s">
        <v>1060</v>
      </c>
    </row>
    <row r="332" spans="1:35" ht="18" x14ac:dyDescent="0.3">
      <c r="A332" s="10" t="s">
        <v>1323</v>
      </c>
      <c r="B332" s="10"/>
      <c r="C332" s="17" t="s">
        <v>1247</v>
      </c>
      <c r="D332" s="12"/>
      <c r="E332" s="12"/>
      <c r="F332" s="18" t="s">
        <v>99</v>
      </c>
      <c r="G332" s="19">
        <v>2</v>
      </c>
      <c r="H332" s="19"/>
      <c r="I332" s="19">
        <v>7984.8</v>
      </c>
      <c r="J332" s="20">
        <v>23.39</v>
      </c>
      <c r="M332" s="21">
        <f>ROUND(ROUND(J332, 2)*I332, 2)</f>
        <v>186764.47</v>
      </c>
      <c r="P332" s="22">
        <v>23.39</v>
      </c>
      <c r="S332" s="21">
        <f>ROUND(ROUND(P332, 2)*I332, 2)</f>
        <v>186764.47</v>
      </c>
      <c r="V332" s="9">
        <f>ROUND(ROUND(P332, 2)/1.2, 2)</f>
        <v>19.489999999999998</v>
      </c>
      <c r="Y332" s="9">
        <f t="shared" si="20"/>
        <v>155637.06</v>
      </c>
      <c r="AD332" s="4" t="s">
        <v>1324</v>
      </c>
      <c r="AE332" s="4" t="s">
        <v>1325</v>
      </c>
      <c r="AF332" s="4" t="s">
        <v>1251</v>
      </c>
    </row>
    <row r="333" spans="1:35" ht="90" x14ac:dyDescent="0.3">
      <c r="A333" s="10" t="s">
        <v>1326</v>
      </c>
      <c r="B333" s="10" t="s">
        <v>1327</v>
      </c>
      <c r="C333" s="11" t="s">
        <v>1328</v>
      </c>
      <c r="D333" s="12"/>
      <c r="E333" s="12" t="s">
        <v>1329</v>
      </c>
      <c r="F333" s="12" t="s">
        <v>58</v>
      </c>
      <c r="G333" s="13">
        <v>1</v>
      </c>
      <c r="H333" s="13"/>
      <c r="I333" s="13">
        <v>1083.0999999999999</v>
      </c>
      <c r="J333" s="14">
        <f>IFERROR(ROUND(SUM(M334,M335,M336)/I333, 2),0)</f>
        <v>143.31</v>
      </c>
      <c r="K333" s="15">
        <v>873</v>
      </c>
      <c r="L333" s="14">
        <f>J333+ROUND(K333, 2)</f>
        <v>1016.31</v>
      </c>
      <c r="M333" s="14">
        <f>ROUND(J333*I333, 2)</f>
        <v>155219.06</v>
      </c>
      <c r="N333" s="14">
        <f>ROUND(I333*ROUND(K333, 2), 2)</f>
        <v>945546.3</v>
      </c>
      <c r="O333" s="14">
        <f>M333+N333</f>
        <v>1100765.3600000001</v>
      </c>
      <c r="P333" s="14">
        <f>IFERROR(ROUND(SUM(S334,S335,S336)/I333, 2),0)</f>
        <v>143.31</v>
      </c>
      <c r="Q333" s="16">
        <v>1247.1400000000001</v>
      </c>
      <c r="R333" s="14">
        <f>P333+ROUND(Q333, 2)</f>
        <v>1390.45</v>
      </c>
      <c r="S333" s="14">
        <f>ROUND(P333*I333, 2)</f>
        <v>155219.06</v>
      </c>
      <c r="T333" s="14">
        <f>ROUND(I333*ROUND(Q333, 2), 2)</f>
        <v>1350777.33</v>
      </c>
      <c r="U333" s="14">
        <f>S333+T333</f>
        <v>1505996.3900000001</v>
      </c>
      <c r="V333" s="9">
        <f>ROUND(P333 / 1.2, 2)</f>
        <v>119.43</v>
      </c>
      <c r="W333" s="9">
        <f>ROUND(Q333 / 1.2, 2)</f>
        <v>1039.28</v>
      </c>
      <c r="X333" s="9">
        <f>ROUND(R333 / 1.2, 2)</f>
        <v>1158.71</v>
      </c>
      <c r="Y333" s="9">
        <f t="shared" si="20"/>
        <v>129349.22</v>
      </c>
      <c r="Z333" s="9">
        <f>ROUND(T333 / 1.2, 2)</f>
        <v>1125647.78</v>
      </c>
      <c r="AA333" s="9">
        <f>Y333+Z333</f>
        <v>1254997</v>
      </c>
      <c r="AD333" s="4">
        <v>311044375</v>
      </c>
      <c r="AE333" s="4">
        <v>22789191</v>
      </c>
      <c r="AG333" s="4" t="s">
        <v>1330</v>
      </c>
      <c r="AH333" s="4" t="s">
        <v>1331</v>
      </c>
      <c r="AI333" s="4" t="s">
        <v>469</v>
      </c>
    </row>
    <row r="334" spans="1:35" ht="18" x14ac:dyDescent="0.3">
      <c r="A334" s="10" t="s">
        <v>1332</v>
      </c>
      <c r="B334" s="10"/>
      <c r="C334" s="17" t="s">
        <v>1333</v>
      </c>
      <c r="D334" s="12"/>
      <c r="E334" s="12" t="s">
        <v>1334</v>
      </c>
      <c r="F334" s="18" t="s">
        <v>99</v>
      </c>
      <c r="G334" s="19">
        <v>1.3</v>
      </c>
      <c r="H334" s="24"/>
      <c r="I334" s="24">
        <v>14080.3</v>
      </c>
      <c r="J334" s="20">
        <v>8.75</v>
      </c>
      <c r="M334" s="21">
        <f>ROUND(ROUND(J334, 2)*I334, 2)</f>
        <v>123202.63</v>
      </c>
      <c r="P334" s="22">
        <v>8.75</v>
      </c>
      <c r="S334" s="21">
        <f>ROUND(ROUND(P334, 2)*I334, 2)</f>
        <v>123202.63</v>
      </c>
      <c r="V334" s="9">
        <f>ROUND(ROUND(P334, 2)/1.2, 2)</f>
        <v>7.29</v>
      </c>
      <c r="Y334" s="9">
        <f t="shared" si="20"/>
        <v>102668.86</v>
      </c>
      <c r="AD334" s="4" t="s">
        <v>1335</v>
      </c>
      <c r="AE334" s="4" t="s">
        <v>1336</v>
      </c>
      <c r="AF334" s="4" t="s">
        <v>1337</v>
      </c>
    </row>
    <row r="335" spans="1:35" ht="18" x14ac:dyDescent="0.3">
      <c r="A335" s="10" t="s">
        <v>1338</v>
      </c>
      <c r="B335" s="10"/>
      <c r="C335" s="17" t="s">
        <v>1192</v>
      </c>
      <c r="D335" s="12"/>
      <c r="E335" s="12"/>
      <c r="F335" s="18" t="s">
        <v>258</v>
      </c>
      <c r="G335" s="19">
        <v>1</v>
      </c>
      <c r="H335" s="24"/>
      <c r="I335" s="24">
        <v>1083.0999999999999</v>
      </c>
      <c r="J335" s="20">
        <v>16.02</v>
      </c>
      <c r="M335" s="21">
        <f>ROUND(ROUND(J335, 2)*I335, 2)</f>
        <v>17351.259999999998</v>
      </c>
      <c r="P335" s="22">
        <v>16.02</v>
      </c>
      <c r="S335" s="21">
        <f>ROUND(ROUND(P335, 2)*I335, 2)</f>
        <v>17351.259999999998</v>
      </c>
      <c r="V335" s="9">
        <f>ROUND(ROUND(P335, 2)/1.2, 2)</f>
        <v>13.35</v>
      </c>
      <c r="Y335" s="9">
        <f t="shared" si="20"/>
        <v>14459.38</v>
      </c>
      <c r="AD335" s="4" t="s">
        <v>1339</v>
      </c>
      <c r="AE335" s="4" t="s">
        <v>1340</v>
      </c>
      <c r="AF335" s="4" t="s">
        <v>1195</v>
      </c>
    </row>
    <row r="336" spans="1:35" ht="36" x14ac:dyDescent="0.3">
      <c r="A336" s="10" t="s">
        <v>1341</v>
      </c>
      <c r="B336" s="10"/>
      <c r="C336" s="17" t="s">
        <v>1057</v>
      </c>
      <c r="D336" s="12"/>
      <c r="E336" s="12" t="s">
        <v>1342</v>
      </c>
      <c r="F336" s="18" t="s">
        <v>99</v>
      </c>
      <c r="G336" s="19">
        <v>0.15</v>
      </c>
      <c r="H336" s="19"/>
      <c r="I336" s="19">
        <v>162.465</v>
      </c>
      <c r="J336" s="20">
        <v>90.28</v>
      </c>
      <c r="M336" s="21">
        <f>ROUND(ROUND(J336, 2)*I336, 2)</f>
        <v>14667.34</v>
      </c>
      <c r="P336" s="22">
        <v>90.28</v>
      </c>
      <c r="S336" s="21">
        <f>ROUND(ROUND(P336, 2)*I336, 2)</f>
        <v>14667.34</v>
      </c>
      <c r="V336" s="9">
        <f>ROUND(ROUND(P336, 2)/1.2, 2)</f>
        <v>75.23</v>
      </c>
      <c r="Y336" s="9">
        <f t="shared" si="20"/>
        <v>12222.78</v>
      </c>
      <c r="AD336" s="4" t="s">
        <v>1343</v>
      </c>
      <c r="AE336" s="4" t="s">
        <v>1344</v>
      </c>
      <c r="AF336" s="4" t="s">
        <v>1060</v>
      </c>
    </row>
    <row r="337" spans="1:35" ht="72" x14ac:dyDescent="0.3">
      <c r="A337" s="10" t="s">
        <v>1345</v>
      </c>
      <c r="B337" s="10" t="s">
        <v>1346</v>
      </c>
      <c r="C337" s="11" t="s">
        <v>1347</v>
      </c>
      <c r="D337" s="12"/>
      <c r="E337" s="12" t="s">
        <v>1348</v>
      </c>
      <c r="F337" s="12" t="s">
        <v>58</v>
      </c>
      <c r="G337" s="13">
        <v>1</v>
      </c>
      <c r="H337" s="13"/>
      <c r="I337" s="13">
        <v>2845.3</v>
      </c>
      <c r="J337" s="14">
        <f>IFERROR(ROUND(SUM(M338,M339,M340)/I337, 2),0)</f>
        <v>325.81</v>
      </c>
      <c r="K337" s="15">
        <v>1067</v>
      </c>
      <c r="L337" s="14">
        <f>J337+ROUND(K337, 2)</f>
        <v>1392.81</v>
      </c>
      <c r="M337" s="14">
        <f>ROUND(J337*I337, 2)</f>
        <v>927027.19</v>
      </c>
      <c r="N337" s="14">
        <f>ROUND(I337*ROUND(K337, 2), 2)</f>
        <v>3035935.1</v>
      </c>
      <c r="O337" s="14">
        <f>M337+N337</f>
        <v>3962962.29</v>
      </c>
      <c r="P337" s="14">
        <f>IFERROR(ROUND(SUM(S338,S339,S340)/I337, 2),0)</f>
        <v>325.81</v>
      </c>
      <c r="Q337" s="16">
        <v>1524.29</v>
      </c>
      <c r="R337" s="14">
        <f>P337+ROUND(Q337, 2)</f>
        <v>1850.1</v>
      </c>
      <c r="S337" s="14">
        <f>ROUND(P337*I337, 2)</f>
        <v>927027.19</v>
      </c>
      <c r="T337" s="14">
        <f>ROUND(I337*ROUND(Q337, 2), 2)</f>
        <v>4337062.34</v>
      </c>
      <c r="U337" s="14">
        <f>S337+T337</f>
        <v>5264089.5299999993</v>
      </c>
      <c r="V337" s="9">
        <f>ROUND(P337 / 1.2, 2)</f>
        <v>271.51</v>
      </c>
      <c r="W337" s="9">
        <f>ROUND(Q337 / 1.2, 2)</f>
        <v>1270.24</v>
      </c>
      <c r="X337" s="9">
        <f>ROUND(R337 / 1.2, 2)</f>
        <v>1541.75</v>
      </c>
      <c r="Y337" s="9">
        <f t="shared" si="20"/>
        <v>772522.66</v>
      </c>
      <c r="Z337" s="9">
        <f>ROUND(T337 / 1.2, 2)</f>
        <v>3614218.62</v>
      </c>
      <c r="AA337" s="9">
        <f>Y337+Z337</f>
        <v>4386741.28</v>
      </c>
      <c r="AD337" s="4">
        <v>311044376</v>
      </c>
      <c r="AE337" s="4">
        <v>22789265</v>
      </c>
      <c r="AG337" s="4" t="s">
        <v>1349</v>
      </c>
      <c r="AH337" s="4" t="s">
        <v>1350</v>
      </c>
      <c r="AI337" s="4" t="s">
        <v>469</v>
      </c>
    </row>
    <row r="338" spans="1:35" ht="18" x14ac:dyDescent="0.3">
      <c r="A338" s="10" t="s">
        <v>1351</v>
      </c>
      <c r="B338" s="10"/>
      <c r="C338" s="17" t="s">
        <v>1333</v>
      </c>
      <c r="D338" s="12"/>
      <c r="E338" s="12" t="s">
        <v>1352</v>
      </c>
      <c r="F338" s="18" t="s">
        <v>99</v>
      </c>
      <c r="G338" s="19">
        <v>1.3</v>
      </c>
      <c r="H338" s="24"/>
      <c r="I338" s="24">
        <v>92472.25</v>
      </c>
      <c r="J338" s="20">
        <v>8.75</v>
      </c>
      <c r="M338" s="21">
        <f>ROUND(ROUND(J338, 2)*I338, 2)</f>
        <v>809132.19</v>
      </c>
      <c r="P338" s="22">
        <v>8.75</v>
      </c>
      <c r="S338" s="21">
        <f>ROUND(ROUND(P338, 2)*I338, 2)</f>
        <v>809132.19</v>
      </c>
      <c r="V338" s="9">
        <f>ROUND(ROUND(P338, 2)/1.2, 2)</f>
        <v>7.29</v>
      </c>
      <c r="Y338" s="9">
        <f t="shared" si="20"/>
        <v>674276.83</v>
      </c>
      <c r="AD338" s="4" t="s">
        <v>1353</v>
      </c>
      <c r="AE338" s="4" t="s">
        <v>1354</v>
      </c>
      <c r="AF338" s="4" t="s">
        <v>1337</v>
      </c>
    </row>
    <row r="339" spans="1:35" ht="18" x14ac:dyDescent="0.3">
      <c r="A339" s="10" t="s">
        <v>1355</v>
      </c>
      <c r="B339" s="10"/>
      <c r="C339" s="17" t="s">
        <v>1192</v>
      </c>
      <c r="D339" s="12"/>
      <c r="E339" s="12"/>
      <c r="F339" s="18" t="s">
        <v>258</v>
      </c>
      <c r="G339" s="19">
        <v>1</v>
      </c>
      <c r="H339" s="24"/>
      <c r="I339" s="24">
        <v>2845.3</v>
      </c>
      <c r="J339" s="20">
        <v>16.02</v>
      </c>
      <c r="M339" s="21">
        <f>ROUND(ROUND(J339, 2)*I339, 2)</f>
        <v>45581.71</v>
      </c>
      <c r="P339" s="22">
        <v>16.02</v>
      </c>
      <c r="S339" s="21">
        <f>ROUND(ROUND(P339, 2)*I339, 2)</f>
        <v>45581.71</v>
      </c>
      <c r="V339" s="9">
        <f>ROUND(ROUND(P339, 2)/1.2, 2)</f>
        <v>13.35</v>
      </c>
      <c r="Y339" s="9">
        <f t="shared" si="20"/>
        <v>37984.76</v>
      </c>
      <c r="AD339" s="4" t="s">
        <v>1356</v>
      </c>
      <c r="AE339" s="4" t="s">
        <v>1357</v>
      </c>
      <c r="AF339" s="4" t="s">
        <v>1195</v>
      </c>
    </row>
    <row r="340" spans="1:35" ht="18" x14ac:dyDescent="0.3">
      <c r="A340" s="10" t="s">
        <v>1358</v>
      </c>
      <c r="B340" s="10"/>
      <c r="C340" s="17" t="s">
        <v>1359</v>
      </c>
      <c r="D340" s="12"/>
      <c r="E340" s="12"/>
      <c r="F340" s="18" t="s">
        <v>99</v>
      </c>
      <c r="G340" s="19">
        <v>0.25</v>
      </c>
      <c r="H340" s="19"/>
      <c r="I340" s="19">
        <v>711.32500000000005</v>
      </c>
      <c r="J340" s="20">
        <v>101.66</v>
      </c>
      <c r="M340" s="21">
        <f>ROUND(ROUND(J340, 2)*I340, 2)</f>
        <v>72313.3</v>
      </c>
      <c r="P340" s="22">
        <v>101.66</v>
      </c>
      <c r="S340" s="21">
        <f>ROUND(ROUND(P340, 2)*I340, 2)</f>
        <v>72313.3</v>
      </c>
      <c r="V340" s="9">
        <f>ROUND(ROUND(P340, 2)/1.2, 2)</f>
        <v>84.72</v>
      </c>
      <c r="Y340" s="9">
        <f t="shared" si="20"/>
        <v>60261.08</v>
      </c>
      <c r="AD340" s="4" t="s">
        <v>1360</v>
      </c>
      <c r="AE340" s="4" t="s">
        <v>1361</v>
      </c>
      <c r="AF340" s="4" t="s">
        <v>1362</v>
      </c>
    </row>
    <row r="341" spans="1:35" ht="72" x14ac:dyDescent="0.3">
      <c r="A341" s="10" t="s">
        <v>1363</v>
      </c>
      <c r="B341" s="10" t="s">
        <v>1346</v>
      </c>
      <c r="C341" s="11" t="s">
        <v>1347</v>
      </c>
      <c r="D341" s="12"/>
      <c r="E341" s="12" t="s">
        <v>1364</v>
      </c>
      <c r="F341" s="12" t="s">
        <v>58</v>
      </c>
      <c r="G341" s="13">
        <v>1</v>
      </c>
      <c r="H341" s="13"/>
      <c r="I341" s="13">
        <v>3317.2</v>
      </c>
      <c r="J341" s="14">
        <f>IFERROR(ROUND(SUM(M342,M343,M344)/I341, 2),0)</f>
        <v>313.94</v>
      </c>
      <c r="K341" s="15">
        <v>1067</v>
      </c>
      <c r="L341" s="14">
        <f>J341+ROUND(K341, 2)</f>
        <v>1380.94</v>
      </c>
      <c r="M341" s="14">
        <f>ROUND(J341*I341, 2)</f>
        <v>1041401.77</v>
      </c>
      <c r="N341" s="14">
        <f>ROUND(I341*ROUND(K341, 2), 2)</f>
        <v>3539452.4</v>
      </c>
      <c r="O341" s="14">
        <f>M341+N341</f>
        <v>4580854.17</v>
      </c>
      <c r="P341" s="14">
        <f>IFERROR(ROUND(SUM(S342,S343,S344)/I341, 2),0)</f>
        <v>313.94</v>
      </c>
      <c r="Q341" s="16">
        <v>1524.29</v>
      </c>
      <c r="R341" s="14">
        <f>P341+ROUND(Q341, 2)</f>
        <v>1838.23</v>
      </c>
      <c r="S341" s="14">
        <f>ROUND(P341*I341, 2)</f>
        <v>1041401.77</v>
      </c>
      <c r="T341" s="14">
        <f>ROUND(I341*ROUND(Q341, 2), 2)</f>
        <v>5056374.79</v>
      </c>
      <c r="U341" s="14">
        <f>S341+T341</f>
        <v>6097776.5600000005</v>
      </c>
      <c r="V341" s="9">
        <f>ROUND(P341 / 1.2, 2)</f>
        <v>261.62</v>
      </c>
      <c r="W341" s="9">
        <f>ROUND(Q341 / 1.2, 2)</f>
        <v>1270.24</v>
      </c>
      <c r="X341" s="9">
        <f>ROUND(R341 / 1.2, 2)</f>
        <v>1531.86</v>
      </c>
      <c r="Y341" s="9">
        <f t="shared" si="20"/>
        <v>867834.81</v>
      </c>
      <c r="Z341" s="9">
        <f>ROUND(T341 / 1.2, 2)</f>
        <v>4213645.66</v>
      </c>
      <c r="AA341" s="9">
        <f>Y341+Z341</f>
        <v>5081480.4700000007</v>
      </c>
      <c r="AD341" s="4">
        <v>311044451</v>
      </c>
      <c r="AE341" s="4">
        <v>22789266</v>
      </c>
      <c r="AG341" s="4" t="s">
        <v>1349</v>
      </c>
      <c r="AH341" s="4" t="s">
        <v>1350</v>
      </c>
      <c r="AI341" s="4" t="s">
        <v>469</v>
      </c>
    </row>
    <row r="342" spans="1:35" ht="36" x14ac:dyDescent="0.3">
      <c r="A342" s="10" t="s">
        <v>1365</v>
      </c>
      <c r="B342" s="10"/>
      <c r="C342" s="17" t="s">
        <v>1057</v>
      </c>
      <c r="D342" s="12"/>
      <c r="E342" s="12"/>
      <c r="F342" s="18" t="s">
        <v>99</v>
      </c>
      <c r="G342" s="19">
        <v>0.15</v>
      </c>
      <c r="H342" s="19"/>
      <c r="I342" s="19">
        <v>497.58</v>
      </c>
      <c r="J342" s="20">
        <v>90.28</v>
      </c>
      <c r="M342" s="21">
        <f>ROUND(ROUND(J342, 2)*I342, 2)</f>
        <v>44921.52</v>
      </c>
      <c r="P342" s="22">
        <v>90.28</v>
      </c>
      <c r="S342" s="21">
        <f>ROUND(ROUND(P342, 2)*I342, 2)</f>
        <v>44921.52</v>
      </c>
      <c r="V342" s="9">
        <f>ROUND(ROUND(P342, 2)/1.2, 2)</f>
        <v>75.23</v>
      </c>
      <c r="Y342" s="9">
        <f t="shared" si="20"/>
        <v>37434.6</v>
      </c>
      <c r="AD342" s="4" t="s">
        <v>1366</v>
      </c>
      <c r="AE342" s="4" t="s">
        <v>1367</v>
      </c>
      <c r="AF342" s="4" t="s">
        <v>1060</v>
      </c>
    </row>
    <row r="343" spans="1:35" ht="18" x14ac:dyDescent="0.3">
      <c r="A343" s="10" t="s">
        <v>1368</v>
      </c>
      <c r="B343" s="10"/>
      <c r="C343" s="17" t="s">
        <v>1192</v>
      </c>
      <c r="D343" s="12"/>
      <c r="E343" s="12"/>
      <c r="F343" s="18" t="s">
        <v>258</v>
      </c>
      <c r="G343" s="19">
        <v>1</v>
      </c>
      <c r="H343" s="24"/>
      <c r="I343" s="24">
        <v>3317.2</v>
      </c>
      <c r="J343" s="20">
        <v>16.02</v>
      </c>
      <c r="M343" s="21">
        <f>ROUND(ROUND(J343, 2)*I343, 2)</f>
        <v>53141.54</v>
      </c>
      <c r="P343" s="22">
        <v>16.02</v>
      </c>
      <c r="S343" s="21">
        <f>ROUND(ROUND(P343, 2)*I343, 2)</f>
        <v>53141.54</v>
      </c>
      <c r="V343" s="9">
        <f>ROUND(ROUND(P343, 2)/1.2, 2)</f>
        <v>13.35</v>
      </c>
      <c r="Y343" s="9">
        <f t="shared" si="20"/>
        <v>44284.62</v>
      </c>
      <c r="AD343" s="4" t="s">
        <v>1369</v>
      </c>
      <c r="AE343" s="4" t="s">
        <v>1370</v>
      </c>
      <c r="AF343" s="4" t="s">
        <v>1195</v>
      </c>
    </row>
    <row r="344" spans="1:35" ht="18" x14ac:dyDescent="0.3">
      <c r="A344" s="10" t="s">
        <v>1371</v>
      </c>
      <c r="B344" s="10"/>
      <c r="C344" s="17" t="s">
        <v>1333</v>
      </c>
      <c r="D344" s="12"/>
      <c r="E344" s="12" t="s">
        <v>1352</v>
      </c>
      <c r="F344" s="18" t="s">
        <v>99</v>
      </c>
      <c r="G344" s="19">
        <v>1.3</v>
      </c>
      <c r="H344" s="24"/>
      <c r="I344" s="24">
        <v>107809</v>
      </c>
      <c r="J344" s="20">
        <v>8.75</v>
      </c>
      <c r="M344" s="21">
        <f>ROUND(ROUND(J344, 2)*I344, 2)</f>
        <v>943328.75</v>
      </c>
      <c r="P344" s="22">
        <v>8.75</v>
      </c>
      <c r="S344" s="21">
        <f>ROUND(ROUND(P344, 2)*I344, 2)</f>
        <v>943328.75</v>
      </c>
      <c r="V344" s="9">
        <f>ROUND(ROUND(P344, 2)/1.2, 2)</f>
        <v>7.29</v>
      </c>
      <c r="Y344" s="9">
        <f t="shared" si="20"/>
        <v>786107.29</v>
      </c>
      <c r="AD344" s="4" t="s">
        <v>1372</v>
      </c>
      <c r="AE344" s="4" t="s">
        <v>1373</v>
      </c>
      <c r="AF344" s="4" t="s">
        <v>1337</v>
      </c>
    </row>
    <row r="345" spans="1:35" ht="72" x14ac:dyDescent="0.3">
      <c r="A345" s="10" t="s">
        <v>1374</v>
      </c>
      <c r="B345" s="10" t="s">
        <v>1346</v>
      </c>
      <c r="C345" s="11" t="s">
        <v>1347</v>
      </c>
      <c r="D345" s="12"/>
      <c r="E345" s="12" t="s">
        <v>1375</v>
      </c>
      <c r="F345" s="12" t="s">
        <v>58</v>
      </c>
      <c r="G345" s="13">
        <v>1</v>
      </c>
      <c r="H345" s="13"/>
      <c r="I345" s="13">
        <v>831.6</v>
      </c>
      <c r="J345" s="14">
        <f>IFERROR(ROUND(SUM(M346,M347,M348)/I345, 2),0)</f>
        <v>313.94</v>
      </c>
      <c r="K345" s="15">
        <v>1067</v>
      </c>
      <c r="L345" s="14">
        <f>J345+ROUND(K345, 2)</f>
        <v>1380.94</v>
      </c>
      <c r="M345" s="14">
        <f>ROUND(J345*I345, 2)</f>
        <v>261072.5</v>
      </c>
      <c r="N345" s="14">
        <f>ROUND(I345*ROUND(K345, 2), 2)</f>
        <v>887317.2</v>
      </c>
      <c r="O345" s="14">
        <f>M345+N345</f>
        <v>1148389.7</v>
      </c>
      <c r="P345" s="14">
        <f>IFERROR(ROUND(SUM(S346,S347,S348)/I345, 2),0)</f>
        <v>313.94</v>
      </c>
      <c r="Q345" s="16">
        <v>1524.29</v>
      </c>
      <c r="R345" s="14">
        <f>P345+ROUND(Q345, 2)</f>
        <v>1838.23</v>
      </c>
      <c r="S345" s="14">
        <f>ROUND(P345*I345, 2)</f>
        <v>261072.5</v>
      </c>
      <c r="T345" s="14">
        <f>ROUND(I345*ROUND(Q345, 2), 2)</f>
        <v>1267599.56</v>
      </c>
      <c r="U345" s="14">
        <f>S345+T345</f>
        <v>1528672.06</v>
      </c>
      <c r="V345" s="9">
        <f>ROUND(P345 / 1.2, 2)</f>
        <v>261.62</v>
      </c>
      <c r="W345" s="9">
        <f>ROUND(Q345 / 1.2, 2)</f>
        <v>1270.24</v>
      </c>
      <c r="X345" s="9">
        <f>ROUND(R345 / 1.2, 2)</f>
        <v>1531.86</v>
      </c>
      <c r="Y345" s="9">
        <f t="shared" si="20"/>
        <v>217560.42</v>
      </c>
      <c r="Z345" s="9">
        <f>ROUND(T345 / 1.2, 2)</f>
        <v>1056332.97</v>
      </c>
      <c r="AA345" s="9">
        <f>Y345+Z345</f>
        <v>1273893.3899999999</v>
      </c>
      <c r="AD345" s="4">
        <v>311044452</v>
      </c>
      <c r="AE345" s="4">
        <v>22846125</v>
      </c>
      <c r="AG345" s="4" t="s">
        <v>1349</v>
      </c>
      <c r="AH345" s="4" t="s">
        <v>1350</v>
      </c>
      <c r="AI345" s="4" t="s">
        <v>469</v>
      </c>
    </row>
    <row r="346" spans="1:35" ht="18" x14ac:dyDescent="0.3">
      <c r="A346" s="10" t="s">
        <v>1376</v>
      </c>
      <c r="B346" s="10"/>
      <c r="C346" s="17" t="s">
        <v>1333</v>
      </c>
      <c r="D346" s="12"/>
      <c r="E346" s="12" t="s">
        <v>1352</v>
      </c>
      <c r="F346" s="18" t="s">
        <v>99</v>
      </c>
      <c r="G346" s="19">
        <v>1.3</v>
      </c>
      <c r="H346" s="24"/>
      <c r="I346" s="24">
        <v>27027</v>
      </c>
      <c r="J346" s="20">
        <v>8.75</v>
      </c>
      <c r="M346" s="21">
        <f>ROUND(ROUND(J346, 2)*I346, 2)</f>
        <v>236486.25</v>
      </c>
      <c r="P346" s="22">
        <v>8.75</v>
      </c>
      <c r="S346" s="21">
        <f>ROUND(ROUND(P346, 2)*I346, 2)</f>
        <v>236486.25</v>
      </c>
      <c r="V346" s="9">
        <f>ROUND(ROUND(P346, 2)/1.2, 2)</f>
        <v>7.29</v>
      </c>
      <c r="Y346" s="9">
        <f t="shared" si="20"/>
        <v>197071.88</v>
      </c>
      <c r="AD346" s="4" t="s">
        <v>1377</v>
      </c>
      <c r="AE346" s="4" t="s">
        <v>1378</v>
      </c>
      <c r="AF346" s="4" t="s">
        <v>1337</v>
      </c>
    </row>
    <row r="347" spans="1:35" ht="18" x14ac:dyDescent="0.3">
      <c r="A347" s="10" t="s">
        <v>1379</v>
      </c>
      <c r="B347" s="10"/>
      <c r="C347" s="17" t="s">
        <v>1192</v>
      </c>
      <c r="D347" s="12"/>
      <c r="E347" s="12"/>
      <c r="F347" s="18" t="s">
        <v>258</v>
      </c>
      <c r="G347" s="19">
        <v>1</v>
      </c>
      <c r="H347" s="24"/>
      <c r="I347" s="24">
        <v>831.6</v>
      </c>
      <c r="J347" s="20">
        <v>16.02</v>
      </c>
      <c r="M347" s="21">
        <f>ROUND(ROUND(J347, 2)*I347, 2)</f>
        <v>13322.23</v>
      </c>
      <c r="P347" s="22">
        <v>16.02</v>
      </c>
      <c r="S347" s="21">
        <f>ROUND(ROUND(P347, 2)*I347, 2)</f>
        <v>13322.23</v>
      </c>
      <c r="V347" s="9">
        <f>ROUND(ROUND(P347, 2)/1.2, 2)</f>
        <v>13.35</v>
      </c>
      <c r="Y347" s="9">
        <f t="shared" si="20"/>
        <v>11101.86</v>
      </c>
      <c r="AD347" s="4" t="s">
        <v>1380</v>
      </c>
      <c r="AE347" s="4" t="s">
        <v>1381</v>
      </c>
      <c r="AF347" s="4" t="s">
        <v>1195</v>
      </c>
    </row>
    <row r="348" spans="1:35" ht="36" x14ac:dyDescent="0.3">
      <c r="A348" s="10" t="s">
        <v>1382</v>
      </c>
      <c r="B348" s="10"/>
      <c r="C348" s="17" t="s">
        <v>1057</v>
      </c>
      <c r="D348" s="12"/>
      <c r="E348" s="12"/>
      <c r="F348" s="18" t="s">
        <v>99</v>
      </c>
      <c r="G348" s="19">
        <v>0.15</v>
      </c>
      <c r="H348" s="19"/>
      <c r="I348" s="19">
        <v>124.74</v>
      </c>
      <c r="J348" s="20">
        <v>90.28</v>
      </c>
      <c r="M348" s="21">
        <f>ROUND(ROUND(J348, 2)*I348, 2)</f>
        <v>11261.53</v>
      </c>
      <c r="P348" s="22">
        <v>90.28</v>
      </c>
      <c r="S348" s="21">
        <f>ROUND(ROUND(P348, 2)*I348, 2)</f>
        <v>11261.53</v>
      </c>
      <c r="V348" s="9">
        <f>ROUND(ROUND(P348, 2)/1.2, 2)</f>
        <v>75.23</v>
      </c>
      <c r="Y348" s="9">
        <f t="shared" si="20"/>
        <v>9384.61</v>
      </c>
      <c r="AD348" s="4" t="s">
        <v>1383</v>
      </c>
      <c r="AE348" s="4" t="s">
        <v>1384</v>
      </c>
      <c r="AF348" s="4" t="s">
        <v>1060</v>
      </c>
    </row>
    <row r="349" spans="1:35" ht="72" x14ac:dyDescent="0.3">
      <c r="A349" s="10" t="s">
        <v>1385</v>
      </c>
      <c r="B349" s="10" t="s">
        <v>1346</v>
      </c>
      <c r="C349" s="11" t="s">
        <v>1347</v>
      </c>
      <c r="D349" s="12"/>
      <c r="E349" s="12" t="s">
        <v>1386</v>
      </c>
      <c r="F349" s="12" t="s">
        <v>58</v>
      </c>
      <c r="G349" s="13">
        <v>1</v>
      </c>
      <c r="H349" s="13"/>
      <c r="I349" s="13">
        <v>789.7</v>
      </c>
      <c r="J349" s="14">
        <f>IFERROR(ROUND(SUM(M350,M351,M352)/I349, 2),0)</f>
        <v>325.81</v>
      </c>
      <c r="K349" s="15">
        <v>1067</v>
      </c>
      <c r="L349" s="14">
        <f>J349+ROUND(K349, 2)</f>
        <v>1392.81</v>
      </c>
      <c r="M349" s="14">
        <f>ROUND(J349*I349, 2)</f>
        <v>257292.16</v>
      </c>
      <c r="N349" s="14">
        <f>ROUND(I349*ROUND(K349, 2), 2)</f>
        <v>842609.9</v>
      </c>
      <c r="O349" s="14">
        <f>M349+N349</f>
        <v>1099902.06</v>
      </c>
      <c r="P349" s="14">
        <f>IFERROR(ROUND(SUM(S350,S351,S352)/I349, 2),0)</f>
        <v>325.81</v>
      </c>
      <c r="Q349" s="16">
        <v>1524.29</v>
      </c>
      <c r="R349" s="14">
        <f>P349+ROUND(Q349, 2)</f>
        <v>1850.1</v>
      </c>
      <c r="S349" s="14">
        <f>ROUND(P349*I349, 2)</f>
        <v>257292.16</v>
      </c>
      <c r="T349" s="14">
        <f>ROUND(I349*ROUND(Q349, 2), 2)</f>
        <v>1203731.81</v>
      </c>
      <c r="U349" s="14">
        <f>S349+T349</f>
        <v>1461023.97</v>
      </c>
      <c r="V349" s="9">
        <f>ROUND(P349 / 1.2, 2)</f>
        <v>271.51</v>
      </c>
      <c r="W349" s="9">
        <f>ROUND(Q349 / 1.2, 2)</f>
        <v>1270.24</v>
      </c>
      <c r="X349" s="9">
        <f>ROUND(R349 / 1.2, 2)</f>
        <v>1541.75</v>
      </c>
      <c r="Y349" s="9">
        <f t="shared" si="20"/>
        <v>214410.13</v>
      </c>
      <c r="Z349" s="9">
        <f>ROUND(T349 / 1.2, 2)</f>
        <v>1003109.84</v>
      </c>
      <c r="AA349" s="9">
        <f>Y349+Z349</f>
        <v>1217519.97</v>
      </c>
      <c r="AD349" s="4">
        <v>311044453</v>
      </c>
      <c r="AE349" s="4">
        <v>22846124</v>
      </c>
      <c r="AG349" s="4" t="s">
        <v>1349</v>
      </c>
      <c r="AH349" s="4" t="s">
        <v>1350</v>
      </c>
      <c r="AI349" s="4" t="s">
        <v>469</v>
      </c>
    </row>
    <row r="350" spans="1:35" ht="18" x14ac:dyDescent="0.3">
      <c r="A350" s="10" t="s">
        <v>1387</v>
      </c>
      <c r="B350" s="10"/>
      <c r="C350" s="17" t="s">
        <v>1359</v>
      </c>
      <c r="D350" s="12"/>
      <c r="E350" s="12"/>
      <c r="F350" s="18" t="s">
        <v>99</v>
      </c>
      <c r="G350" s="19">
        <v>0.25</v>
      </c>
      <c r="H350" s="19"/>
      <c r="I350" s="19">
        <v>197.42500000000001</v>
      </c>
      <c r="J350" s="20">
        <v>101.66</v>
      </c>
      <c r="M350" s="21">
        <f>ROUND(ROUND(J350, 2)*I350, 2)</f>
        <v>20070.23</v>
      </c>
      <c r="P350" s="22">
        <v>101.66</v>
      </c>
      <c r="S350" s="21">
        <f>ROUND(ROUND(P350, 2)*I350, 2)</f>
        <v>20070.23</v>
      </c>
      <c r="V350" s="9">
        <f>ROUND(ROUND(P350, 2)/1.2, 2)</f>
        <v>84.72</v>
      </c>
      <c r="Y350" s="9">
        <f t="shared" si="20"/>
        <v>16725.189999999999</v>
      </c>
      <c r="AD350" s="4" t="s">
        <v>1388</v>
      </c>
      <c r="AE350" s="4" t="s">
        <v>1389</v>
      </c>
      <c r="AF350" s="4" t="s">
        <v>1362</v>
      </c>
    </row>
    <row r="351" spans="1:35" ht="18" x14ac:dyDescent="0.3">
      <c r="A351" s="10" t="s">
        <v>1390</v>
      </c>
      <c r="B351" s="10"/>
      <c r="C351" s="17" t="s">
        <v>1192</v>
      </c>
      <c r="D351" s="12"/>
      <c r="E351" s="12"/>
      <c r="F351" s="18" t="s">
        <v>258</v>
      </c>
      <c r="G351" s="19">
        <v>1</v>
      </c>
      <c r="H351" s="24"/>
      <c r="I351" s="24">
        <v>789.7</v>
      </c>
      <c r="J351" s="20">
        <v>16.02</v>
      </c>
      <c r="M351" s="21">
        <f>ROUND(ROUND(J351, 2)*I351, 2)</f>
        <v>12650.99</v>
      </c>
      <c r="P351" s="22">
        <v>16.02</v>
      </c>
      <c r="S351" s="21">
        <f>ROUND(ROUND(P351, 2)*I351, 2)</f>
        <v>12650.99</v>
      </c>
      <c r="V351" s="9">
        <f>ROUND(ROUND(P351, 2)/1.2, 2)</f>
        <v>13.35</v>
      </c>
      <c r="Y351" s="9">
        <f t="shared" si="20"/>
        <v>10542.49</v>
      </c>
      <c r="AD351" s="4" t="s">
        <v>1391</v>
      </c>
      <c r="AE351" s="4" t="s">
        <v>1392</v>
      </c>
      <c r="AF351" s="4" t="s">
        <v>1195</v>
      </c>
    </row>
    <row r="352" spans="1:35" ht="18" x14ac:dyDescent="0.3">
      <c r="A352" s="10" t="s">
        <v>1393</v>
      </c>
      <c r="B352" s="10"/>
      <c r="C352" s="17" t="s">
        <v>1333</v>
      </c>
      <c r="D352" s="12"/>
      <c r="E352" s="12" t="s">
        <v>1352</v>
      </c>
      <c r="F352" s="18" t="s">
        <v>99</v>
      </c>
      <c r="G352" s="19">
        <v>1.3</v>
      </c>
      <c r="H352" s="24"/>
      <c r="I352" s="24">
        <v>25665.25</v>
      </c>
      <c r="J352" s="20">
        <v>8.75</v>
      </c>
      <c r="M352" s="21">
        <f>ROUND(ROUND(J352, 2)*I352, 2)</f>
        <v>224570.94</v>
      </c>
      <c r="P352" s="22">
        <v>8.75</v>
      </c>
      <c r="S352" s="21">
        <f>ROUND(ROUND(P352, 2)*I352, 2)</f>
        <v>224570.94</v>
      </c>
      <c r="V352" s="9">
        <f>ROUND(ROUND(P352, 2)/1.2, 2)</f>
        <v>7.29</v>
      </c>
      <c r="Y352" s="9">
        <f t="shared" si="20"/>
        <v>187142.45</v>
      </c>
      <c r="AD352" s="4" t="s">
        <v>1394</v>
      </c>
      <c r="AE352" s="4" t="s">
        <v>1395</v>
      </c>
      <c r="AF352" s="4" t="s">
        <v>1337</v>
      </c>
    </row>
    <row r="353" spans="1:35" ht="72" x14ac:dyDescent="0.3">
      <c r="A353" s="10" t="s">
        <v>1396</v>
      </c>
      <c r="B353" s="10" t="s">
        <v>1397</v>
      </c>
      <c r="C353" s="11" t="s">
        <v>1398</v>
      </c>
      <c r="D353" s="12" t="s">
        <v>1399</v>
      </c>
      <c r="E353" s="12" t="s">
        <v>1400</v>
      </c>
      <c r="F353" s="12" t="s">
        <v>58</v>
      </c>
      <c r="G353" s="13">
        <v>1</v>
      </c>
      <c r="H353" s="13"/>
      <c r="I353" s="13">
        <v>82</v>
      </c>
      <c r="J353" s="14">
        <f>IFERROR(ROUND(SUM(M354,M355,M356)/I353, 2),0)</f>
        <v>325.81</v>
      </c>
      <c r="K353" s="15">
        <v>1165</v>
      </c>
      <c r="L353" s="14">
        <f>J353+ROUND(K353, 2)</f>
        <v>1490.81</v>
      </c>
      <c r="M353" s="14">
        <f>ROUND(J353*I353, 2)</f>
        <v>26716.42</v>
      </c>
      <c r="N353" s="14">
        <f>ROUND(I353*ROUND(K353, 2), 2)</f>
        <v>95530</v>
      </c>
      <c r="O353" s="14">
        <f>M353+N353</f>
        <v>122246.42</v>
      </c>
      <c r="P353" s="14">
        <f>IFERROR(ROUND(SUM(S354,S355,S356)/I353, 2),0)</f>
        <v>325.81</v>
      </c>
      <c r="Q353" s="16">
        <v>1664.29</v>
      </c>
      <c r="R353" s="14">
        <f>P353+ROUND(Q353, 2)</f>
        <v>1990.1</v>
      </c>
      <c r="S353" s="14">
        <f>ROUND(P353*I353, 2)</f>
        <v>26716.42</v>
      </c>
      <c r="T353" s="14">
        <f>ROUND(I353*ROUND(Q353, 2), 2)</f>
        <v>136471.78</v>
      </c>
      <c r="U353" s="14">
        <f>S353+T353</f>
        <v>163188.20000000001</v>
      </c>
      <c r="V353" s="9">
        <f>ROUND(P353 / 1.2, 2)</f>
        <v>271.51</v>
      </c>
      <c r="W353" s="9">
        <f>ROUND(Q353 / 1.2, 2)</f>
        <v>1386.91</v>
      </c>
      <c r="X353" s="9">
        <f>ROUND(R353 / 1.2, 2)</f>
        <v>1658.42</v>
      </c>
      <c r="Y353" s="9">
        <f t="shared" si="20"/>
        <v>22263.68</v>
      </c>
      <c r="Z353" s="9">
        <f>ROUND(T353 / 1.2, 2)</f>
        <v>113726.48</v>
      </c>
      <c r="AA353" s="9">
        <f>Y353+Z353</f>
        <v>135990.16</v>
      </c>
      <c r="AD353" s="4">
        <v>311044377</v>
      </c>
      <c r="AE353" s="4">
        <v>22789960</v>
      </c>
      <c r="AG353" s="4" t="s">
        <v>1401</v>
      </c>
      <c r="AH353" s="4" t="s">
        <v>1402</v>
      </c>
      <c r="AI353" s="4" t="s">
        <v>469</v>
      </c>
    </row>
    <row r="354" spans="1:35" ht="18" x14ac:dyDescent="0.3">
      <c r="A354" s="10" t="s">
        <v>1403</v>
      </c>
      <c r="B354" s="10"/>
      <c r="C354" s="17" t="s">
        <v>1333</v>
      </c>
      <c r="D354" s="12"/>
      <c r="E354" s="12" t="s">
        <v>1352</v>
      </c>
      <c r="F354" s="18" t="s">
        <v>99</v>
      </c>
      <c r="G354" s="19">
        <v>1.3</v>
      </c>
      <c r="H354" s="24"/>
      <c r="I354" s="24">
        <v>2665</v>
      </c>
      <c r="J354" s="20">
        <v>8.75</v>
      </c>
      <c r="M354" s="21">
        <f>ROUND(ROUND(J354, 2)*I354, 2)</f>
        <v>23318.75</v>
      </c>
      <c r="P354" s="22">
        <v>8.75</v>
      </c>
      <c r="S354" s="21">
        <f>ROUND(ROUND(P354, 2)*I354, 2)</f>
        <v>23318.75</v>
      </c>
      <c r="V354" s="9">
        <f>ROUND(ROUND(P354, 2)/1.2, 2)</f>
        <v>7.29</v>
      </c>
      <c r="Y354" s="9">
        <f t="shared" si="20"/>
        <v>19432.29</v>
      </c>
      <c r="AD354" s="4" t="s">
        <v>1404</v>
      </c>
      <c r="AE354" s="4" t="s">
        <v>1405</v>
      </c>
      <c r="AF354" s="4" t="s">
        <v>1337</v>
      </c>
    </row>
    <row r="355" spans="1:35" ht="18" x14ac:dyDescent="0.3">
      <c r="A355" s="10" t="s">
        <v>1406</v>
      </c>
      <c r="B355" s="10"/>
      <c r="C355" s="17" t="s">
        <v>1192</v>
      </c>
      <c r="D355" s="12"/>
      <c r="E355" s="12"/>
      <c r="F355" s="18" t="s">
        <v>258</v>
      </c>
      <c r="G355" s="19">
        <v>1</v>
      </c>
      <c r="H355" s="24"/>
      <c r="I355" s="24">
        <v>82</v>
      </c>
      <c r="J355" s="20">
        <v>16.02</v>
      </c>
      <c r="M355" s="21">
        <f>ROUND(ROUND(J355, 2)*I355, 2)</f>
        <v>1313.64</v>
      </c>
      <c r="P355" s="22">
        <v>16.02</v>
      </c>
      <c r="S355" s="21">
        <f>ROUND(ROUND(P355, 2)*I355, 2)</f>
        <v>1313.64</v>
      </c>
      <c r="V355" s="9">
        <f>ROUND(ROUND(P355, 2)/1.2, 2)</f>
        <v>13.35</v>
      </c>
      <c r="Y355" s="9">
        <f t="shared" ref="Y355:Y372" si="21">ROUND(S355 / 1.2, 2)</f>
        <v>1094.7</v>
      </c>
      <c r="AD355" s="4" t="s">
        <v>1407</v>
      </c>
      <c r="AE355" s="4" t="s">
        <v>1408</v>
      </c>
      <c r="AF355" s="4" t="s">
        <v>1195</v>
      </c>
    </row>
    <row r="356" spans="1:35" ht="18" x14ac:dyDescent="0.3">
      <c r="A356" s="10" t="s">
        <v>1409</v>
      </c>
      <c r="B356" s="10"/>
      <c r="C356" s="17" t="s">
        <v>1359</v>
      </c>
      <c r="D356" s="12"/>
      <c r="E356" s="12"/>
      <c r="F356" s="18" t="s">
        <v>99</v>
      </c>
      <c r="G356" s="19">
        <v>0.25</v>
      </c>
      <c r="H356" s="19"/>
      <c r="I356" s="19">
        <v>20.5</v>
      </c>
      <c r="J356" s="20">
        <v>101.66</v>
      </c>
      <c r="M356" s="21">
        <f>ROUND(ROUND(J356, 2)*I356, 2)</f>
        <v>2084.0300000000002</v>
      </c>
      <c r="P356" s="22">
        <v>101.66</v>
      </c>
      <c r="S356" s="21">
        <f>ROUND(ROUND(P356, 2)*I356, 2)</f>
        <v>2084.0300000000002</v>
      </c>
      <c r="V356" s="9">
        <f>ROUND(ROUND(P356, 2)/1.2, 2)</f>
        <v>84.72</v>
      </c>
      <c r="Y356" s="9">
        <f t="shared" si="21"/>
        <v>1736.69</v>
      </c>
      <c r="AD356" s="4" t="s">
        <v>1410</v>
      </c>
      <c r="AE356" s="4" t="s">
        <v>1411</v>
      </c>
      <c r="AF356" s="4" t="s">
        <v>1362</v>
      </c>
    </row>
    <row r="357" spans="1:35" ht="72" x14ac:dyDescent="0.3">
      <c r="A357" s="10" t="s">
        <v>1412</v>
      </c>
      <c r="B357" s="10" t="s">
        <v>1413</v>
      </c>
      <c r="C357" s="11" t="s">
        <v>1414</v>
      </c>
      <c r="D357" s="12" t="s">
        <v>1399</v>
      </c>
      <c r="E357" s="12" t="s">
        <v>1415</v>
      </c>
      <c r="F357" s="12" t="s">
        <v>58</v>
      </c>
      <c r="G357" s="13">
        <v>1</v>
      </c>
      <c r="H357" s="13"/>
      <c r="I357" s="13">
        <v>30.4</v>
      </c>
      <c r="J357" s="14">
        <f>IFERROR(ROUND(SUM(M358,M359,M360)/I357, 2),0)</f>
        <v>313.94</v>
      </c>
      <c r="K357" s="15">
        <v>1312</v>
      </c>
      <c r="L357" s="14">
        <f>J357+ROUND(K357, 2)</f>
        <v>1625.94</v>
      </c>
      <c r="M357" s="14">
        <f>ROUND(J357*I357, 2)</f>
        <v>9543.7800000000007</v>
      </c>
      <c r="N357" s="14">
        <f>ROUND(I357*ROUND(K357, 2), 2)</f>
        <v>39884.800000000003</v>
      </c>
      <c r="O357" s="14">
        <f>M357+N357</f>
        <v>49428.58</v>
      </c>
      <c r="P357" s="14">
        <f>IFERROR(ROUND(SUM(S358,S359,S360)/I357, 2),0)</f>
        <v>313.94</v>
      </c>
      <c r="Q357" s="16">
        <v>1874.29</v>
      </c>
      <c r="R357" s="14">
        <f>P357+ROUND(Q357, 2)</f>
        <v>2188.23</v>
      </c>
      <c r="S357" s="14">
        <f>ROUND(P357*I357, 2)</f>
        <v>9543.7800000000007</v>
      </c>
      <c r="T357" s="14">
        <f>ROUND(I357*ROUND(Q357, 2), 2)</f>
        <v>56978.42</v>
      </c>
      <c r="U357" s="14">
        <f>S357+T357</f>
        <v>66522.2</v>
      </c>
      <c r="V357" s="9">
        <f>ROUND(P357 / 1.2, 2)</f>
        <v>261.62</v>
      </c>
      <c r="W357" s="9">
        <f>ROUND(Q357 / 1.2, 2)</f>
        <v>1561.91</v>
      </c>
      <c r="X357" s="9">
        <f>ROUND(R357 / 1.2, 2)</f>
        <v>1823.53</v>
      </c>
      <c r="Y357" s="9">
        <f t="shared" si="21"/>
        <v>7953.15</v>
      </c>
      <c r="Z357" s="9">
        <f>ROUND(T357 / 1.2, 2)</f>
        <v>47482.02</v>
      </c>
      <c r="AA357" s="9">
        <f>Y357+Z357</f>
        <v>55435.17</v>
      </c>
      <c r="AD357" s="4">
        <v>311044378</v>
      </c>
      <c r="AE357" s="4">
        <v>22789961</v>
      </c>
      <c r="AG357" s="4" t="s">
        <v>1416</v>
      </c>
      <c r="AH357" s="4" t="s">
        <v>1417</v>
      </c>
      <c r="AI357" s="4" t="s">
        <v>469</v>
      </c>
    </row>
    <row r="358" spans="1:35" ht="18" x14ac:dyDescent="0.3">
      <c r="A358" s="10" t="s">
        <v>1418</v>
      </c>
      <c r="B358" s="10"/>
      <c r="C358" s="17" t="s">
        <v>1333</v>
      </c>
      <c r="D358" s="12"/>
      <c r="E358" s="12" t="s">
        <v>1352</v>
      </c>
      <c r="F358" s="18" t="s">
        <v>99</v>
      </c>
      <c r="G358" s="19">
        <v>1.3</v>
      </c>
      <c r="H358" s="24"/>
      <c r="I358" s="24">
        <v>988</v>
      </c>
      <c r="J358" s="20">
        <v>8.75</v>
      </c>
      <c r="M358" s="21">
        <f>ROUND(ROUND(J358, 2)*I358, 2)</f>
        <v>8645</v>
      </c>
      <c r="P358" s="22">
        <v>8.75</v>
      </c>
      <c r="S358" s="21">
        <f>ROUND(ROUND(P358, 2)*I358, 2)</f>
        <v>8645</v>
      </c>
      <c r="V358" s="9">
        <f>ROUND(ROUND(P358, 2)/1.2, 2)</f>
        <v>7.29</v>
      </c>
      <c r="Y358" s="9">
        <f t="shared" si="21"/>
        <v>7204.17</v>
      </c>
      <c r="AD358" s="4" t="s">
        <v>1419</v>
      </c>
      <c r="AE358" s="4" t="s">
        <v>1420</v>
      </c>
      <c r="AF358" s="4" t="s">
        <v>1337</v>
      </c>
    </row>
    <row r="359" spans="1:35" ht="36" x14ac:dyDescent="0.3">
      <c r="A359" s="10" t="s">
        <v>1421</v>
      </c>
      <c r="B359" s="10"/>
      <c r="C359" s="17" t="s">
        <v>1057</v>
      </c>
      <c r="D359" s="12"/>
      <c r="E359" s="12"/>
      <c r="F359" s="18" t="s">
        <v>99</v>
      </c>
      <c r="G359" s="19">
        <v>0.15</v>
      </c>
      <c r="H359" s="19"/>
      <c r="I359" s="19">
        <v>4.5599999999999996</v>
      </c>
      <c r="J359" s="20">
        <v>90.28</v>
      </c>
      <c r="M359" s="21">
        <f>ROUND(ROUND(J359, 2)*I359, 2)</f>
        <v>411.68</v>
      </c>
      <c r="P359" s="22">
        <v>90.28</v>
      </c>
      <c r="S359" s="21">
        <f>ROUND(ROUND(P359, 2)*I359, 2)</f>
        <v>411.68</v>
      </c>
      <c r="V359" s="9">
        <f>ROUND(ROUND(P359, 2)/1.2, 2)</f>
        <v>75.23</v>
      </c>
      <c r="Y359" s="9">
        <f t="shared" si="21"/>
        <v>343.07</v>
      </c>
      <c r="AD359" s="4" t="s">
        <v>1422</v>
      </c>
      <c r="AE359" s="4" t="s">
        <v>1423</v>
      </c>
      <c r="AF359" s="4" t="s">
        <v>1060</v>
      </c>
    </row>
    <row r="360" spans="1:35" ht="18" x14ac:dyDescent="0.3">
      <c r="A360" s="10" t="s">
        <v>1424</v>
      </c>
      <c r="B360" s="10"/>
      <c r="C360" s="17" t="s">
        <v>1192</v>
      </c>
      <c r="D360" s="12"/>
      <c r="E360" s="12"/>
      <c r="F360" s="18" t="s">
        <v>258</v>
      </c>
      <c r="G360" s="19">
        <v>1</v>
      </c>
      <c r="H360" s="24"/>
      <c r="I360" s="24">
        <v>30.4</v>
      </c>
      <c r="J360" s="20">
        <v>16.02</v>
      </c>
      <c r="M360" s="21">
        <f>ROUND(ROUND(J360, 2)*I360, 2)</f>
        <v>487.01</v>
      </c>
      <c r="P360" s="22">
        <v>16.02</v>
      </c>
      <c r="S360" s="21">
        <f>ROUND(ROUND(P360, 2)*I360, 2)</f>
        <v>487.01</v>
      </c>
      <c r="V360" s="9">
        <f>ROUND(ROUND(P360, 2)/1.2, 2)</f>
        <v>13.35</v>
      </c>
      <c r="Y360" s="9">
        <f t="shared" si="21"/>
        <v>405.84</v>
      </c>
      <c r="AD360" s="4" t="s">
        <v>1425</v>
      </c>
      <c r="AE360" s="4" t="s">
        <v>1426</v>
      </c>
      <c r="AF360" s="4" t="s">
        <v>1195</v>
      </c>
    </row>
    <row r="361" spans="1:35" ht="54" x14ac:dyDescent="0.3">
      <c r="A361" s="10" t="s">
        <v>1427</v>
      </c>
      <c r="B361" s="10" t="s">
        <v>1428</v>
      </c>
      <c r="C361" s="11" t="s">
        <v>1429</v>
      </c>
      <c r="D361" s="12"/>
      <c r="E361" s="12" t="s">
        <v>1430</v>
      </c>
      <c r="F361" s="12" t="s">
        <v>58</v>
      </c>
      <c r="G361" s="13">
        <v>1</v>
      </c>
      <c r="H361" s="13"/>
      <c r="I361" s="13">
        <v>389.2</v>
      </c>
      <c r="J361" s="14">
        <f>IFERROR(ROUND(SUM(M362,M363,M364)/I361, 2),0)</f>
        <v>108.76</v>
      </c>
      <c r="K361" s="15">
        <v>873</v>
      </c>
      <c r="L361" s="14">
        <f>J361+ROUND(K361, 2)</f>
        <v>981.76</v>
      </c>
      <c r="M361" s="14">
        <f>ROUND(J361*I361, 2)</f>
        <v>42329.39</v>
      </c>
      <c r="N361" s="14">
        <f>ROUND(I361*ROUND(K361, 2), 2)</f>
        <v>339771.6</v>
      </c>
      <c r="O361" s="14">
        <f>M361+N361</f>
        <v>382100.99</v>
      </c>
      <c r="P361" s="14">
        <f>IFERROR(ROUND(SUM(S362,S363,S364)/I361, 2),0)</f>
        <v>108.76</v>
      </c>
      <c r="Q361" s="16">
        <v>1247.1400000000001</v>
      </c>
      <c r="R361" s="14">
        <f>P361+ROUND(Q361, 2)</f>
        <v>1355.9</v>
      </c>
      <c r="S361" s="14">
        <f>ROUND(P361*I361, 2)</f>
        <v>42329.39</v>
      </c>
      <c r="T361" s="14">
        <f>ROUND(I361*ROUND(Q361, 2), 2)</f>
        <v>485386.89</v>
      </c>
      <c r="U361" s="14">
        <f>S361+T361</f>
        <v>527716.28</v>
      </c>
      <c r="V361" s="9">
        <f>ROUND(P361 / 1.2, 2)</f>
        <v>90.63</v>
      </c>
      <c r="W361" s="9">
        <f>ROUND(Q361 / 1.2, 2)</f>
        <v>1039.28</v>
      </c>
      <c r="X361" s="9">
        <f>ROUND(R361 / 1.2, 2)</f>
        <v>1129.92</v>
      </c>
      <c r="Y361" s="9">
        <f t="shared" si="21"/>
        <v>35274.49</v>
      </c>
      <c r="Z361" s="9">
        <f>ROUND(T361 / 1.2, 2)</f>
        <v>404489.08</v>
      </c>
      <c r="AA361" s="9">
        <f>Y361+Z361</f>
        <v>439763.57</v>
      </c>
      <c r="AD361" s="4">
        <v>311044380</v>
      </c>
      <c r="AE361" s="4">
        <v>22789959</v>
      </c>
      <c r="AG361" s="4" t="s">
        <v>1431</v>
      </c>
      <c r="AH361" s="4" t="s">
        <v>1432</v>
      </c>
      <c r="AI361" s="4" t="s">
        <v>469</v>
      </c>
    </row>
    <row r="362" spans="1:35" ht="36" x14ac:dyDescent="0.3">
      <c r="A362" s="10" t="s">
        <v>1433</v>
      </c>
      <c r="B362" s="10"/>
      <c r="C362" s="23" t="s">
        <v>1164</v>
      </c>
      <c r="D362" s="12"/>
      <c r="E362" s="12" t="s">
        <v>1434</v>
      </c>
      <c r="F362" s="18" t="s">
        <v>99</v>
      </c>
      <c r="G362" s="19">
        <v>1</v>
      </c>
      <c r="H362" s="24"/>
      <c r="I362" s="24">
        <v>3892</v>
      </c>
      <c r="J362" s="20">
        <v>7.92</v>
      </c>
      <c r="M362" s="21">
        <f>ROUND(ROUND(J362, 2)*I362, 2)</f>
        <v>30824.639999999999</v>
      </c>
      <c r="P362" s="22">
        <v>7.92</v>
      </c>
      <c r="S362" s="21">
        <f>ROUND(ROUND(P362, 2)*I362, 2)</f>
        <v>30824.639999999999</v>
      </c>
      <c r="V362" s="9">
        <f>ROUND(ROUND(P362, 2)/1.2, 2)</f>
        <v>6.6</v>
      </c>
      <c r="Y362" s="9">
        <f t="shared" si="21"/>
        <v>25687.200000000001</v>
      </c>
      <c r="AD362" s="4" t="s">
        <v>1435</v>
      </c>
      <c r="AE362" s="4" t="s">
        <v>1436</v>
      </c>
      <c r="AF362" s="4" t="s">
        <v>1168</v>
      </c>
    </row>
    <row r="363" spans="1:35" ht="36" x14ac:dyDescent="0.3">
      <c r="A363" s="10" t="s">
        <v>1437</v>
      </c>
      <c r="B363" s="10"/>
      <c r="C363" s="17" t="s">
        <v>1057</v>
      </c>
      <c r="D363" s="12"/>
      <c r="E363" s="12"/>
      <c r="F363" s="18" t="s">
        <v>99</v>
      </c>
      <c r="G363" s="19">
        <v>0.15</v>
      </c>
      <c r="H363" s="24"/>
      <c r="I363" s="24">
        <v>58.38</v>
      </c>
      <c r="J363" s="20">
        <v>90.28</v>
      </c>
      <c r="M363" s="21">
        <f>ROUND(ROUND(J363, 2)*I363, 2)</f>
        <v>5270.55</v>
      </c>
      <c r="P363" s="22">
        <v>90.28</v>
      </c>
      <c r="S363" s="21">
        <f>ROUND(ROUND(P363, 2)*I363, 2)</f>
        <v>5270.55</v>
      </c>
      <c r="V363" s="9">
        <f>ROUND(ROUND(P363, 2)/1.2, 2)</f>
        <v>75.23</v>
      </c>
      <c r="Y363" s="9">
        <f t="shared" si="21"/>
        <v>4392.13</v>
      </c>
      <c r="AD363" s="4" t="s">
        <v>1438</v>
      </c>
      <c r="AE363" s="4" t="s">
        <v>1439</v>
      </c>
      <c r="AF363" s="4" t="s">
        <v>1060</v>
      </c>
    </row>
    <row r="364" spans="1:35" ht="18" x14ac:dyDescent="0.3">
      <c r="A364" s="10" t="s">
        <v>1440</v>
      </c>
      <c r="B364" s="10"/>
      <c r="C364" s="17" t="s">
        <v>1192</v>
      </c>
      <c r="D364" s="12"/>
      <c r="E364" s="12"/>
      <c r="F364" s="18" t="s">
        <v>258</v>
      </c>
      <c r="G364" s="19">
        <v>1</v>
      </c>
      <c r="H364" s="24"/>
      <c r="I364" s="24">
        <v>389.2</v>
      </c>
      <c r="J364" s="20">
        <v>16.02</v>
      </c>
      <c r="M364" s="21">
        <f>ROUND(ROUND(J364, 2)*I364, 2)</f>
        <v>6234.98</v>
      </c>
      <c r="P364" s="22">
        <v>16.02</v>
      </c>
      <c r="S364" s="21">
        <f>ROUND(ROUND(P364, 2)*I364, 2)</f>
        <v>6234.98</v>
      </c>
      <c r="V364" s="9">
        <f>ROUND(ROUND(P364, 2)/1.2, 2)</f>
        <v>13.35</v>
      </c>
      <c r="Y364" s="9">
        <f t="shared" si="21"/>
        <v>5195.82</v>
      </c>
      <c r="AD364" s="4" t="s">
        <v>1441</v>
      </c>
      <c r="AE364" s="4" t="s">
        <v>1442</v>
      </c>
      <c r="AF364" s="4" t="s">
        <v>1195</v>
      </c>
    </row>
    <row r="365" spans="1:35" ht="54" x14ac:dyDescent="0.3">
      <c r="A365" s="10" t="s">
        <v>1443</v>
      </c>
      <c r="B365" s="10" t="s">
        <v>1444</v>
      </c>
      <c r="C365" s="11" t="s">
        <v>1445</v>
      </c>
      <c r="D365" s="12"/>
      <c r="E365" s="12" t="s">
        <v>1446</v>
      </c>
      <c r="F365" s="12" t="s">
        <v>58</v>
      </c>
      <c r="G365" s="13">
        <v>1</v>
      </c>
      <c r="H365" s="13"/>
      <c r="I365" s="13">
        <v>5132.22</v>
      </c>
      <c r="J365" s="14">
        <f>IFERROR(ROUND(SUM(M366,M367,M368)/I365, 2),0)</f>
        <v>215.05</v>
      </c>
      <c r="K365" s="15">
        <v>1073</v>
      </c>
      <c r="L365" s="14">
        <f>J365+ROUND(K365, 2)</f>
        <v>1288.05</v>
      </c>
      <c r="M365" s="14">
        <f>ROUND(J365*I365, 2)</f>
        <v>1103683.9099999999</v>
      </c>
      <c r="N365" s="14">
        <f>ROUND(I365*ROUND(K365, 2), 2)</f>
        <v>5506872.0599999996</v>
      </c>
      <c r="O365" s="14">
        <f>M365+N365</f>
        <v>6610555.9699999997</v>
      </c>
      <c r="P365" s="14">
        <f>IFERROR(ROUND(SUM(S366,S367,S368)/I365, 2),0)</f>
        <v>215.05</v>
      </c>
      <c r="Q365" s="16">
        <v>1532.86</v>
      </c>
      <c r="R365" s="14">
        <f>P365+ROUND(Q365, 2)</f>
        <v>1747.9099999999999</v>
      </c>
      <c r="S365" s="14">
        <f>ROUND(P365*I365, 2)</f>
        <v>1103683.9099999999</v>
      </c>
      <c r="T365" s="14">
        <f>ROUND(I365*ROUND(Q365, 2), 2)</f>
        <v>7866974.75</v>
      </c>
      <c r="U365" s="14">
        <f>S365+T365</f>
        <v>8970658.6600000001</v>
      </c>
      <c r="V365" s="9">
        <f>ROUND(P365 / 1.2, 2)</f>
        <v>179.21</v>
      </c>
      <c r="W365" s="9">
        <f>ROUND(Q365 / 1.2, 2)</f>
        <v>1277.3800000000001</v>
      </c>
      <c r="X365" s="9">
        <f>ROUND(R365 / 1.2, 2)</f>
        <v>1456.59</v>
      </c>
      <c r="Y365" s="9">
        <f t="shared" si="21"/>
        <v>919736.59</v>
      </c>
      <c r="Z365" s="9">
        <f>ROUND(T365 / 1.2, 2)</f>
        <v>6555812.29</v>
      </c>
      <c r="AA365" s="9">
        <f>Y365+Z365</f>
        <v>7475548.8799999999</v>
      </c>
      <c r="AD365" s="4">
        <v>311044381</v>
      </c>
      <c r="AE365" s="4">
        <v>22791072</v>
      </c>
      <c r="AG365" s="4" t="s">
        <v>1447</v>
      </c>
      <c r="AH365" s="4" t="s">
        <v>1448</v>
      </c>
      <c r="AI365" s="4" t="s">
        <v>469</v>
      </c>
    </row>
    <row r="366" spans="1:35" ht="36" x14ac:dyDescent="0.3">
      <c r="A366" s="10" t="s">
        <v>1449</v>
      </c>
      <c r="B366" s="10"/>
      <c r="C366" s="23" t="s">
        <v>1164</v>
      </c>
      <c r="D366" s="12"/>
      <c r="E366" s="12" t="s">
        <v>1352</v>
      </c>
      <c r="F366" s="18" t="s">
        <v>99</v>
      </c>
      <c r="G366" s="19">
        <v>1</v>
      </c>
      <c r="H366" s="24"/>
      <c r="I366" s="24">
        <v>128305.5</v>
      </c>
      <c r="J366" s="20">
        <v>7.92</v>
      </c>
      <c r="M366" s="21">
        <f>ROUND(ROUND(J366, 2)*I366, 2)</f>
        <v>1016179.56</v>
      </c>
      <c r="P366" s="22">
        <v>7.92</v>
      </c>
      <c r="S366" s="21">
        <f>ROUND(ROUND(P366, 2)*I366, 2)</f>
        <v>1016179.56</v>
      </c>
      <c r="V366" s="9">
        <f>ROUND(ROUND(P366, 2)/1.2, 2)</f>
        <v>6.6</v>
      </c>
      <c r="Y366" s="9">
        <f t="shared" si="21"/>
        <v>846816.3</v>
      </c>
      <c r="AD366" s="4" t="s">
        <v>1450</v>
      </c>
      <c r="AE366" s="4" t="s">
        <v>1451</v>
      </c>
      <c r="AF366" s="4" t="s">
        <v>1168</v>
      </c>
    </row>
    <row r="367" spans="1:35" ht="18" x14ac:dyDescent="0.3">
      <c r="A367" s="10" t="s">
        <v>1452</v>
      </c>
      <c r="B367" s="10"/>
      <c r="C367" s="17" t="s">
        <v>1192</v>
      </c>
      <c r="D367" s="12"/>
      <c r="E367" s="12"/>
      <c r="F367" s="18" t="s">
        <v>258</v>
      </c>
      <c r="G367" s="19">
        <v>1</v>
      </c>
      <c r="H367" s="24"/>
      <c r="I367" s="24">
        <v>5132.22</v>
      </c>
      <c r="J367" s="20">
        <v>16.02</v>
      </c>
      <c r="M367" s="21">
        <f>ROUND(ROUND(J367, 2)*I367, 2)</f>
        <v>82218.16</v>
      </c>
      <c r="P367" s="22">
        <v>16.02</v>
      </c>
      <c r="S367" s="21">
        <f>ROUND(ROUND(P367, 2)*I367, 2)</f>
        <v>82218.16</v>
      </c>
      <c r="V367" s="9">
        <f>ROUND(ROUND(P367, 2)/1.2, 2)</f>
        <v>13.35</v>
      </c>
      <c r="Y367" s="9">
        <f t="shared" si="21"/>
        <v>68515.13</v>
      </c>
      <c r="AD367" s="4" t="s">
        <v>1453</v>
      </c>
      <c r="AE367" s="4" t="s">
        <v>1454</v>
      </c>
      <c r="AF367" s="4" t="s">
        <v>1195</v>
      </c>
    </row>
    <row r="368" spans="1:35" ht="36" x14ac:dyDescent="0.3">
      <c r="A368" s="10" t="s">
        <v>1455</v>
      </c>
      <c r="B368" s="10"/>
      <c r="C368" s="17" t="s">
        <v>1057</v>
      </c>
      <c r="D368" s="12"/>
      <c r="E368" s="12"/>
      <c r="F368" s="18" t="s">
        <v>99</v>
      </c>
      <c r="G368" s="19">
        <v>0.15</v>
      </c>
      <c r="H368" s="24"/>
      <c r="I368" s="24">
        <v>58.38</v>
      </c>
      <c r="J368" s="20">
        <v>90.28</v>
      </c>
      <c r="M368" s="21">
        <f>ROUND(ROUND(J368, 2)*I368, 2)</f>
        <v>5270.55</v>
      </c>
      <c r="P368" s="22">
        <v>90.28</v>
      </c>
      <c r="S368" s="21">
        <f>ROUND(ROUND(P368, 2)*I368, 2)</f>
        <v>5270.55</v>
      </c>
      <c r="V368" s="9">
        <f>ROUND(ROUND(P368, 2)/1.2, 2)</f>
        <v>75.23</v>
      </c>
      <c r="Y368" s="9">
        <f t="shared" si="21"/>
        <v>4392.13</v>
      </c>
      <c r="AD368" s="4" t="s">
        <v>1456</v>
      </c>
      <c r="AE368" s="4" t="s">
        <v>1457</v>
      </c>
      <c r="AF368" s="4" t="s">
        <v>1060</v>
      </c>
    </row>
    <row r="369" spans="1:35" ht="54" x14ac:dyDescent="0.3">
      <c r="A369" s="10" t="s">
        <v>1458</v>
      </c>
      <c r="B369" s="10" t="s">
        <v>1444</v>
      </c>
      <c r="C369" s="11" t="s">
        <v>1445</v>
      </c>
      <c r="D369" s="12"/>
      <c r="E369" s="12" t="s">
        <v>1459</v>
      </c>
      <c r="F369" s="12" t="s">
        <v>58</v>
      </c>
      <c r="G369" s="13">
        <v>1</v>
      </c>
      <c r="H369" s="13"/>
      <c r="I369" s="13">
        <v>2106.7840000000001</v>
      </c>
      <c r="J369" s="14">
        <f>IFERROR(ROUND(SUM(M370,M371,M372)/I369, 2),0)</f>
        <v>239.44</v>
      </c>
      <c r="K369" s="15">
        <v>1073</v>
      </c>
      <c r="L369" s="14">
        <f>J369+ROUND(K369, 2)</f>
        <v>1312.44</v>
      </c>
      <c r="M369" s="14">
        <f>ROUND(J369*I369, 2)</f>
        <v>504448.36</v>
      </c>
      <c r="N369" s="14">
        <f>ROUND(I369*ROUND(K369, 2), 2)</f>
        <v>2260579.23</v>
      </c>
      <c r="O369" s="14">
        <f>M369+N369</f>
        <v>2765027.59</v>
      </c>
      <c r="P369" s="14">
        <f>IFERROR(ROUND(SUM(S370,S371,S372)/I369, 2),0)</f>
        <v>239.44</v>
      </c>
      <c r="Q369" s="16">
        <v>1532.86</v>
      </c>
      <c r="R369" s="14">
        <f>P369+ROUND(Q369, 2)</f>
        <v>1772.3</v>
      </c>
      <c r="S369" s="14">
        <f>ROUND(P369*I369, 2)</f>
        <v>504448.36</v>
      </c>
      <c r="T369" s="14">
        <f>ROUND(I369*ROUND(Q369, 2), 2)</f>
        <v>3229404.92</v>
      </c>
      <c r="U369" s="14">
        <f>S369+T369</f>
        <v>3733853.28</v>
      </c>
      <c r="V369" s="9">
        <f>ROUND(P369 / 1.2, 2)</f>
        <v>199.53</v>
      </c>
      <c r="W369" s="9">
        <f>ROUND(Q369 / 1.2, 2)</f>
        <v>1277.3800000000001</v>
      </c>
      <c r="X369" s="9">
        <f>ROUND(R369 / 1.2, 2)</f>
        <v>1476.92</v>
      </c>
      <c r="Y369" s="9">
        <f t="shared" si="21"/>
        <v>420373.63</v>
      </c>
      <c r="Z369" s="9">
        <f>ROUND(T369 / 1.2, 2)</f>
        <v>2691170.77</v>
      </c>
      <c r="AA369" s="9">
        <f>Y369+Z369</f>
        <v>3111544.4</v>
      </c>
      <c r="AD369" s="4">
        <v>311044454</v>
      </c>
      <c r="AE369" s="4">
        <v>22791073</v>
      </c>
      <c r="AG369" s="4" t="s">
        <v>1447</v>
      </c>
      <c r="AH369" s="4" t="s">
        <v>1448</v>
      </c>
      <c r="AI369" s="4" t="s">
        <v>469</v>
      </c>
    </row>
    <row r="370" spans="1:35" ht="18" x14ac:dyDescent="0.3">
      <c r="A370" s="10" t="s">
        <v>1460</v>
      </c>
      <c r="B370" s="10"/>
      <c r="C370" s="17" t="s">
        <v>1359</v>
      </c>
      <c r="D370" s="12"/>
      <c r="E370" s="12"/>
      <c r="F370" s="18" t="s">
        <v>99</v>
      </c>
      <c r="G370" s="19">
        <v>0.25</v>
      </c>
      <c r="H370" s="19"/>
      <c r="I370" s="19">
        <v>526.69600000000003</v>
      </c>
      <c r="J370" s="20">
        <v>101.66</v>
      </c>
      <c r="M370" s="21">
        <f>ROUND(ROUND(J370, 2)*I370, 2)</f>
        <v>53543.92</v>
      </c>
      <c r="P370" s="22">
        <v>101.66</v>
      </c>
      <c r="S370" s="21">
        <f>ROUND(ROUND(P370, 2)*I370, 2)</f>
        <v>53543.92</v>
      </c>
      <c r="V370" s="9">
        <f>ROUND(ROUND(P370, 2)/1.2, 2)</f>
        <v>84.72</v>
      </c>
      <c r="Y370" s="9">
        <f t="shared" si="21"/>
        <v>44619.93</v>
      </c>
      <c r="AD370" s="4" t="s">
        <v>1461</v>
      </c>
      <c r="AE370" s="4" t="s">
        <v>1462</v>
      </c>
      <c r="AF370" s="4" t="s">
        <v>1362</v>
      </c>
    </row>
    <row r="371" spans="1:35" ht="18" x14ac:dyDescent="0.3">
      <c r="A371" s="10" t="s">
        <v>1463</v>
      </c>
      <c r="B371" s="10"/>
      <c r="C371" s="17" t="s">
        <v>1192</v>
      </c>
      <c r="D371" s="12"/>
      <c r="E371" s="12"/>
      <c r="F371" s="18" t="s">
        <v>258</v>
      </c>
      <c r="G371" s="19">
        <v>1</v>
      </c>
      <c r="H371" s="24"/>
      <c r="I371" s="24">
        <v>2106.7840000000001</v>
      </c>
      <c r="J371" s="20">
        <v>16.02</v>
      </c>
      <c r="M371" s="21">
        <f>ROUND(ROUND(J371, 2)*I371, 2)</f>
        <v>33750.68</v>
      </c>
      <c r="P371" s="22">
        <v>16.02</v>
      </c>
      <c r="S371" s="21">
        <f>ROUND(ROUND(P371, 2)*I371, 2)</f>
        <v>33750.68</v>
      </c>
      <c r="V371" s="9">
        <f>ROUND(ROUND(P371, 2)/1.2, 2)</f>
        <v>13.35</v>
      </c>
      <c r="Y371" s="9">
        <f t="shared" si="21"/>
        <v>28125.57</v>
      </c>
      <c r="AD371" s="4" t="s">
        <v>1464</v>
      </c>
      <c r="AE371" s="4" t="s">
        <v>1465</v>
      </c>
      <c r="AF371" s="4" t="s">
        <v>1195</v>
      </c>
    </row>
    <row r="372" spans="1:35" ht="36" x14ac:dyDescent="0.3">
      <c r="A372" s="10" t="s">
        <v>1466</v>
      </c>
      <c r="B372" s="10"/>
      <c r="C372" s="23" t="s">
        <v>1164</v>
      </c>
      <c r="D372" s="12"/>
      <c r="E372" s="12" t="s">
        <v>1352</v>
      </c>
      <c r="F372" s="18" t="s">
        <v>99</v>
      </c>
      <c r="G372" s="19">
        <v>1</v>
      </c>
      <c r="H372" s="24"/>
      <c r="I372" s="24">
        <v>52669.599999999999</v>
      </c>
      <c r="J372" s="20">
        <v>7.92</v>
      </c>
      <c r="M372" s="21">
        <f>ROUND(ROUND(J372, 2)*I372, 2)</f>
        <v>417143.23</v>
      </c>
      <c r="P372" s="22">
        <v>7.92</v>
      </c>
      <c r="S372" s="21">
        <f>ROUND(ROUND(P372, 2)*I372, 2)</f>
        <v>417143.23</v>
      </c>
      <c r="V372" s="9">
        <f>ROUND(ROUND(P372, 2)/1.2, 2)</f>
        <v>6.6</v>
      </c>
      <c r="Y372" s="9">
        <f t="shared" si="21"/>
        <v>347619.36</v>
      </c>
      <c r="AD372" s="4" t="s">
        <v>1467</v>
      </c>
      <c r="AE372" s="4" t="s">
        <v>1468</v>
      </c>
      <c r="AF372" s="4" t="s">
        <v>1168</v>
      </c>
    </row>
    <row r="373" spans="1:35" ht="16.95" customHeight="1" x14ac:dyDescent="0.3">
      <c r="A373" s="10" t="s">
        <v>1469</v>
      </c>
      <c r="B373" s="10" t="s">
        <v>1470</v>
      </c>
      <c r="C373" s="51" t="s">
        <v>1471</v>
      </c>
      <c r="D373" s="52"/>
      <c r="E373" s="52"/>
      <c r="F373" s="52"/>
      <c r="G373" s="52"/>
      <c r="H373" s="52"/>
      <c r="I373" s="53"/>
      <c r="M373" s="6">
        <f>SUM(M374,M376,M378,M380,M383,M386,M389,M392,M395,M398,M401,M404,M407,M410,M413,M416,M419,M422,M425,M430,M435,M440,M445,M450,M455,M460,M464,M469)</f>
        <v>7852151.7699999996</v>
      </c>
      <c r="N373" s="6">
        <f>SUM(N374,N376,N378,N380,N383,N386,N389,N392,N395,N398,N401,N404,N407,N410,N413,N416,N419,N422,N425,N430,N435,N440,N445,N450,N455,N460,N464,N469)</f>
        <v>20816857.489999998</v>
      </c>
      <c r="O373" s="6">
        <f>SUM(O374,O376,O378,O380,O383,O386,O389,O392,O395,O398,O401,O404,O407,O410,O413,O416,O419,O422,O425,O430,O435,O440,O445,O450,O455,O460,O464,O469)</f>
        <v>28669009.260000002</v>
      </c>
      <c r="S373" s="6">
        <f>SUM(S374,S376,S378,S380,S383,S386,S389,S392,S395,S398,S401,S404,S407,S410,S413,S416,S419,S422,S425,S430,S435,S440,S445,S450,S455,S460,S464,S469)</f>
        <v>10918712.41</v>
      </c>
      <c r="T373" s="6">
        <f>SUM(T374,T376,T378,T380,T383,T386,T389,T392,T395,T398,T401,T404,T407,T410,T413,T416,T419,T422,T425,T430,T435,T440,T445,T450,T455,T460,T464,T469)</f>
        <v>29738409.250000007</v>
      </c>
      <c r="U373" s="6">
        <f>SUM(U374,U376,U378,U380,U383,U386,U389,U392,U395,U398,U401,U404,U407,U410,U413,U416,U419,U422,U425,U430,U435,U440,U445,U450,U455,U460,U464,U469)</f>
        <v>40657121.659999996</v>
      </c>
      <c r="Y373" s="9">
        <f>SUM(Y374,Y376,Y378,Y380,Y383,Y386,Y389,Y392,Y395,Y398,Y401,Y404,Y407,Y410,Y413,Y416,Y419,Y422,Y425,Y430,Y435,Y440,Y445,Y450,Y455,Y460,Y464,Y469)</f>
        <v>9098927.0500000007</v>
      </c>
      <c r="Z373" s="9">
        <f>SUM(Z374,Z376,Z378,Z380,Z383,Z386,Z389,Z392,Z395,Z398,Z401,Z404,Z407,Z410,Z413,Z416,Z419,Z422,Z425,Z430,Z435,Z440,Z445,Z450,Z455,Z460,Z464,Z469)</f>
        <v>24782007.739999998</v>
      </c>
      <c r="AA373" s="9">
        <f>SUM(AA374,AA376,AA378,AA380,AA383,AA386,AA389,AA392,AA395,AA398,AA401,AA404,AA407,AA410,AA413,AA416,AA419,AA422,AA425,AA430,AA435,AA440,AA445,AA450,AA455,AA460,AA464,AA469)</f>
        <v>33880934.790000007</v>
      </c>
      <c r="AD373" s="4">
        <v>311044382</v>
      </c>
      <c r="AE373" s="4">
        <v>22875063</v>
      </c>
    </row>
    <row r="374" spans="1:35" ht="90" x14ac:dyDescent="0.3">
      <c r="A374" s="10" t="s">
        <v>1472</v>
      </c>
      <c r="B374" s="10" t="s">
        <v>1473</v>
      </c>
      <c r="C374" s="11" t="s">
        <v>1474</v>
      </c>
      <c r="D374" s="12"/>
      <c r="E374" s="12" t="s">
        <v>1475</v>
      </c>
      <c r="F374" s="12" t="s">
        <v>58</v>
      </c>
      <c r="G374" s="13">
        <v>1</v>
      </c>
      <c r="H374" s="13"/>
      <c r="I374" s="13">
        <v>320.79000000000002</v>
      </c>
      <c r="J374" s="14">
        <f>IFERROR(ROUND(SUM(M375)/I374, 2),0)</f>
        <v>424.96</v>
      </c>
      <c r="K374" s="15">
        <v>1010</v>
      </c>
      <c r="L374" s="14">
        <f>J374+ROUND(K374, 2)</f>
        <v>1434.96</v>
      </c>
      <c r="M374" s="14">
        <f>ROUND(J374*I374, 2)</f>
        <v>136322.92000000001</v>
      </c>
      <c r="N374" s="14">
        <f>ROUND(I374*ROUND(K374, 2), 2)</f>
        <v>323997.90000000002</v>
      </c>
      <c r="O374" s="14">
        <f>M374+N374</f>
        <v>460320.82000000007</v>
      </c>
      <c r="P374" s="14">
        <f>IFERROR(ROUND(SUM(S375)/I374, 2),0)</f>
        <v>7970</v>
      </c>
      <c r="Q374" s="16">
        <v>1442.86</v>
      </c>
      <c r="R374" s="14">
        <f>P374+ROUND(Q374, 2)</f>
        <v>9412.86</v>
      </c>
      <c r="S374" s="14">
        <f>ROUND(P374*I374, 2)</f>
        <v>2556696.2999999998</v>
      </c>
      <c r="T374" s="14">
        <f>ROUND(I374*ROUND(Q374, 2), 2)</f>
        <v>462855.06</v>
      </c>
      <c r="U374" s="14">
        <f>S374+T374</f>
        <v>3019551.36</v>
      </c>
      <c r="V374" s="9">
        <f>ROUND(P374 / 1.2, 2)</f>
        <v>6641.67</v>
      </c>
      <c r="W374" s="9">
        <f>ROUND(Q374 / 1.2, 2)</f>
        <v>1202.3800000000001</v>
      </c>
      <c r="X374" s="9">
        <f>ROUND(R374 / 1.2, 2)</f>
        <v>7844.05</v>
      </c>
      <c r="Y374" s="9">
        <f>ROUND(S374 / 1.2, 2)</f>
        <v>2130580.25</v>
      </c>
      <c r="Z374" s="9">
        <f>ROUND(T374 / 1.2, 2)</f>
        <v>385712.55</v>
      </c>
      <c r="AA374" s="9">
        <f>Y374+Z374</f>
        <v>2516292.7999999998</v>
      </c>
      <c r="AD374" s="4">
        <v>311044384</v>
      </c>
      <c r="AE374" s="4">
        <v>22879050</v>
      </c>
      <c r="AG374" s="4" t="s">
        <v>1476</v>
      </c>
      <c r="AH374" s="4" t="s">
        <v>1477</v>
      </c>
      <c r="AI374" s="4" t="s">
        <v>469</v>
      </c>
    </row>
    <row r="375" spans="1:35" ht="90" x14ac:dyDescent="0.3">
      <c r="A375" s="10" t="s">
        <v>1478</v>
      </c>
      <c r="B375" s="10"/>
      <c r="C375" s="17" t="s">
        <v>1479</v>
      </c>
      <c r="D375" s="12"/>
      <c r="E375" s="12" t="s">
        <v>1480</v>
      </c>
      <c r="F375" s="18" t="s">
        <v>139</v>
      </c>
      <c r="G375" s="19">
        <v>1</v>
      </c>
      <c r="H375" s="19"/>
      <c r="I375" s="19">
        <v>320.79000000000002</v>
      </c>
      <c r="J375" s="20">
        <v>424.96</v>
      </c>
      <c r="M375" s="21">
        <f>ROUND(ROUND(J375, 2)*I375, 2)</f>
        <v>136322.92000000001</v>
      </c>
      <c r="P375" s="22">
        <v>7970</v>
      </c>
      <c r="S375" s="21">
        <f>ROUND(ROUND(P375, 2)*I375, 2)</f>
        <v>2556696.2999999998</v>
      </c>
      <c r="V375" s="9">
        <f>ROUND(ROUND(P375, 2)/1.2, 2)</f>
        <v>6641.67</v>
      </c>
      <c r="Y375" s="9">
        <f t="shared" ref="Y375:Y438" si="22">ROUND(S375 / 1.2, 2)</f>
        <v>2130580.25</v>
      </c>
      <c r="AD375" s="4" t="s">
        <v>1481</v>
      </c>
      <c r="AE375" s="4" t="s">
        <v>1482</v>
      </c>
      <c r="AF375" s="4" t="s">
        <v>1483</v>
      </c>
    </row>
    <row r="376" spans="1:35" ht="90" x14ac:dyDescent="0.3">
      <c r="A376" s="10" t="s">
        <v>1484</v>
      </c>
      <c r="B376" s="10" t="s">
        <v>1473</v>
      </c>
      <c r="C376" s="11" t="s">
        <v>1474</v>
      </c>
      <c r="D376" s="12"/>
      <c r="E376" s="12" t="s">
        <v>1485</v>
      </c>
      <c r="F376" s="12" t="s">
        <v>58</v>
      </c>
      <c r="G376" s="13">
        <v>1</v>
      </c>
      <c r="H376" s="13"/>
      <c r="I376" s="13">
        <v>43.92</v>
      </c>
      <c r="J376" s="14">
        <f>IFERROR(ROUND(SUM(M377)/I376, 2),0)</f>
        <v>424.96</v>
      </c>
      <c r="K376" s="15">
        <v>1010</v>
      </c>
      <c r="L376" s="14">
        <f>J376+ROUND(K376, 2)</f>
        <v>1434.96</v>
      </c>
      <c r="M376" s="14">
        <f>ROUND(J376*I376, 2)</f>
        <v>18664.240000000002</v>
      </c>
      <c r="N376" s="14">
        <f>ROUND(I376*ROUND(K376, 2), 2)</f>
        <v>44359.199999999997</v>
      </c>
      <c r="O376" s="14">
        <f>M376+N376</f>
        <v>63023.44</v>
      </c>
      <c r="P376" s="14">
        <f>IFERROR(ROUND(SUM(S377)/I376, 2),0)</f>
        <v>6396.61</v>
      </c>
      <c r="Q376" s="16">
        <v>1442.86</v>
      </c>
      <c r="R376" s="14">
        <f>P376+ROUND(Q376, 2)</f>
        <v>7839.4699999999993</v>
      </c>
      <c r="S376" s="14">
        <f>ROUND(P376*I376, 2)</f>
        <v>280939.11</v>
      </c>
      <c r="T376" s="14">
        <f>ROUND(I376*ROUND(Q376, 2), 2)</f>
        <v>63370.41</v>
      </c>
      <c r="U376" s="14">
        <f>S376+T376</f>
        <v>344309.52</v>
      </c>
      <c r="V376" s="9">
        <f>ROUND(P376 / 1.2, 2)</f>
        <v>5330.51</v>
      </c>
      <c r="W376" s="9">
        <f>ROUND(Q376 / 1.2, 2)</f>
        <v>1202.3800000000001</v>
      </c>
      <c r="X376" s="9">
        <f>ROUND(R376 / 1.2, 2)</f>
        <v>6532.89</v>
      </c>
      <c r="Y376" s="9">
        <f t="shared" si="22"/>
        <v>234115.93</v>
      </c>
      <c r="Z376" s="9">
        <f>ROUND(T376 / 1.2, 2)</f>
        <v>52808.68</v>
      </c>
      <c r="AA376" s="9">
        <f>Y376+Z376</f>
        <v>286924.61</v>
      </c>
      <c r="AD376" s="4">
        <v>311044455</v>
      </c>
      <c r="AE376" s="4">
        <v>22879051</v>
      </c>
      <c r="AG376" s="4" t="s">
        <v>1476</v>
      </c>
      <c r="AH376" s="4" t="s">
        <v>1477</v>
      </c>
      <c r="AI376" s="4" t="s">
        <v>469</v>
      </c>
    </row>
    <row r="377" spans="1:35" ht="90" x14ac:dyDescent="0.3">
      <c r="A377" s="10" t="s">
        <v>1486</v>
      </c>
      <c r="B377" s="10"/>
      <c r="C377" s="17" t="s">
        <v>1479</v>
      </c>
      <c r="D377" s="12"/>
      <c r="E377" s="12" t="s">
        <v>1487</v>
      </c>
      <c r="F377" s="18" t="s">
        <v>139</v>
      </c>
      <c r="G377" s="19">
        <v>1</v>
      </c>
      <c r="H377" s="19"/>
      <c r="I377" s="19">
        <v>43.92</v>
      </c>
      <c r="J377" s="20">
        <v>424.96</v>
      </c>
      <c r="M377" s="21">
        <f>ROUND(ROUND(J377, 2)*I377, 2)</f>
        <v>18664.240000000002</v>
      </c>
      <c r="P377" s="22">
        <v>6396.61</v>
      </c>
      <c r="S377" s="21">
        <f>ROUND(ROUND(P377, 2)*I377, 2)</f>
        <v>280939.11</v>
      </c>
      <c r="V377" s="9">
        <f>ROUND(ROUND(P377, 2)/1.2, 2)</f>
        <v>5330.51</v>
      </c>
      <c r="Y377" s="9">
        <f t="shared" si="22"/>
        <v>234115.93</v>
      </c>
      <c r="AD377" s="4" t="s">
        <v>1488</v>
      </c>
      <c r="AE377" s="4" t="s">
        <v>1489</v>
      </c>
      <c r="AF377" s="4" t="s">
        <v>1483</v>
      </c>
    </row>
    <row r="378" spans="1:35" ht="90" x14ac:dyDescent="0.3">
      <c r="A378" s="10" t="s">
        <v>1490</v>
      </c>
      <c r="B378" s="10" t="s">
        <v>1473</v>
      </c>
      <c r="C378" s="11" t="s">
        <v>1474</v>
      </c>
      <c r="D378" s="12"/>
      <c r="E378" s="12" t="s">
        <v>1491</v>
      </c>
      <c r="F378" s="12" t="s">
        <v>58</v>
      </c>
      <c r="G378" s="13">
        <v>1</v>
      </c>
      <c r="H378" s="13"/>
      <c r="I378" s="13">
        <v>150.01</v>
      </c>
      <c r="J378" s="14">
        <f>IFERROR(ROUND(SUM(M379)/I378, 2),0)</f>
        <v>424.96</v>
      </c>
      <c r="K378" s="15">
        <v>1010</v>
      </c>
      <c r="L378" s="14">
        <f>J378+ROUND(K378, 2)</f>
        <v>1434.96</v>
      </c>
      <c r="M378" s="14">
        <f>ROUND(J378*I378, 2)</f>
        <v>63748.25</v>
      </c>
      <c r="N378" s="14">
        <f>ROUND(I378*ROUND(K378, 2), 2)</f>
        <v>151510.1</v>
      </c>
      <c r="O378" s="14">
        <f>M378+N378</f>
        <v>215258.35</v>
      </c>
      <c r="P378" s="14">
        <f>IFERROR(ROUND(SUM(S379)/I378, 2),0)</f>
        <v>6396.61</v>
      </c>
      <c r="Q378" s="16">
        <v>1442.86</v>
      </c>
      <c r="R378" s="14">
        <f>P378+ROUND(Q378, 2)</f>
        <v>7839.4699999999993</v>
      </c>
      <c r="S378" s="14">
        <f>ROUND(P378*I378, 2)</f>
        <v>959555.47</v>
      </c>
      <c r="T378" s="14">
        <f>ROUND(I378*ROUND(Q378, 2), 2)</f>
        <v>216443.43</v>
      </c>
      <c r="U378" s="14">
        <f>S378+T378</f>
        <v>1175998.8999999999</v>
      </c>
      <c r="V378" s="9">
        <f>ROUND(P378 / 1.2, 2)</f>
        <v>5330.51</v>
      </c>
      <c r="W378" s="9">
        <f>ROUND(Q378 / 1.2, 2)</f>
        <v>1202.3800000000001</v>
      </c>
      <c r="X378" s="9">
        <f>ROUND(R378 / 1.2, 2)</f>
        <v>6532.89</v>
      </c>
      <c r="Y378" s="9">
        <f t="shared" si="22"/>
        <v>799629.56</v>
      </c>
      <c r="Z378" s="9">
        <f>ROUND(T378 / 1.2, 2)</f>
        <v>180369.53</v>
      </c>
      <c r="AA378" s="9">
        <f>Y378+Z378</f>
        <v>979999.09000000008</v>
      </c>
      <c r="AD378" s="4">
        <v>311044456</v>
      </c>
      <c r="AE378" s="4">
        <v>22879052</v>
      </c>
      <c r="AG378" s="4" t="s">
        <v>1476</v>
      </c>
      <c r="AH378" s="4" t="s">
        <v>1477</v>
      </c>
      <c r="AI378" s="4" t="s">
        <v>469</v>
      </c>
    </row>
    <row r="379" spans="1:35" ht="90" x14ac:dyDescent="0.3">
      <c r="A379" s="10" t="s">
        <v>1492</v>
      </c>
      <c r="B379" s="10"/>
      <c r="C379" s="17" t="s">
        <v>1479</v>
      </c>
      <c r="D379" s="12"/>
      <c r="E379" s="12" t="s">
        <v>1493</v>
      </c>
      <c r="F379" s="18" t="s">
        <v>139</v>
      </c>
      <c r="G379" s="19">
        <v>1</v>
      </c>
      <c r="H379" s="19"/>
      <c r="I379" s="19">
        <v>150.01</v>
      </c>
      <c r="J379" s="20">
        <v>424.96</v>
      </c>
      <c r="M379" s="21">
        <f>ROUND(ROUND(J379, 2)*I379, 2)</f>
        <v>63748.25</v>
      </c>
      <c r="P379" s="22">
        <v>6396.61</v>
      </c>
      <c r="S379" s="21">
        <f>ROUND(ROUND(P379, 2)*I379, 2)</f>
        <v>959555.47</v>
      </c>
      <c r="V379" s="9">
        <f>ROUND(ROUND(P379, 2)/1.2, 2)</f>
        <v>5330.51</v>
      </c>
      <c r="Y379" s="9">
        <f t="shared" si="22"/>
        <v>799629.56</v>
      </c>
      <c r="AD379" s="4" t="s">
        <v>1494</v>
      </c>
      <c r="AE379" s="4" t="s">
        <v>1495</v>
      </c>
      <c r="AF379" s="4" t="s">
        <v>1483</v>
      </c>
    </row>
    <row r="380" spans="1:35" ht="126" x14ac:dyDescent="0.3">
      <c r="A380" s="10" t="s">
        <v>1496</v>
      </c>
      <c r="B380" s="10" t="s">
        <v>1497</v>
      </c>
      <c r="C380" s="11" t="s">
        <v>1498</v>
      </c>
      <c r="D380" s="12"/>
      <c r="E380" s="12" t="s">
        <v>1499</v>
      </c>
      <c r="F380" s="12" t="s">
        <v>58</v>
      </c>
      <c r="G380" s="13">
        <v>1</v>
      </c>
      <c r="H380" s="13"/>
      <c r="I380" s="13">
        <v>12648.21</v>
      </c>
      <c r="J380" s="14">
        <f>IFERROR(ROUND(SUM(M381,M382)/I380, 2),0)</f>
        <v>82.68</v>
      </c>
      <c r="K380" s="15">
        <v>428</v>
      </c>
      <c r="L380" s="14">
        <f>J380+ROUND(K380, 2)</f>
        <v>510.68</v>
      </c>
      <c r="M380" s="14">
        <f>ROUND(J380*I380, 2)</f>
        <v>1045754</v>
      </c>
      <c r="N380" s="14">
        <f>ROUND(I380*ROUND(K380, 2), 2)</f>
        <v>5413433.8799999999</v>
      </c>
      <c r="O380" s="14">
        <f>M380+N380</f>
        <v>6459187.8799999999</v>
      </c>
      <c r="P380" s="14">
        <f>IFERROR(ROUND(SUM(S381,S382)/I380, 2),0)</f>
        <v>82.68</v>
      </c>
      <c r="Q380" s="16">
        <v>611.42999999999995</v>
      </c>
      <c r="R380" s="14">
        <f>P380+ROUND(Q380, 2)</f>
        <v>694.1099999999999</v>
      </c>
      <c r="S380" s="14">
        <f>ROUND(P380*I380, 2)</f>
        <v>1045754</v>
      </c>
      <c r="T380" s="14">
        <f>ROUND(I380*ROUND(Q380, 2), 2)</f>
        <v>7733495.04</v>
      </c>
      <c r="U380" s="14">
        <f>S380+T380</f>
        <v>8779249.0399999991</v>
      </c>
      <c r="V380" s="9">
        <f>ROUND(P380 / 1.2, 2)</f>
        <v>68.900000000000006</v>
      </c>
      <c r="W380" s="9">
        <f>ROUND(Q380 / 1.2, 2)</f>
        <v>509.53</v>
      </c>
      <c r="X380" s="9">
        <f>ROUND(R380 / 1.2, 2)</f>
        <v>578.42999999999995</v>
      </c>
      <c r="Y380" s="9">
        <f t="shared" si="22"/>
        <v>871461.67</v>
      </c>
      <c r="Z380" s="9">
        <f>ROUND(T380 / 1.2, 2)</f>
        <v>6444579.2000000002</v>
      </c>
      <c r="AA380" s="9">
        <f>Y380+Z380</f>
        <v>7316040.8700000001</v>
      </c>
      <c r="AD380" s="4">
        <v>311044386</v>
      </c>
      <c r="AE380" s="4">
        <v>22875080</v>
      </c>
      <c r="AG380" s="4" t="s">
        <v>1500</v>
      </c>
      <c r="AH380" s="4" t="s">
        <v>1501</v>
      </c>
      <c r="AI380" s="4" t="s">
        <v>469</v>
      </c>
    </row>
    <row r="381" spans="1:35" ht="36" x14ac:dyDescent="0.3">
      <c r="A381" s="10" t="s">
        <v>1502</v>
      </c>
      <c r="B381" s="10"/>
      <c r="C381" s="17" t="s">
        <v>1503</v>
      </c>
      <c r="D381" s="12"/>
      <c r="E381" s="12" t="s">
        <v>1504</v>
      </c>
      <c r="F381" s="18" t="s">
        <v>99</v>
      </c>
      <c r="G381" s="19">
        <v>0.3</v>
      </c>
      <c r="H381" s="19"/>
      <c r="I381" s="19">
        <v>3794.4630000000002</v>
      </c>
      <c r="J381" s="20">
        <v>230.45</v>
      </c>
      <c r="M381" s="21">
        <f>ROUND(ROUND(J381, 2)*I381, 2)</f>
        <v>874434</v>
      </c>
      <c r="P381" s="22">
        <v>230.45</v>
      </c>
      <c r="S381" s="21">
        <f>ROUND(ROUND(P381, 2)*I381, 2)</f>
        <v>874434</v>
      </c>
      <c r="V381" s="9">
        <f>ROUND(ROUND(P381, 2)/1.2, 2)</f>
        <v>192.04</v>
      </c>
      <c r="Y381" s="9">
        <f t="shared" si="22"/>
        <v>728695</v>
      </c>
      <c r="AD381" s="4" t="s">
        <v>1505</v>
      </c>
      <c r="AE381" s="4" t="s">
        <v>1506</v>
      </c>
      <c r="AF381" s="4" t="s">
        <v>1507</v>
      </c>
    </row>
    <row r="382" spans="1:35" ht="36" x14ac:dyDescent="0.3">
      <c r="A382" s="10" t="s">
        <v>1508</v>
      </c>
      <c r="B382" s="10"/>
      <c r="C382" s="17" t="s">
        <v>1057</v>
      </c>
      <c r="D382" s="12"/>
      <c r="E382" s="12"/>
      <c r="F382" s="18" t="s">
        <v>99</v>
      </c>
      <c r="G382" s="19">
        <v>0.15</v>
      </c>
      <c r="H382" s="19"/>
      <c r="I382" s="19">
        <v>1897.232</v>
      </c>
      <c r="J382" s="20">
        <v>90.28</v>
      </c>
      <c r="M382" s="21">
        <f>ROUND(ROUND(J382, 2)*I382, 2)</f>
        <v>171282.1</v>
      </c>
      <c r="P382" s="22">
        <v>90.28</v>
      </c>
      <c r="S382" s="21">
        <f>ROUND(ROUND(P382, 2)*I382, 2)</f>
        <v>171282.1</v>
      </c>
      <c r="V382" s="9">
        <f>ROUND(ROUND(P382, 2)/1.2, 2)</f>
        <v>75.23</v>
      </c>
      <c r="Y382" s="9">
        <f t="shared" si="22"/>
        <v>142735.07999999999</v>
      </c>
      <c r="AD382" s="4" t="s">
        <v>1509</v>
      </c>
      <c r="AE382" s="4" t="s">
        <v>1510</v>
      </c>
      <c r="AF382" s="4" t="s">
        <v>1060</v>
      </c>
    </row>
    <row r="383" spans="1:35" ht="126" x14ac:dyDescent="0.3">
      <c r="A383" s="10" t="s">
        <v>1511</v>
      </c>
      <c r="B383" s="10" t="s">
        <v>1497</v>
      </c>
      <c r="C383" s="11" t="s">
        <v>1498</v>
      </c>
      <c r="D383" s="12"/>
      <c r="E383" s="12" t="s">
        <v>1512</v>
      </c>
      <c r="F383" s="12" t="s">
        <v>58</v>
      </c>
      <c r="G383" s="13">
        <v>1</v>
      </c>
      <c r="H383" s="13"/>
      <c r="I383" s="13">
        <v>74.37</v>
      </c>
      <c r="J383" s="14">
        <f>IFERROR(ROUND(SUM(M384,M385)/I383, 2),0)</f>
        <v>82.68</v>
      </c>
      <c r="K383" s="15">
        <v>428</v>
      </c>
      <c r="L383" s="14">
        <f>J383+ROUND(K383, 2)</f>
        <v>510.68</v>
      </c>
      <c r="M383" s="14">
        <f>ROUND(J383*I383, 2)</f>
        <v>6148.91</v>
      </c>
      <c r="N383" s="14">
        <f>ROUND(I383*ROUND(K383, 2), 2)</f>
        <v>31830.36</v>
      </c>
      <c r="O383" s="14">
        <f>M383+N383</f>
        <v>37979.270000000004</v>
      </c>
      <c r="P383" s="14">
        <f>IFERROR(ROUND(SUM(S384,S385)/I383, 2),0)</f>
        <v>82.68</v>
      </c>
      <c r="Q383" s="16">
        <v>611.42999999999995</v>
      </c>
      <c r="R383" s="14">
        <f>P383+ROUND(Q383, 2)</f>
        <v>694.1099999999999</v>
      </c>
      <c r="S383" s="14">
        <f>ROUND(P383*I383, 2)</f>
        <v>6148.91</v>
      </c>
      <c r="T383" s="14">
        <f>ROUND(I383*ROUND(Q383, 2), 2)</f>
        <v>45472.05</v>
      </c>
      <c r="U383" s="14">
        <f>S383+T383</f>
        <v>51620.960000000006</v>
      </c>
      <c r="V383" s="9">
        <f>ROUND(P383 / 1.2, 2)</f>
        <v>68.900000000000006</v>
      </c>
      <c r="W383" s="9">
        <f>ROUND(Q383 / 1.2, 2)</f>
        <v>509.53</v>
      </c>
      <c r="X383" s="9">
        <f>ROUND(R383 / 1.2, 2)</f>
        <v>578.42999999999995</v>
      </c>
      <c r="Y383" s="9">
        <f t="shared" si="22"/>
        <v>5124.09</v>
      </c>
      <c r="Z383" s="9">
        <f>ROUND(T383 / 1.2, 2)</f>
        <v>37893.379999999997</v>
      </c>
      <c r="AA383" s="9">
        <f>Y383+Z383</f>
        <v>43017.47</v>
      </c>
      <c r="AD383" s="4">
        <v>311044457</v>
      </c>
      <c r="AE383" s="4">
        <v>22875073</v>
      </c>
      <c r="AG383" s="4" t="s">
        <v>1500</v>
      </c>
      <c r="AH383" s="4" t="s">
        <v>1501</v>
      </c>
      <c r="AI383" s="4" t="s">
        <v>469</v>
      </c>
    </row>
    <row r="384" spans="1:35" ht="36" x14ac:dyDescent="0.3">
      <c r="A384" s="10" t="s">
        <v>1513</v>
      </c>
      <c r="B384" s="10"/>
      <c r="C384" s="17" t="s">
        <v>1057</v>
      </c>
      <c r="D384" s="12"/>
      <c r="E384" s="12"/>
      <c r="F384" s="18" t="s">
        <v>99</v>
      </c>
      <c r="G384" s="19">
        <v>0.15</v>
      </c>
      <c r="H384" s="19"/>
      <c r="I384" s="19">
        <v>11.156000000000001</v>
      </c>
      <c r="J384" s="20">
        <v>90.28</v>
      </c>
      <c r="M384" s="21">
        <f>ROUND(ROUND(J384, 2)*I384, 2)</f>
        <v>1007.16</v>
      </c>
      <c r="P384" s="22">
        <v>90.28</v>
      </c>
      <c r="S384" s="21">
        <f>ROUND(ROUND(P384, 2)*I384, 2)</f>
        <v>1007.16</v>
      </c>
      <c r="V384" s="9">
        <f>ROUND(ROUND(P384, 2)/1.2, 2)</f>
        <v>75.23</v>
      </c>
      <c r="Y384" s="9">
        <f t="shared" si="22"/>
        <v>839.3</v>
      </c>
      <c r="AD384" s="4" t="s">
        <v>1514</v>
      </c>
      <c r="AE384" s="4" t="s">
        <v>1515</v>
      </c>
      <c r="AF384" s="4" t="s">
        <v>1060</v>
      </c>
    </row>
    <row r="385" spans="1:35" ht="36" x14ac:dyDescent="0.3">
      <c r="A385" s="10" t="s">
        <v>1516</v>
      </c>
      <c r="B385" s="10"/>
      <c r="C385" s="17" t="s">
        <v>1503</v>
      </c>
      <c r="D385" s="12"/>
      <c r="E385" s="12" t="s">
        <v>1517</v>
      </c>
      <c r="F385" s="18" t="s">
        <v>99</v>
      </c>
      <c r="G385" s="19">
        <v>0.3</v>
      </c>
      <c r="H385" s="19"/>
      <c r="I385" s="19">
        <v>22.311</v>
      </c>
      <c r="J385" s="20">
        <v>230.45</v>
      </c>
      <c r="M385" s="21">
        <f>ROUND(ROUND(J385, 2)*I385, 2)</f>
        <v>5141.57</v>
      </c>
      <c r="P385" s="22">
        <v>230.45</v>
      </c>
      <c r="S385" s="21">
        <f>ROUND(ROUND(P385, 2)*I385, 2)</f>
        <v>5141.57</v>
      </c>
      <c r="V385" s="9">
        <f>ROUND(ROUND(P385, 2)/1.2, 2)</f>
        <v>192.04</v>
      </c>
      <c r="Y385" s="9">
        <f t="shared" si="22"/>
        <v>4284.6400000000003</v>
      </c>
      <c r="AD385" s="4" t="s">
        <v>1518</v>
      </c>
      <c r="AE385" s="4" t="s">
        <v>1519</v>
      </c>
      <c r="AF385" s="4" t="s">
        <v>1507</v>
      </c>
    </row>
    <row r="386" spans="1:35" ht="126" x14ac:dyDescent="0.3">
      <c r="A386" s="10" t="s">
        <v>1520</v>
      </c>
      <c r="B386" s="10" t="s">
        <v>1497</v>
      </c>
      <c r="C386" s="11" t="s">
        <v>1498</v>
      </c>
      <c r="D386" s="12"/>
      <c r="E386" s="12" t="s">
        <v>1521</v>
      </c>
      <c r="F386" s="12" t="s">
        <v>58</v>
      </c>
      <c r="G386" s="13">
        <v>1</v>
      </c>
      <c r="H386" s="13"/>
      <c r="I386" s="13">
        <v>68.260000000000005</v>
      </c>
      <c r="J386" s="14">
        <f>IFERROR(ROUND(SUM(M387,M388)/I386, 2),0)</f>
        <v>82.68</v>
      </c>
      <c r="K386" s="15">
        <v>428</v>
      </c>
      <c r="L386" s="14">
        <f>J386+ROUND(K386, 2)</f>
        <v>510.68</v>
      </c>
      <c r="M386" s="14">
        <f>ROUND(J386*I386, 2)</f>
        <v>5643.74</v>
      </c>
      <c r="N386" s="14">
        <f>ROUND(I386*ROUND(K386, 2), 2)</f>
        <v>29215.279999999999</v>
      </c>
      <c r="O386" s="14">
        <f>M386+N386</f>
        <v>34859.019999999997</v>
      </c>
      <c r="P386" s="14">
        <f>IFERROR(ROUND(SUM(S387,S388)/I386, 2),0)</f>
        <v>82.68</v>
      </c>
      <c r="Q386" s="16">
        <v>611.42999999999995</v>
      </c>
      <c r="R386" s="14">
        <f>P386+ROUND(Q386, 2)</f>
        <v>694.1099999999999</v>
      </c>
      <c r="S386" s="14">
        <f>ROUND(P386*I386, 2)</f>
        <v>5643.74</v>
      </c>
      <c r="T386" s="14">
        <f>ROUND(I386*ROUND(Q386, 2), 2)</f>
        <v>41736.21</v>
      </c>
      <c r="U386" s="14">
        <f>S386+T386</f>
        <v>47379.95</v>
      </c>
      <c r="V386" s="9">
        <f>ROUND(P386 / 1.2, 2)</f>
        <v>68.900000000000006</v>
      </c>
      <c r="W386" s="9">
        <f>ROUND(Q386 / 1.2, 2)</f>
        <v>509.53</v>
      </c>
      <c r="X386" s="9">
        <f>ROUND(R386 / 1.2, 2)</f>
        <v>578.42999999999995</v>
      </c>
      <c r="Y386" s="9">
        <f t="shared" si="22"/>
        <v>4703.12</v>
      </c>
      <c r="Z386" s="9">
        <f>ROUND(T386 / 1.2, 2)</f>
        <v>34780.18</v>
      </c>
      <c r="AA386" s="9">
        <f>Y386+Z386</f>
        <v>39483.300000000003</v>
      </c>
      <c r="AD386" s="4">
        <v>311044458</v>
      </c>
      <c r="AE386" s="4">
        <v>22875072</v>
      </c>
      <c r="AG386" s="4" t="s">
        <v>1500</v>
      </c>
      <c r="AH386" s="4" t="s">
        <v>1501</v>
      </c>
      <c r="AI386" s="4" t="s">
        <v>469</v>
      </c>
    </row>
    <row r="387" spans="1:35" ht="36" x14ac:dyDescent="0.3">
      <c r="A387" s="10" t="s">
        <v>1522</v>
      </c>
      <c r="B387" s="10"/>
      <c r="C387" s="17" t="s">
        <v>1503</v>
      </c>
      <c r="D387" s="12"/>
      <c r="E387" s="12" t="s">
        <v>1523</v>
      </c>
      <c r="F387" s="18" t="s">
        <v>99</v>
      </c>
      <c r="G387" s="19">
        <v>0.3</v>
      </c>
      <c r="H387" s="19"/>
      <c r="I387" s="19">
        <v>20.478000000000002</v>
      </c>
      <c r="J387" s="20">
        <v>230.45</v>
      </c>
      <c r="M387" s="21">
        <f>ROUND(ROUND(J387, 2)*I387, 2)</f>
        <v>4719.16</v>
      </c>
      <c r="P387" s="22">
        <v>230.45</v>
      </c>
      <c r="S387" s="21">
        <f>ROUND(ROUND(P387, 2)*I387, 2)</f>
        <v>4719.16</v>
      </c>
      <c r="V387" s="9">
        <f>ROUND(ROUND(P387, 2)/1.2, 2)</f>
        <v>192.04</v>
      </c>
      <c r="Y387" s="9">
        <f t="shared" si="22"/>
        <v>3932.63</v>
      </c>
      <c r="AD387" s="4" t="s">
        <v>1524</v>
      </c>
      <c r="AE387" s="4" t="s">
        <v>1525</v>
      </c>
      <c r="AF387" s="4" t="s">
        <v>1507</v>
      </c>
    </row>
    <row r="388" spans="1:35" ht="36" x14ac:dyDescent="0.3">
      <c r="A388" s="10" t="s">
        <v>1526</v>
      </c>
      <c r="B388" s="10"/>
      <c r="C388" s="17" t="s">
        <v>1057</v>
      </c>
      <c r="D388" s="12"/>
      <c r="E388" s="12"/>
      <c r="F388" s="18" t="s">
        <v>99</v>
      </c>
      <c r="G388" s="19">
        <v>0.15</v>
      </c>
      <c r="H388" s="19"/>
      <c r="I388" s="19">
        <v>10.239000000000001</v>
      </c>
      <c r="J388" s="20">
        <v>90.28</v>
      </c>
      <c r="M388" s="21">
        <f>ROUND(ROUND(J388, 2)*I388, 2)</f>
        <v>924.38</v>
      </c>
      <c r="P388" s="22">
        <v>90.28</v>
      </c>
      <c r="S388" s="21">
        <f>ROUND(ROUND(P388, 2)*I388, 2)</f>
        <v>924.38</v>
      </c>
      <c r="V388" s="9">
        <f>ROUND(ROUND(P388, 2)/1.2, 2)</f>
        <v>75.23</v>
      </c>
      <c r="Y388" s="9">
        <f t="shared" si="22"/>
        <v>770.32</v>
      </c>
      <c r="AD388" s="4" t="s">
        <v>1527</v>
      </c>
      <c r="AE388" s="4" t="s">
        <v>1528</v>
      </c>
      <c r="AF388" s="4" t="s">
        <v>1060</v>
      </c>
    </row>
    <row r="389" spans="1:35" ht="126" x14ac:dyDescent="0.3">
      <c r="A389" s="10" t="s">
        <v>1529</v>
      </c>
      <c r="B389" s="10" t="s">
        <v>1497</v>
      </c>
      <c r="C389" s="11" t="s">
        <v>1498</v>
      </c>
      <c r="D389" s="12"/>
      <c r="E389" s="12" t="s">
        <v>1530</v>
      </c>
      <c r="F389" s="12" t="s">
        <v>58</v>
      </c>
      <c r="G389" s="13">
        <v>1</v>
      </c>
      <c r="H389" s="13"/>
      <c r="I389" s="13">
        <v>74.349999999999994</v>
      </c>
      <c r="J389" s="14">
        <f>IFERROR(ROUND(SUM(M390,M391)/I389, 2),0)</f>
        <v>82.68</v>
      </c>
      <c r="K389" s="15">
        <v>428</v>
      </c>
      <c r="L389" s="14">
        <f>J389+ROUND(K389, 2)</f>
        <v>510.68</v>
      </c>
      <c r="M389" s="14">
        <f>ROUND(J389*I389, 2)</f>
        <v>6147.26</v>
      </c>
      <c r="N389" s="14">
        <f>ROUND(I389*ROUND(K389, 2), 2)</f>
        <v>31821.8</v>
      </c>
      <c r="O389" s="14">
        <f>M389+N389</f>
        <v>37969.06</v>
      </c>
      <c r="P389" s="14">
        <f>IFERROR(ROUND(SUM(S390,S391)/I389, 2),0)</f>
        <v>82.68</v>
      </c>
      <c r="Q389" s="16">
        <v>611.42999999999995</v>
      </c>
      <c r="R389" s="14">
        <f>P389+ROUND(Q389, 2)</f>
        <v>694.1099999999999</v>
      </c>
      <c r="S389" s="14">
        <f>ROUND(P389*I389, 2)</f>
        <v>6147.26</v>
      </c>
      <c r="T389" s="14">
        <f>ROUND(I389*ROUND(Q389, 2), 2)</f>
        <v>45459.82</v>
      </c>
      <c r="U389" s="14">
        <f>S389+T389</f>
        <v>51607.08</v>
      </c>
      <c r="V389" s="9">
        <f>ROUND(P389 / 1.2, 2)</f>
        <v>68.900000000000006</v>
      </c>
      <c r="W389" s="9">
        <f>ROUND(Q389 / 1.2, 2)</f>
        <v>509.53</v>
      </c>
      <c r="X389" s="9">
        <f>ROUND(R389 / 1.2, 2)</f>
        <v>578.42999999999995</v>
      </c>
      <c r="Y389" s="9">
        <f t="shared" si="22"/>
        <v>5122.72</v>
      </c>
      <c r="Z389" s="9">
        <f>ROUND(T389 / 1.2, 2)</f>
        <v>37883.18</v>
      </c>
      <c r="AA389" s="9">
        <f>Y389+Z389</f>
        <v>43005.9</v>
      </c>
      <c r="AD389" s="4">
        <v>311044459</v>
      </c>
      <c r="AE389" s="4">
        <v>22875076</v>
      </c>
      <c r="AG389" s="4" t="s">
        <v>1500</v>
      </c>
      <c r="AH389" s="4" t="s">
        <v>1501</v>
      </c>
      <c r="AI389" s="4" t="s">
        <v>469</v>
      </c>
    </row>
    <row r="390" spans="1:35" ht="36" x14ac:dyDescent="0.3">
      <c r="A390" s="10" t="s">
        <v>1531</v>
      </c>
      <c r="B390" s="10"/>
      <c r="C390" s="17" t="s">
        <v>1057</v>
      </c>
      <c r="D390" s="12"/>
      <c r="E390" s="12"/>
      <c r="F390" s="18" t="s">
        <v>99</v>
      </c>
      <c r="G390" s="19">
        <v>0.15</v>
      </c>
      <c r="H390" s="19"/>
      <c r="I390" s="19">
        <v>11.153</v>
      </c>
      <c r="J390" s="20">
        <v>90.28</v>
      </c>
      <c r="M390" s="21">
        <f>ROUND(ROUND(J390, 2)*I390, 2)</f>
        <v>1006.89</v>
      </c>
      <c r="P390" s="22">
        <v>90.28</v>
      </c>
      <c r="S390" s="21">
        <f>ROUND(ROUND(P390, 2)*I390, 2)</f>
        <v>1006.89</v>
      </c>
      <c r="V390" s="9">
        <f>ROUND(ROUND(P390, 2)/1.2, 2)</f>
        <v>75.23</v>
      </c>
      <c r="Y390" s="9">
        <f t="shared" si="22"/>
        <v>839.08</v>
      </c>
      <c r="AD390" s="4" t="s">
        <v>1532</v>
      </c>
      <c r="AE390" s="4" t="s">
        <v>1533</v>
      </c>
      <c r="AF390" s="4" t="s">
        <v>1060</v>
      </c>
    </row>
    <row r="391" spans="1:35" ht="36" x14ac:dyDescent="0.3">
      <c r="A391" s="10" t="s">
        <v>1534</v>
      </c>
      <c r="B391" s="10"/>
      <c r="C391" s="17" t="s">
        <v>1503</v>
      </c>
      <c r="D391" s="12"/>
      <c r="E391" s="12" t="s">
        <v>1535</v>
      </c>
      <c r="F391" s="18" t="s">
        <v>99</v>
      </c>
      <c r="G391" s="19">
        <v>0.3</v>
      </c>
      <c r="H391" s="19"/>
      <c r="I391" s="19">
        <v>22.305</v>
      </c>
      <c r="J391" s="20">
        <v>230.45</v>
      </c>
      <c r="M391" s="21">
        <f>ROUND(ROUND(J391, 2)*I391, 2)</f>
        <v>5140.1899999999996</v>
      </c>
      <c r="P391" s="22">
        <v>230.45</v>
      </c>
      <c r="S391" s="21">
        <f>ROUND(ROUND(P391, 2)*I391, 2)</f>
        <v>5140.1899999999996</v>
      </c>
      <c r="V391" s="9">
        <f>ROUND(ROUND(P391, 2)/1.2, 2)</f>
        <v>192.04</v>
      </c>
      <c r="Y391" s="9">
        <f t="shared" si="22"/>
        <v>4283.49</v>
      </c>
      <c r="AD391" s="4" t="s">
        <v>1536</v>
      </c>
      <c r="AE391" s="4" t="s">
        <v>1537</v>
      </c>
      <c r="AF391" s="4" t="s">
        <v>1507</v>
      </c>
    </row>
    <row r="392" spans="1:35" ht="126" x14ac:dyDescent="0.3">
      <c r="A392" s="10" t="s">
        <v>1538</v>
      </c>
      <c r="B392" s="10" t="s">
        <v>1497</v>
      </c>
      <c r="C392" s="11" t="s">
        <v>1498</v>
      </c>
      <c r="D392" s="12"/>
      <c r="E392" s="12" t="s">
        <v>1539</v>
      </c>
      <c r="F392" s="12" t="s">
        <v>58</v>
      </c>
      <c r="G392" s="13">
        <v>1</v>
      </c>
      <c r="H392" s="13"/>
      <c r="I392" s="13">
        <v>20.82</v>
      </c>
      <c r="J392" s="14">
        <f>IFERROR(ROUND(SUM(M393,M394)/I392, 2),0)</f>
        <v>82.68</v>
      </c>
      <c r="K392" s="15">
        <v>428</v>
      </c>
      <c r="L392" s="14">
        <f>J392+ROUND(K392, 2)</f>
        <v>510.68</v>
      </c>
      <c r="M392" s="14">
        <f>ROUND(J392*I392, 2)</f>
        <v>1721.4</v>
      </c>
      <c r="N392" s="14">
        <f>ROUND(I392*ROUND(K392, 2), 2)</f>
        <v>8910.9599999999991</v>
      </c>
      <c r="O392" s="14">
        <f>M392+N392</f>
        <v>10632.359999999999</v>
      </c>
      <c r="P392" s="14">
        <f>IFERROR(ROUND(SUM(S393,S394)/I392, 2),0)</f>
        <v>82.68</v>
      </c>
      <c r="Q392" s="16">
        <v>611.42999999999995</v>
      </c>
      <c r="R392" s="14">
        <f>P392+ROUND(Q392, 2)</f>
        <v>694.1099999999999</v>
      </c>
      <c r="S392" s="14">
        <f>ROUND(P392*I392, 2)</f>
        <v>1721.4</v>
      </c>
      <c r="T392" s="14">
        <f>ROUND(I392*ROUND(Q392, 2), 2)</f>
        <v>12729.97</v>
      </c>
      <c r="U392" s="14">
        <f>S392+T392</f>
        <v>14451.369999999999</v>
      </c>
      <c r="V392" s="9">
        <f>ROUND(P392 / 1.2, 2)</f>
        <v>68.900000000000006</v>
      </c>
      <c r="W392" s="9">
        <f>ROUND(Q392 / 1.2, 2)</f>
        <v>509.53</v>
      </c>
      <c r="X392" s="9">
        <f>ROUND(R392 / 1.2, 2)</f>
        <v>578.42999999999995</v>
      </c>
      <c r="Y392" s="9">
        <f t="shared" si="22"/>
        <v>1434.5</v>
      </c>
      <c r="Z392" s="9">
        <f>ROUND(T392 / 1.2, 2)</f>
        <v>10608.31</v>
      </c>
      <c r="AA392" s="9">
        <f>Y392+Z392</f>
        <v>12042.81</v>
      </c>
      <c r="AD392" s="4">
        <v>311044460</v>
      </c>
      <c r="AE392" s="4">
        <v>22875078</v>
      </c>
      <c r="AG392" s="4" t="s">
        <v>1500</v>
      </c>
      <c r="AH392" s="4" t="s">
        <v>1501</v>
      </c>
      <c r="AI392" s="4" t="s">
        <v>469</v>
      </c>
    </row>
    <row r="393" spans="1:35" ht="36" x14ac:dyDescent="0.3">
      <c r="A393" s="10" t="s">
        <v>1540</v>
      </c>
      <c r="B393" s="10"/>
      <c r="C393" s="17" t="s">
        <v>1503</v>
      </c>
      <c r="D393" s="12"/>
      <c r="E393" s="12" t="s">
        <v>1541</v>
      </c>
      <c r="F393" s="18" t="s">
        <v>99</v>
      </c>
      <c r="G393" s="19">
        <v>0.3</v>
      </c>
      <c r="H393" s="19"/>
      <c r="I393" s="19">
        <v>6.2460000000000004</v>
      </c>
      <c r="J393" s="20">
        <v>230.45</v>
      </c>
      <c r="M393" s="21">
        <f>ROUND(ROUND(J393, 2)*I393, 2)</f>
        <v>1439.39</v>
      </c>
      <c r="P393" s="22">
        <v>230.45</v>
      </c>
      <c r="S393" s="21">
        <f>ROUND(ROUND(P393, 2)*I393, 2)</f>
        <v>1439.39</v>
      </c>
      <c r="V393" s="9">
        <f>ROUND(ROUND(P393, 2)/1.2, 2)</f>
        <v>192.04</v>
      </c>
      <c r="Y393" s="9">
        <f t="shared" si="22"/>
        <v>1199.49</v>
      </c>
      <c r="AD393" s="4" t="s">
        <v>1542</v>
      </c>
      <c r="AE393" s="4" t="s">
        <v>1543</v>
      </c>
      <c r="AF393" s="4" t="s">
        <v>1507</v>
      </c>
    </row>
    <row r="394" spans="1:35" ht="36" x14ac:dyDescent="0.3">
      <c r="A394" s="10" t="s">
        <v>1544</v>
      </c>
      <c r="B394" s="10"/>
      <c r="C394" s="17" t="s">
        <v>1057</v>
      </c>
      <c r="D394" s="12"/>
      <c r="E394" s="12"/>
      <c r="F394" s="18" t="s">
        <v>99</v>
      </c>
      <c r="G394" s="19">
        <v>0.15</v>
      </c>
      <c r="H394" s="19"/>
      <c r="I394" s="19">
        <v>3.1230000000000002</v>
      </c>
      <c r="J394" s="20">
        <v>90.28</v>
      </c>
      <c r="M394" s="21">
        <f>ROUND(ROUND(J394, 2)*I394, 2)</f>
        <v>281.94</v>
      </c>
      <c r="P394" s="22">
        <v>90.28</v>
      </c>
      <c r="S394" s="21">
        <f>ROUND(ROUND(P394, 2)*I394, 2)</f>
        <v>281.94</v>
      </c>
      <c r="V394" s="9">
        <f>ROUND(ROUND(P394, 2)/1.2, 2)</f>
        <v>75.23</v>
      </c>
      <c r="Y394" s="9">
        <f t="shared" si="22"/>
        <v>234.95</v>
      </c>
      <c r="AD394" s="4" t="s">
        <v>1545</v>
      </c>
      <c r="AE394" s="4" t="s">
        <v>1546</v>
      </c>
      <c r="AF394" s="4" t="s">
        <v>1060</v>
      </c>
    </row>
    <row r="395" spans="1:35" ht="126" x14ac:dyDescent="0.3">
      <c r="A395" s="10" t="s">
        <v>1547</v>
      </c>
      <c r="B395" s="10" t="s">
        <v>1497</v>
      </c>
      <c r="C395" s="11" t="s">
        <v>1498</v>
      </c>
      <c r="D395" s="12"/>
      <c r="E395" s="12" t="s">
        <v>1548</v>
      </c>
      <c r="F395" s="12" t="s">
        <v>58</v>
      </c>
      <c r="G395" s="13">
        <v>1</v>
      </c>
      <c r="H395" s="13"/>
      <c r="I395" s="13">
        <v>14.74</v>
      </c>
      <c r="J395" s="14">
        <f>IFERROR(ROUND(SUM(M396,M397)/I395, 2),0)</f>
        <v>82.68</v>
      </c>
      <c r="K395" s="15">
        <v>428</v>
      </c>
      <c r="L395" s="14">
        <f>J395+ROUND(K395, 2)</f>
        <v>510.68</v>
      </c>
      <c r="M395" s="14">
        <f>ROUND(J395*I395, 2)</f>
        <v>1218.7</v>
      </c>
      <c r="N395" s="14">
        <f>ROUND(I395*ROUND(K395, 2), 2)</f>
        <v>6308.72</v>
      </c>
      <c r="O395" s="14">
        <f>M395+N395</f>
        <v>7527.42</v>
      </c>
      <c r="P395" s="14">
        <f>IFERROR(ROUND(SUM(S396,S397)/I395, 2),0)</f>
        <v>82.68</v>
      </c>
      <c r="Q395" s="16">
        <v>611.42999999999995</v>
      </c>
      <c r="R395" s="14">
        <f>P395+ROUND(Q395, 2)</f>
        <v>694.1099999999999</v>
      </c>
      <c r="S395" s="14">
        <f>ROUND(P395*I395, 2)</f>
        <v>1218.7</v>
      </c>
      <c r="T395" s="14">
        <f>ROUND(I395*ROUND(Q395, 2), 2)</f>
        <v>9012.48</v>
      </c>
      <c r="U395" s="14">
        <f>S395+T395</f>
        <v>10231.18</v>
      </c>
      <c r="V395" s="9">
        <f>ROUND(P395 / 1.2, 2)</f>
        <v>68.900000000000006</v>
      </c>
      <c r="W395" s="9">
        <f>ROUND(Q395 / 1.2, 2)</f>
        <v>509.53</v>
      </c>
      <c r="X395" s="9">
        <f>ROUND(R395 / 1.2, 2)</f>
        <v>578.42999999999995</v>
      </c>
      <c r="Y395" s="9">
        <f t="shared" si="22"/>
        <v>1015.58</v>
      </c>
      <c r="Z395" s="9">
        <f>ROUND(T395 / 1.2, 2)</f>
        <v>7510.4</v>
      </c>
      <c r="AA395" s="9">
        <f>Y395+Z395</f>
        <v>8525.98</v>
      </c>
      <c r="AD395" s="4">
        <v>311044461</v>
      </c>
      <c r="AE395" s="4">
        <v>22875079</v>
      </c>
      <c r="AG395" s="4" t="s">
        <v>1500</v>
      </c>
      <c r="AH395" s="4" t="s">
        <v>1501</v>
      </c>
      <c r="AI395" s="4" t="s">
        <v>469</v>
      </c>
    </row>
    <row r="396" spans="1:35" ht="36" x14ac:dyDescent="0.3">
      <c r="A396" s="10" t="s">
        <v>1549</v>
      </c>
      <c r="B396" s="10"/>
      <c r="C396" s="17" t="s">
        <v>1057</v>
      </c>
      <c r="D396" s="12"/>
      <c r="E396" s="12"/>
      <c r="F396" s="18" t="s">
        <v>99</v>
      </c>
      <c r="G396" s="19">
        <v>0.15</v>
      </c>
      <c r="H396" s="19"/>
      <c r="I396" s="19">
        <v>2.2109999999999999</v>
      </c>
      <c r="J396" s="20">
        <v>90.28</v>
      </c>
      <c r="M396" s="21">
        <f>ROUND(ROUND(J396, 2)*I396, 2)</f>
        <v>199.61</v>
      </c>
      <c r="P396" s="22">
        <v>90.28</v>
      </c>
      <c r="S396" s="21">
        <f>ROUND(ROUND(P396, 2)*I396, 2)</f>
        <v>199.61</v>
      </c>
      <c r="V396" s="9">
        <f>ROUND(ROUND(P396, 2)/1.2, 2)</f>
        <v>75.23</v>
      </c>
      <c r="Y396" s="9">
        <f t="shared" si="22"/>
        <v>166.34</v>
      </c>
      <c r="AD396" s="4" t="s">
        <v>1550</v>
      </c>
      <c r="AE396" s="4" t="s">
        <v>1551</v>
      </c>
      <c r="AF396" s="4" t="s">
        <v>1060</v>
      </c>
    </row>
    <row r="397" spans="1:35" ht="36" x14ac:dyDescent="0.3">
      <c r="A397" s="10" t="s">
        <v>1552</v>
      </c>
      <c r="B397" s="10"/>
      <c r="C397" s="17" t="s">
        <v>1503</v>
      </c>
      <c r="D397" s="12"/>
      <c r="E397" s="12" t="s">
        <v>1553</v>
      </c>
      <c r="F397" s="18" t="s">
        <v>99</v>
      </c>
      <c r="G397" s="19">
        <v>0.3</v>
      </c>
      <c r="H397" s="19"/>
      <c r="I397" s="19">
        <v>4.4219999999999997</v>
      </c>
      <c r="J397" s="20">
        <v>230.45</v>
      </c>
      <c r="M397" s="21">
        <f>ROUND(ROUND(J397, 2)*I397, 2)</f>
        <v>1019.05</v>
      </c>
      <c r="P397" s="22">
        <v>230.45</v>
      </c>
      <c r="S397" s="21">
        <f>ROUND(ROUND(P397, 2)*I397, 2)</f>
        <v>1019.05</v>
      </c>
      <c r="V397" s="9">
        <f>ROUND(ROUND(P397, 2)/1.2, 2)</f>
        <v>192.04</v>
      </c>
      <c r="Y397" s="9">
        <f t="shared" si="22"/>
        <v>849.21</v>
      </c>
      <c r="AD397" s="4" t="s">
        <v>1554</v>
      </c>
      <c r="AE397" s="4" t="s">
        <v>1555</v>
      </c>
      <c r="AF397" s="4" t="s">
        <v>1507</v>
      </c>
    </row>
    <row r="398" spans="1:35" ht="126" x14ac:dyDescent="0.3">
      <c r="A398" s="10" t="s">
        <v>1556</v>
      </c>
      <c r="B398" s="10" t="s">
        <v>1497</v>
      </c>
      <c r="C398" s="11" t="s">
        <v>1498</v>
      </c>
      <c r="D398" s="12"/>
      <c r="E398" s="12" t="s">
        <v>1557</v>
      </c>
      <c r="F398" s="12" t="s">
        <v>58</v>
      </c>
      <c r="G398" s="13">
        <v>1</v>
      </c>
      <c r="H398" s="13"/>
      <c r="I398" s="13">
        <v>20.83</v>
      </c>
      <c r="J398" s="14">
        <f>IFERROR(ROUND(SUM(M399,M400)/I398, 2),0)</f>
        <v>82.68</v>
      </c>
      <c r="K398" s="15">
        <v>428</v>
      </c>
      <c r="L398" s="14">
        <f>J398+ROUND(K398, 2)</f>
        <v>510.68</v>
      </c>
      <c r="M398" s="14">
        <f>ROUND(J398*I398, 2)</f>
        <v>1722.22</v>
      </c>
      <c r="N398" s="14">
        <f>ROUND(I398*ROUND(K398, 2), 2)</f>
        <v>8915.24</v>
      </c>
      <c r="O398" s="14">
        <f>M398+N398</f>
        <v>10637.46</v>
      </c>
      <c r="P398" s="14">
        <f>IFERROR(ROUND(SUM(S399,S400)/I398, 2),0)</f>
        <v>82.68</v>
      </c>
      <c r="Q398" s="16">
        <v>611.42999999999995</v>
      </c>
      <c r="R398" s="14">
        <f>P398+ROUND(Q398, 2)</f>
        <v>694.1099999999999</v>
      </c>
      <c r="S398" s="14">
        <f>ROUND(P398*I398, 2)</f>
        <v>1722.22</v>
      </c>
      <c r="T398" s="14">
        <f>ROUND(I398*ROUND(Q398, 2), 2)</f>
        <v>12736.09</v>
      </c>
      <c r="U398" s="14">
        <f>S398+T398</f>
        <v>14458.31</v>
      </c>
      <c r="V398" s="9">
        <f>ROUND(P398 / 1.2, 2)</f>
        <v>68.900000000000006</v>
      </c>
      <c r="W398" s="9">
        <f>ROUND(Q398 / 1.2, 2)</f>
        <v>509.53</v>
      </c>
      <c r="X398" s="9">
        <f>ROUND(R398 / 1.2, 2)</f>
        <v>578.42999999999995</v>
      </c>
      <c r="Y398" s="9">
        <f t="shared" si="22"/>
        <v>1435.18</v>
      </c>
      <c r="Z398" s="9">
        <f>ROUND(T398 / 1.2, 2)</f>
        <v>10613.41</v>
      </c>
      <c r="AA398" s="9">
        <f>Y398+Z398</f>
        <v>12048.59</v>
      </c>
      <c r="AD398" s="4">
        <v>311044462</v>
      </c>
      <c r="AE398" s="4">
        <v>22875077</v>
      </c>
      <c r="AG398" s="4" t="s">
        <v>1500</v>
      </c>
      <c r="AH398" s="4" t="s">
        <v>1501</v>
      </c>
      <c r="AI398" s="4" t="s">
        <v>469</v>
      </c>
    </row>
    <row r="399" spans="1:35" ht="36" x14ac:dyDescent="0.3">
      <c r="A399" s="10" t="s">
        <v>1558</v>
      </c>
      <c r="B399" s="10"/>
      <c r="C399" s="17" t="s">
        <v>1503</v>
      </c>
      <c r="D399" s="12"/>
      <c r="E399" s="12"/>
      <c r="F399" s="18" t="s">
        <v>99</v>
      </c>
      <c r="G399" s="19">
        <v>0.3</v>
      </c>
      <c r="H399" s="19"/>
      <c r="I399" s="19">
        <v>6.2489999999999997</v>
      </c>
      <c r="J399" s="20">
        <v>230.45</v>
      </c>
      <c r="M399" s="21">
        <f>ROUND(ROUND(J399, 2)*I399, 2)</f>
        <v>1440.08</v>
      </c>
      <c r="P399" s="22">
        <v>230.45</v>
      </c>
      <c r="S399" s="21">
        <f>ROUND(ROUND(P399, 2)*I399, 2)</f>
        <v>1440.08</v>
      </c>
      <c r="V399" s="9">
        <f>ROUND(ROUND(P399, 2)/1.2, 2)</f>
        <v>192.04</v>
      </c>
      <c r="Y399" s="9">
        <f t="shared" si="22"/>
        <v>1200.07</v>
      </c>
      <c r="AD399" s="4" t="s">
        <v>1559</v>
      </c>
      <c r="AE399" s="4" t="s">
        <v>1560</v>
      </c>
      <c r="AF399" s="4" t="s">
        <v>1507</v>
      </c>
    </row>
    <row r="400" spans="1:35" ht="36" x14ac:dyDescent="0.3">
      <c r="A400" s="10" t="s">
        <v>1561</v>
      </c>
      <c r="B400" s="10"/>
      <c r="C400" s="17" t="s">
        <v>1057</v>
      </c>
      <c r="D400" s="12"/>
      <c r="E400" s="12" t="s">
        <v>1562</v>
      </c>
      <c r="F400" s="18" t="s">
        <v>99</v>
      </c>
      <c r="G400" s="19">
        <v>0.15</v>
      </c>
      <c r="H400" s="19"/>
      <c r="I400" s="19">
        <v>3.125</v>
      </c>
      <c r="J400" s="20">
        <v>90.28</v>
      </c>
      <c r="M400" s="21">
        <f>ROUND(ROUND(J400, 2)*I400, 2)</f>
        <v>282.13</v>
      </c>
      <c r="P400" s="22">
        <v>90.28</v>
      </c>
      <c r="S400" s="21">
        <f>ROUND(ROUND(P400, 2)*I400, 2)</f>
        <v>282.13</v>
      </c>
      <c r="V400" s="9">
        <f>ROUND(ROUND(P400, 2)/1.2, 2)</f>
        <v>75.23</v>
      </c>
      <c r="Y400" s="9">
        <f t="shared" si="22"/>
        <v>235.11</v>
      </c>
      <c r="AD400" s="4" t="s">
        <v>1563</v>
      </c>
      <c r="AE400" s="4" t="s">
        <v>1564</v>
      </c>
      <c r="AF400" s="4" t="s">
        <v>1060</v>
      </c>
    </row>
    <row r="401" spans="1:35" ht="126" x14ac:dyDescent="0.3">
      <c r="A401" s="10" t="s">
        <v>1565</v>
      </c>
      <c r="B401" s="10" t="s">
        <v>1497</v>
      </c>
      <c r="C401" s="11" t="s">
        <v>1498</v>
      </c>
      <c r="D401" s="12"/>
      <c r="E401" s="12" t="s">
        <v>1566</v>
      </c>
      <c r="F401" s="12" t="s">
        <v>58</v>
      </c>
      <c r="G401" s="13">
        <v>1</v>
      </c>
      <c r="H401" s="13"/>
      <c r="I401" s="13">
        <v>21.39</v>
      </c>
      <c r="J401" s="14">
        <f>IFERROR(ROUND(SUM(M402,M403)/I401, 2),0)</f>
        <v>82.68</v>
      </c>
      <c r="K401" s="15">
        <v>428</v>
      </c>
      <c r="L401" s="14">
        <f>J401+ROUND(K401, 2)</f>
        <v>510.68</v>
      </c>
      <c r="M401" s="14">
        <f>ROUND(J401*I401, 2)</f>
        <v>1768.53</v>
      </c>
      <c r="N401" s="14">
        <f>ROUND(I401*ROUND(K401, 2), 2)</f>
        <v>9154.92</v>
      </c>
      <c r="O401" s="14">
        <f>M401+N401</f>
        <v>10923.45</v>
      </c>
      <c r="P401" s="14">
        <f>IFERROR(ROUND(SUM(S402,S403)/I401, 2),0)</f>
        <v>82.68</v>
      </c>
      <c r="Q401" s="16">
        <v>611.42999999999995</v>
      </c>
      <c r="R401" s="14">
        <f>P401+ROUND(Q401, 2)</f>
        <v>694.1099999999999</v>
      </c>
      <c r="S401" s="14">
        <f>ROUND(P401*I401, 2)</f>
        <v>1768.53</v>
      </c>
      <c r="T401" s="14">
        <f>ROUND(I401*ROUND(Q401, 2), 2)</f>
        <v>13078.49</v>
      </c>
      <c r="U401" s="14">
        <f>S401+T401</f>
        <v>14847.02</v>
      </c>
      <c r="V401" s="9">
        <f>ROUND(P401 / 1.2, 2)</f>
        <v>68.900000000000006</v>
      </c>
      <c r="W401" s="9">
        <f>ROUND(Q401 / 1.2, 2)</f>
        <v>509.53</v>
      </c>
      <c r="X401" s="9">
        <f>ROUND(R401 / 1.2, 2)</f>
        <v>578.42999999999995</v>
      </c>
      <c r="Y401" s="9">
        <f t="shared" si="22"/>
        <v>1473.78</v>
      </c>
      <c r="Z401" s="9">
        <f>ROUND(T401 / 1.2, 2)</f>
        <v>10898.74</v>
      </c>
      <c r="AA401" s="9">
        <f>Y401+Z401</f>
        <v>12372.52</v>
      </c>
      <c r="AD401" s="4">
        <v>311044463</v>
      </c>
      <c r="AE401" s="4">
        <v>22875075</v>
      </c>
      <c r="AG401" s="4" t="s">
        <v>1500</v>
      </c>
      <c r="AH401" s="4" t="s">
        <v>1501</v>
      </c>
      <c r="AI401" s="4" t="s">
        <v>469</v>
      </c>
    </row>
    <row r="402" spans="1:35" ht="36" x14ac:dyDescent="0.3">
      <c r="A402" s="10" t="s">
        <v>1567</v>
      </c>
      <c r="B402" s="10"/>
      <c r="C402" s="17" t="s">
        <v>1057</v>
      </c>
      <c r="D402" s="12"/>
      <c r="E402" s="12"/>
      <c r="F402" s="18" t="s">
        <v>99</v>
      </c>
      <c r="G402" s="19">
        <v>0.15</v>
      </c>
      <c r="H402" s="19"/>
      <c r="I402" s="19">
        <v>3.2090000000000001</v>
      </c>
      <c r="J402" s="20">
        <v>90.28</v>
      </c>
      <c r="M402" s="21">
        <f>ROUND(ROUND(J402, 2)*I402, 2)</f>
        <v>289.70999999999998</v>
      </c>
      <c r="P402" s="22">
        <v>90.28</v>
      </c>
      <c r="S402" s="21">
        <f>ROUND(ROUND(P402, 2)*I402, 2)</f>
        <v>289.70999999999998</v>
      </c>
      <c r="V402" s="9">
        <f>ROUND(ROUND(P402, 2)/1.2, 2)</f>
        <v>75.23</v>
      </c>
      <c r="Y402" s="9">
        <f t="shared" si="22"/>
        <v>241.43</v>
      </c>
      <c r="AD402" s="4" t="s">
        <v>1568</v>
      </c>
      <c r="AE402" s="4" t="s">
        <v>1569</v>
      </c>
      <c r="AF402" s="4" t="s">
        <v>1060</v>
      </c>
    </row>
    <row r="403" spans="1:35" ht="36" x14ac:dyDescent="0.3">
      <c r="A403" s="10" t="s">
        <v>1570</v>
      </c>
      <c r="B403" s="10"/>
      <c r="C403" s="17" t="s">
        <v>1503</v>
      </c>
      <c r="D403" s="12"/>
      <c r="E403" s="12" t="s">
        <v>1571</v>
      </c>
      <c r="F403" s="18" t="s">
        <v>99</v>
      </c>
      <c r="G403" s="19">
        <v>0.3</v>
      </c>
      <c r="H403" s="19"/>
      <c r="I403" s="19">
        <v>6.4169999999999998</v>
      </c>
      <c r="J403" s="20">
        <v>230.45</v>
      </c>
      <c r="M403" s="21">
        <f>ROUND(ROUND(J403, 2)*I403, 2)</f>
        <v>1478.8</v>
      </c>
      <c r="P403" s="22">
        <v>230.45</v>
      </c>
      <c r="S403" s="21">
        <f>ROUND(ROUND(P403, 2)*I403, 2)</f>
        <v>1478.8</v>
      </c>
      <c r="V403" s="9">
        <f>ROUND(ROUND(P403, 2)/1.2, 2)</f>
        <v>192.04</v>
      </c>
      <c r="Y403" s="9">
        <f t="shared" si="22"/>
        <v>1232.33</v>
      </c>
      <c r="AD403" s="4" t="s">
        <v>1572</v>
      </c>
      <c r="AE403" s="4" t="s">
        <v>1573</v>
      </c>
      <c r="AF403" s="4" t="s">
        <v>1507</v>
      </c>
    </row>
    <row r="404" spans="1:35" ht="126" x14ac:dyDescent="0.3">
      <c r="A404" s="10" t="s">
        <v>1574</v>
      </c>
      <c r="B404" s="10" t="s">
        <v>1497</v>
      </c>
      <c r="C404" s="11" t="s">
        <v>1498</v>
      </c>
      <c r="D404" s="12"/>
      <c r="E404" s="12" t="s">
        <v>1575</v>
      </c>
      <c r="F404" s="12" t="s">
        <v>58</v>
      </c>
      <c r="G404" s="13">
        <v>1</v>
      </c>
      <c r="H404" s="13"/>
      <c r="I404" s="13">
        <v>244.31</v>
      </c>
      <c r="J404" s="14">
        <f>IFERROR(ROUND(SUM(M405,M406)/I404, 2),0)</f>
        <v>82.68</v>
      </c>
      <c r="K404" s="15">
        <v>428</v>
      </c>
      <c r="L404" s="14">
        <f>J404+ROUND(K404, 2)</f>
        <v>510.68</v>
      </c>
      <c r="M404" s="14">
        <f>ROUND(J404*I404, 2)</f>
        <v>20199.55</v>
      </c>
      <c r="N404" s="14">
        <f>ROUND(I404*ROUND(K404, 2), 2)</f>
        <v>104564.68</v>
      </c>
      <c r="O404" s="14">
        <f>M404+N404</f>
        <v>124764.23</v>
      </c>
      <c r="P404" s="14">
        <f>IFERROR(ROUND(SUM(S405,S406)/I404, 2),0)</f>
        <v>82.68</v>
      </c>
      <c r="Q404" s="16">
        <v>611.42999999999995</v>
      </c>
      <c r="R404" s="14">
        <f>P404+ROUND(Q404, 2)</f>
        <v>694.1099999999999</v>
      </c>
      <c r="S404" s="14">
        <f>ROUND(P404*I404, 2)</f>
        <v>20199.55</v>
      </c>
      <c r="T404" s="14">
        <f>ROUND(I404*ROUND(Q404, 2), 2)</f>
        <v>149378.46</v>
      </c>
      <c r="U404" s="14">
        <f>S404+T404</f>
        <v>169578.00999999998</v>
      </c>
      <c r="V404" s="9">
        <f>ROUND(P404 / 1.2, 2)</f>
        <v>68.900000000000006</v>
      </c>
      <c r="W404" s="9">
        <f>ROUND(Q404 / 1.2, 2)</f>
        <v>509.53</v>
      </c>
      <c r="X404" s="9">
        <f>ROUND(R404 / 1.2, 2)</f>
        <v>578.42999999999995</v>
      </c>
      <c r="Y404" s="9">
        <f t="shared" si="22"/>
        <v>16832.96</v>
      </c>
      <c r="Z404" s="9">
        <f>ROUND(T404 / 1.2, 2)</f>
        <v>124482.05</v>
      </c>
      <c r="AA404" s="9">
        <f>Y404+Z404</f>
        <v>141315.01</v>
      </c>
      <c r="AD404" s="4">
        <v>311044464</v>
      </c>
      <c r="AE404" s="4">
        <v>22875081</v>
      </c>
      <c r="AG404" s="4" t="s">
        <v>1500</v>
      </c>
      <c r="AH404" s="4" t="s">
        <v>1501</v>
      </c>
      <c r="AI404" s="4" t="s">
        <v>469</v>
      </c>
    </row>
    <row r="405" spans="1:35" ht="36" x14ac:dyDescent="0.3">
      <c r="A405" s="10" t="s">
        <v>1576</v>
      </c>
      <c r="B405" s="10"/>
      <c r="C405" s="17" t="s">
        <v>1503</v>
      </c>
      <c r="D405" s="12"/>
      <c r="E405" s="12" t="s">
        <v>1577</v>
      </c>
      <c r="F405" s="18" t="s">
        <v>99</v>
      </c>
      <c r="G405" s="19">
        <v>0.3</v>
      </c>
      <c r="H405" s="19"/>
      <c r="I405" s="19">
        <v>73.293000000000006</v>
      </c>
      <c r="J405" s="20">
        <v>230.45</v>
      </c>
      <c r="M405" s="21">
        <f>ROUND(ROUND(J405, 2)*I405, 2)</f>
        <v>16890.37</v>
      </c>
      <c r="P405" s="22">
        <v>230.45</v>
      </c>
      <c r="S405" s="21">
        <f>ROUND(ROUND(P405, 2)*I405, 2)</f>
        <v>16890.37</v>
      </c>
      <c r="V405" s="9">
        <f>ROUND(ROUND(P405, 2)/1.2, 2)</f>
        <v>192.04</v>
      </c>
      <c r="Y405" s="9">
        <f t="shared" si="22"/>
        <v>14075.31</v>
      </c>
      <c r="AD405" s="4" t="s">
        <v>1578</v>
      </c>
      <c r="AE405" s="4" t="s">
        <v>1579</v>
      </c>
      <c r="AF405" s="4" t="s">
        <v>1507</v>
      </c>
    </row>
    <row r="406" spans="1:35" ht="36" x14ac:dyDescent="0.3">
      <c r="A406" s="10" t="s">
        <v>1580</v>
      </c>
      <c r="B406" s="10"/>
      <c r="C406" s="17" t="s">
        <v>1057</v>
      </c>
      <c r="D406" s="12"/>
      <c r="E406" s="12"/>
      <c r="F406" s="18" t="s">
        <v>99</v>
      </c>
      <c r="G406" s="19">
        <v>0.15</v>
      </c>
      <c r="H406" s="19"/>
      <c r="I406" s="19">
        <v>36.646999999999998</v>
      </c>
      <c r="J406" s="20">
        <v>90.28</v>
      </c>
      <c r="M406" s="21">
        <f>ROUND(ROUND(J406, 2)*I406, 2)</f>
        <v>3308.49</v>
      </c>
      <c r="P406" s="22">
        <v>90.28</v>
      </c>
      <c r="S406" s="21">
        <f>ROUND(ROUND(P406, 2)*I406, 2)</f>
        <v>3308.49</v>
      </c>
      <c r="V406" s="9">
        <f>ROUND(ROUND(P406, 2)/1.2, 2)</f>
        <v>75.23</v>
      </c>
      <c r="Y406" s="9">
        <f t="shared" si="22"/>
        <v>2757.08</v>
      </c>
      <c r="AD406" s="4" t="s">
        <v>1581</v>
      </c>
      <c r="AE406" s="4" t="s">
        <v>1582</v>
      </c>
      <c r="AF406" s="4" t="s">
        <v>1060</v>
      </c>
    </row>
    <row r="407" spans="1:35" ht="126" x14ac:dyDescent="0.3">
      <c r="A407" s="10" t="s">
        <v>1583</v>
      </c>
      <c r="B407" s="10" t="s">
        <v>1497</v>
      </c>
      <c r="C407" s="11" t="s">
        <v>1498</v>
      </c>
      <c r="D407" s="12"/>
      <c r="E407" s="12" t="s">
        <v>1584</v>
      </c>
      <c r="F407" s="12" t="s">
        <v>58</v>
      </c>
      <c r="G407" s="13">
        <v>1</v>
      </c>
      <c r="H407" s="13"/>
      <c r="I407" s="13">
        <v>739.93</v>
      </c>
      <c r="J407" s="14">
        <f>IFERROR(ROUND(SUM(M408,M409)/I407, 2),0)</f>
        <v>82.68</v>
      </c>
      <c r="K407" s="15">
        <v>428</v>
      </c>
      <c r="L407" s="14">
        <f>J407+ROUND(K407, 2)</f>
        <v>510.68</v>
      </c>
      <c r="M407" s="14">
        <f>ROUND(J407*I407, 2)</f>
        <v>61177.41</v>
      </c>
      <c r="N407" s="14">
        <f>ROUND(I407*ROUND(K407, 2), 2)</f>
        <v>316690.03999999998</v>
      </c>
      <c r="O407" s="14">
        <f>M407+N407</f>
        <v>377867.44999999995</v>
      </c>
      <c r="P407" s="14">
        <f>IFERROR(ROUND(SUM(S408,S409)/I407, 2),0)</f>
        <v>82.68</v>
      </c>
      <c r="Q407" s="16">
        <v>611.42999999999995</v>
      </c>
      <c r="R407" s="14">
        <f>P407+ROUND(Q407, 2)</f>
        <v>694.1099999999999</v>
      </c>
      <c r="S407" s="14">
        <f>ROUND(P407*I407, 2)</f>
        <v>61177.41</v>
      </c>
      <c r="T407" s="14">
        <f>ROUND(I407*ROUND(Q407, 2), 2)</f>
        <v>452415.4</v>
      </c>
      <c r="U407" s="14">
        <f>S407+T407</f>
        <v>513592.81000000006</v>
      </c>
      <c r="V407" s="9">
        <f>ROUND(P407 / 1.2, 2)</f>
        <v>68.900000000000006</v>
      </c>
      <c r="W407" s="9">
        <f>ROUND(Q407 / 1.2, 2)</f>
        <v>509.53</v>
      </c>
      <c r="X407" s="9">
        <f>ROUND(R407 / 1.2, 2)</f>
        <v>578.42999999999995</v>
      </c>
      <c r="Y407" s="9">
        <f t="shared" si="22"/>
        <v>50981.18</v>
      </c>
      <c r="Z407" s="9">
        <f>ROUND(T407 / 1.2, 2)</f>
        <v>377012.83</v>
      </c>
      <c r="AA407" s="9">
        <f>Y407+Z407</f>
        <v>427994.01</v>
      </c>
      <c r="AD407" s="4">
        <v>311044465</v>
      </c>
      <c r="AE407" s="4">
        <v>22875074</v>
      </c>
      <c r="AG407" s="4" t="s">
        <v>1500</v>
      </c>
      <c r="AH407" s="4" t="s">
        <v>1501</v>
      </c>
      <c r="AI407" s="4" t="s">
        <v>469</v>
      </c>
    </row>
    <row r="408" spans="1:35" ht="36" x14ac:dyDescent="0.3">
      <c r="A408" s="10" t="s">
        <v>1585</v>
      </c>
      <c r="B408" s="10"/>
      <c r="C408" s="17" t="s">
        <v>1057</v>
      </c>
      <c r="D408" s="12"/>
      <c r="E408" s="12"/>
      <c r="F408" s="18" t="s">
        <v>99</v>
      </c>
      <c r="G408" s="19">
        <v>0.15</v>
      </c>
      <c r="H408" s="19"/>
      <c r="I408" s="19">
        <v>110.99</v>
      </c>
      <c r="J408" s="20">
        <v>90.28</v>
      </c>
      <c r="M408" s="21">
        <f>ROUND(ROUND(J408, 2)*I408, 2)</f>
        <v>10020.18</v>
      </c>
      <c r="P408" s="22">
        <v>90.28</v>
      </c>
      <c r="S408" s="21">
        <f>ROUND(ROUND(P408, 2)*I408, 2)</f>
        <v>10020.18</v>
      </c>
      <c r="V408" s="9">
        <f>ROUND(ROUND(P408, 2)/1.2, 2)</f>
        <v>75.23</v>
      </c>
      <c r="Y408" s="9">
        <f t="shared" si="22"/>
        <v>8350.15</v>
      </c>
      <c r="AD408" s="4" t="s">
        <v>1586</v>
      </c>
      <c r="AE408" s="4" t="s">
        <v>1587</v>
      </c>
      <c r="AF408" s="4" t="s">
        <v>1060</v>
      </c>
    </row>
    <row r="409" spans="1:35" ht="36" x14ac:dyDescent="0.3">
      <c r="A409" s="10" t="s">
        <v>1588</v>
      </c>
      <c r="B409" s="10"/>
      <c r="C409" s="17" t="s">
        <v>1503</v>
      </c>
      <c r="D409" s="12"/>
      <c r="E409" s="12" t="s">
        <v>1589</v>
      </c>
      <c r="F409" s="18" t="s">
        <v>99</v>
      </c>
      <c r="G409" s="19">
        <v>0.3</v>
      </c>
      <c r="H409" s="19"/>
      <c r="I409" s="19">
        <v>221.97900000000001</v>
      </c>
      <c r="J409" s="20">
        <v>230.45</v>
      </c>
      <c r="M409" s="21">
        <f>ROUND(ROUND(J409, 2)*I409, 2)</f>
        <v>51155.06</v>
      </c>
      <c r="P409" s="22">
        <v>230.45</v>
      </c>
      <c r="S409" s="21">
        <f>ROUND(ROUND(P409, 2)*I409, 2)</f>
        <v>51155.06</v>
      </c>
      <c r="V409" s="9">
        <f>ROUND(ROUND(P409, 2)/1.2, 2)</f>
        <v>192.04</v>
      </c>
      <c r="Y409" s="9">
        <f t="shared" si="22"/>
        <v>42629.22</v>
      </c>
      <c r="AD409" s="4" t="s">
        <v>1590</v>
      </c>
      <c r="AE409" s="4" t="s">
        <v>1591</v>
      </c>
      <c r="AF409" s="4" t="s">
        <v>1507</v>
      </c>
    </row>
    <row r="410" spans="1:35" ht="126" x14ac:dyDescent="0.3">
      <c r="A410" s="10" t="s">
        <v>1592</v>
      </c>
      <c r="B410" s="10" t="s">
        <v>1497</v>
      </c>
      <c r="C410" s="11" t="s">
        <v>1498</v>
      </c>
      <c r="D410" s="12"/>
      <c r="E410" s="12" t="s">
        <v>1593</v>
      </c>
      <c r="F410" s="12" t="s">
        <v>58</v>
      </c>
      <c r="G410" s="13">
        <v>1</v>
      </c>
      <c r="H410" s="13"/>
      <c r="I410" s="13">
        <v>5455.35</v>
      </c>
      <c r="J410" s="14">
        <f>IFERROR(ROUND(SUM(M411,M412)/I410, 2),0)</f>
        <v>82.68</v>
      </c>
      <c r="K410" s="15">
        <v>428</v>
      </c>
      <c r="L410" s="14">
        <f>J410+ROUND(K410, 2)</f>
        <v>510.68</v>
      </c>
      <c r="M410" s="14">
        <f>ROUND(J410*I410, 2)</f>
        <v>451048.34</v>
      </c>
      <c r="N410" s="14">
        <f>ROUND(I410*ROUND(K410, 2), 2)</f>
        <v>2334889.7999999998</v>
      </c>
      <c r="O410" s="14">
        <f>M410+N410</f>
        <v>2785938.1399999997</v>
      </c>
      <c r="P410" s="14">
        <f>IFERROR(ROUND(SUM(S411,S412)/I410, 2),0)</f>
        <v>82.68</v>
      </c>
      <c r="Q410" s="16">
        <v>611.42999999999995</v>
      </c>
      <c r="R410" s="14">
        <f>P410+ROUND(Q410, 2)</f>
        <v>694.1099999999999</v>
      </c>
      <c r="S410" s="14">
        <f>ROUND(P410*I410, 2)</f>
        <v>451048.34</v>
      </c>
      <c r="T410" s="14">
        <f>ROUND(I410*ROUND(Q410, 2), 2)</f>
        <v>3335564.65</v>
      </c>
      <c r="U410" s="14">
        <f>S410+T410</f>
        <v>3786612.9899999998</v>
      </c>
      <c r="V410" s="9">
        <f>ROUND(P410 / 1.2, 2)</f>
        <v>68.900000000000006</v>
      </c>
      <c r="W410" s="9">
        <f>ROUND(Q410 / 1.2, 2)</f>
        <v>509.53</v>
      </c>
      <c r="X410" s="9">
        <f>ROUND(R410 / 1.2, 2)</f>
        <v>578.42999999999995</v>
      </c>
      <c r="Y410" s="9">
        <f t="shared" si="22"/>
        <v>375873.62</v>
      </c>
      <c r="Z410" s="9">
        <f>ROUND(T410 / 1.2, 2)</f>
        <v>2779637.21</v>
      </c>
      <c r="AA410" s="9">
        <f>Y410+Z410</f>
        <v>3155510.83</v>
      </c>
      <c r="AD410" s="4">
        <v>311044466</v>
      </c>
      <c r="AE410" s="4">
        <v>22875082</v>
      </c>
      <c r="AG410" s="4" t="s">
        <v>1500</v>
      </c>
      <c r="AH410" s="4" t="s">
        <v>1501</v>
      </c>
      <c r="AI410" s="4" t="s">
        <v>469</v>
      </c>
    </row>
    <row r="411" spans="1:35" ht="36" x14ac:dyDescent="0.3">
      <c r="A411" s="10" t="s">
        <v>1594</v>
      </c>
      <c r="B411" s="10"/>
      <c r="C411" s="17" t="s">
        <v>1503</v>
      </c>
      <c r="D411" s="12"/>
      <c r="E411" s="12" t="s">
        <v>1504</v>
      </c>
      <c r="F411" s="18" t="s">
        <v>99</v>
      </c>
      <c r="G411" s="19">
        <v>0.3</v>
      </c>
      <c r="H411" s="19"/>
      <c r="I411" s="19">
        <v>1636.605</v>
      </c>
      <c r="J411" s="20">
        <v>230.45</v>
      </c>
      <c r="M411" s="21">
        <f>ROUND(ROUND(J411, 2)*I411, 2)</f>
        <v>377155.62</v>
      </c>
      <c r="P411" s="22">
        <v>230.45</v>
      </c>
      <c r="S411" s="21">
        <f>ROUND(ROUND(P411, 2)*I411, 2)</f>
        <v>377155.62</v>
      </c>
      <c r="V411" s="9">
        <f>ROUND(ROUND(P411, 2)/1.2, 2)</f>
        <v>192.04</v>
      </c>
      <c r="Y411" s="9">
        <f t="shared" si="22"/>
        <v>314296.34999999998</v>
      </c>
      <c r="AD411" s="4" t="s">
        <v>1595</v>
      </c>
      <c r="AE411" s="4" t="s">
        <v>1596</v>
      </c>
      <c r="AF411" s="4" t="s">
        <v>1507</v>
      </c>
    </row>
    <row r="412" spans="1:35" ht="36" x14ac:dyDescent="0.3">
      <c r="A412" s="10" t="s">
        <v>1597</v>
      </c>
      <c r="B412" s="10"/>
      <c r="C412" s="17" t="s">
        <v>1057</v>
      </c>
      <c r="D412" s="12"/>
      <c r="E412" s="12"/>
      <c r="F412" s="18" t="s">
        <v>99</v>
      </c>
      <c r="G412" s="19">
        <v>0.15</v>
      </c>
      <c r="H412" s="19"/>
      <c r="I412" s="19">
        <v>818.303</v>
      </c>
      <c r="J412" s="20">
        <v>90.28</v>
      </c>
      <c r="M412" s="21">
        <f>ROUND(ROUND(J412, 2)*I412, 2)</f>
        <v>73876.39</v>
      </c>
      <c r="P412" s="22">
        <v>90.28</v>
      </c>
      <c r="S412" s="21">
        <f>ROUND(ROUND(P412, 2)*I412, 2)</f>
        <v>73876.39</v>
      </c>
      <c r="V412" s="9">
        <f>ROUND(ROUND(P412, 2)/1.2, 2)</f>
        <v>75.23</v>
      </c>
      <c r="Y412" s="9">
        <f t="shared" si="22"/>
        <v>61563.66</v>
      </c>
      <c r="AD412" s="4" t="s">
        <v>1598</v>
      </c>
      <c r="AE412" s="4" t="s">
        <v>1599</v>
      </c>
      <c r="AF412" s="4" t="s">
        <v>1060</v>
      </c>
    </row>
    <row r="413" spans="1:35" ht="126" x14ac:dyDescent="0.3">
      <c r="A413" s="10" t="s">
        <v>1600</v>
      </c>
      <c r="B413" s="10" t="s">
        <v>1497</v>
      </c>
      <c r="C413" s="11" t="s">
        <v>1498</v>
      </c>
      <c r="D413" s="12"/>
      <c r="E413" s="12" t="s">
        <v>1601</v>
      </c>
      <c r="F413" s="12" t="s">
        <v>58</v>
      </c>
      <c r="G413" s="13">
        <v>1</v>
      </c>
      <c r="H413" s="13"/>
      <c r="I413" s="13">
        <v>63.04</v>
      </c>
      <c r="J413" s="14">
        <f>IFERROR(ROUND(SUM(M414,M415)/I413, 2),0)</f>
        <v>82.68</v>
      </c>
      <c r="K413" s="15">
        <v>428</v>
      </c>
      <c r="L413" s="14">
        <f>J413+ROUND(K413, 2)</f>
        <v>510.68</v>
      </c>
      <c r="M413" s="14">
        <f>ROUND(J413*I413, 2)</f>
        <v>5212.1499999999996</v>
      </c>
      <c r="N413" s="14">
        <f>ROUND(I413*ROUND(K413, 2), 2)</f>
        <v>26981.119999999999</v>
      </c>
      <c r="O413" s="14">
        <f>M413+N413</f>
        <v>32193.269999999997</v>
      </c>
      <c r="P413" s="14">
        <f>IFERROR(ROUND(SUM(S414,S415)/I413, 2),0)</f>
        <v>82.68</v>
      </c>
      <c r="Q413" s="16">
        <v>611.42999999999995</v>
      </c>
      <c r="R413" s="14">
        <f>P413+ROUND(Q413, 2)</f>
        <v>694.1099999999999</v>
      </c>
      <c r="S413" s="14">
        <f>ROUND(P413*I413, 2)</f>
        <v>5212.1499999999996</v>
      </c>
      <c r="T413" s="14">
        <f>ROUND(I413*ROUND(Q413, 2), 2)</f>
        <v>38544.550000000003</v>
      </c>
      <c r="U413" s="14">
        <f>S413+T413</f>
        <v>43756.700000000004</v>
      </c>
      <c r="V413" s="9">
        <f>ROUND(P413 / 1.2, 2)</f>
        <v>68.900000000000006</v>
      </c>
      <c r="W413" s="9">
        <f>ROUND(Q413 / 1.2, 2)</f>
        <v>509.53</v>
      </c>
      <c r="X413" s="9">
        <f>ROUND(R413 / 1.2, 2)</f>
        <v>578.42999999999995</v>
      </c>
      <c r="Y413" s="9">
        <f t="shared" si="22"/>
        <v>4343.46</v>
      </c>
      <c r="Z413" s="9">
        <f>ROUND(T413 / 1.2, 2)</f>
        <v>32120.46</v>
      </c>
      <c r="AA413" s="9">
        <f>Y413+Z413</f>
        <v>36463.919999999998</v>
      </c>
      <c r="AD413" s="4">
        <v>311044467</v>
      </c>
      <c r="AE413" s="4">
        <v>22875336</v>
      </c>
      <c r="AG413" s="4" t="s">
        <v>1500</v>
      </c>
      <c r="AH413" s="4" t="s">
        <v>1501</v>
      </c>
      <c r="AI413" s="4" t="s">
        <v>469</v>
      </c>
    </row>
    <row r="414" spans="1:35" ht="36" x14ac:dyDescent="0.3">
      <c r="A414" s="10" t="s">
        <v>1602</v>
      </c>
      <c r="B414" s="10"/>
      <c r="C414" s="17" t="s">
        <v>1057</v>
      </c>
      <c r="D414" s="12"/>
      <c r="E414" s="12"/>
      <c r="F414" s="18" t="s">
        <v>99</v>
      </c>
      <c r="G414" s="19">
        <v>0.15</v>
      </c>
      <c r="H414" s="19"/>
      <c r="I414" s="19">
        <v>9.4559999999999995</v>
      </c>
      <c r="J414" s="20">
        <v>90.28</v>
      </c>
      <c r="M414" s="21">
        <f>ROUND(ROUND(J414, 2)*I414, 2)</f>
        <v>853.69</v>
      </c>
      <c r="P414" s="22">
        <v>90.28</v>
      </c>
      <c r="S414" s="21">
        <f>ROUND(ROUND(P414, 2)*I414, 2)</f>
        <v>853.69</v>
      </c>
      <c r="V414" s="9">
        <f>ROUND(ROUND(P414, 2)/1.2, 2)</f>
        <v>75.23</v>
      </c>
      <c r="Y414" s="9">
        <f t="shared" si="22"/>
        <v>711.41</v>
      </c>
      <c r="AD414" s="4" t="s">
        <v>1603</v>
      </c>
      <c r="AE414" s="4" t="s">
        <v>1604</v>
      </c>
      <c r="AF414" s="4" t="s">
        <v>1060</v>
      </c>
    </row>
    <row r="415" spans="1:35" ht="36" x14ac:dyDescent="0.3">
      <c r="A415" s="10" t="s">
        <v>1605</v>
      </c>
      <c r="B415" s="10"/>
      <c r="C415" s="17" t="s">
        <v>1503</v>
      </c>
      <c r="D415" s="12"/>
      <c r="E415" s="12" t="s">
        <v>1606</v>
      </c>
      <c r="F415" s="18" t="s">
        <v>99</v>
      </c>
      <c r="G415" s="19">
        <v>0.3</v>
      </c>
      <c r="H415" s="19"/>
      <c r="I415" s="19">
        <v>18.911999999999999</v>
      </c>
      <c r="J415" s="20">
        <v>230.45</v>
      </c>
      <c r="M415" s="21">
        <f>ROUND(ROUND(J415, 2)*I415, 2)</f>
        <v>4358.2700000000004</v>
      </c>
      <c r="P415" s="22">
        <v>230.45</v>
      </c>
      <c r="S415" s="21">
        <f>ROUND(ROUND(P415, 2)*I415, 2)</f>
        <v>4358.2700000000004</v>
      </c>
      <c r="V415" s="9">
        <f>ROUND(ROUND(P415, 2)/1.2, 2)</f>
        <v>192.04</v>
      </c>
      <c r="Y415" s="9">
        <f t="shared" si="22"/>
        <v>3631.89</v>
      </c>
      <c r="AD415" s="4" t="s">
        <v>1607</v>
      </c>
      <c r="AE415" s="4" t="s">
        <v>1608</v>
      </c>
      <c r="AF415" s="4" t="s">
        <v>1507</v>
      </c>
    </row>
    <row r="416" spans="1:35" ht="126" x14ac:dyDescent="0.3">
      <c r="A416" s="10" t="s">
        <v>1609</v>
      </c>
      <c r="B416" s="10" t="s">
        <v>1497</v>
      </c>
      <c r="C416" s="11" t="s">
        <v>1498</v>
      </c>
      <c r="D416" s="12"/>
      <c r="E416" s="12" t="s">
        <v>1610</v>
      </c>
      <c r="F416" s="12" t="s">
        <v>58</v>
      </c>
      <c r="G416" s="13">
        <v>1</v>
      </c>
      <c r="H416" s="13"/>
      <c r="I416" s="13">
        <v>138.31</v>
      </c>
      <c r="J416" s="14">
        <f>IFERROR(ROUND(SUM(M417,M418)/I416, 2),0)</f>
        <v>82.68</v>
      </c>
      <c r="K416" s="15">
        <v>428</v>
      </c>
      <c r="L416" s="14">
        <f>J416+ROUND(K416, 2)</f>
        <v>510.68</v>
      </c>
      <c r="M416" s="14">
        <f>ROUND(J416*I416, 2)</f>
        <v>11435.47</v>
      </c>
      <c r="N416" s="14">
        <f>ROUND(I416*ROUND(K416, 2), 2)</f>
        <v>59196.68</v>
      </c>
      <c r="O416" s="14">
        <f>M416+N416</f>
        <v>70632.149999999994</v>
      </c>
      <c r="P416" s="14">
        <f>IFERROR(ROUND(SUM(S417,S418)/I416, 2),0)</f>
        <v>82.68</v>
      </c>
      <c r="Q416" s="16">
        <v>611.42999999999995</v>
      </c>
      <c r="R416" s="14">
        <f>P416+ROUND(Q416, 2)</f>
        <v>694.1099999999999</v>
      </c>
      <c r="S416" s="14">
        <f>ROUND(P416*I416, 2)</f>
        <v>11435.47</v>
      </c>
      <c r="T416" s="14">
        <f>ROUND(I416*ROUND(Q416, 2), 2)</f>
        <v>84566.88</v>
      </c>
      <c r="U416" s="14">
        <f>S416+T416</f>
        <v>96002.35</v>
      </c>
      <c r="V416" s="9">
        <f>ROUND(P416 / 1.2, 2)</f>
        <v>68.900000000000006</v>
      </c>
      <c r="W416" s="9">
        <f>ROUND(Q416 / 1.2, 2)</f>
        <v>509.53</v>
      </c>
      <c r="X416" s="9">
        <f>ROUND(R416 / 1.2, 2)</f>
        <v>578.42999999999995</v>
      </c>
      <c r="Y416" s="9">
        <f t="shared" si="22"/>
        <v>9529.56</v>
      </c>
      <c r="Z416" s="9">
        <f>ROUND(T416 / 1.2, 2)</f>
        <v>70472.399999999994</v>
      </c>
      <c r="AA416" s="9">
        <f>Y416+Z416</f>
        <v>80001.959999999992</v>
      </c>
      <c r="AD416" s="4">
        <v>311044468</v>
      </c>
      <c r="AE416" s="4">
        <v>22875335</v>
      </c>
      <c r="AG416" s="4" t="s">
        <v>1500</v>
      </c>
      <c r="AH416" s="4" t="s">
        <v>1501</v>
      </c>
      <c r="AI416" s="4" t="s">
        <v>469</v>
      </c>
    </row>
    <row r="417" spans="1:35" ht="36" x14ac:dyDescent="0.3">
      <c r="A417" s="10" t="s">
        <v>1611</v>
      </c>
      <c r="B417" s="10"/>
      <c r="C417" s="17" t="s">
        <v>1503</v>
      </c>
      <c r="D417" s="12"/>
      <c r="E417" s="12"/>
      <c r="F417" s="18" t="s">
        <v>99</v>
      </c>
      <c r="G417" s="19">
        <v>0.3</v>
      </c>
      <c r="H417" s="19"/>
      <c r="I417" s="19">
        <v>41.493000000000002</v>
      </c>
      <c r="J417" s="20">
        <v>230.45</v>
      </c>
      <c r="M417" s="21">
        <f>ROUND(ROUND(J417, 2)*I417, 2)</f>
        <v>9562.06</v>
      </c>
      <c r="P417" s="22">
        <v>230.45</v>
      </c>
      <c r="S417" s="21">
        <f>ROUND(ROUND(P417, 2)*I417, 2)</f>
        <v>9562.06</v>
      </c>
      <c r="V417" s="9">
        <f>ROUND(ROUND(P417, 2)/1.2, 2)</f>
        <v>192.04</v>
      </c>
      <c r="Y417" s="9">
        <f t="shared" si="22"/>
        <v>7968.38</v>
      </c>
      <c r="AD417" s="4" t="s">
        <v>1612</v>
      </c>
      <c r="AE417" s="4" t="s">
        <v>1613</v>
      </c>
      <c r="AF417" s="4" t="s">
        <v>1507</v>
      </c>
    </row>
    <row r="418" spans="1:35" ht="36" x14ac:dyDescent="0.3">
      <c r="A418" s="10" t="s">
        <v>1614</v>
      </c>
      <c r="B418" s="10"/>
      <c r="C418" s="17" t="s">
        <v>1057</v>
      </c>
      <c r="D418" s="12"/>
      <c r="E418" s="12" t="s">
        <v>1504</v>
      </c>
      <c r="F418" s="18" t="s">
        <v>99</v>
      </c>
      <c r="G418" s="19">
        <v>0.15</v>
      </c>
      <c r="H418" s="19"/>
      <c r="I418" s="19">
        <v>20.747</v>
      </c>
      <c r="J418" s="20">
        <v>90.28</v>
      </c>
      <c r="M418" s="21">
        <f>ROUND(ROUND(J418, 2)*I418, 2)</f>
        <v>1873.04</v>
      </c>
      <c r="P418" s="22">
        <v>90.28</v>
      </c>
      <c r="S418" s="21">
        <f>ROUND(ROUND(P418, 2)*I418, 2)</f>
        <v>1873.04</v>
      </c>
      <c r="V418" s="9">
        <f>ROUND(ROUND(P418, 2)/1.2, 2)</f>
        <v>75.23</v>
      </c>
      <c r="Y418" s="9">
        <f t="shared" si="22"/>
        <v>1560.87</v>
      </c>
      <c r="AD418" s="4" t="s">
        <v>1615</v>
      </c>
      <c r="AE418" s="4" t="s">
        <v>1616</v>
      </c>
      <c r="AF418" s="4" t="s">
        <v>1060</v>
      </c>
    </row>
    <row r="419" spans="1:35" ht="126" x14ac:dyDescent="0.3">
      <c r="A419" s="10" t="s">
        <v>1617</v>
      </c>
      <c r="B419" s="10" t="s">
        <v>1497</v>
      </c>
      <c r="C419" s="11" t="s">
        <v>1498</v>
      </c>
      <c r="D419" s="12"/>
      <c r="E419" s="12" t="s">
        <v>1618</v>
      </c>
      <c r="F419" s="12" t="s">
        <v>58</v>
      </c>
      <c r="G419" s="13">
        <v>1</v>
      </c>
      <c r="H419" s="13"/>
      <c r="I419" s="13">
        <v>140.81</v>
      </c>
      <c r="J419" s="14">
        <f>IFERROR(ROUND(SUM(M420,M421)/I419, 2),0)</f>
        <v>82.68</v>
      </c>
      <c r="K419" s="15">
        <v>428</v>
      </c>
      <c r="L419" s="14">
        <f>J419+ROUND(K419, 2)</f>
        <v>510.68</v>
      </c>
      <c r="M419" s="14">
        <f>ROUND(J419*I419, 2)</f>
        <v>11642.17</v>
      </c>
      <c r="N419" s="14">
        <f>ROUND(I419*ROUND(K419, 2), 2)</f>
        <v>60266.68</v>
      </c>
      <c r="O419" s="14">
        <f>M419+N419</f>
        <v>71908.850000000006</v>
      </c>
      <c r="P419" s="14">
        <f>IFERROR(ROUND(SUM(S420,S421)/I419, 2),0)</f>
        <v>82.68</v>
      </c>
      <c r="Q419" s="16">
        <v>611.42999999999995</v>
      </c>
      <c r="R419" s="14">
        <f>P419+ROUND(Q419, 2)</f>
        <v>694.1099999999999</v>
      </c>
      <c r="S419" s="14">
        <f>ROUND(P419*I419, 2)</f>
        <v>11642.17</v>
      </c>
      <c r="T419" s="14">
        <f>ROUND(I419*ROUND(Q419, 2), 2)</f>
        <v>86095.46</v>
      </c>
      <c r="U419" s="14">
        <f>S419+T419</f>
        <v>97737.63</v>
      </c>
      <c r="V419" s="9">
        <f>ROUND(P419 / 1.2, 2)</f>
        <v>68.900000000000006</v>
      </c>
      <c r="W419" s="9">
        <f>ROUND(Q419 / 1.2, 2)</f>
        <v>509.53</v>
      </c>
      <c r="X419" s="9">
        <f>ROUND(R419 / 1.2, 2)</f>
        <v>578.42999999999995</v>
      </c>
      <c r="Y419" s="9">
        <f t="shared" si="22"/>
        <v>9701.81</v>
      </c>
      <c r="Z419" s="9">
        <f>ROUND(T419 / 1.2, 2)</f>
        <v>71746.22</v>
      </c>
      <c r="AA419" s="9">
        <f>Y419+Z419</f>
        <v>81448.03</v>
      </c>
      <c r="AD419" s="4">
        <v>311044469</v>
      </c>
      <c r="AE419" s="4">
        <v>22875337</v>
      </c>
      <c r="AG419" s="4" t="s">
        <v>1500</v>
      </c>
      <c r="AH419" s="4" t="s">
        <v>1501</v>
      </c>
      <c r="AI419" s="4" t="s">
        <v>469</v>
      </c>
    </row>
    <row r="420" spans="1:35" ht="36" x14ac:dyDescent="0.3">
      <c r="A420" s="10" t="s">
        <v>1619</v>
      </c>
      <c r="B420" s="10"/>
      <c r="C420" s="17" t="s">
        <v>1057</v>
      </c>
      <c r="D420" s="12"/>
      <c r="E420" s="12"/>
      <c r="F420" s="18" t="s">
        <v>99</v>
      </c>
      <c r="G420" s="19">
        <v>0.15</v>
      </c>
      <c r="H420" s="19"/>
      <c r="I420" s="19">
        <v>21.122</v>
      </c>
      <c r="J420" s="20">
        <v>90.28</v>
      </c>
      <c r="M420" s="21">
        <f>ROUND(ROUND(J420, 2)*I420, 2)</f>
        <v>1906.89</v>
      </c>
      <c r="P420" s="22">
        <v>90.28</v>
      </c>
      <c r="S420" s="21">
        <f>ROUND(ROUND(P420, 2)*I420, 2)</f>
        <v>1906.89</v>
      </c>
      <c r="V420" s="9">
        <f>ROUND(ROUND(P420, 2)/1.2, 2)</f>
        <v>75.23</v>
      </c>
      <c r="Y420" s="9">
        <f t="shared" si="22"/>
        <v>1589.08</v>
      </c>
      <c r="AD420" s="4" t="s">
        <v>1620</v>
      </c>
      <c r="AE420" s="4" t="s">
        <v>1621</v>
      </c>
      <c r="AF420" s="4" t="s">
        <v>1060</v>
      </c>
    </row>
    <row r="421" spans="1:35" ht="36" x14ac:dyDescent="0.3">
      <c r="A421" s="10" t="s">
        <v>1622</v>
      </c>
      <c r="B421" s="10"/>
      <c r="C421" s="17" t="s">
        <v>1503</v>
      </c>
      <c r="D421" s="12"/>
      <c r="E421" s="12" t="s">
        <v>1504</v>
      </c>
      <c r="F421" s="18" t="s">
        <v>99</v>
      </c>
      <c r="G421" s="19">
        <v>0.3</v>
      </c>
      <c r="H421" s="19"/>
      <c r="I421" s="19">
        <v>42.243000000000002</v>
      </c>
      <c r="J421" s="20">
        <v>230.45</v>
      </c>
      <c r="M421" s="21">
        <f>ROUND(ROUND(J421, 2)*I421, 2)</f>
        <v>9734.9</v>
      </c>
      <c r="P421" s="22">
        <v>230.45</v>
      </c>
      <c r="S421" s="21">
        <f>ROUND(ROUND(P421, 2)*I421, 2)</f>
        <v>9734.9</v>
      </c>
      <c r="V421" s="9">
        <f>ROUND(ROUND(P421, 2)/1.2, 2)</f>
        <v>192.04</v>
      </c>
      <c r="Y421" s="9">
        <f t="shared" si="22"/>
        <v>8112.42</v>
      </c>
      <c r="AD421" s="4" t="s">
        <v>1623</v>
      </c>
      <c r="AE421" s="4" t="s">
        <v>1624</v>
      </c>
      <c r="AF421" s="4" t="s">
        <v>1507</v>
      </c>
    </row>
    <row r="422" spans="1:35" ht="126" x14ac:dyDescent="0.3">
      <c r="A422" s="10" t="s">
        <v>1625</v>
      </c>
      <c r="B422" s="10" t="s">
        <v>1497</v>
      </c>
      <c r="C422" s="11" t="s">
        <v>1498</v>
      </c>
      <c r="D422" s="12"/>
      <c r="E422" s="12" t="s">
        <v>1626</v>
      </c>
      <c r="F422" s="12" t="s">
        <v>58</v>
      </c>
      <c r="G422" s="13">
        <v>1</v>
      </c>
      <c r="H422" s="13"/>
      <c r="I422" s="13">
        <v>3948.17</v>
      </c>
      <c r="J422" s="14">
        <f>IFERROR(ROUND(SUM(M423,M424)/I422, 2),0)</f>
        <v>82.68</v>
      </c>
      <c r="K422" s="15">
        <v>428</v>
      </c>
      <c r="L422" s="14">
        <f>J422+ROUND(K422, 2)</f>
        <v>510.68</v>
      </c>
      <c r="M422" s="14">
        <f>ROUND(J422*I422, 2)</f>
        <v>326434.7</v>
      </c>
      <c r="N422" s="14">
        <f>ROUND(I422*ROUND(K422, 2), 2)</f>
        <v>1689816.76</v>
      </c>
      <c r="O422" s="14">
        <f>M422+N422</f>
        <v>2016251.46</v>
      </c>
      <c r="P422" s="14">
        <f>IFERROR(ROUND(SUM(S423,S424)/I422, 2),0)</f>
        <v>82.68</v>
      </c>
      <c r="Q422" s="16">
        <v>611.42999999999995</v>
      </c>
      <c r="R422" s="14">
        <f>P422+ROUND(Q422, 2)</f>
        <v>694.1099999999999</v>
      </c>
      <c r="S422" s="14">
        <f>ROUND(P422*I422, 2)</f>
        <v>326434.7</v>
      </c>
      <c r="T422" s="14">
        <f>ROUND(I422*ROUND(Q422, 2), 2)</f>
        <v>2414029.58</v>
      </c>
      <c r="U422" s="14">
        <f>S422+T422</f>
        <v>2740464.2800000003</v>
      </c>
      <c r="V422" s="9">
        <f>ROUND(P422 / 1.2, 2)</f>
        <v>68.900000000000006</v>
      </c>
      <c r="W422" s="9">
        <f>ROUND(Q422 / 1.2, 2)</f>
        <v>509.53</v>
      </c>
      <c r="X422" s="9">
        <f>ROUND(R422 / 1.2, 2)</f>
        <v>578.42999999999995</v>
      </c>
      <c r="Y422" s="9">
        <f t="shared" si="22"/>
        <v>272028.92</v>
      </c>
      <c r="Z422" s="9">
        <f>ROUND(T422 / 1.2, 2)</f>
        <v>2011691.32</v>
      </c>
      <c r="AA422" s="9">
        <f>Y422+Z422</f>
        <v>2283720.2400000002</v>
      </c>
      <c r="AD422" s="4">
        <v>311044470</v>
      </c>
      <c r="AE422" s="4">
        <v>22876266</v>
      </c>
      <c r="AG422" s="4" t="s">
        <v>1500</v>
      </c>
      <c r="AH422" s="4" t="s">
        <v>1501</v>
      </c>
      <c r="AI422" s="4" t="s">
        <v>469</v>
      </c>
    </row>
    <row r="423" spans="1:35" ht="36" x14ac:dyDescent="0.3">
      <c r="A423" s="10" t="s">
        <v>1627</v>
      </c>
      <c r="B423" s="10"/>
      <c r="C423" s="17" t="s">
        <v>1503</v>
      </c>
      <c r="D423" s="12"/>
      <c r="E423" s="12" t="s">
        <v>1504</v>
      </c>
      <c r="F423" s="18" t="s">
        <v>99</v>
      </c>
      <c r="G423" s="19">
        <v>0.3</v>
      </c>
      <c r="H423" s="19"/>
      <c r="I423" s="19">
        <v>1184.451</v>
      </c>
      <c r="J423" s="20">
        <v>230.45</v>
      </c>
      <c r="M423" s="21">
        <f>ROUND(ROUND(J423, 2)*I423, 2)</f>
        <v>272956.73</v>
      </c>
      <c r="P423" s="22">
        <v>230.45</v>
      </c>
      <c r="S423" s="21">
        <f>ROUND(ROUND(P423, 2)*I423, 2)</f>
        <v>272956.73</v>
      </c>
      <c r="V423" s="9">
        <f>ROUND(ROUND(P423, 2)/1.2, 2)</f>
        <v>192.04</v>
      </c>
      <c r="Y423" s="9">
        <f t="shared" si="22"/>
        <v>227463.94</v>
      </c>
      <c r="AD423" s="4" t="s">
        <v>1628</v>
      </c>
      <c r="AE423" s="4" t="s">
        <v>1629</v>
      </c>
      <c r="AF423" s="4" t="s">
        <v>1507</v>
      </c>
    </row>
    <row r="424" spans="1:35" ht="36" x14ac:dyDescent="0.3">
      <c r="A424" s="10" t="s">
        <v>1630</v>
      </c>
      <c r="B424" s="10"/>
      <c r="C424" s="17" t="s">
        <v>1057</v>
      </c>
      <c r="D424" s="12"/>
      <c r="E424" s="12"/>
      <c r="F424" s="18" t="s">
        <v>99</v>
      </c>
      <c r="G424" s="19">
        <v>0.15</v>
      </c>
      <c r="H424" s="19"/>
      <c r="I424" s="19">
        <v>592.226</v>
      </c>
      <c r="J424" s="20">
        <v>90.28</v>
      </c>
      <c r="M424" s="21">
        <f>ROUND(ROUND(J424, 2)*I424, 2)</f>
        <v>53466.16</v>
      </c>
      <c r="P424" s="22">
        <v>90.28</v>
      </c>
      <c r="S424" s="21">
        <f>ROUND(ROUND(P424, 2)*I424, 2)</f>
        <v>53466.16</v>
      </c>
      <c r="V424" s="9">
        <f>ROUND(ROUND(P424, 2)/1.2, 2)</f>
        <v>75.23</v>
      </c>
      <c r="Y424" s="9">
        <f t="shared" si="22"/>
        <v>44555.13</v>
      </c>
      <c r="AD424" s="4" t="s">
        <v>1631</v>
      </c>
      <c r="AE424" s="4" t="s">
        <v>1632</v>
      </c>
      <c r="AF424" s="4" t="s">
        <v>1060</v>
      </c>
    </row>
    <row r="425" spans="1:35" ht="126" x14ac:dyDescent="0.3">
      <c r="A425" s="10" t="s">
        <v>1633</v>
      </c>
      <c r="B425" s="10" t="s">
        <v>1634</v>
      </c>
      <c r="C425" s="11" t="s">
        <v>1635</v>
      </c>
      <c r="D425" s="12"/>
      <c r="E425" s="12" t="s">
        <v>1636</v>
      </c>
      <c r="F425" s="12" t="s">
        <v>58</v>
      </c>
      <c r="G425" s="13">
        <v>1</v>
      </c>
      <c r="H425" s="13"/>
      <c r="I425" s="13">
        <v>1084.79</v>
      </c>
      <c r="J425" s="14">
        <f>IFERROR(ROUND(SUM(M426,M427,M428,M429)/I425, 2),0)</f>
        <v>1146.95</v>
      </c>
      <c r="K425" s="15">
        <v>2363.9899999999998</v>
      </c>
      <c r="L425" s="14">
        <f>J425+ROUND(K425, 2)</f>
        <v>3510.9399999999996</v>
      </c>
      <c r="M425" s="14">
        <f>ROUND(J425*I425, 2)</f>
        <v>1244199.8899999999</v>
      </c>
      <c r="N425" s="14">
        <f>ROUND(I425*ROUND(K425, 2), 2)</f>
        <v>2564432.71</v>
      </c>
      <c r="O425" s="14">
        <f>M425+N425</f>
        <v>3808632.5999999996</v>
      </c>
      <c r="P425" s="14">
        <f>IFERROR(ROUND(SUM(S426,S427,S428,S429)/I425, 2),0)</f>
        <v>1146.95</v>
      </c>
      <c r="Q425" s="16">
        <v>3377.13</v>
      </c>
      <c r="R425" s="14">
        <f>P425+ROUND(Q425, 2)</f>
        <v>4524.08</v>
      </c>
      <c r="S425" s="14">
        <f>ROUND(P425*I425, 2)</f>
        <v>1244199.8899999999</v>
      </c>
      <c r="T425" s="14">
        <f>ROUND(I425*ROUND(Q425, 2), 2)</f>
        <v>3663476.85</v>
      </c>
      <c r="U425" s="14">
        <f>S425+T425</f>
        <v>4907676.74</v>
      </c>
      <c r="V425" s="9">
        <f>ROUND(P425 / 1.2, 2)</f>
        <v>955.79</v>
      </c>
      <c r="W425" s="9">
        <f>ROUND(Q425 / 1.2, 2)</f>
        <v>2814.28</v>
      </c>
      <c r="X425" s="9">
        <f>ROUND(R425 / 1.2, 2)</f>
        <v>3770.07</v>
      </c>
      <c r="Y425" s="9">
        <f t="shared" si="22"/>
        <v>1036833.24</v>
      </c>
      <c r="Z425" s="9">
        <f>ROUND(T425 / 1.2, 2)</f>
        <v>3052897.38</v>
      </c>
      <c r="AA425" s="9">
        <f>Y425+Z425</f>
        <v>4089730.62</v>
      </c>
      <c r="AD425" s="4">
        <v>311044388</v>
      </c>
      <c r="AE425" s="4">
        <v>22876261</v>
      </c>
      <c r="AG425" s="4" t="s">
        <v>1637</v>
      </c>
      <c r="AH425" s="4" t="s">
        <v>1638</v>
      </c>
      <c r="AI425" s="4" t="s">
        <v>469</v>
      </c>
    </row>
    <row r="426" spans="1:35" ht="18" x14ac:dyDescent="0.3">
      <c r="A426" s="10" t="s">
        <v>1639</v>
      </c>
      <c r="B426" s="10"/>
      <c r="C426" s="17" t="s">
        <v>1116</v>
      </c>
      <c r="D426" s="12"/>
      <c r="E426" s="12"/>
      <c r="F426" s="18" t="s">
        <v>99</v>
      </c>
      <c r="G426" s="19">
        <v>0.25</v>
      </c>
      <c r="H426" s="24"/>
      <c r="I426" s="24">
        <v>271.19799999999998</v>
      </c>
      <c r="J426" s="20">
        <v>40.94</v>
      </c>
      <c r="M426" s="21">
        <f>ROUND(ROUND(J426, 2)*I426, 2)</f>
        <v>11102.85</v>
      </c>
      <c r="P426" s="22">
        <v>40.94</v>
      </c>
      <c r="S426" s="21">
        <f>ROUND(ROUND(P426, 2)*I426, 2)</f>
        <v>11102.85</v>
      </c>
      <c r="V426" s="9">
        <f>ROUND(ROUND(P426, 2)/1.2, 2)</f>
        <v>34.119999999999997</v>
      </c>
      <c r="Y426" s="9">
        <f t="shared" si="22"/>
        <v>9252.3799999999992</v>
      </c>
      <c r="AD426" s="4" t="s">
        <v>1640</v>
      </c>
      <c r="AE426" s="4" t="s">
        <v>1641</v>
      </c>
      <c r="AF426" s="4" t="s">
        <v>1119</v>
      </c>
    </row>
    <row r="427" spans="1:35" ht="36" x14ac:dyDescent="0.3">
      <c r="A427" s="10" t="s">
        <v>1642</v>
      </c>
      <c r="B427" s="10"/>
      <c r="C427" s="17" t="s">
        <v>870</v>
      </c>
      <c r="D427" s="12"/>
      <c r="E427" s="12"/>
      <c r="F427" s="18" t="s">
        <v>99</v>
      </c>
      <c r="G427" s="19">
        <v>0.15</v>
      </c>
      <c r="H427" s="19"/>
      <c r="I427" s="19">
        <v>162.71899999999999</v>
      </c>
      <c r="J427" s="20">
        <v>69.540000000000006</v>
      </c>
      <c r="M427" s="21">
        <f>ROUND(ROUND(J427, 2)*I427, 2)</f>
        <v>11315.48</v>
      </c>
      <c r="P427" s="22">
        <v>69.540000000000006</v>
      </c>
      <c r="S427" s="21">
        <f>ROUND(ROUND(P427, 2)*I427, 2)</f>
        <v>11315.48</v>
      </c>
      <c r="V427" s="9">
        <f>ROUND(ROUND(P427, 2)/1.2, 2)</f>
        <v>57.95</v>
      </c>
      <c r="Y427" s="9">
        <f t="shared" si="22"/>
        <v>9429.57</v>
      </c>
      <c r="AD427" s="4" t="s">
        <v>1643</v>
      </c>
      <c r="AE427" s="4" t="s">
        <v>1644</v>
      </c>
      <c r="AF427" s="4" t="s">
        <v>873</v>
      </c>
    </row>
    <row r="428" spans="1:35" ht="36" x14ac:dyDescent="0.3">
      <c r="A428" s="10" t="s">
        <v>1645</v>
      </c>
      <c r="B428" s="10"/>
      <c r="C428" s="23" t="s">
        <v>1106</v>
      </c>
      <c r="D428" s="12"/>
      <c r="E428" s="12"/>
      <c r="F428" s="18" t="s">
        <v>99</v>
      </c>
      <c r="G428" s="19">
        <v>1.2</v>
      </c>
      <c r="H428" s="24"/>
      <c r="I428" s="24">
        <v>6508.74</v>
      </c>
      <c r="J428" s="20">
        <v>16.38</v>
      </c>
      <c r="M428" s="21">
        <f>ROUND(ROUND(J428, 2)*I428, 2)</f>
        <v>106613.16</v>
      </c>
      <c r="P428" s="22">
        <v>16.38</v>
      </c>
      <c r="S428" s="21">
        <f>ROUND(ROUND(P428, 2)*I428, 2)</f>
        <v>106613.16</v>
      </c>
      <c r="V428" s="9">
        <f>ROUND(ROUND(P428, 2)/1.2, 2)</f>
        <v>13.65</v>
      </c>
      <c r="Y428" s="9">
        <f t="shared" si="22"/>
        <v>88844.3</v>
      </c>
      <c r="AD428" s="4" t="s">
        <v>1646</v>
      </c>
      <c r="AE428" s="4" t="s">
        <v>1647</v>
      </c>
      <c r="AF428" s="4" t="s">
        <v>1109</v>
      </c>
    </row>
    <row r="429" spans="1:35" ht="36" x14ac:dyDescent="0.3">
      <c r="A429" s="10" t="s">
        <v>1648</v>
      </c>
      <c r="B429" s="10"/>
      <c r="C429" s="23" t="s">
        <v>1649</v>
      </c>
      <c r="D429" s="12"/>
      <c r="E429" s="12"/>
      <c r="F429" s="18" t="s">
        <v>58</v>
      </c>
      <c r="G429" s="19">
        <v>1.07</v>
      </c>
      <c r="H429" s="24"/>
      <c r="I429" s="24">
        <v>1160.7249999999999</v>
      </c>
      <c r="J429" s="20">
        <v>960.75</v>
      </c>
      <c r="M429" s="21">
        <f>ROUND(ROUND(J429, 2)*I429, 2)</f>
        <v>1115166.54</v>
      </c>
      <c r="P429" s="22">
        <v>960.75</v>
      </c>
      <c r="S429" s="21">
        <f>ROUND(ROUND(P429, 2)*I429, 2)</f>
        <v>1115166.54</v>
      </c>
      <c r="V429" s="9">
        <f>ROUND(ROUND(P429, 2)/1.2, 2)</f>
        <v>800.63</v>
      </c>
      <c r="Y429" s="9">
        <f t="shared" si="22"/>
        <v>929305.45</v>
      </c>
      <c r="AD429" s="4" t="s">
        <v>1650</v>
      </c>
      <c r="AE429" s="4" t="s">
        <v>1651</v>
      </c>
      <c r="AF429" s="4" t="s">
        <v>1652</v>
      </c>
    </row>
    <row r="430" spans="1:35" ht="126" x14ac:dyDescent="0.3">
      <c r="A430" s="10" t="s">
        <v>1653</v>
      </c>
      <c r="B430" s="10" t="s">
        <v>1634</v>
      </c>
      <c r="C430" s="11" t="s">
        <v>1635</v>
      </c>
      <c r="D430" s="12"/>
      <c r="E430" s="12" t="s">
        <v>1654</v>
      </c>
      <c r="F430" s="12" t="s">
        <v>58</v>
      </c>
      <c r="G430" s="13">
        <v>1</v>
      </c>
      <c r="H430" s="13"/>
      <c r="I430" s="13">
        <v>94.69</v>
      </c>
      <c r="J430" s="14">
        <f>IFERROR(ROUND(SUM(M431,M432,M433,M434)/I430, 2),0)</f>
        <v>1625.54</v>
      </c>
      <c r="K430" s="15">
        <v>2363.9899999999998</v>
      </c>
      <c r="L430" s="14">
        <f>J430+ROUND(K430, 2)</f>
        <v>3989.5299999999997</v>
      </c>
      <c r="M430" s="14">
        <f>ROUND(J430*I430, 2)</f>
        <v>153922.38</v>
      </c>
      <c r="N430" s="14">
        <f>ROUND(I430*ROUND(K430, 2), 2)</f>
        <v>223846.21</v>
      </c>
      <c r="O430" s="14">
        <f>M430+N430</f>
        <v>377768.58999999997</v>
      </c>
      <c r="P430" s="14">
        <f>IFERROR(ROUND(SUM(S431,S432,S433,S434)/I430, 2),0)</f>
        <v>1625.54</v>
      </c>
      <c r="Q430" s="16">
        <v>3377.13</v>
      </c>
      <c r="R430" s="14">
        <f>P430+ROUND(Q430, 2)</f>
        <v>5002.67</v>
      </c>
      <c r="S430" s="14">
        <f>ROUND(P430*I430, 2)</f>
        <v>153922.38</v>
      </c>
      <c r="T430" s="14">
        <f>ROUND(I430*ROUND(Q430, 2), 2)</f>
        <v>319780.44</v>
      </c>
      <c r="U430" s="14">
        <f>S430+T430</f>
        <v>473702.82</v>
      </c>
      <c r="V430" s="9">
        <f>ROUND(P430 / 1.2, 2)</f>
        <v>1354.62</v>
      </c>
      <c r="W430" s="9">
        <f>ROUND(Q430 / 1.2, 2)</f>
        <v>2814.28</v>
      </c>
      <c r="X430" s="9">
        <f>ROUND(R430 / 1.2, 2)</f>
        <v>4168.8900000000003</v>
      </c>
      <c r="Y430" s="9">
        <f t="shared" si="22"/>
        <v>128268.65</v>
      </c>
      <c r="Z430" s="9">
        <f>ROUND(T430 / 1.2, 2)</f>
        <v>266483.7</v>
      </c>
      <c r="AA430" s="9">
        <f>Y430+Z430</f>
        <v>394752.35</v>
      </c>
      <c r="AD430" s="4">
        <v>311044471</v>
      </c>
      <c r="AE430" s="4">
        <v>22876265</v>
      </c>
      <c r="AG430" s="4" t="s">
        <v>1637</v>
      </c>
      <c r="AH430" s="4" t="s">
        <v>1638</v>
      </c>
      <c r="AI430" s="4" t="s">
        <v>469</v>
      </c>
    </row>
    <row r="431" spans="1:35" ht="36" x14ac:dyDescent="0.3">
      <c r="A431" s="10" t="s">
        <v>1655</v>
      </c>
      <c r="B431" s="10"/>
      <c r="C431" s="23" t="s">
        <v>1656</v>
      </c>
      <c r="D431" s="12"/>
      <c r="E431" s="12"/>
      <c r="F431" s="18" t="s">
        <v>58</v>
      </c>
      <c r="G431" s="19">
        <v>1.07</v>
      </c>
      <c r="H431" s="24"/>
      <c r="I431" s="24">
        <v>101.318</v>
      </c>
      <c r="J431" s="20">
        <v>1408.04</v>
      </c>
      <c r="M431" s="21">
        <f>ROUND(ROUND(J431, 2)*I431, 2)</f>
        <v>142659.79999999999</v>
      </c>
      <c r="P431" s="22">
        <v>1408.04</v>
      </c>
      <c r="S431" s="21">
        <f>ROUND(ROUND(P431, 2)*I431, 2)</f>
        <v>142659.79999999999</v>
      </c>
      <c r="V431" s="9">
        <f>ROUND(ROUND(P431, 2)/1.2, 2)</f>
        <v>1173.3699999999999</v>
      </c>
      <c r="Y431" s="9">
        <f t="shared" si="22"/>
        <v>118883.17</v>
      </c>
      <c r="AD431" s="4" t="s">
        <v>1657</v>
      </c>
      <c r="AE431" s="4" t="s">
        <v>1658</v>
      </c>
      <c r="AF431" s="4" t="s">
        <v>1659</v>
      </c>
    </row>
    <row r="432" spans="1:35" ht="36" x14ac:dyDescent="0.3">
      <c r="A432" s="10" t="s">
        <v>1660</v>
      </c>
      <c r="B432" s="10"/>
      <c r="C432" s="23" t="s">
        <v>1106</v>
      </c>
      <c r="D432" s="12"/>
      <c r="E432" s="12"/>
      <c r="F432" s="18" t="s">
        <v>99</v>
      </c>
      <c r="G432" s="19">
        <v>1.2</v>
      </c>
      <c r="H432" s="24"/>
      <c r="I432" s="24">
        <v>568.14</v>
      </c>
      <c r="J432" s="20">
        <v>16.38</v>
      </c>
      <c r="M432" s="21">
        <f>ROUND(ROUND(J432, 2)*I432, 2)</f>
        <v>9306.1299999999992</v>
      </c>
      <c r="P432" s="22">
        <v>16.38</v>
      </c>
      <c r="S432" s="21">
        <f>ROUND(ROUND(P432, 2)*I432, 2)</f>
        <v>9306.1299999999992</v>
      </c>
      <c r="V432" s="9">
        <f>ROUND(ROUND(P432, 2)/1.2, 2)</f>
        <v>13.65</v>
      </c>
      <c r="Y432" s="9">
        <f t="shared" si="22"/>
        <v>7755.11</v>
      </c>
      <c r="AD432" s="4" t="s">
        <v>1661</v>
      </c>
      <c r="AE432" s="4" t="s">
        <v>1662</v>
      </c>
      <c r="AF432" s="4" t="s">
        <v>1109</v>
      </c>
    </row>
    <row r="433" spans="1:35" ht="36" x14ac:dyDescent="0.3">
      <c r="A433" s="10" t="s">
        <v>1663</v>
      </c>
      <c r="B433" s="10"/>
      <c r="C433" s="17" t="s">
        <v>870</v>
      </c>
      <c r="D433" s="12"/>
      <c r="E433" s="12"/>
      <c r="F433" s="18" t="s">
        <v>99</v>
      </c>
      <c r="G433" s="19">
        <v>0.15</v>
      </c>
      <c r="H433" s="19"/>
      <c r="I433" s="19">
        <v>14.204000000000001</v>
      </c>
      <c r="J433" s="20">
        <v>69.540000000000006</v>
      </c>
      <c r="M433" s="21">
        <f>ROUND(ROUND(J433, 2)*I433, 2)</f>
        <v>987.75</v>
      </c>
      <c r="P433" s="22">
        <v>69.540000000000006</v>
      </c>
      <c r="S433" s="21">
        <f>ROUND(ROUND(P433, 2)*I433, 2)</f>
        <v>987.75</v>
      </c>
      <c r="V433" s="9">
        <f>ROUND(ROUND(P433, 2)/1.2, 2)</f>
        <v>57.95</v>
      </c>
      <c r="Y433" s="9">
        <f t="shared" si="22"/>
        <v>823.13</v>
      </c>
      <c r="AD433" s="4" t="s">
        <v>1664</v>
      </c>
      <c r="AE433" s="4" t="s">
        <v>1665</v>
      </c>
      <c r="AF433" s="4" t="s">
        <v>873</v>
      </c>
    </row>
    <row r="434" spans="1:35" ht="18" x14ac:dyDescent="0.3">
      <c r="A434" s="10" t="s">
        <v>1666</v>
      </c>
      <c r="B434" s="10"/>
      <c r="C434" s="17" t="s">
        <v>1116</v>
      </c>
      <c r="D434" s="12"/>
      <c r="E434" s="12"/>
      <c r="F434" s="18" t="s">
        <v>99</v>
      </c>
      <c r="G434" s="19">
        <v>0.25</v>
      </c>
      <c r="H434" s="24"/>
      <c r="I434" s="24">
        <v>23.672999999999998</v>
      </c>
      <c r="J434" s="20">
        <v>40.94</v>
      </c>
      <c r="M434" s="21">
        <f>ROUND(ROUND(J434, 2)*I434, 2)</f>
        <v>969.17</v>
      </c>
      <c r="P434" s="22">
        <v>40.94</v>
      </c>
      <c r="S434" s="21">
        <f>ROUND(ROUND(P434, 2)*I434, 2)</f>
        <v>969.17</v>
      </c>
      <c r="V434" s="9">
        <f>ROUND(ROUND(P434, 2)/1.2, 2)</f>
        <v>34.119999999999997</v>
      </c>
      <c r="Y434" s="9">
        <f t="shared" si="22"/>
        <v>807.64</v>
      </c>
      <c r="AD434" s="4" t="s">
        <v>1667</v>
      </c>
      <c r="AE434" s="4" t="s">
        <v>1668</v>
      </c>
      <c r="AF434" s="4" t="s">
        <v>1119</v>
      </c>
    </row>
    <row r="435" spans="1:35" ht="126" x14ac:dyDescent="0.3">
      <c r="A435" s="10" t="s">
        <v>1669</v>
      </c>
      <c r="B435" s="10" t="s">
        <v>1634</v>
      </c>
      <c r="C435" s="11" t="s">
        <v>1635</v>
      </c>
      <c r="D435" s="12"/>
      <c r="E435" s="12" t="s">
        <v>1670</v>
      </c>
      <c r="F435" s="12" t="s">
        <v>58</v>
      </c>
      <c r="G435" s="13">
        <v>1</v>
      </c>
      <c r="H435" s="13"/>
      <c r="I435" s="13">
        <v>230.36</v>
      </c>
      <c r="J435" s="14">
        <f>IFERROR(ROUND(SUM(M436,M437,M438,M439)/I435, 2),0)</f>
        <v>1309.1500000000001</v>
      </c>
      <c r="K435" s="15">
        <v>2363.9899999999998</v>
      </c>
      <c r="L435" s="14">
        <f>J435+ROUND(K435, 2)</f>
        <v>3673.14</v>
      </c>
      <c r="M435" s="14">
        <f>ROUND(J435*I435, 2)</f>
        <v>301575.78999999998</v>
      </c>
      <c r="N435" s="14">
        <f>ROUND(I435*ROUND(K435, 2), 2)</f>
        <v>544568.74</v>
      </c>
      <c r="O435" s="14">
        <f>M435+N435</f>
        <v>846144.53</v>
      </c>
      <c r="P435" s="14">
        <f>IFERROR(ROUND(SUM(S436,S437,S438,S439)/I435, 2),0)</f>
        <v>1309.1500000000001</v>
      </c>
      <c r="Q435" s="16">
        <v>3377.13</v>
      </c>
      <c r="R435" s="14">
        <f>P435+ROUND(Q435, 2)</f>
        <v>4686.2800000000007</v>
      </c>
      <c r="S435" s="14">
        <f>ROUND(P435*I435, 2)</f>
        <v>301575.78999999998</v>
      </c>
      <c r="T435" s="14">
        <f>ROUND(I435*ROUND(Q435, 2), 2)</f>
        <v>777955.67</v>
      </c>
      <c r="U435" s="14">
        <f>S435+T435</f>
        <v>1079531.46</v>
      </c>
      <c r="V435" s="9">
        <f>ROUND(P435 / 1.2, 2)</f>
        <v>1090.96</v>
      </c>
      <c r="W435" s="9">
        <f>ROUND(Q435 / 1.2, 2)</f>
        <v>2814.28</v>
      </c>
      <c r="X435" s="9">
        <f>ROUND(R435 / 1.2, 2)</f>
        <v>3905.23</v>
      </c>
      <c r="Y435" s="9">
        <f t="shared" si="22"/>
        <v>251313.16</v>
      </c>
      <c r="Z435" s="9">
        <f>ROUND(T435 / 1.2, 2)</f>
        <v>648296.39</v>
      </c>
      <c r="AA435" s="9">
        <f>Y435+Z435</f>
        <v>899609.55</v>
      </c>
      <c r="AD435" s="4">
        <v>311044472</v>
      </c>
      <c r="AE435" s="4">
        <v>22876264</v>
      </c>
      <c r="AG435" s="4" t="s">
        <v>1637</v>
      </c>
      <c r="AH435" s="4" t="s">
        <v>1638</v>
      </c>
      <c r="AI435" s="4" t="s">
        <v>469</v>
      </c>
    </row>
    <row r="436" spans="1:35" ht="18" x14ac:dyDescent="0.3">
      <c r="A436" s="10" t="s">
        <v>1671</v>
      </c>
      <c r="B436" s="10"/>
      <c r="C436" s="17" t="s">
        <v>1116</v>
      </c>
      <c r="D436" s="12"/>
      <c r="E436" s="12"/>
      <c r="F436" s="18" t="s">
        <v>99</v>
      </c>
      <c r="G436" s="19">
        <v>0.25</v>
      </c>
      <c r="H436" s="24"/>
      <c r="I436" s="24">
        <v>57.59</v>
      </c>
      <c r="J436" s="20">
        <v>40.94</v>
      </c>
      <c r="M436" s="21">
        <f>ROUND(ROUND(J436, 2)*I436, 2)</f>
        <v>2357.73</v>
      </c>
      <c r="P436" s="22">
        <v>40.94</v>
      </c>
      <c r="S436" s="21">
        <f>ROUND(ROUND(P436, 2)*I436, 2)</f>
        <v>2357.73</v>
      </c>
      <c r="V436" s="9">
        <f>ROUND(ROUND(P436, 2)/1.2, 2)</f>
        <v>34.119999999999997</v>
      </c>
      <c r="Y436" s="9">
        <f t="shared" si="22"/>
        <v>1964.78</v>
      </c>
      <c r="AD436" s="4" t="s">
        <v>1672</v>
      </c>
      <c r="AE436" s="4" t="s">
        <v>1673</v>
      </c>
      <c r="AF436" s="4" t="s">
        <v>1119</v>
      </c>
    </row>
    <row r="437" spans="1:35" ht="36" x14ac:dyDescent="0.3">
      <c r="A437" s="10" t="s">
        <v>1674</v>
      </c>
      <c r="B437" s="10"/>
      <c r="C437" s="17" t="s">
        <v>870</v>
      </c>
      <c r="D437" s="12"/>
      <c r="E437" s="12"/>
      <c r="F437" s="18" t="s">
        <v>99</v>
      </c>
      <c r="G437" s="19">
        <v>0.15</v>
      </c>
      <c r="H437" s="19"/>
      <c r="I437" s="19">
        <v>34.554000000000002</v>
      </c>
      <c r="J437" s="20">
        <v>69.540000000000006</v>
      </c>
      <c r="M437" s="21">
        <f>ROUND(ROUND(J437, 2)*I437, 2)</f>
        <v>2402.89</v>
      </c>
      <c r="P437" s="22">
        <v>69.540000000000006</v>
      </c>
      <c r="S437" s="21">
        <f>ROUND(ROUND(P437, 2)*I437, 2)</f>
        <v>2402.89</v>
      </c>
      <c r="V437" s="9">
        <f>ROUND(ROUND(P437, 2)/1.2, 2)</f>
        <v>57.95</v>
      </c>
      <c r="Y437" s="9">
        <f t="shared" si="22"/>
        <v>2002.41</v>
      </c>
      <c r="AD437" s="4" t="s">
        <v>1675</v>
      </c>
      <c r="AE437" s="4" t="s">
        <v>1676</v>
      </c>
      <c r="AF437" s="4" t="s">
        <v>873</v>
      </c>
    </row>
    <row r="438" spans="1:35" ht="36" x14ac:dyDescent="0.3">
      <c r="A438" s="10" t="s">
        <v>1677</v>
      </c>
      <c r="B438" s="10"/>
      <c r="C438" s="23" t="s">
        <v>1106</v>
      </c>
      <c r="D438" s="12"/>
      <c r="E438" s="12"/>
      <c r="F438" s="18" t="s">
        <v>99</v>
      </c>
      <c r="G438" s="19">
        <v>1.2</v>
      </c>
      <c r="H438" s="24"/>
      <c r="I438" s="24">
        <v>1382.16</v>
      </c>
      <c r="J438" s="20">
        <v>16.38</v>
      </c>
      <c r="M438" s="21">
        <f>ROUND(ROUND(J438, 2)*I438, 2)</f>
        <v>22639.78</v>
      </c>
      <c r="P438" s="22">
        <v>16.38</v>
      </c>
      <c r="S438" s="21">
        <f>ROUND(ROUND(P438, 2)*I438, 2)</f>
        <v>22639.78</v>
      </c>
      <c r="V438" s="9">
        <f>ROUND(ROUND(P438, 2)/1.2, 2)</f>
        <v>13.65</v>
      </c>
      <c r="Y438" s="9">
        <f t="shared" si="22"/>
        <v>18866.48</v>
      </c>
      <c r="AD438" s="4" t="s">
        <v>1678</v>
      </c>
      <c r="AE438" s="4" t="s">
        <v>1679</v>
      </c>
      <c r="AF438" s="4" t="s">
        <v>1109</v>
      </c>
    </row>
    <row r="439" spans="1:35" ht="36" x14ac:dyDescent="0.3">
      <c r="A439" s="10" t="s">
        <v>1680</v>
      </c>
      <c r="B439" s="10"/>
      <c r="C439" s="23" t="s">
        <v>1681</v>
      </c>
      <c r="D439" s="12"/>
      <c r="E439" s="12"/>
      <c r="F439" s="18" t="s">
        <v>58</v>
      </c>
      <c r="G439" s="19">
        <v>1.07</v>
      </c>
      <c r="H439" s="24"/>
      <c r="I439" s="24">
        <v>246.48500000000001</v>
      </c>
      <c r="J439" s="20">
        <v>1112.3399999999999</v>
      </c>
      <c r="M439" s="21">
        <f>ROUND(ROUND(J439, 2)*I439, 2)</f>
        <v>274175.12</v>
      </c>
      <c r="P439" s="22">
        <v>1112.3399999999999</v>
      </c>
      <c r="S439" s="21">
        <f>ROUND(ROUND(P439, 2)*I439, 2)</f>
        <v>274175.12</v>
      </c>
      <c r="V439" s="9">
        <f>ROUND(ROUND(P439, 2)/1.2, 2)</f>
        <v>926.95</v>
      </c>
      <c r="Y439" s="9">
        <f t="shared" ref="Y439:Y473" si="23">ROUND(S439 / 1.2, 2)</f>
        <v>228479.27</v>
      </c>
      <c r="AD439" s="4" t="s">
        <v>1682</v>
      </c>
      <c r="AE439" s="4" t="s">
        <v>1683</v>
      </c>
      <c r="AF439" s="4" t="s">
        <v>1684</v>
      </c>
    </row>
    <row r="440" spans="1:35" ht="126" x14ac:dyDescent="0.3">
      <c r="A440" s="10" t="s">
        <v>1685</v>
      </c>
      <c r="B440" s="10" t="s">
        <v>1634</v>
      </c>
      <c r="C440" s="11" t="s">
        <v>1635</v>
      </c>
      <c r="D440" s="12"/>
      <c r="E440" s="12" t="s">
        <v>1686</v>
      </c>
      <c r="F440" s="12" t="s">
        <v>58</v>
      </c>
      <c r="G440" s="13">
        <v>1</v>
      </c>
      <c r="H440" s="13"/>
      <c r="I440" s="13">
        <v>21.22</v>
      </c>
      <c r="J440" s="14">
        <f>IFERROR(ROUND(SUM(M441,M442,M443,M444)/I440, 2),0)</f>
        <v>1228.04</v>
      </c>
      <c r="K440" s="15">
        <v>2363.9899999999998</v>
      </c>
      <c r="L440" s="14">
        <f>J440+ROUND(K440, 2)</f>
        <v>3592.0299999999997</v>
      </c>
      <c r="M440" s="14">
        <f>ROUND(J440*I440, 2)</f>
        <v>26059.01</v>
      </c>
      <c r="N440" s="14">
        <f>ROUND(I440*ROUND(K440, 2), 2)</f>
        <v>50163.87</v>
      </c>
      <c r="O440" s="14">
        <f>M440+N440</f>
        <v>76222.880000000005</v>
      </c>
      <c r="P440" s="14">
        <f>IFERROR(ROUND(SUM(S441,S442,S443,S444)/I440, 2),0)</f>
        <v>1228.04</v>
      </c>
      <c r="Q440" s="16">
        <v>3377.13</v>
      </c>
      <c r="R440" s="14">
        <f>P440+ROUND(Q440, 2)</f>
        <v>4605.17</v>
      </c>
      <c r="S440" s="14">
        <f>ROUND(P440*I440, 2)</f>
        <v>26059.01</v>
      </c>
      <c r="T440" s="14">
        <f>ROUND(I440*ROUND(Q440, 2), 2)</f>
        <v>71662.7</v>
      </c>
      <c r="U440" s="14">
        <f>S440+T440</f>
        <v>97721.709999999992</v>
      </c>
      <c r="V440" s="9">
        <f>ROUND(P440 / 1.2, 2)</f>
        <v>1023.37</v>
      </c>
      <c r="W440" s="9">
        <f>ROUND(Q440 / 1.2, 2)</f>
        <v>2814.28</v>
      </c>
      <c r="X440" s="9">
        <f>ROUND(R440 / 1.2, 2)</f>
        <v>3837.64</v>
      </c>
      <c r="Y440" s="9">
        <f t="shared" si="23"/>
        <v>21715.84</v>
      </c>
      <c r="Z440" s="9">
        <f>ROUND(T440 / 1.2, 2)</f>
        <v>59718.92</v>
      </c>
      <c r="AA440" s="9">
        <f>Y440+Z440</f>
        <v>81434.759999999995</v>
      </c>
      <c r="AD440" s="4">
        <v>311044473</v>
      </c>
      <c r="AE440" s="4">
        <v>22876263</v>
      </c>
      <c r="AG440" s="4" t="s">
        <v>1637</v>
      </c>
      <c r="AH440" s="4" t="s">
        <v>1638</v>
      </c>
      <c r="AI440" s="4" t="s">
        <v>469</v>
      </c>
    </row>
    <row r="441" spans="1:35" ht="36" x14ac:dyDescent="0.3">
      <c r="A441" s="10" t="s">
        <v>1687</v>
      </c>
      <c r="B441" s="10"/>
      <c r="C441" s="23" t="s">
        <v>1688</v>
      </c>
      <c r="D441" s="12"/>
      <c r="E441" s="12"/>
      <c r="F441" s="18" t="s">
        <v>58</v>
      </c>
      <c r="G441" s="19">
        <v>1.07</v>
      </c>
      <c r="H441" s="24"/>
      <c r="I441" s="24">
        <v>22.704999999999998</v>
      </c>
      <c r="J441" s="20">
        <v>1036.55</v>
      </c>
      <c r="M441" s="21">
        <f>ROUND(ROUND(J441, 2)*I441, 2)</f>
        <v>23534.87</v>
      </c>
      <c r="P441" s="22">
        <v>1036.55</v>
      </c>
      <c r="S441" s="21">
        <f>ROUND(ROUND(P441, 2)*I441, 2)</f>
        <v>23534.87</v>
      </c>
      <c r="V441" s="9">
        <f>ROUND(ROUND(P441, 2)/1.2, 2)</f>
        <v>863.79</v>
      </c>
      <c r="Y441" s="9">
        <f t="shared" si="23"/>
        <v>19612.39</v>
      </c>
      <c r="AD441" s="4" t="s">
        <v>1689</v>
      </c>
      <c r="AE441" s="4" t="s">
        <v>1690</v>
      </c>
      <c r="AF441" s="4" t="s">
        <v>1691</v>
      </c>
    </row>
    <row r="442" spans="1:35" ht="36" x14ac:dyDescent="0.3">
      <c r="A442" s="10" t="s">
        <v>1692</v>
      </c>
      <c r="B442" s="10"/>
      <c r="C442" s="23" t="s">
        <v>1106</v>
      </c>
      <c r="D442" s="12"/>
      <c r="E442" s="12"/>
      <c r="F442" s="18" t="s">
        <v>99</v>
      </c>
      <c r="G442" s="19">
        <v>1.2</v>
      </c>
      <c r="H442" s="24"/>
      <c r="I442" s="24">
        <v>127.32</v>
      </c>
      <c r="J442" s="20">
        <v>16.38</v>
      </c>
      <c r="M442" s="21">
        <f>ROUND(ROUND(J442, 2)*I442, 2)</f>
        <v>2085.5</v>
      </c>
      <c r="P442" s="22">
        <v>16.38</v>
      </c>
      <c r="S442" s="21">
        <f>ROUND(ROUND(P442, 2)*I442, 2)</f>
        <v>2085.5</v>
      </c>
      <c r="V442" s="9">
        <f>ROUND(ROUND(P442, 2)/1.2, 2)</f>
        <v>13.65</v>
      </c>
      <c r="Y442" s="9">
        <f t="shared" si="23"/>
        <v>1737.92</v>
      </c>
      <c r="AD442" s="4" t="s">
        <v>1693</v>
      </c>
      <c r="AE442" s="4" t="s">
        <v>1694</v>
      </c>
      <c r="AF442" s="4" t="s">
        <v>1109</v>
      </c>
    </row>
    <row r="443" spans="1:35" ht="36" x14ac:dyDescent="0.3">
      <c r="A443" s="10" t="s">
        <v>1695</v>
      </c>
      <c r="B443" s="10"/>
      <c r="C443" s="17" t="s">
        <v>870</v>
      </c>
      <c r="D443" s="12"/>
      <c r="E443" s="12"/>
      <c r="F443" s="18" t="s">
        <v>99</v>
      </c>
      <c r="G443" s="19">
        <v>0.15</v>
      </c>
      <c r="H443" s="19"/>
      <c r="I443" s="19">
        <v>3.1829999999999998</v>
      </c>
      <c r="J443" s="20">
        <v>69.540000000000006</v>
      </c>
      <c r="M443" s="21">
        <f>ROUND(ROUND(J443, 2)*I443, 2)</f>
        <v>221.35</v>
      </c>
      <c r="P443" s="22">
        <v>69.540000000000006</v>
      </c>
      <c r="S443" s="21">
        <f>ROUND(ROUND(P443, 2)*I443, 2)</f>
        <v>221.35</v>
      </c>
      <c r="V443" s="9">
        <f>ROUND(ROUND(P443, 2)/1.2, 2)</f>
        <v>57.95</v>
      </c>
      <c r="Y443" s="9">
        <f t="shared" si="23"/>
        <v>184.46</v>
      </c>
      <c r="AD443" s="4" t="s">
        <v>1696</v>
      </c>
      <c r="AE443" s="4" t="s">
        <v>1697</v>
      </c>
      <c r="AF443" s="4" t="s">
        <v>873</v>
      </c>
    </row>
    <row r="444" spans="1:35" ht="18" x14ac:dyDescent="0.3">
      <c r="A444" s="10" t="s">
        <v>1698</v>
      </c>
      <c r="B444" s="10"/>
      <c r="C444" s="17" t="s">
        <v>1116</v>
      </c>
      <c r="D444" s="12"/>
      <c r="E444" s="12"/>
      <c r="F444" s="18" t="s">
        <v>99</v>
      </c>
      <c r="G444" s="19">
        <v>0.25</v>
      </c>
      <c r="H444" s="24"/>
      <c r="I444" s="24">
        <v>5.3049999999999997</v>
      </c>
      <c r="J444" s="20">
        <v>40.94</v>
      </c>
      <c r="M444" s="21">
        <f>ROUND(ROUND(J444, 2)*I444, 2)</f>
        <v>217.19</v>
      </c>
      <c r="P444" s="22">
        <v>40.94</v>
      </c>
      <c r="S444" s="21">
        <f>ROUND(ROUND(P444, 2)*I444, 2)</f>
        <v>217.19</v>
      </c>
      <c r="V444" s="9">
        <f>ROUND(ROUND(P444, 2)/1.2, 2)</f>
        <v>34.119999999999997</v>
      </c>
      <c r="Y444" s="9">
        <f t="shared" si="23"/>
        <v>180.99</v>
      </c>
      <c r="AD444" s="4" t="s">
        <v>1699</v>
      </c>
      <c r="AE444" s="4" t="s">
        <v>1700</v>
      </c>
      <c r="AF444" s="4" t="s">
        <v>1119</v>
      </c>
    </row>
    <row r="445" spans="1:35" ht="126" x14ac:dyDescent="0.3">
      <c r="A445" s="10" t="s">
        <v>1701</v>
      </c>
      <c r="B445" s="10" t="s">
        <v>1634</v>
      </c>
      <c r="C445" s="11" t="s">
        <v>1635</v>
      </c>
      <c r="D445" s="12"/>
      <c r="E445" s="12" t="s">
        <v>1702</v>
      </c>
      <c r="F445" s="12" t="s">
        <v>58</v>
      </c>
      <c r="G445" s="13">
        <v>1</v>
      </c>
      <c r="H445" s="13"/>
      <c r="I445" s="13">
        <v>21.19</v>
      </c>
      <c r="J445" s="14">
        <f>IFERROR(ROUND(SUM(M446,M447,M448,M449)/I445, 2),0)</f>
        <v>1357.1</v>
      </c>
      <c r="K445" s="15">
        <v>2363.9899999999998</v>
      </c>
      <c r="L445" s="14">
        <f>J445+ROUND(K445, 2)</f>
        <v>3721.0899999999997</v>
      </c>
      <c r="M445" s="14">
        <f>ROUND(J445*I445, 2)</f>
        <v>28756.95</v>
      </c>
      <c r="N445" s="14">
        <f>ROUND(I445*ROUND(K445, 2), 2)</f>
        <v>50092.95</v>
      </c>
      <c r="O445" s="14">
        <f>M445+N445</f>
        <v>78849.899999999994</v>
      </c>
      <c r="P445" s="14">
        <f>IFERROR(ROUND(SUM(S446,S447,S448,S449)/I445, 2),0)</f>
        <v>1357.1</v>
      </c>
      <c r="Q445" s="16">
        <v>3377.13</v>
      </c>
      <c r="R445" s="14">
        <f>P445+ROUND(Q445, 2)</f>
        <v>4734.2299999999996</v>
      </c>
      <c r="S445" s="14">
        <f>ROUND(P445*I445, 2)</f>
        <v>28756.95</v>
      </c>
      <c r="T445" s="14">
        <f>ROUND(I445*ROUND(Q445, 2), 2)</f>
        <v>71561.38</v>
      </c>
      <c r="U445" s="14">
        <f>S445+T445</f>
        <v>100318.33</v>
      </c>
      <c r="V445" s="9">
        <f>ROUND(P445 / 1.2, 2)</f>
        <v>1130.92</v>
      </c>
      <c r="W445" s="9">
        <f>ROUND(Q445 / 1.2, 2)</f>
        <v>2814.28</v>
      </c>
      <c r="X445" s="9">
        <f>ROUND(R445 / 1.2, 2)</f>
        <v>3945.19</v>
      </c>
      <c r="Y445" s="9">
        <f t="shared" si="23"/>
        <v>23964.13</v>
      </c>
      <c r="Z445" s="9">
        <f>ROUND(T445 / 1.2, 2)</f>
        <v>59634.48</v>
      </c>
      <c r="AA445" s="9">
        <f>Y445+Z445</f>
        <v>83598.61</v>
      </c>
      <c r="AD445" s="4">
        <v>311044474</v>
      </c>
      <c r="AE445" s="4">
        <v>22876262</v>
      </c>
      <c r="AG445" s="4" t="s">
        <v>1637</v>
      </c>
      <c r="AH445" s="4" t="s">
        <v>1638</v>
      </c>
      <c r="AI445" s="4" t="s">
        <v>469</v>
      </c>
    </row>
    <row r="446" spans="1:35" ht="18" x14ac:dyDescent="0.3">
      <c r="A446" s="10" t="s">
        <v>1703</v>
      </c>
      <c r="B446" s="10"/>
      <c r="C446" s="17" t="s">
        <v>1116</v>
      </c>
      <c r="D446" s="12"/>
      <c r="E446" s="12"/>
      <c r="F446" s="18" t="s">
        <v>99</v>
      </c>
      <c r="G446" s="19">
        <v>0.25</v>
      </c>
      <c r="H446" s="24"/>
      <c r="I446" s="24">
        <v>5.298</v>
      </c>
      <c r="J446" s="20">
        <v>40.94</v>
      </c>
      <c r="M446" s="21">
        <f>ROUND(ROUND(J446, 2)*I446, 2)</f>
        <v>216.9</v>
      </c>
      <c r="P446" s="22">
        <v>40.94</v>
      </c>
      <c r="S446" s="21">
        <f>ROUND(ROUND(P446, 2)*I446, 2)</f>
        <v>216.9</v>
      </c>
      <c r="V446" s="9">
        <f>ROUND(ROUND(P446, 2)/1.2, 2)</f>
        <v>34.119999999999997</v>
      </c>
      <c r="Y446" s="9">
        <f t="shared" si="23"/>
        <v>180.75</v>
      </c>
      <c r="AD446" s="4" t="s">
        <v>1704</v>
      </c>
      <c r="AE446" s="4" t="s">
        <v>1705</v>
      </c>
      <c r="AF446" s="4" t="s">
        <v>1119</v>
      </c>
    </row>
    <row r="447" spans="1:35" ht="36" x14ac:dyDescent="0.3">
      <c r="A447" s="10" t="s">
        <v>1706</v>
      </c>
      <c r="B447" s="10"/>
      <c r="C447" s="17" t="s">
        <v>870</v>
      </c>
      <c r="D447" s="12"/>
      <c r="E447" s="12"/>
      <c r="F447" s="18" t="s">
        <v>99</v>
      </c>
      <c r="G447" s="19">
        <v>0.15</v>
      </c>
      <c r="H447" s="19"/>
      <c r="I447" s="19">
        <v>3.1789999999999998</v>
      </c>
      <c r="J447" s="20">
        <v>69.540000000000006</v>
      </c>
      <c r="M447" s="21">
        <f>ROUND(ROUND(J447, 2)*I447, 2)</f>
        <v>221.07</v>
      </c>
      <c r="P447" s="22">
        <v>69.540000000000006</v>
      </c>
      <c r="S447" s="21">
        <f>ROUND(ROUND(P447, 2)*I447, 2)</f>
        <v>221.07</v>
      </c>
      <c r="V447" s="9">
        <f>ROUND(ROUND(P447, 2)/1.2, 2)</f>
        <v>57.95</v>
      </c>
      <c r="Y447" s="9">
        <f t="shared" si="23"/>
        <v>184.23</v>
      </c>
      <c r="AD447" s="4" t="s">
        <v>1707</v>
      </c>
      <c r="AE447" s="4" t="s">
        <v>1708</v>
      </c>
      <c r="AF447" s="4" t="s">
        <v>873</v>
      </c>
    </row>
    <row r="448" spans="1:35" ht="36" x14ac:dyDescent="0.3">
      <c r="A448" s="10" t="s">
        <v>1709</v>
      </c>
      <c r="B448" s="10"/>
      <c r="C448" s="23" t="s">
        <v>1106</v>
      </c>
      <c r="D448" s="12"/>
      <c r="E448" s="12"/>
      <c r="F448" s="18" t="s">
        <v>99</v>
      </c>
      <c r="G448" s="19">
        <v>1.2</v>
      </c>
      <c r="H448" s="24"/>
      <c r="I448" s="24">
        <v>127.14</v>
      </c>
      <c r="J448" s="20">
        <v>16.38</v>
      </c>
      <c r="M448" s="21">
        <f>ROUND(ROUND(J448, 2)*I448, 2)</f>
        <v>2082.5500000000002</v>
      </c>
      <c r="P448" s="22">
        <v>16.38</v>
      </c>
      <c r="S448" s="21">
        <f>ROUND(ROUND(P448, 2)*I448, 2)</f>
        <v>2082.5500000000002</v>
      </c>
      <c r="V448" s="9">
        <f>ROUND(ROUND(P448, 2)/1.2, 2)</f>
        <v>13.65</v>
      </c>
      <c r="Y448" s="9">
        <f t="shared" si="23"/>
        <v>1735.46</v>
      </c>
      <c r="AD448" s="4" t="s">
        <v>1710</v>
      </c>
      <c r="AE448" s="4" t="s">
        <v>1711</v>
      </c>
      <c r="AF448" s="4" t="s">
        <v>1109</v>
      </c>
    </row>
    <row r="449" spans="1:35" ht="54" x14ac:dyDescent="0.3">
      <c r="A449" s="10" t="s">
        <v>1712</v>
      </c>
      <c r="B449" s="10"/>
      <c r="C449" s="23" t="s">
        <v>1713</v>
      </c>
      <c r="D449" s="12"/>
      <c r="E449" s="12" t="s">
        <v>1714</v>
      </c>
      <c r="F449" s="18" t="s">
        <v>58</v>
      </c>
      <c r="G449" s="19">
        <v>1.07</v>
      </c>
      <c r="H449" s="24"/>
      <c r="I449" s="24">
        <v>22.672999999999998</v>
      </c>
      <c r="J449" s="20">
        <v>1157.17</v>
      </c>
      <c r="M449" s="21">
        <f>ROUND(ROUND(J449, 2)*I449, 2)</f>
        <v>26236.52</v>
      </c>
      <c r="P449" s="22">
        <v>1157.17</v>
      </c>
      <c r="S449" s="21">
        <f>ROUND(ROUND(P449, 2)*I449, 2)</f>
        <v>26236.52</v>
      </c>
      <c r="V449" s="9">
        <f>ROUND(ROUND(P449, 2)/1.2, 2)</f>
        <v>964.31</v>
      </c>
      <c r="Y449" s="9">
        <f t="shared" si="23"/>
        <v>21863.77</v>
      </c>
      <c r="AD449" s="4" t="s">
        <v>1715</v>
      </c>
      <c r="AE449" s="4" t="s">
        <v>1716</v>
      </c>
      <c r="AF449" s="4" t="s">
        <v>1717</v>
      </c>
    </row>
    <row r="450" spans="1:35" ht="126" x14ac:dyDescent="0.3">
      <c r="A450" s="10" t="s">
        <v>1718</v>
      </c>
      <c r="B450" s="10" t="s">
        <v>1634</v>
      </c>
      <c r="C450" s="11" t="s">
        <v>1635</v>
      </c>
      <c r="D450" s="12"/>
      <c r="E450" s="12" t="s">
        <v>1719</v>
      </c>
      <c r="F450" s="12" t="s">
        <v>58</v>
      </c>
      <c r="G450" s="13">
        <v>1</v>
      </c>
      <c r="H450" s="13"/>
      <c r="I450" s="13">
        <v>300.07</v>
      </c>
      <c r="J450" s="14">
        <f>IFERROR(ROUND(SUM(M451,M452,M453,M454)/I450, 2),0)</f>
        <v>1614.12</v>
      </c>
      <c r="K450" s="15">
        <v>2363.9899999999998</v>
      </c>
      <c r="L450" s="14">
        <f>J450+ROUND(K450, 2)</f>
        <v>3978.1099999999997</v>
      </c>
      <c r="M450" s="14">
        <f>ROUND(J450*I450, 2)</f>
        <v>484348.99</v>
      </c>
      <c r="N450" s="14">
        <f>ROUND(I450*ROUND(K450, 2), 2)</f>
        <v>709362.48</v>
      </c>
      <c r="O450" s="14">
        <f>M450+N450</f>
        <v>1193711.47</v>
      </c>
      <c r="P450" s="14">
        <f>IFERROR(ROUND(SUM(S451,S452,S453,S454)/I450, 2),0)</f>
        <v>1614.12</v>
      </c>
      <c r="Q450" s="16">
        <v>3377.13</v>
      </c>
      <c r="R450" s="14">
        <f>P450+ROUND(Q450, 2)</f>
        <v>4991.25</v>
      </c>
      <c r="S450" s="14">
        <f>ROUND(P450*I450, 2)</f>
        <v>484348.99</v>
      </c>
      <c r="T450" s="14">
        <f>ROUND(I450*ROUND(Q450, 2), 2)</f>
        <v>1013375.4</v>
      </c>
      <c r="U450" s="14">
        <f>S450+T450</f>
        <v>1497724.3900000001</v>
      </c>
      <c r="V450" s="9">
        <f>ROUND(P450 / 1.2, 2)</f>
        <v>1345.1</v>
      </c>
      <c r="W450" s="9">
        <f>ROUND(Q450 / 1.2, 2)</f>
        <v>2814.28</v>
      </c>
      <c r="X450" s="9">
        <f>ROUND(R450 / 1.2, 2)</f>
        <v>4159.38</v>
      </c>
      <c r="Y450" s="9">
        <f t="shared" si="23"/>
        <v>403624.16</v>
      </c>
      <c r="Z450" s="9">
        <f>ROUND(T450 / 1.2, 2)</f>
        <v>844479.5</v>
      </c>
      <c r="AA450" s="9">
        <f>Y450+Z450</f>
        <v>1248103.6599999999</v>
      </c>
      <c r="AD450" s="4">
        <v>311044475</v>
      </c>
      <c r="AE450" s="4">
        <v>22879024</v>
      </c>
      <c r="AG450" s="4" t="s">
        <v>1637</v>
      </c>
      <c r="AH450" s="4" t="s">
        <v>1638</v>
      </c>
      <c r="AI450" s="4" t="s">
        <v>469</v>
      </c>
    </row>
    <row r="451" spans="1:35" ht="36" x14ac:dyDescent="0.3">
      <c r="A451" s="10" t="s">
        <v>1720</v>
      </c>
      <c r="B451" s="10"/>
      <c r="C451" s="23" t="s">
        <v>1106</v>
      </c>
      <c r="D451" s="12"/>
      <c r="E451" s="12"/>
      <c r="F451" s="18" t="s">
        <v>99</v>
      </c>
      <c r="G451" s="19">
        <v>1.2</v>
      </c>
      <c r="H451" s="24"/>
      <c r="I451" s="24">
        <v>1800.42</v>
      </c>
      <c r="J451" s="20">
        <v>16.38</v>
      </c>
      <c r="M451" s="21">
        <f>ROUND(ROUND(J451, 2)*I451, 2)</f>
        <v>29490.880000000001</v>
      </c>
      <c r="P451" s="22">
        <v>16.38</v>
      </c>
      <c r="S451" s="21">
        <f>ROUND(ROUND(P451, 2)*I451, 2)</f>
        <v>29490.880000000001</v>
      </c>
      <c r="V451" s="9">
        <f>ROUND(ROUND(P451, 2)/1.2, 2)</f>
        <v>13.65</v>
      </c>
      <c r="Y451" s="9">
        <f t="shared" si="23"/>
        <v>24575.73</v>
      </c>
      <c r="AD451" s="4" t="s">
        <v>1721</v>
      </c>
      <c r="AE451" s="4" t="s">
        <v>1722</v>
      </c>
      <c r="AF451" s="4" t="s">
        <v>1109</v>
      </c>
    </row>
    <row r="452" spans="1:35" ht="36" x14ac:dyDescent="0.3">
      <c r="A452" s="10" t="s">
        <v>1723</v>
      </c>
      <c r="B452" s="10"/>
      <c r="C452" s="17" t="s">
        <v>870</v>
      </c>
      <c r="D452" s="12"/>
      <c r="E452" s="12"/>
      <c r="F452" s="18" t="s">
        <v>99</v>
      </c>
      <c r="G452" s="19">
        <v>0.15</v>
      </c>
      <c r="H452" s="19"/>
      <c r="I452" s="19">
        <v>45.011000000000003</v>
      </c>
      <c r="J452" s="20">
        <v>69.540000000000006</v>
      </c>
      <c r="M452" s="21">
        <f>ROUND(ROUND(J452, 2)*I452, 2)</f>
        <v>3130.06</v>
      </c>
      <c r="P452" s="22">
        <v>69.540000000000006</v>
      </c>
      <c r="S452" s="21">
        <f>ROUND(ROUND(P452, 2)*I452, 2)</f>
        <v>3130.06</v>
      </c>
      <c r="V452" s="9">
        <f>ROUND(ROUND(P452, 2)/1.2, 2)</f>
        <v>57.95</v>
      </c>
      <c r="Y452" s="9">
        <f t="shared" si="23"/>
        <v>2608.38</v>
      </c>
      <c r="AD452" s="4" t="s">
        <v>1724</v>
      </c>
      <c r="AE452" s="4" t="s">
        <v>1725</v>
      </c>
      <c r="AF452" s="4" t="s">
        <v>873</v>
      </c>
    </row>
    <row r="453" spans="1:35" ht="18" x14ac:dyDescent="0.3">
      <c r="A453" s="10" t="s">
        <v>1726</v>
      </c>
      <c r="B453" s="10"/>
      <c r="C453" s="17" t="s">
        <v>1116</v>
      </c>
      <c r="D453" s="12"/>
      <c r="E453" s="12"/>
      <c r="F453" s="18" t="s">
        <v>99</v>
      </c>
      <c r="G453" s="19">
        <v>0.25</v>
      </c>
      <c r="H453" s="24"/>
      <c r="I453" s="24">
        <v>75.018000000000001</v>
      </c>
      <c r="J453" s="20">
        <v>40.94</v>
      </c>
      <c r="M453" s="21">
        <f>ROUND(ROUND(J453, 2)*I453, 2)</f>
        <v>3071.24</v>
      </c>
      <c r="P453" s="22">
        <v>40.94</v>
      </c>
      <c r="S453" s="21">
        <f>ROUND(ROUND(P453, 2)*I453, 2)</f>
        <v>3071.24</v>
      </c>
      <c r="V453" s="9">
        <f>ROUND(ROUND(P453, 2)/1.2, 2)</f>
        <v>34.119999999999997</v>
      </c>
      <c r="Y453" s="9">
        <f t="shared" si="23"/>
        <v>2559.37</v>
      </c>
      <c r="AD453" s="4" t="s">
        <v>1727</v>
      </c>
      <c r="AE453" s="4" t="s">
        <v>1728</v>
      </c>
      <c r="AF453" s="4" t="s">
        <v>1119</v>
      </c>
    </row>
    <row r="454" spans="1:35" ht="90" x14ac:dyDescent="0.3">
      <c r="A454" s="10" t="s">
        <v>1729</v>
      </c>
      <c r="B454" s="10"/>
      <c r="C454" s="17" t="s">
        <v>1730</v>
      </c>
      <c r="D454" s="12"/>
      <c r="E454" s="12" t="s">
        <v>1731</v>
      </c>
      <c r="F454" s="18" t="s">
        <v>58</v>
      </c>
      <c r="G454" s="19">
        <v>1.07</v>
      </c>
      <c r="H454" s="24"/>
      <c r="I454" s="24">
        <v>321.07499999999999</v>
      </c>
      <c r="J454" s="20">
        <v>1397.36</v>
      </c>
      <c r="M454" s="21">
        <f>ROUND(ROUND(J454, 2)*I454, 2)</f>
        <v>448657.36</v>
      </c>
      <c r="P454" s="22">
        <v>1397.36</v>
      </c>
      <c r="S454" s="21">
        <f>ROUND(ROUND(P454, 2)*I454, 2)</f>
        <v>448657.36</v>
      </c>
      <c r="V454" s="9">
        <f>ROUND(ROUND(P454, 2)/1.2, 2)</f>
        <v>1164.47</v>
      </c>
      <c r="Y454" s="9">
        <f t="shared" si="23"/>
        <v>373881.13</v>
      </c>
      <c r="AD454" s="4" t="s">
        <v>1732</v>
      </c>
      <c r="AE454" s="4" t="s">
        <v>1733</v>
      </c>
      <c r="AF454" s="4" t="s">
        <v>1734</v>
      </c>
    </row>
    <row r="455" spans="1:35" ht="126" x14ac:dyDescent="0.3">
      <c r="A455" s="10" t="s">
        <v>1735</v>
      </c>
      <c r="B455" s="10" t="s">
        <v>1634</v>
      </c>
      <c r="C455" s="11" t="s">
        <v>1635</v>
      </c>
      <c r="D455" s="12"/>
      <c r="E455" s="12" t="s">
        <v>1736</v>
      </c>
      <c r="F455" s="12" t="s">
        <v>58</v>
      </c>
      <c r="G455" s="13">
        <v>1</v>
      </c>
      <c r="H455" s="13"/>
      <c r="I455" s="13">
        <v>1428.26</v>
      </c>
      <c r="J455" s="14">
        <f>IFERROR(ROUND(SUM(M456,M457,M458,M459)/I455, 2),0)</f>
        <v>1146.95</v>
      </c>
      <c r="K455" s="15">
        <v>2363.9899999999998</v>
      </c>
      <c r="L455" s="14">
        <f>J455+ROUND(K455, 2)</f>
        <v>3510.9399999999996</v>
      </c>
      <c r="M455" s="14">
        <f>ROUND(J455*I455, 2)</f>
        <v>1638142.81</v>
      </c>
      <c r="N455" s="14">
        <f>ROUND(I455*ROUND(K455, 2), 2)</f>
        <v>3376392.36</v>
      </c>
      <c r="O455" s="14">
        <f>M455+N455</f>
        <v>5014535.17</v>
      </c>
      <c r="P455" s="14">
        <f>IFERROR(ROUND(SUM(S456,S457,S458,S459)/I455, 2),0)</f>
        <v>781.81</v>
      </c>
      <c r="Q455" s="16">
        <v>3377.13</v>
      </c>
      <c r="R455" s="14">
        <f>P455+ROUND(Q455, 2)</f>
        <v>4158.9400000000005</v>
      </c>
      <c r="S455" s="14">
        <f>ROUND(P455*I455, 2)</f>
        <v>1116627.95</v>
      </c>
      <c r="T455" s="14">
        <f>ROUND(I455*ROUND(Q455, 2), 2)</f>
        <v>4823419.6900000004</v>
      </c>
      <c r="U455" s="14">
        <f>S455+T455</f>
        <v>5940047.6400000006</v>
      </c>
      <c r="V455" s="9">
        <f>ROUND(P455 / 1.2, 2)</f>
        <v>651.51</v>
      </c>
      <c r="W455" s="9">
        <f>ROUND(Q455 / 1.2, 2)</f>
        <v>2814.28</v>
      </c>
      <c r="X455" s="9">
        <f>ROUND(R455 / 1.2, 2)</f>
        <v>3465.78</v>
      </c>
      <c r="Y455" s="9">
        <f t="shared" si="23"/>
        <v>930523.29</v>
      </c>
      <c r="Z455" s="9">
        <f>ROUND(T455 / 1.2, 2)</f>
        <v>4019516.41</v>
      </c>
      <c r="AA455" s="9">
        <f>Y455+Z455</f>
        <v>4950039.7</v>
      </c>
      <c r="AD455" s="4">
        <v>311044476</v>
      </c>
      <c r="AE455" s="4">
        <v>22879025</v>
      </c>
      <c r="AG455" s="4" t="s">
        <v>1637</v>
      </c>
      <c r="AH455" s="4" t="s">
        <v>1638</v>
      </c>
      <c r="AI455" s="4" t="s">
        <v>469</v>
      </c>
    </row>
    <row r="456" spans="1:35" ht="18" x14ac:dyDescent="0.3">
      <c r="A456" s="10" t="s">
        <v>1737</v>
      </c>
      <c r="B456" s="10"/>
      <c r="C456" s="17" t="s">
        <v>1116</v>
      </c>
      <c r="D456" s="12"/>
      <c r="E456" s="12"/>
      <c r="F456" s="18" t="s">
        <v>99</v>
      </c>
      <c r="G456" s="19">
        <v>0.25</v>
      </c>
      <c r="H456" s="24"/>
      <c r="I456" s="24">
        <v>357.065</v>
      </c>
      <c r="J456" s="20">
        <v>40.94</v>
      </c>
      <c r="M456" s="21">
        <f>ROUND(ROUND(J456, 2)*I456, 2)</f>
        <v>14618.24</v>
      </c>
      <c r="P456" s="22">
        <v>40.94</v>
      </c>
      <c r="S456" s="21">
        <f>ROUND(ROUND(P456, 2)*I456, 2)</f>
        <v>14618.24</v>
      </c>
      <c r="V456" s="9">
        <f>ROUND(ROUND(P456, 2)/1.2, 2)</f>
        <v>34.119999999999997</v>
      </c>
      <c r="Y456" s="9">
        <f t="shared" si="23"/>
        <v>12181.87</v>
      </c>
      <c r="AD456" s="4" t="s">
        <v>1738</v>
      </c>
      <c r="AE456" s="4" t="s">
        <v>1739</v>
      </c>
      <c r="AF456" s="4" t="s">
        <v>1119</v>
      </c>
    </row>
    <row r="457" spans="1:35" ht="36" x14ac:dyDescent="0.3">
      <c r="A457" s="10" t="s">
        <v>1740</v>
      </c>
      <c r="B457" s="10"/>
      <c r="C457" s="17" t="s">
        <v>870</v>
      </c>
      <c r="D457" s="12"/>
      <c r="E457" s="12"/>
      <c r="F457" s="18" t="s">
        <v>99</v>
      </c>
      <c r="G457" s="19">
        <v>0.15</v>
      </c>
      <c r="H457" s="19"/>
      <c r="I457" s="19">
        <v>214.239</v>
      </c>
      <c r="J457" s="20">
        <v>69.540000000000006</v>
      </c>
      <c r="M457" s="21">
        <f>ROUND(ROUND(J457, 2)*I457, 2)</f>
        <v>14898.18</v>
      </c>
      <c r="P457" s="22">
        <v>69.540000000000006</v>
      </c>
      <c r="S457" s="21">
        <f>ROUND(ROUND(P457, 2)*I457, 2)</f>
        <v>14898.18</v>
      </c>
      <c r="V457" s="9">
        <f>ROUND(ROUND(P457, 2)/1.2, 2)</f>
        <v>57.95</v>
      </c>
      <c r="Y457" s="9">
        <f t="shared" si="23"/>
        <v>12415.15</v>
      </c>
      <c r="AD457" s="4" t="s">
        <v>1741</v>
      </c>
      <c r="AE457" s="4" t="s">
        <v>1742</v>
      </c>
      <c r="AF457" s="4" t="s">
        <v>873</v>
      </c>
    </row>
    <row r="458" spans="1:35" ht="36" x14ac:dyDescent="0.3">
      <c r="A458" s="10" t="s">
        <v>1743</v>
      </c>
      <c r="B458" s="10"/>
      <c r="C458" s="23" t="s">
        <v>1106</v>
      </c>
      <c r="D458" s="12"/>
      <c r="E458" s="12"/>
      <c r="F458" s="18" t="s">
        <v>99</v>
      </c>
      <c r="G458" s="19">
        <v>1.2</v>
      </c>
      <c r="H458" s="24"/>
      <c r="I458" s="24">
        <v>8569.56</v>
      </c>
      <c r="J458" s="20">
        <v>16.38</v>
      </c>
      <c r="M458" s="21">
        <f>ROUND(ROUND(J458, 2)*I458, 2)</f>
        <v>140369.39000000001</v>
      </c>
      <c r="P458" s="22">
        <v>16.38</v>
      </c>
      <c r="S458" s="21">
        <f>ROUND(ROUND(P458, 2)*I458, 2)</f>
        <v>140369.39000000001</v>
      </c>
      <c r="V458" s="9">
        <f>ROUND(ROUND(P458, 2)/1.2, 2)</f>
        <v>13.65</v>
      </c>
      <c r="Y458" s="9">
        <f t="shared" si="23"/>
        <v>116974.49</v>
      </c>
      <c r="AD458" s="4" t="s">
        <v>1744</v>
      </c>
      <c r="AE458" s="4" t="s">
        <v>1745</v>
      </c>
      <c r="AF458" s="4" t="s">
        <v>1109</v>
      </c>
    </row>
    <row r="459" spans="1:35" ht="54" x14ac:dyDescent="0.3">
      <c r="A459" s="10" t="s">
        <v>1746</v>
      </c>
      <c r="B459" s="10"/>
      <c r="C459" s="23" t="s">
        <v>1649</v>
      </c>
      <c r="D459" s="12"/>
      <c r="E459" s="12" t="s">
        <v>1747</v>
      </c>
      <c r="F459" s="18" t="s">
        <v>58</v>
      </c>
      <c r="G459" s="19">
        <v>1.07</v>
      </c>
      <c r="H459" s="24"/>
      <c r="I459" s="24">
        <v>1528.2380000000001</v>
      </c>
      <c r="J459" s="20">
        <v>960.75</v>
      </c>
      <c r="M459" s="21">
        <f>ROUND(ROUND(J459, 2)*I459, 2)</f>
        <v>1468254.66</v>
      </c>
      <c r="P459" s="22">
        <v>619.5</v>
      </c>
      <c r="S459" s="21">
        <f>ROUND(ROUND(P459, 2)*I459, 2)</f>
        <v>946743.44</v>
      </c>
      <c r="V459" s="9">
        <f>ROUND(ROUND(P459, 2)/1.2, 2)</f>
        <v>516.25</v>
      </c>
      <c r="Y459" s="9">
        <f t="shared" si="23"/>
        <v>788952.87</v>
      </c>
      <c r="AD459" s="4" t="s">
        <v>1748</v>
      </c>
      <c r="AE459" s="4" t="s">
        <v>1749</v>
      </c>
      <c r="AF459" s="4" t="s">
        <v>1652</v>
      </c>
    </row>
    <row r="460" spans="1:35" ht="144" x14ac:dyDescent="0.3">
      <c r="A460" s="10" t="s">
        <v>1750</v>
      </c>
      <c r="B460" s="10" t="s">
        <v>1634</v>
      </c>
      <c r="C460" s="11" t="s">
        <v>1635</v>
      </c>
      <c r="D460" s="12"/>
      <c r="E460" s="12" t="s">
        <v>1751</v>
      </c>
      <c r="F460" s="12" t="s">
        <v>58</v>
      </c>
      <c r="G460" s="13">
        <v>1</v>
      </c>
      <c r="H460" s="13"/>
      <c r="I460" s="13">
        <v>40.700000000000003</v>
      </c>
      <c r="J460" s="14">
        <f>IFERROR(ROUND(SUM(M461,M462,M463)/I460, 2),0)</f>
        <v>1603.69</v>
      </c>
      <c r="K460" s="15">
        <v>2363.9899999999998</v>
      </c>
      <c r="L460" s="14">
        <f>J460+ROUND(K460, 2)</f>
        <v>3967.68</v>
      </c>
      <c r="M460" s="14">
        <f>ROUND(J460*I460, 2)</f>
        <v>65270.18</v>
      </c>
      <c r="N460" s="14">
        <f>ROUND(I460*ROUND(K460, 2), 2)</f>
        <v>96214.39</v>
      </c>
      <c r="O460" s="14">
        <f>M460+N460</f>
        <v>161484.57</v>
      </c>
      <c r="P460" s="14">
        <f>IFERROR(ROUND(SUM(S461,S462,S463)/I460, 2),0)</f>
        <v>1603.69</v>
      </c>
      <c r="Q460" s="16">
        <v>3377.13</v>
      </c>
      <c r="R460" s="14">
        <f>P460+ROUND(Q460, 2)</f>
        <v>4980.82</v>
      </c>
      <c r="S460" s="14">
        <f>ROUND(P460*I460, 2)</f>
        <v>65270.18</v>
      </c>
      <c r="T460" s="14">
        <f>ROUND(I460*ROUND(Q460, 2), 2)</f>
        <v>137449.19</v>
      </c>
      <c r="U460" s="14">
        <f>S460+T460</f>
        <v>202719.37</v>
      </c>
      <c r="V460" s="9">
        <f>ROUND(P460 / 1.2, 2)</f>
        <v>1336.41</v>
      </c>
      <c r="W460" s="9">
        <f>ROUND(Q460 / 1.2, 2)</f>
        <v>2814.28</v>
      </c>
      <c r="X460" s="9">
        <f>ROUND(R460 / 1.2, 2)</f>
        <v>4150.68</v>
      </c>
      <c r="Y460" s="9">
        <f t="shared" si="23"/>
        <v>54391.82</v>
      </c>
      <c r="Z460" s="9">
        <f>ROUND(T460 / 1.2, 2)</f>
        <v>114540.99</v>
      </c>
      <c r="AA460" s="9">
        <f>Y460+Z460</f>
        <v>168932.81</v>
      </c>
      <c r="AD460" s="4">
        <v>311044477</v>
      </c>
      <c r="AE460" s="4">
        <v>22879033</v>
      </c>
      <c r="AG460" s="4" t="s">
        <v>1637</v>
      </c>
      <c r="AH460" s="4" t="s">
        <v>1638</v>
      </c>
      <c r="AI460" s="4" t="s">
        <v>469</v>
      </c>
    </row>
    <row r="461" spans="1:35" ht="36" x14ac:dyDescent="0.3">
      <c r="A461" s="10" t="s">
        <v>1752</v>
      </c>
      <c r="B461" s="10"/>
      <c r="C461" s="23" t="s">
        <v>1106</v>
      </c>
      <c r="D461" s="12"/>
      <c r="E461" s="12"/>
      <c r="F461" s="18" t="s">
        <v>99</v>
      </c>
      <c r="G461" s="19">
        <v>1.2</v>
      </c>
      <c r="H461" s="24"/>
      <c r="I461" s="24">
        <v>244.2</v>
      </c>
      <c r="J461" s="20">
        <v>16.38</v>
      </c>
      <c r="M461" s="21">
        <f>ROUND(ROUND(J461, 2)*I461, 2)</f>
        <v>4000</v>
      </c>
      <c r="P461" s="22">
        <v>16.38</v>
      </c>
      <c r="S461" s="21">
        <f>ROUND(ROUND(P461, 2)*I461, 2)</f>
        <v>4000</v>
      </c>
      <c r="V461" s="9">
        <f>ROUND(ROUND(P461, 2)/1.2, 2)</f>
        <v>13.65</v>
      </c>
      <c r="Y461" s="9">
        <f t="shared" si="23"/>
        <v>3333.33</v>
      </c>
      <c r="AD461" s="4" t="s">
        <v>1753</v>
      </c>
      <c r="AE461" s="4" t="s">
        <v>1754</v>
      </c>
      <c r="AF461" s="4" t="s">
        <v>1109</v>
      </c>
    </row>
    <row r="462" spans="1:35" ht="18" x14ac:dyDescent="0.3">
      <c r="A462" s="10" t="s">
        <v>1755</v>
      </c>
      <c r="B462" s="10"/>
      <c r="C462" s="17" t="s">
        <v>1116</v>
      </c>
      <c r="D462" s="12"/>
      <c r="E462" s="12"/>
      <c r="F462" s="18" t="s">
        <v>99</v>
      </c>
      <c r="G462" s="19">
        <v>0.25</v>
      </c>
      <c r="H462" s="24"/>
      <c r="I462" s="24">
        <v>10.175000000000001</v>
      </c>
      <c r="J462" s="20">
        <v>40.94</v>
      </c>
      <c r="M462" s="21">
        <f>ROUND(ROUND(J462, 2)*I462, 2)</f>
        <v>416.56</v>
      </c>
      <c r="P462" s="22">
        <v>40.94</v>
      </c>
      <c r="S462" s="21">
        <f>ROUND(ROUND(P462, 2)*I462, 2)</f>
        <v>416.56</v>
      </c>
      <c r="V462" s="9">
        <f>ROUND(ROUND(P462, 2)/1.2, 2)</f>
        <v>34.119999999999997</v>
      </c>
      <c r="Y462" s="9">
        <f t="shared" si="23"/>
        <v>347.13</v>
      </c>
      <c r="AD462" s="4" t="s">
        <v>1756</v>
      </c>
      <c r="AE462" s="4" t="s">
        <v>1757</v>
      </c>
      <c r="AF462" s="4" t="s">
        <v>1119</v>
      </c>
    </row>
    <row r="463" spans="1:35" ht="108" x14ac:dyDescent="0.3">
      <c r="A463" s="10" t="s">
        <v>1758</v>
      </c>
      <c r="B463" s="10"/>
      <c r="C463" s="17" t="s">
        <v>1730</v>
      </c>
      <c r="D463" s="12"/>
      <c r="E463" s="12" t="s">
        <v>1759</v>
      </c>
      <c r="F463" s="18" t="s">
        <v>58</v>
      </c>
      <c r="G463" s="19">
        <v>1.07</v>
      </c>
      <c r="H463" s="24"/>
      <c r="I463" s="24">
        <v>43.548999999999999</v>
      </c>
      <c r="J463" s="20">
        <v>1397.36</v>
      </c>
      <c r="M463" s="21">
        <f>ROUND(ROUND(J463, 2)*I463, 2)</f>
        <v>60853.63</v>
      </c>
      <c r="P463" s="22">
        <v>1397.36</v>
      </c>
      <c r="S463" s="21">
        <f>ROUND(ROUND(P463, 2)*I463, 2)</f>
        <v>60853.63</v>
      </c>
      <c r="V463" s="9">
        <f>ROUND(ROUND(P463, 2)/1.2, 2)</f>
        <v>1164.47</v>
      </c>
      <c r="Y463" s="9">
        <f t="shared" si="23"/>
        <v>50711.360000000001</v>
      </c>
      <c r="AD463" s="4" t="s">
        <v>1760</v>
      </c>
      <c r="AE463" s="4" t="s">
        <v>1761</v>
      </c>
      <c r="AF463" s="4" t="s">
        <v>1734</v>
      </c>
    </row>
    <row r="464" spans="1:35" ht="108" x14ac:dyDescent="0.3">
      <c r="A464" s="10" t="s">
        <v>1762</v>
      </c>
      <c r="B464" s="10" t="s">
        <v>1634</v>
      </c>
      <c r="C464" s="11" t="s">
        <v>1635</v>
      </c>
      <c r="D464" s="12"/>
      <c r="E464" s="12" t="s">
        <v>1763</v>
      </c>
      <c r="F464" s="12" t="s">
        <v>58</v>
      </c>
      <c r="G464" s="13">
        <v>1</v>
      </c>
      <c r="H464" s="13"/>
      <c r="I464" s="13">
        <v>1069.25</v>
      </c>
      <c r="J464" s="14">
        <f>IFERROR(ROUND(SUM(M465,M466,M467,M468)/I464, 2),0)</f>
        <v>1614.12</v>
      </c>
      <c r="K464" s="15">
        <v>2363.9899999999998</v>
      </c>
      <c r="L464" s="14">
        <f>J464+ROUND(K464, 2)</f>
        <v>3978.1099999999997</v>
      </c>
      <c r="M464" s="14">
        <f>ROUND(J464*I464, 2)</f>
        <v>1725897.81</v>
      </c>
      <c r="N464" s="14">
        <f>ROUND(I464*ROUND(K464, 2), 2)</f>
        <v>2527696.31</v>
      </c>
      <c r="O464" s="14">
        <f>M464+N464</f>
        <v>4253594.12</v>
      </c>
      <c r="P464" s="14">
        <f>IFERROR(ROUND(SUM(S465,S466,S467,S468)/I464, 2),0)</f>
        <v>1614.12</v>
      </c>
      <c r="Q464" s="16">
        <v>3377.13</v>
      </c>
      <c r="R464" s="14">
        <f>P464+ROUND(Q464, 2)</f>
        <v>4991.25</v>
      </c>
      <c r="S464" s="14">
        <f>ROUND(P464*I464, 2)</f>
        <v>1725897.81</v>
      </c>
      <c r="T464" s="14">
        <f>ROUND(I464*ROUND(Q464, 2), 2)</f>
        <v>3610996.25</v>
      </c>
      <c r="U464" s="14">
        <f>S464+T464</f>
        <v>5336894.0600000005</v>
      </c>
      <c r="V464" s="9">
        <f>ROUND(P464 / 1.2, 2)</f>
        <v>1345.1</v>
      </c>
      <c r="W464" s="9">
        <f>ROUND(Q464 / 1.2, 2)</f>
        <v>2814.28</v>
      </c>
      <c r="X464" s="9">
        <f>ROUND(R464 / 1.2, 2)</f>
        <v>4159.38</v>
      </c>
      <c r="Y464" s="9">
        <f t="shared" si="23"/>
        <v>1438248.18</v>
      </c>
      <c r="Z464" s="9">
        <f>ROUND(T464 / 1.2, 2)</f>
        <v>3009163.54</v>
      </c>
      <c r="AA464" s="9">
        <f>Y464+Z464</f>
        <v>4447411.72</v>
      </c>
      <c r="AD464" s="4">
        <v>311044478</v>
      </c>
      <c r="AE464" s="4">
        <v>22879031</v>
      </c>
      <c r="AG464" s="4" t="s">
        <v>1637</v>
      </c>
      <c r="AH464" s="4" t="s">
        <v>1638</v>
      </c>
      <c r="AI464" s="4" t="s">
        <v>469</v>
      </c>
    </row>
    <row r="465" spans="1:35" ht="54" x14ac:dyDescent="0.3">
      <c r="A465" s="10" t="s">
        <v>1764</v>
      </c>
      <c r="B465" s="10"/>
      <c r="C465" s="17" t="s">
        <v>1730</v>
      </c>
      <c r="D465" s="12"/>
      <c r="E465" s="12" t="s">
        <v>1765</v>
      </c>
      <c r="F465" s="18" t="s">
        <v>58</v>
      </c>
      <c r="G465" s="19">
        <v>1.07</v>
      </c>
      <c r="H465" s="24"/>
      <c r="I465" s="24">
        <v>1144.098</v>
      </c>
      <c r="J465" s="20">
        <v>1397.36</v>
      </c>
      <c r="M465" s="21">
        <f>ROUND(ROUND(J465, 2)*I465, 2)</f>
        <v>1598716.78</v>
      </c>
      <c r="P465" s="22">
        <v>1397.36</v>
      </c>
      <c r="S465" s="21">
        <f>ROUND(ROUND(P465, 2)*I465, 2)</f>
        <v>1598716.78</v>
      </c>
      <c r="V465" s="9">
        <f>ROUND(ROUND(P465, 2)/1.2, 2)</f>
        <v>1164.47</v>
      </c>
      <c r="Y465" s="9">
        <f t="shared" si="23"/>
        <v>1332263.98</v>
      </c>
      <c r="AD465" s="4" t="s">
        <v>1766</v>
      </c>
      <c r="AE465" s="4" t="s">
        <v>1767</v>
      </c>
      <c r="AF465" s="4" t="s">
        <v>1734</v>
      </c>
    </row>
    <row r="466" spans="1:35" ht="18" x14ac:dyDescent="0.3">
      <c r="A466" s="10" t="s">
        <v>1768</v>
      </c>
      <c r="B466" s="10"/>
      <c r="C466" s="17" t="s">
        <v>1116</v>
      </c>
      <c r="D466" s="12"/>
      <c r="E466" s="12"/>
      <c r="F466" s="18" t="s">
        <v>99</v>
      </c>
      <c r="G466" s="19">
        <v>0.25</v>
      </c>
      <c r="H466" s="24"/>
      <c r="I466" s="24">
        <v>267.31299999999999</v>
      </c>
      <c r="J466" s="20">
        <v>40.94</v>
      </c>
      <c r="M466" s="21">
        <f>ROUND(ROUND(J466, 2)*I466, 2)</f>
        <v>10943.79</v>
      </c>
      <c r="P466" s="22">
        <v>40.94</v>
      </c>
      <c r="S466" s="21">
        <f>ROUND(ROUND(P466, 2)*I466, 2)</f>
        <v>10943.79</v>
      </c>
      <c r="V466" s="9">
        <f>ROUND(ROUND(P466, 2)/1.2, 2)</f>
        <v>34.119999999999997</v>
      </c>
      <c r="Y466" s="9">
        <f t="shared" si="23"/>
        <v>9119.83</v>
      </c>
      <c r="AD466" s="4" t="s">
        <v>1769</v>
      </c>
      <c r="AE466" s="4" t="s">
        <v>1770</v>
      </c>
      <c r="AF466" s="4" t="s">
        <v>1119</v>
      </c>
    </row>
    <row r="467" spans="1:35" ht="36" x14ac:dyDescent="0.3">
      <c r="A467" s="10" t="s">
        <v>1771</v>
      </c>
      <c r="B467" s="10"/>
      <c r="C467" s="17" t="s">
        <v>870</v>
      </c>
      <c r="D467" s="12"/>
      <c r="E467" s="12"/>
      <c r="F467" s="18" t="s">
        <v>99</v>
      </c>
      <c r="G467" s="19">
        <v>0.15</v>
      </c>
      <c r="H467" s="19"/>
      <c r="I467" s="19">
        <v>160.38800000000001</v>
      </c>
      <c r="J467" s="20">
        <v>69.540000000000006</v>
      </c>
      <c r="M467" s="21">
        <f>ROUND(ROUND(J467, 2)*I467, 2)</f>
        <v>11153.38</v>
      </c>
      <c r="P467" s="22">
        <v>69.540000000000006</v>
      </c>
      <c r="S467" s="21">
        <f>ROUND(ROUND(P467, 2)*I467, 2)</f>
        <v>11153.38</v>
      </c>
      <c r="V467" s="9">
        <f>ROUND(ROUND(P467, 2)/1.2, 2)</f>
        <v>57.95</v>
      </c>
      <c r="Y467" s="9">
        <f t="shared" si="23"/>
        <v>9294.48</v>
      </c>
      <c r="AD467" s="4" t="s">
        <v>1772</v>
      </c>
      <c r="AE467" s="4" t="s">
        <v>1773</v>
      </c>
      <c r="AF467" s="4" t="s">
        <v>873</v>
      </c>
    </row>
    <row r="468" spans="1:35" ht="36" x14ac:dyDescent="0.3">
      <c r="A468" s="10" t="s">
        <v>1774</v>
      </c>
      <c r="B468" s="10"/>
      <c r="C468" s="23" t="s">
        <v>1106</v>
      </c>
      <c r="D468" s="12"/>
      <c r="E468" s="12"/>
      <c r="F468" s="18" t="s">
        <v>99</v>
      </c>
      <c r="G468" s="19">
        <v>1.2</v>
      </c>
      <c r="H468" s="24"/>
      <c r="I468" s="24">
        <v>6415.5</v>
      </c>
      <c r="J468" s="20">
        <v>16.38</v>
      </c>
      <c r="M468" s="21">
        <f>ROUND(ROUND(J468, 2)*I468, 2)</f>
        <v>105085.89</v>
      </c>
      <c r="P468" s="22">
        <v>16.38</v>
      </c>
      <c r="S468" s="21">
        <f>ROUND(ROUND(P468, 2)*I468, 2)</f>
        <v>105085.89</v>
      </c>
      <c r="V468" s="9">
        <f>ROUND(ROUND(P468, 2)/1.2, 2)</f>
        <v>13.65</v>
      </c>
      <c r="Y468" s="9">
        <f t="shared" si="23"/>
        <v>87571.58</v>
      </c>
      <c r="AD468" s="4" t="s">
        <v>1775</v>
      </c>
      <c r="AE468" s="4" t="s">
        <v>1776</v>
      </c>
      <c r="AF468" s="4" t="s">
        <v>1109</v>
      </c>
    </row>
    <row r="469" spans="1:35" ht="126" x14ac:dyDescent="0.3">
      <c r="A469" s="10" t="s">
        <v>1777</v>
      </c>
      <c r="B469" s="10" t="s">
        <v>1778</v>
      </c>
      <c r="C469" s="11" t="s">
        <v>1779</v>
      </c>
      <c r="D469" s="12"/>
      <c r="E469" s="12" t="s">
        <v>1780</v>
      </c>
      <c r="F469" s="12" t="s">
        <v>58</v>
      </c>
      <c r="G469" s="13">
        <v>1</v>
      </c>
      <c r="H469" s="13"/>
      <c r="I469" s="13">
        <v>7.45</v>
      </c>
      <c r="J469" s="14">
        <f>IFERROR(ROUND(SUM(M470,M471,M472,M473)/I469, 2),0)</f>
        <v>1069.53</v>
      </c>
      <c r="K469" s="15">
        <v>2983</v>
      </c>
      <c r="L469" s="14">
        <f>J469+ROUND(K469, 2)</f>
        <v>4052.5299999999997</v>
      </c>
      <c r="M469" s="14">
        <f>ROUND(J469*I469, 2)</f>
        <v>7968</v>
      </c>
      <c r="N469" s="14">
        <f>ROUND(I469*ROUND(K469, 2), 2)</f>
        <v>22223.35</v>
      </c>
      <c r="O469" s="14">
        <f>M469+N469</f>
        <v>30191.35</v>
      </c>
      <c r="P469" s="14">
        <f>IFERROR(ROUND(SUM(S470,S471,S472,S473)/I469, 2),0)</f>
        <v>2360.81</v>
      </c>
      <c r="Q469" s="16">
        <v>4261.43</v>
      </c>
      <c r="R469" s="14">
        <f>P469+ROUND(Q469, 2)</f>
        <v>6622.24</v>
      </c>
      <c r="S469" s="14">
        <f>ROUND(P469*I469, 2)</f>
        <v>17588.03</v>
      </c>
      <c r="T469" s="14">
        <f>ROUND(I469*ROUND(Q469, 2), 2)</f>
        <v>31747.65</v>
      </c>
      <c r="U469" s="14">
        <f>S469+T469</f>
        <v>49335.68</v>
      </c>
      <c r="V469" s="9">
        <f>ROUND(P469 / 1.2, 2)</f>
        <v>1967.34</v>
      </c>
      <c r="W469" s="9">
        <f>ROUND(Q469 / 1.2, 2)</f>
        <v>3551.19</v>
      </c>
      <c r="X469" s="9">
        <f>ROUND(R469 / 1.2, 2)</f>
        <v>5518.53</v>
      </c>
      <c r="Y469" s="9">
        <f t="shared" si="23"/>
        <v>14656.69</v>
      </c>
      <c r="Z469" s="9">
        <f>ROUND(T469 / 1.2, 2)</f>
        <v>26456.38</v>
      </c>
      <c r="AA469" s="9">
        <f>Y469+Z469</f>
        <v>41113.07</v>
      </c>
      <c r="AD469" s="4">
        <v>311044389</v>
      </c>
      <c r="AE469" s="4">
        <v>22879032</v>
      </c>
      <c r="AG469" s="4" t="s">
        <v>1781</v>
      </c>
      <c r="AH469" s="4" t="s">
        <v>1782</v>
      </c>
      <c r="AI469" s="4" t="s">
        <v>469</v>
      </c>
    </row>
    <row r="470" spans="1:35" ht="72" x14ac:dyDescent="0.3">
      <c r="A470" s="10" t="s">
        <v>1783</v>
      </c>
      <c r="B470" s="10"/>
      <c r="C470" s="23" t="s">
        <v>1784</v>
      </c>
      <c r="D470" s="12"/>
      <c r="E470" s="12" t="s">
        <v>1785</v>
      </c>
      <c r="F470" s="18" t="s">
        <v>58</v>
      </c>
      <c r="G470" s="19">
        <v>1.1000000000000001</v>
      </c>
      <c r="H470" s="24"/>
      <c r="I470" s="24">
        <v>8.1950000000000003</v>
      </c>
      <c r="J470" s="20">
        <v>864.16</v>
      </c>
      <c r="M470" s="21">
        <f>ROUND(ROUND(J470, 2)*I470, 2)</f>
        <v>7081.79</v>
      </c>
      <c r="P470" s="22">
        <v>2038.05</v>
      </c>
      <c r="S470" s="21">
        <f>ROUND(ROUND(P470, 2)*I470, 2)</f>
        <v>16701.82</v>
      </c>
      <c r="V470" s="9">
        <f>ROUND(ROUND(P470, 2)/1.2, 2)</f>
        <v>1698.38</v>
      </c>
      <c r="Y470" s="9">
        <f t="shared" si="23"/>
        <v>13918.18</v>
      </c>
      <c r="AD470" s="4" t="s">
        <v>1786</v>
      </c>
      <c r="AE470" s="4" t="s">
        <v>1787</v>
      </c>
      <c r="AF470" s="4" t="s">
        <v>1788</v>
      </c>
    </row>
    <row r="471" spans="1:35" ht="36" x14ac:dyDescent="0.3">
      <c r="A471" s="10" t="s">
        <v>1789</v>
      </c>
      <c r="B471" s="10"/>
      <c r="C471" s="23" t="s">
        <v>1106</v>
      </c>
      <c r="D471" s="12"/>
      <c r="E471" s="12"/>
      <c r="F471" s="18" t="s">
        <v>99</v>
      </c>
      <c r="G471" s="19">
        <v>1.2</v>
      </c>
      <c r="H471" s="24"/>
      <c r="I471" s="24">
        <v>44.7</v>
      </c>
      <c r="J471" s="20">
        <v>16.38</v>
      </c>
      <c r="M471" s="21">
        <f>ROUND(ROUND(J471, 2)*I471, 2)</f>
        <v>732.19</v>
      </c>
      <c r="P471" s="22">
        <v>16.38</v>
      </c>
      <c r="S471" s="21">
        <f>ROUND(ROUND(P471, 2)*I471, 2)</f>
        <v>732.19</v>
      </c>
      <c r="V471" s="9">
        <f>ROUND(ROUND(P471, 2)/1.2, 2)</f>
        <v>13.65</v>
      </c>
      <c r="Y471" s="9">
        <f t="shared" si="23"/>
        <v>610.16</v>
      </c>
      <c r="AD471" s="4" t="s">
        <v>1790</v>
      </c>
      <c r="AE471" s="4" t="s">
        <v>1791</v>
      </c>
      <c r="AF471" s="4" t="s">
        <v>1109</v>
      </c>
    </row>
    <row r="472" spans="1:35" ht="18" x14ac:dyDescent="0.3">
      <c r="A472" s="10" t="s">
        <v>1792</v>
      </c>
      <c r="B472" s="10"/>
      <c r="C472" s="17" t="s">
        <v>1116</v>
      </c>
      <c r="D472" s="12"/>
      <c r="E472" s="12"/>
      <c r="F472" s="18" t="s">
        <v>99</v>
      </c>
      <c r="G472" s="19">
        <v>0.25</v>
      </c>
      <c r="H472" s="24"/>
      <c r="I472" s="24">
        <v>1.863</v>
      </c>
      <c r="J472" s="20">
        <v>40.94</v>
      </c>
      <c r="M472" s="21">
        <f>ROUND(ROUND(J472, 2)*I472, 2)</f>
        <v>76.27</v>
      </c>
      <c r="P472" s="22">
        <v>40.94</v>
      </c>
      <c r="S472" s="21">
        <f>ROUND(ROUND(P472, 2)*I472, 2)</f>
        <v>76.27</v>
      </c>
      <c r="V472" s="9">
        <f>ROUND(ROUND(P472, 2)/1.2, 2)</f>
        <v>34.119999999999997</v>
      </c>
      <c r="Y472" s="9">
        <f t="shared" si="23"/>
        <v>63.56</v>
      </c>
      <c r="AD472" s="4" t="s">
        <v>1793</v>
      </c>
      <c r="AE472" s="4" t="s">
        <v>1794</v>
      </c>
      <c r="AF472" s="4" t="s">
        <v>1119</v>
      </c>
    </row>
    <row r="473" spans="1:35" ht="36" x14ac:dyDescent="0.3">
      <c r="A473" s="10" t="s">
        <v>1795</v>
      </c>
      <c r="B473" s="10"/>
      <c r="C473" s="17" t="s">
        <v>870</v>
      </c>
      <c r="D473" s="12"/>
      <c r="E473" s="12"/>
      <c r="F473" s="18" t="s">
        <v>99</v>
      </c>
      <c r="G473" s="19">
        <v>0.15</v>
      </c>
      <c r="H473" s="19"/>
      <c r="I473" s="19">
        <v>1.1180000000000001</v>
      </c>
      <c r="J473" s="20">
        <v>69.540000000000006</v>
      </c>
      <c r="M473" s="21">
        <f>ROUND(ROUND(J473, 2)*I473, 2)</f>
        <v>77.75</v>
      </c>
      <c r="P473" s="22">
        <v>69.540000000000006</v>
      </c>
      <c r="S473" s="21">
        <f>ROUND(ROUND(P473, 2)*I473, 2)</f>
        <v>77.75</v>
      </c>
      <c r="V473" s="9">
        <f>ROUND(ROUND(P473, 2)/1.2, 2)</f>
        <v>57.95</v>
      </c>
      <c r="Y473" s="9">
        <f t="shared" si="23"/>
        <v>64.790000000000006</v>
      </c>
      <c r="AD473" s="4" t="s">
        <v>1796</v>
      </c>
      <c r="AE473" s="4" t="s">
        <v>1797</v>
      </c>
      <c r="AF473" s="4" t="s">
        <v>873</v>
      </c>
    </row>
    <row r="474" spans="1:35" ht="16.95" customHeight="1" x14ac:dyDescent="0.3">
      <c r="A474" s="10" t="s">
        <v>1798</v>
      </c>
      <c r="B474" s="10" t="s">
        <v>1799</v>
      </c>
      <c r="C474" s="51" t="s">
        <v>1800</v>
      </c>
      <c r="D474" s="52"/>
      <c r="E474" s="52"/>
      <c r="F474" s="52"/>
      <c r="G474" s="52"/>
      <c r="H474" s="52"/>
      <c r="I474" s="53"/>
      <c r="M474" s="6">
        <f>SUM(M475,M500)</f>
        <v>2248383.2199999997</v>
      </c>
      <c r="N474" s="6">
        <f>SUM(N475,N500)</f>
        <v>20755018.799999997</v>
      </c>
      <c r="O474" s="6">
        <f>SUM(O475,O500)</f>
        <v>23003402.019999996</v>
      </c>
      <c r="S474" s="6">
        <f>SUM(S475,S500)</f>
        <v>2248383.2199999997</v>
      </c>
      <c r="T474" s="6">
        <f>SUM(T475,T500)</f>
        <v>29650044.970000003</v>
      </c>
      <c r="U474" s="6">
        <f>SUM(U475,U500)</f>
        <v>31898428.189999998</v>
      </c>
      <c r="Y474" s="9">
        <f>SUM(Y475,Y500)</f>
        <v>1873652.6899999997</v>
      </c>
      <c r="Z474" s="9">
        <f>SUM(Z475,Z500)</f>
        <v>24708370.82</v>
      </c>
      <c r="AA474" s="9">
        <f>SUM(AA475,AA500)</f>
        <v>26582023.509999998</v>
      </c>
      <c r="AD474" s="4">
        <v>311044390</v>
      </c>
      <c r="AE474" s="4">
        <v>22791230</v>
      </c>
    </row>
    <row r="475" spans="1:35" ht="16.95" customHeight="1" x14ac:dyDescent="0.3">
      <c r="A475" s="10" t="s">
        <v>1801</v>
      </c>
      <c r="B475" s="10" t="s">
        <v>1802</v>
      </c>
      <c r="C475" s="51" t="s">
        <v>1803</v>
      </c>
      <c r="D475" s="52"/>
      <c r="E475" s="52"/>
      <c r="F475" s="52"/>
      <c r="G475" s="52"/>
      <c r="H475" s="52"/>
      <c r="I475" s="53"/>
      <c r="M475" s="6">
        <f>SUM(M476,M479,M482,M485,M488,M491,M494,M497)</f>
        <v>1231625.92</v>
      </c>
      <c r="N475" s="6">
        <f>SUM(N476,N479,N482,N485,N488,N491,N494,N497)</f>
        <v>15048978.799999997</v>
      </c>
      <c r="O475" s="6">
        <f>SUM(O476,O479,O482,O485,O488,O491,O494,O497)</f>
        <v>16280604.719999999</v>
      </c>
      <c r="S475" s="6">
        <f>SUM(S476,S479,S482,S485,S488,S491,S494,S497)</f>
        <v>1231625.92</v>
      </c>
      <c r="T475" s="6">
        <f>SUM(T476,T479,T482,T485,T488,T491,T494,T497)</f>
        <v>21498524.130000003</v>
      </c>
      <c r="U475" s="6">
        <f>SUM(U476,U479,U482,U485,U488,U491,U494,U497)</f>
        <v>22730150.049999997</v>
      </c>
      <c r="Y475" s="9">
        <f>SUM(Y476,Y479,Y482,Y485,Y488,Y491,Y494,Y497)</f>
        <v>1026354.9399999997</v>
      </c>
      <c r="Z475" s="9">
        <f>SUM(Z476,Z479,Z482,Z485,Z488,Z491,Z494,Z497)</f>
        <v>17915436.780000001</v>
      </c>
      <c r="AA475" s="9">
        <f>SUM(AA476,AA479,AA482,AA485,AA488,AA491,AA494,AA497)</f>
        <v>18941791.719999999</v>
      </c>
      <c r="AD475" s="4">
        <v>311044391</v>
      </c>
      <c r="AE475" s="4">
        <v>22791233</v>
      </c>
    </row>
    <row r="476" spans="1:35" ht="90" x14ac:dyDescent="0.3">
      <c r="A476" s="10" t="s">
        <v>1804</v>
      </c>
      <c r="B476" s="10" t="s">
        <v>1805</v>
      </c>
      <c r="C476" s="11" t="s">
        <v>1806</v>
      </c>
      <c r="D476" s="12"/>
      <c r="E476" s="12" t="s">
        <v>1807</v>
      </c>
      <c r="F476" s="12" t="s">
        <v>58</v>
      </c>
      <c r="G476" s="13">
        <v>1</v>
      </c>
      <c r="H476" s="13"/>
      <c r="I476" s="13">
        <v>1171.2</v>
      </c>
      <c r="J476" s="14">
        <f>IFERROR(ROUND(SUM(M477,M478)/I476, 2),0)</f>
        <v>70.42</v>
      </c>
      <c r="K476" s="15">
        <v>629</v>
      </c>
      <c r="L476" s="14">
        <f>J476+ROUND(K476, 2)</f>
        <v>699.42</v>
      </c>
      <c r="M476" s="14">
        <f>ROUND(J476*I476, 2)</f>
        <v>82475.899999999994</v>
      </c>
      <c r="N476" s="14">
        <f>ROUND(I476*ROUND(K476, 2), 2)</f>
        <v>736684.8</v>
      </c>
      <c r="O476" s="14">
        <f>M476+N476</f>
        <v>819160.70000000007</v>
      </c>
      <c r="P476" s="14">
        <f>IFERROR(ROUND(SUM(S477,S478)/I476, 2),0)</f>
        <v>70.42</v>
      </c>
      <c r="Q476" s="16">
        <v>898.57</v>
      </c>
      <c r="R476" s="14">
        <f>P476+ROUND(Q476, 2)</f>
        <v>968.99</v>
      </c>
      <c r="S476" s="14">
        <f>ROUND(P476*I476, 2)</f>
        <v>82475.899999999994</v>
      </c>
      <c r="T476" s="14">
        <f>ROUND(I476*ROUND(Q476, 2), 2)</f>
        <v>1052405.18</v>
      </c>
      <c r="U476" s="14">
        <f>S476+T476</f>
        <v>1134881.0799999998</v>
      </c>
      <c r="V476" s="9">
        <f>ROUND(P476 / 1.2, 2)</f>
        <v>58.68</v>
      </c>
      <c r="W476" s="9">
        <f>ROUND(Q476 / 1.2, 2)</f>
        <v>748.81</v>
      </c>
      <c r="X476" s="9">
        <f>ROUND(R476 / 1.2, 2)</f>
        <v>807.49</v>
      </c>
      <c r="Y476" s="9">
        <f>ROUND(S476 / 1.2, 2)</f>
        <v>68729.919999999998</v>
      </c>
      <c r="Z476" s="9">
        <f>ROUND(T476 / 1.2, 2)</f>
        <v>877004.32</v>
      </c>
      <c r="AA476" s="9">
        <f>Y476+Z476</f>
        <v>945734.24</v>
      </c>
      <c r="AD476" s="4">
        <v>311044393</v>
      </c>
      <c r="AE476" s="4">
        <v>22791238</v>
      </c>
      <c r="AG476" s="4" t="s">
        <v>1808</v>
      </c>
      <c r="AH476" s="4" t="s">
        <v>1809</v>
      </c>
      <c r="AI476" s="4" t="s">
        <v>469</v>
      </c>
    </row>
    <row r="477" spans="1:35" ht="18" x14ac:dyDescent="0.3">
      <c r="A477" s="10" t="s">
        <v>1810</v>
      </c>
      <c r="B477" s="10"/>
      <c r="C477" s="17" t="s">
        <v>1333</v>
      </c>
      <c r="D477" s="12"/>
      <c r="E477" s="12"/>
      <c r="F477" s="18" t="s">
        <v>99</v>
      </c>
      <c r="G477" s="19">
        <v>1.3</v>
      </c>
      <c r="H477" s="24"/>
      <c r="I477" s="24">
        <v>7612.8</v>
      </c>
      <c r="J477" s="20">
        <v>8.75</v>
      </c>
      <c r="M477" s="21">
        <f>ROUND(ROUND(J477, 2)*I477, 2)</f>
        <v>66612</v>
      </c>
      <c r="P477" s="22">
        <v>8.75</v>
      </c>
      <c r="S477" s="21">
        <f>ROUND(ROUND(P477, 2)*I477, 2)</f>
        <v>66612</v>
      </c>
      <c r="V477" s="9">
        <f>ROUND(ROUND(P477, 2)/1.2, 2)</f>
        <v>7.29</v>
      </c>
      <c r="Y477" s="9">
        <f t="shared" ref="Y477:Y499" si="24">ROUND(S477 / 1.2, 2)</f>
        <v>55510</v>
      </c>
      <c r="AD477" s="4" t="s">
        <v>1811</v>
      </c>
      <c r="AE477" s="4" t="s">
        <v>1812</v>
      </c>
      <c r="AF477" s="4" t="s">
        <v>1337</v>
      </c>
    </row>
    <row r="478" spans="1:35" ht="36" x14ac:dyDescent="0.3">
      <c r="A478" s="10" t="s">
        <v>1813</v>
      </c>
      <c r="B478" s="10"/>
      <c r="C478" s="17" t="s">
        <v>720</v>
      </c>
      <c r="D478" s="12"/>
      <c r="E478" s="12"/>
      <c r="F478" s="18" t="s">
        <v>99</v>
      </c>
      <c r="G478" s="19">
        <v>0.15</v>
      </c>
      <c r="H478" s="19"/>
      <c r="I478" s="19">
        <v>175.68</v>
      </c>
      <c r="J478" s="20">
        <v>90.28</v>
      </c>
      <c r="M478" s="21">
        <f>ROUND(ROUND(J478, 2)*I478, 2)</f>
        <v>15860.39</v>
      </c>
      <c r="P478" s="22">
        <v>90.28</v>
      </c>
      <c r="S478" s="21">
        <f>ROUND(ROUND(P478, 2)*I478, 2)</f>
        <v>15860.39</v>
      </c>
      <c r="V478" s="9">
        <f>ROUND(ROUND(P478, 2)/1.2, 2)</f>
        <v>75.23</v>
      </c>
      <c r="Y478" s="9">
        <f t="shared" si="24"/>
        <v>13216.99</v>
      </c>
      <c r="AD478" s="4" t="s">
        <v>1814</v>
      </c>
      <c r="AE478" s="4" t="s">
        <v>1815</v>
      </c>
      <c r="AF478" s="4" t="s">
        <v>723</v>
      </c>
    </row>
    <row r="479" spans="1:35" ht="72" x14ac:dyDescent="0.3">
      <c r="A479" s="10" t="s">
        <v>1816</v>
      </c>
      <c r="B479" s="10" t="s">
        <v>1805</v>
      </c>
      <c r="C479" s="11" t="s">
        <v>1806</v>
      </c>
      <c r="D479" s="12"/>
      <c r="E479" s="12" t="s">
        <v>1817</v>
      </c>
      <c r="F479" s="12" t="s">
        <v>58</v>
      </c>
      <c r="G479" s="13">
        <v>1</v>
      </c>
      <c r="H479" s="13"/>
      <c r="I479" s="13">
        <v>7010.2</v>
      </c>
      <c r="J479" s="14">
        <f>IFERROR(ROUND(SUM(M480,M481)/I479, 2),0)</f>
        <v>65.010000000000005</v>
      </c>
      <c r="K479" s="15">
        <v>629</v>
      </c>
      <c r="L479" s="14">
        <f>J479+ROUND(K479, 2)</f>
        <v>694.01</v>
      </c>
      <c r="M479" s="14">
        <f>ROUND(J479*I479, 2)</f>
        <v>455733.1</v>
      </c>
      <c r="N479" s="14">
        <f>ROUND(I479*ROUND(K479, 2), 2)</f>
        <v>4409415.8</v>
      </c>
      <c r="O479" s="14">
        <f>M479+N479</f>
        <v>4865148.8999999994</v>
      </c>
      <c r="P479" s="14">
        <f>IFERROR(ROUND(SUM(S480,S481)/I479, 2),0)</f>
        <v>65.010000000000005</v>
      </c>
      <c r="Q479" s="16">
        <v>898.57</v>
      </c>
      <c r="R479" s="14">
        <f>P479+ROUND(Q479, 2)</f>
        <v>963.58</v>
      </c>
      <c r="S479" s="14">
        <f>ROUND(P479*I479, 2)</f>
        <v>455733.1</v>
      </c>
      <c r="T479" s="14">
        <f>ROUND(I479*ROUND(Q479, 2), 2)</f>
        <v>6299155.4100000001</v>
      </c>
      <c r="U479" s="14">
        <f>S479+T479</f>
        <v>6754888.5099999998</v>
      </c>
      <c r="V479" s="9">
        <f>ROUND(P479 / 1.2, 2)</f>
        <v>54.18</v>
      </c>
      <c r="W479" s="9">
        <f>ROUND(Q479 / 1.2, 2)</f>
        <v>748.81</v>
      </c>
      <c r="X479" s="9">
        <f>ROUND(R479 / 1.2, 2)</f>
        <v>802.98</v>
      </c>
      <c r="Y479" s="9">
        <f t="shared" si="24"/>
        <v>379777.58</v>
      </c>
      <c r="Z479" s="9">
        <f>ROUND(T479 / 1.2, 2)</f>
        <v>5249296.18</v>
      </c>
      <c r="AA479" s="9">
        <f>Y479+Z479</f>
        <v>5629073.7599999998</v>
      </c>
      <c r="AD479" s="4">
        <v>311044479</v>
      </c>
      <c r="AE479" s="4">
        <v>22791237</v>
      </c>
      <c r="AG479" s="4" t="s">
        <v>1808</v>
      </c>
      <c r="AH479" s="4" t="s">
        <v>1809</v>
      </c>
      <c r="AI479" s="4" t="s">
        <v>469</v>
      </c>
    </row>
    <row r="480" spans="1:35" ht="18" x14ac:dyDescent="0.3">
      <c r="A480" s="10" t="s">
        <v>1818</v>
      </c>
      <c r="B480" s="10"/>
      <c r="C480" s="17" t="s">
        <v>1359</v>
      </c>
      <c r="D480" s="12"/>
      <c r="E480" s="12"/>
      <c r="F480" s="18" t="s">
        <v>99</v>
      </c>
      <c r="G480" s="19">
        <v>0.25</v>
      </c>
      <c r="H480" s="19"/>
      <c r="I480" s="19">
        <v>1752.55</v>
      </c>
      <c r="J480" s="20">
        <v>101.66</v>
      </c>
      <c r="M480" s="21">
        <f>ROUND(ROUND(J480, 2)*I480, 2)</f>
        <v>178164.23</v>
      </c>
      <c r="P480" s="22">
        <v>101.66</v>
      </c>
      <c r="S480" s="21">
        <f>ROUND(ROUND(P480, 2)*I480, 2)</f>
        <v>178164.23</v>
      </c>
      <c r="V480" s="9">
        <f>ROUND(ROUND(P480, 2)/1.2, 2)</f>
        <v>84.72</v>
      </c>
      <c r="Y480" s="9">
        <f t="shared" si="24"/>
        <v>148470.19</v>
      </c>
      <c r="AD480" s="4" t="s">
        <v>1819</v>
      </c>
      <c r="AE480" s="4" t="s">
        <v>1820</v>
      </c>
      <c r="AF480" s="4" t="s">
        <v>1362</v>
      </c>
    </row>
    <row r="481" spans="1:35" ht="36" x14ac:dyDescent="0.3">
      <c r="A481" s="10" t="s">
        <v>1821</v>
      </c>
      <c r="B481" s="10"/>
      <c r="C481" s="23" t="s">
        <v>1164</v>
      </c>
      <c r="D481" s="12"/>
      <c r="E481" s="12"/>
      <c r="F481" s="18" t="s">
        <v>99</v>
      </c>
      <c r="G481" s="19">
        <v>1</v>
      </c>
      <c r="H481" s="24"/>
      <c r="I481" s="24">
        <v>35051</v>
      </c>
      <c r="J481" s="20">
        <v>7.92</v>
      </c>
      <c r="M481" s="21">
        <f>ROUND(ROUND(J481, 2)*I481, 2)</f>
        <v>277603.92</v>
      </c>
      <c r="P481" s="22">
        <v>7.92</v>
      </c>
      <c r="S481" s="21">
        <f>ROUND(ROUND(P481, 2)*I481, 2)</f>
        <v>277603.92</v>
      </c>
      <c r="V481" s="9">
        <f>ROUND(ROUND(P481, 2)/1.2, 2)</f>
        <v>6.6</v>
      </c>
      <c r="Y481" s="9">
        <f t="shared" si="24"/>
        <v>231336.6</v>
      </c>
      <c r="AD481" s="4" t="s">
        <v>1822</v>
      </c>
      <c r="AE481" s="4" t="s">
        <v>1823</v>
      </c>
      <c r="AF481" s="4" t="s">
        <v>1168</v>
      </c>
    </row>
    <row r="482" spans="1:35" ht="72" x14ac:dyDescent="0.3">
      <c r="A482" s="10" t="s">
        <v>1824</v>
      </c>
      <c r="B482" s="10" t="s">
        <v>1825</v>
      </c>
      <c r="C482" s="11" t="s">
        <v>1242</v>
      </c>
      <c r="D482" s="12"/>
      <c r="E482" s="12" t="s">
        <v>1826</v>
      </c>
      <c r="F482" s="12" t="s">
        <v>58</v>
      </c>
      <c r="G482" s="13">
        <v>1</v>
      </c>
      <c r="H482" s="13"/>
      <c r="I482" s="13">
        <v>827.7</v>
      </c>
      <c r="J482" s="14">
        <f>IFERROR(ROUND(SUM(M483,M484)/I482, 2),0)</f>
        <v>31.93</v>
      </c>
      <c r="K482" s="15">
        <v>639</v>
      </c>
      <c r="L482" s="14">
        <f>J482+ROUND(K482, 2)</f>
        <v>670.93</v>
      </c>
      <c r="M482" s="14">
        <f>ROUND(J482*I482, 2)</f>
        <v>26428.46</v>
      </c>
      <c r="N482" s="14">
        <f>ROUND(I482*ROUND(K482, 2), 2)</f>
        <v>528900.30000000005</v>
      </c>
      <c r="O482" s="14">
        <f>M482+N482</f>
        <v>555328.76</v>
      </c>
      <c r="P482" s="14">
        <f>IFERROR(ROUND(SUM(S483,S484)/I482, 2),0)</f>
        <v>31.93</v>
      </c>
      <c r="Q482" s="16">
        <v>912.86</v>
      </c>
      <c r="R482" s="14">
        <f>P482+ROUND(Q482, 2)</f>
        <v>944.79</v>
      </c>
      <c r="S482" s="14">
        <f>ROUND(P482*I482, 2)</f>
        <v>26428.46</v>
      </c>
      <c r="T482" s="14">
        <f>ROUND(I482*ROUND(Q482, 2), 2)</f>
        <v>755574.22</v>
      </c>
      <c r="U482" s="14">
        <f>S482+T482</f>
        <v>782002.67999999993</v>
      </c>
      <c r="V482" s="9">
        <f>ROUND(P482 / 1.2, 2)</f>
        <v>26.61</v>
      </c>
      <c r="W482" s="9">
        <f>ROUND(Q482 / 1.2, 2)</f>
        <v>760.72</v>
      </c>
      <c r="X482" s="9">
        <f>ROUND(R482 / 1.2, 2)</f>
        <v>787.33</v>
      </c>
      <c r="Y482" s="9">
        <f t="shared" si="24"/>
        <v>22023.72</v>
      </c>
      <c r="Z482" s="9">
        <f>ROUND(T482 / 1.2, 2)</f>
        <v>629645.18000000005</v>
      </c>
      <c r="AA482" s="9">
        <f>Y482+Z482</f>
        <v>651668.9</v>
      </c>
      <c r="AD482" s="4">
        <v>311044395</v>
      </c>
      <c r="AE482" s="4">
        <v>22791297</v>
      </c>
      <c r="AG482" s="4" t="s">
        <v>1244</v>
      </c>
      <c r="AH482" s="4" t="s">
        <v>1827</v>
      </c>
      <c r="AI482" s="4" t="s">
        <v>469</v>
      </c>
    </row>
    <row r="483" spans="1:35" ht="36" x14ac:dyDescent="0.3">
      <c r="A483" s="10" t="s">
        <v>1828</v>
      </c>
      <c r="B483" s="10"/>
      <c r="C483" s="23" t="s">
        <v>1269</v>
      </c>
      <c r="D483" s="12"/>
      <c r="E483" s="12"/>
      <c r="F483" s="18" t="s">
        <v>99</v>
      </c>
      <c r="G483" s="19">
        <v>1.5</v>
      </c>
      <c r="H483" s="19"/>
      <c r="I483" s="19">
        <v>1241.55</v>
      </c>
      <c r="J483" s="20">
        <v>12.26</v>
      </c>
      <c r="M483" s="21">
        <f>ROUND(ROUND(J483, 2)*I483, 2)</f>
        <v>15221.4</v>
      </c>
      <c r="P483" s="22">
        <v>12.26</v>
      </c>
      <c r="S483" s="21">
        <f>ROUND(ROUND(P483, 2)*I483, 2)</f>
        <v>15221.4</v>
      </c>
      <c r="V483" s="9">
        <f>ROUND(ROUND(P483, 2)/1.2, 2)</f>
        <v>10.220000000000001</v>
      </c>
      <c r="Y483" s="9">
        <f t="shared" si="24"/>
        <v>12684.5</v>
      </c>
      <c r="AD483" s="4" t="s">
        <v>1829</v>
      </c>
      <c r="AE483" s="4" t="s">
        <v>1830</v>
      </c>
      <c r="AF483" s="4" t="s">
        <v>1272</v>
      </c>
    </row>
    <row r="484" spans="1:35" ht="36" x14ac:dyDescent="0.3">
      <c r="A484" s="10" t="s">
        <v>1831</v>
      </c>
      <c r="B484" s="10"/>
      <c r="C484" s="17" t="s">
        <v>1057</v>
      </c>
      <c r="D484" s="12"/>
      <c r="E484" s="12"/>
      <c r="F484" s="18" t="s">
        <v>99</v>
      </c>
      <c r="G484" s="19">
        <v>0.15</v>
      </c>
      <c r="H484" s="19"/>
      <c r="I484" s="19">
        <v>124.155</v>
      </c>
      <c r="J484" s="20">
        <v>90.28</v>
      </c>
      <c r="M484" s="21">
        <f>ROUND(ROUND(J484, 2)*I484, 2)</f>
        <v>11208.71</v>
      </c>
      <c r="P484" s="22">
        <v>90.28</v>
      </c>
      <c r="S484" s="21">
        <f>ROUND(ROUND(P484, 2)*I484, 2)</f>
        <v>11208.71</v>
      </c>
      <c r="V484" s="9">
        <f>ROUND(ROUND(P484, 2)/1.2, 2)</f>
        <v>75.23</v>
      </c>
      <c r="Y484" s="9">
        <f t="shared" si="24"/>
        <v>9340.59</v>
      </c>
      <c r="AD484" s="4" t="s">
        <v>1832</v>
      </c>
      <c r="AE484" s="4" t="s">
        <v>1833</v>
      </c>
      <c r="AF484" s="4" t="s">
        <v>1060</v>
      </c>
    </row>
    <row r="485" spans="1:35" ht="54" x14ac:dyDescent="0.3">
      <c r="A485" s="10" t="s">
        <v>1834</v>
      </c>
      <c r="B485" s="10" t="s">
        <v>1825</v>
      </c>
      <c r="C485" s="11" t="s">
        <v>1242</v>
      </c>
      <c r="D485" s="12"/>
      <c r="E485" s="12" t="s">
        <v>1835</v>
      </c>
      <c r="F485" s="12" t="s">
        <v>58</v>
      </c>
      <c r="G485" s="13">
        <v>1</v>
      </c>
      <c r="H485" s="13"/>
      <c r="I485" s="13">
        <v>827.7</v>
      </c>
      <c r="J485" s="14">
        <f>IFERROR(ROUND(SUM(M486,M487)/I485, 2),0)</f>
        <v>31.93</v>
      </c>
      <c r="K485" s="15">
        <v>639</v>
      </c>
      <c r="L485" s="14">
        <f>J485+ROUND(K485, 2)</f>
        <v>670.93</v>
      </c>
      <c r="M485" s="14">
        <f>ROUND(J485*I485, 2)</f>
        <v>26428.46</v>
      </c>
      <c r="N485" s="14">
        <f>ROUND(I485*ROUND(K485, 2), 2)</f>
        <v>528900.30000000005</v>
      </c>
      <c r="O485" s="14">
        <f>M485+N485</f>
        <v>555328.76</v>
      </c>
      <c r="P485" s="14">
        <f>IFERROR(ROUND(SUM(S486,S487)/I485, 2),0)</f>
        <v>31.93</v>
      </c>
      <c r="Q485" s="16">
        <v>912.86</v>
      </c>
      <c r="R485" s="14">
        <f>P485+ROUND(Q485, 2)</f>
        <v>944.79</v>
      </c>
      <c r="S485" s="14">
        <f>ROUND(P485*I485, 2)</f>
        <v>26428.46</v>
      </c>
      <c r="T485" s="14">
        <f>ROUND(I485*ROUND(Q485, 2), 2)</f>
        <v>755574.22</v>
      </c>
      <c r="U485" s="14">
        <f>S485+T485</f>
        <v>782002.67999999993</v>
      </c>
      <c r="V485" s="9">
        <f>ROUND(P485 / 1.2, 2)</f>
        <v>26.61</v>
      </c>
      <c r="W485" s="9">
        <f>ROUND(Q485 / 1.2, 2)</f>
        <v>760.72</v>
      </c>
      <c r="X485" s="9">
        <f>ROUND(R485 / 1.2, 2)</f>
        <v>787.33</v>
      </c>
      <c r="Y485" s="9">
        <f t="shared" si="24"/>
        <v>22023.72</v>
      </c>
      <c r="Z485" s="9">
        <f>ROUND(T485 / 1.2, 2)</f>
        <v>629645.18000000005</v>
      </c>
      <c r="AA485" s="9">
        <f>Y485+Z485</f>
        <v>651668.9</v>
      </c>
      <c r="AD485" s="4">
        <v>311044480</v>
      </c>
      <c r="AE485" s="4">
        <v>22791296</v>
      </c>
      <c r="AG485" s="4" t="s">
        <v>1244</v>
      </c>
      <c r="AH485" s="4" t="s">
        <v>1827</v>
      </c>
      <c r="AI485" s="4" t="s">
        <v>469</v>
      </c>
    </row>
    <row r="486" spans="1:35" ht="36" x14ac:dyDescent="0.3">
      <c r="A486" s="10" t="s">
        <v>1836</v>
      </c>
      <c r="B486" s="10"/>
      <c r="C486" s="17" t="s">
        <v>1057</v>
      </c>
      <c r="D486" s="12"/>
      <c r="E486" s="12"/>
      <c r="F486" s="18" t="s">
        <v>99</v>
      </c>
      <c r="G486" s="19">
        <v>0.15</v>
      </c>
      <c r="H486" s="19"/>
      <c r="I486" s="19">
        <v>124.155</v>
      </c>
      <c r="J486" s="20">
        <v>90.28</v>
      </c>
      <c r="M486" s="21">
        <f>ROUND(ROUND(J486, 2)*I486, 2)</f>
        <v>11208.71</v>
      </c>
      <c r="P486" s="22">
        <v>90.28</v>
      </c>
      <c r="S486" s="21">
        <f>ROUND(ROUND(P486, 2)*I486, 2)</f>
        <v>11208.71</v>
      </c>
      <c r="V486" s="9">
        <f>ROUND(ROUND(P486, 2)/1.2, 2)</f>
        <v>75.23</v>
      </c>
      <c r="Y486" s="9">
        <f t="shared" si="24"/>
        <v>9340.59</v>
      </c>
      <c r="AD486" s="4" t="s">
        <v>1837</v>
      </c>
      <c r="AE486" s="4" t="s">
        <v>1838</v>
      </c>
      <c r="AF486" s="4" t="s">
        <v>1060</v>
      </c>
    </row>
    <row r="487" spans="1:35" ht="36" x14ac:dyDescent="0.3">
      <c r="A487" s="10" t="s">
        <v>1839</v>
      </c>
      <c r="B487" s="10"/>
      <c r="C487" s="23" t="s">
        <v>1269</v>
      </c>
      <c r="D487" s="12"/>
      <c r="E487" s="12"/>
      <c r="F487" s="18" t="s">
        <v>99</v>
      </c>
      <c r="G487" s="19">
        <v>1.5</v>
      </c>
      <c r="H487" s="19"/>
      <c r="I487" s="19">
        <v>1241.55</v>
      </c>
      <c r="J487" s="20">
        <v>12.26</v>
      </c>
      <c r="M487" s="21">
        <f>ROUND(ROUND(J487, 2)*I487, 2)</f>
        <v>15221.4</v>
      </c>
      <c r="P487" s="22">
        <v>12.26</v>
      </c>
      <c r="S487" s="21">
        <f>ROUND(ROUND(P487, 2)*I487, 2)</f>
        <v>15221.4</v>
      </c>
      <c r="V487" s="9">
        <f>ROUND(ROUND(P487, 2)/1.2, 2)</f>
        <v>10.220000000000001</v>
      </c>
      <c r="Y487" s="9">
        <f t="shared" si="24"/>
        <v>12684.5</v>
      </c>
      <c r="AD487" s="4" t="s">
        <v>1840</v>
      </c>
      <c r="AE487" s="4" t="s">
        <v>1841</v>
      </c>
      <c r="AF487" s="4" t="s">
        <v>1272</v>
      </c>
    </row>
    <row r="488" spans="1:35" ht="54" x14ac:dyDescent="0.3">
      <c r="A488" s="10" t="s">
        <v>1842</v>
      </c>
      <c r="B488" s="10" t="s">
        <v>1843</v>
      </c>
      <c r="C488" s="11" t="s">
        <v>1283</v>
      </c>
      <c r="D488" s="12"/>
      <c r="E488" s="12" t="s">
        <v>1844</v>
      </c>
      <c r="F488" s="12" t="s">
        <v>58</v>
      </c>
      <c r="G488" s="13">
        <v>1</v>
      </c>
      <c r="H488" s="13"/>
      <c r="I488" s="13">
        <v>1171.2</v>
      </c>
      <c r="J488" s="14">
        <f>IFERROR(ROUND(SUM(M489,M490)/I488, 2),0)</f>
        <v>60.32</v>
      </c>
      <c r="K488" s="15">
        <v>508</v>
      </c>
      <c r="L488" s="14">
        <f>J488+ROUND(K488, 2)</f>
        <v>568.32000000000005</v>
      </c>
      <c r="M488" s="14">
        <f>ROUND(J488*I488, 2)</f>
        <v>70646.78</v>
      </c>
      <c r="N488" s="14">
        <f>ROUND(I488*ROUND(K488, 2), 2)</f>
        <v>594969.59999999998</v>
      </c>
      <c r="O488" s="14">
        <f>M488+N488</f>
        <v>665616.38</v>
      </c>
      <c r="P488" s="14">
        <f>IFERROR(ROUND(SUM(S489,S490)/I488, 2),0)</f>
        <v>60.32</v>
      </c>
      <c r="Q488" s="16">
        <v>725.71</v>
      </c>
      <c r="R488" s="14">
        <f>P488+ROUND(Q488, 2)</f>
        <v>786.03000000000009</v>
      </c>
      <c r="S488" s="14">
        <f>ROUND(P488*I488, 2)</f>
        <v>70646.78</v>
      </c>
      <c r="T488" s="14">
        <f>ROUND(I488*ROUND(Q488, 2), 2)</f>
        <v>849951.55</v>
      </c>
      <c r="U488" s="14">
        <f>S488+T488</f>
        <v>920598.33000000007</v>
      </c>
      <c r="V488" s="9">
        <f>ROUND(P488 / 1.2, 2)</f>
        <v>50.27</v>
      </c>
      <c r="W488" s="9">
        <f>ROUND(Q488 / 1.2, 2)</f>
        <v>604.76</v>
      </c>
      <c r="X488" s="9">
        <f>ROUND(R488 / 1.2, 2)</f>
        <v>655.03</v>
      </c>
      <c r="Y488" s="9">
        <f t="shared" si="24"/>
        <v>58872.32</v>
      </c>
      <c r="Z488" s="9">
        <f>ROUND(T488 / 1.2, 2)</f>
        <v>708292.96</v>
      </c>
      <c r="AA488" s="9">
        <f>Y488+Z488</f>
        <v>767165.27999999991</v>
      </c>
      <c r="AD488" s="4">
        <v>311044396</v>
      </c>
      <c r="AE488" s="4">
        <v>22791241</v>
      </c>
      <c r="AG488" s="4" t="s">
        <v>1285</v>
      </c>
      <c r="AH488" s="4" t="s">
        <v>1845</v>
      </c>
      <c r="AI488" s="4" t="s">
        <v>469</v>
      </c>
    </row>
    <row r="489" spans="1:35" ht="18" x14ac:dyDescent="0.3">
      <c r="A489" s="10" t="s">
        <v>1846</v>
      </c>
      <c r="B489" s="10"/>
      <c r="C489" s="17" t="s">
        <v>1247</v>
      </c>
      <c r="D489" s="12"/>
      <c r="E489" s="12"/>
      <c r="F489" s="18" t="s">
        <v>99</v>
      </c>
      <c r="G489" s="19">
        <v>2</v>
      </c>
      <c r="H489" s="19"/>
      <c r="I489" s="19">
        <v>2342.4</v>
      </c>
      <c r="J489" s="20">
        <v>23.39</v>
      </c>
      <c r="M489" s="21">
        <f>ROUND(ROUND(J489, 2)*I489, 2)</f>
        <v>54788.74</v>
      </c>
      <c r="P489" s="22">
        <v>23.39</v>
      </c>
      <c r="S489" s="21">
        <f>ROUND(ROUND(P489, 2)*I489, 2)</f>
        <v>54788.74</v>
      </c>
      <c r="V489" s="9">
        <f>ROUND(ROUND(P489, 2)/1.2, 2)</f>
        <v>19.489999999999998</v>
      </c>
      <c r="Y489" s="9">
        <f t="shared" si="24"/>
        <v>45657.279999999999</v>
      </c>
      <c r="AD489" s="4" t="s">
        <v>1847</v>
      </c>
      <c r="AE489" s="4" t="s">
        <v>1848</v>
      </c>
      <c r="AF489" s="4" t="s">
        <v>1251</v>
      </c>
    </row>
    <row r="490" spans="1:35" ht="36" x14ac:dyDescent="0.3">
      <c r="A490" s="10" t="s">
        <v>1849</v>
      </c>
      <c r="B490" s="10"/>
      <c r="C490" s="17" t="s">
        <v>1057</v>
      </c>
      <c r="D490" s="12"/>
      <c r="E490" s="12"/>
      <c r="F490" s="18" t="s">
        <v>99</v>
      </c>
      <c r="G490" s="19">
        <v>0.15</v>
      </c>
      <c r="H490" s="19"/>
      <c r="I490" s="19">
        <v>175.68</v>
      </c>
      <c r="J490" s="20">
        <v>90.28</v>
      </c>
      <c r="M490" s="21">
        <f>ROUND(ROUND(J490, 2)*I490, 2)</f>
        <v>15860.39</v>
      </c>
      <c r="P490" s="22">
        <v>90.28</v>
      </c>
      <c r="S490" s="21">
        <f>ROUND(ROUND(P490, 2)*I490, 2)</f>
        <v>15860.39</v>
      </c>
      <c r="V490" s="9">
        <f>ROUND(ROUND(P490, 2)/1.2, 2)</f>
        <v>75.23</v>
      </c>
      <c r="Y490" s="9">
        <f t="shared" si="24"/>
        <v>13216.99</v>
      </c>
      <c r="AD490" s="4" t="s">
        <v>1850</v>
      </c>
      <c r="AE490" s="4" t="s">
        <v>1851</v>
      </c>
      <c r="AF490" s="4" t="s">
        <v>1060</v>
      </c>
    </row>
    <row r="491" spans="1:35" ht="54" x14ac:dyDescent="0.3">
      <c r="A491" s="10" t="s">
        <v>1852</v>
      </c>
      <c r="B491" s="10" t="s">
        <v>1843</v>
      </c>
      <c r="C491" s="11" t="s">
        <v>1283</v>
      </c>
      <c r="D491" s="12"/>
      <c r="E491" s="12" t="s">
        <v>1853</v>
      </c>
      <c r="F491" s="12" t="s">
        <v>58</v>
      </c>
      <c r="G491" s="13">
        <v>1</v>
      </c>
      <c r="H491" s="13"/>
      <c r="I491" s="13">
        <v>1171.2</v>
      </c>
      <c r="J491" s="14">
        <f>IFERROR(ROUND(SUM(M492,M493)/I491, 2),0)</f>
        <v>60.32</v>
      </c>
      <c r="K491" s="15">
        <v>508</v>
      </c>
      <c r="L491" s="14">
        <f>J491+ROUND(K491, 2)</f>
        <v>568.32000000000005</v>
      </c>
      <c r="M491" s="14">
        <f>ROUND(J491*I491, 2)</f>
        <v>70646.78</v>
      </c>
      <c r="N491" s="14">
        <f>ROUND(I491*ROUND(K491, 2), 2)</f>
        <v>594969.59999999998</v>
      </c>
      <c r="O491" s="14">
        <f>M491+N491</f>
        <v>665616.38</v>
      </c>
      <c r="P491" s="14">
        <f>IFERROR(ROUND(SUM(S492,S493)/I491, 2),0)</f>
        <v>60.32</v>
      </c>
      <c r="Q491" s="16">
        <v>725.71</v>
      </c>
      <c r="R491" s="14">
        <f>P491+ROUND(Q491, 2)</f>
        <v>786.03000000000009</v>
      </c>
      <c r="S491" s="14">
        <f>ROUND(P491*I491, 2)</f>
        <v>70646.78</v>
      </c>
      <c r="T491" s="14">
        <f>ROUND(I491*ROUND(Q491, 2), 2)</f>
        <v>849951.55</v>
      </c>
      <c r="U491" s="14">
        <f>S491+T491</f>
        <v>920598.33000000007</v>
      </c>
      <c r="V491" s="9">
        <f>ROUND(P491 / 1.2, 2)</f>
        <v>50.27</v>
      </c>
      <c r="W491" s="9">
        <f>ROUND(Q491 / 1.2, 2)</f>
        <v>604.76</v>
      </c>
      <c r="X491" s="9">
        <f>ROUND(R491 / 1.2, 2)</f>
        <v>655.03</v>
      </c>
      <c r="Y491" s="9">
        <f t="shared" si="24"/>
        <v>58872.32</v>
      </c>
      <c r="Z491" s="9">
        <f>ROUND(T491 / 1.2, 2)</f>
        <v>708292.96</v>
      </c>
      <c r="AA491" s="9">
        <f>Y491+Z491</f>
        <v>767165.27999999991</v>
      </c>
      <c r="AD491" s="4">
        <v>311044481</v>
      </c>
      <c r="AE491" s="4">
        <v>22791242</v>
      </c>
      <c r="AG491" s="4" t="s">
        <v>1285</v>
      </c>
      <c r="AH491" s="4" t="s">
        <v>1845</v>
      </c>
      <c r="AI491" s="4" t="s">
        <v>469</v>
      </c>
    </row>
    <row r="492" spans="1:35" ht="36" x14ac:dyDescent="0.3">
      <c r="A492" s="10" t="s">
        <v>1854</v>
      </c>
      <c r="B492" s="10"/>
      <c r="C492" s="17" t="s">
        <v>1057</v>
      </c>
      <c r="D492" s="12"/>
      <c r="E492" s="12"/>
      <c r="F492" s="18" t="s">
        <v>99</v>
      </c>
      <c r="G492" s="19">
        <v>0.15</v>
      </c>
      <c r="H492" s="19"/>
      <c r="I492" s="19">
        <v>175.68</v>
      </c>
      <c r="J492" s="20">
        <v>90.28</v>
      </c>
      <c r="M492" s="21">
        <f>ROUND(ROUND(J492, 2)*I492, 2)</f>
        <v>15860.39</v>
      </c>
      <c r="P492" s="22">
        <v>90.28</v>
      </c>
      <c r="S492" s="21">
        <f>ROUND(ROUND(P492, 2)*I492, 2)</f>
        <v>15860.39</v>
      </c>
      <c r="V492" s="9">
        <f>ROUND(ROUND(P492, 2)/1.2, 2)</f>
        <v>75.23</v>
      </c>
      <c r="Y492" s="9">
        <f t="shared" si="24"/>
        <v>13216.99</v>
      </c>
      <c r="AD492" s="4" t="s">
        <v>1855</v>
      </c>
      <c r="AE492" s="4" t="s">
        <v>1856</v>
      </c>
      <c r="AF492" s="4" t="s">
        <v>1060</v>
      </c>
    </row>
    <row r="493" spans="1:35" ht="18" x14ac:dyDescent="0.3">
      <c r="A493" s="10" t="s">
        <v>1857</v>
      </c>
      <c r="B493" s="10"/>
      <c r="C493" s="17" t="s">
        <v>1247</v>
      </c>
      <c r="D493" s="12"/>
      <c r="E493" s="12"/>
      <c r="F493" s="18" t="s">
        <v>99</v>
      </c>
      <c r="G493" s="19">
        <v>2</v>
      </c>
      <c r="H493" s="19"/>
      <c r="I493" s="19">
        <v>2342.4</v>
      </c>
      <c r="J493" s="20">
        <v>23.39</v>
      </c>
      <c r="M493" s="21">
        <f>ROUND(ROUND(J493, 2)*I493, 2)</f>
        <v>54788.74</v>
      </c>
      <c r="P493" s="22">
        <v>23.39</v>
      </c>
      <c r="S493" s="21">
        <f>ROUND(ROUND(P493, 2)*I493, 2)</f>
        <v>54788.74</v>
      </c>
      <c r="V493" s="9">
        <f>ROUND(ROUND(P493, 2)/1.2, 2)</f>
        <v>19.489999999999998</v>
      </c>
      <c r="Y493" s="9">
        <f t="shared" si="24"/>
        <v>45657.279999999999</v>
      </c>
      <c r="AD493" s="4" t="s">
        <v>1858</v>
      </c>
      <c r="AE493" s="4" t="s">
        <v>1859</v>
      </c>
      <c r="AF493" s="4" t="s">
        <v>1251</v>
      </c>
    </row>
    <row r="494" spans="1:35" ht="54" x14ac:dyDescent="0.3">
      <c r="A494" s="10" t="s">
        <v>1860</v>
      </c>
      <c r="B494" s="10" t="s">
        <v>1861</v>
      </c>
      <c r="C494" s="11" t="s">
        <v>1862</v>
      </c>
      <c r="D494" s="12"/>
      <c r="E494" s="12" t="s">
        <v>1863</v>
      </c>
      <c r="F494" s="12" t="s">
        <v>58</v>
      </c>
      <c r="G494" s="13">
        <v>1</v>
      </c>
      <c r="H494" s="13"/>
      <c r="I494" s="13">
        <v>7010.2</v>
      </c>
      <c r="J494" s="14">
        <f>IFERROR(ROUND(SUM(M495,M496)/I494, 2),0)</f>
        <v>35.61</v>
      </c>
      <c r="K494" s="15">
        <v>546</v>
      </c>
      <c r="L494" s="14">
        <f>J494+ROUND(K494, 2)</f>
        <v>581.61</v>
      </c>
      <c r="M494" s="14">
        <f>ROUND(J494*I494, 2)</f>
        <v>249633.22</v>
      </c>
      <c r="N494" s="14">
        <f>ROUND(I494*ROUND(K494, 2), 2)</f>
        <v>3827569.2</v>
      </c>
      <c r="O494" s="14">
        <f>M494+N494</f>
        <v>4077202.4200000004</v>
      </c>
      <c r="P494" s="14">
        <f>IFERROR(ROUND(SUM(S495,S496)/I494, 2),0)</f>
        <v>35.61</v>
      </c>
      <c r="Q494" s="16">
        <v>780</v>
      </c>
      <c r="R494" s="14">
        <f>P494+ROUND(Q494, 2)</f>
        <v>815.61</v>
      </c>
      <c r="S494" s="14">
        <f>ROUND(P494*I494, 2)</f>
        <v>249633.22</v>
      </c>
      <c r="T494" s="14">
        <f>ROUND(I494*ROUND(Q494, 2), 2)</f>
        <v>5467956</v>
      </c>
      <c r="U494" s="14">
        <f>S494+T494</f>
        <v>5717589.2199999997</v>
      </c>
      <c r="V494" s="9">
        <f>ROUND(P494 / 1.2, 2)</f>
        <v>29.68</v>
      </c>
      <c r="W494" s="9">
        <f>ROUND(Q494 / 1.2, 2)</f>
        <v>650</v>
      </c>
      <c r="X494" s="9">
        <f>ROUND(R494 / 1.2, 2)</f>
        <v>679.68</v>
      </c>
      <c r="Y494" s="9">
        <f t="shared" si="24"/>
        <v>208027.68</v>
      </c>
      <c r="Z494" s="9">
        <f>ROUND(T494 / 1.2, 2)</f>
        <v>4556630</v>
      </c>
      <c r="AA494" s="9">
        <f>Y494+Z494</f>
        <v>4764657.68</v>
      </c>
      <c r="AD494" s="4">
        <v>311044397</v>
      </c>
      <c r="AE494" s="4">
        <v>22791239</v>
      </c>
      <c r="AG494" s="4" t="s">
        <v>1864</v>
      </c>
      <c r="AH494" s="4" t="s">
        <v>1865</v>
      </c>
      <c r="AI494" s="4" t="s">
        <v>469</v>
      </c>
    </row>
    <row r="495" spans="1:35" ht="54" x14ac:dyDescent="0.3">
      <c r="A495" s="10" t="s">
        <v>1866</v>
      </c>
      <c r="B495" s="10"/>
      <c r="C495" s="23" t="s">
        <v>1867</v>
      </c>
      <c r="D495" s="12"/>
      <c r="E495" s="12"/>
      <c r="F495" s="18" t="s">
        <v>99</v>
      </c>
      <c r="G495" s="19">
        <v>1.8</v>
      </c>
      <c r="H495" s="19"/>
      <c r="I495" s="19">
        <v>12618.36</v>
      </c>
      <c r="J495" s="20">
        <v>12.26</v>
      </c>
      <c r="M495" s="21">
        <f>ROUND(ROUND(J495, 2)*I495, 2)</f>
        <v>154701.09</v>
      </c>
      <c r="P495" s="22">
        <v>12.26</v>
      </c>
      <c r="S495" s="21">
        <f>ROUND(ROUND(P495, 2)*I495, 2)</f>
        <v>154701.09</v>
      </c>
      <c r="V495" s="9">
        <f>ROUND(ROUND(P495, 2)/1.2, 2)</f>
        <v>10.220000000000001</v>
      </c>
      <c r="Y495" s="9">
        <f t="shared" si="24"/>
        <v>128917.58</v>
      </c>
      <c r="AD495" s="4" t="s">
        <v>1868</v>
      </c>
      <c r="AE495" s="4" t="s">
        <v>1869</v>
      </c>
      <c r="AF495" s="4" t="s">
        <v>1870</v>
      </c>
    </row>
    <row r="496" spans="1:35" ht="36" x14ac:dyDescent="0.3">
      <c r="A496" s="10" t="s">
        <v>1871</v>
      </c>
      <c r="B496" s="10"/>
      <c r="C496" s="17" t="s">
        <v>720</v>
      </c>
      <c r="D496" s="12"/>
      <c r="E496" s="12"/>
      <c r="F496" s="18" t="s">
        <v>99</v>
      </c>
      <c r="G496" s="19">
        <v>0.15</v>
      </c>
      <c r="H496" s="19"/>
      <c r="I496" s="19">
        <v>1051.53</v>
      </c>
      <c r="J496" s="20">
        <v>90.28</v>
      </c>
      <c r="M496" s="21">
        <f>ROUND(ROUND(J496, 2)*I496, 2)</f>
        <v>94932.13</v>
      </c>
      <c r="P496" s="22">
        <v>90.28</v>
      </c>
      <c r="S496" s="21">
        <f>ROUND(ROUND(P496, 2)*I496, 2)</f>
        <v>94932.13</v>
      </c>
      <c r="V496" s="9">
        <f>ROUND(ROUND(P496, 2)/1.2, 2)</f>
        <v>75.23</v>
      </c>
      <c r="Y496" s="9">
        <f t="shared" si="24"/>
        <v>79110.11</v>
      </c>
      <c r="AD496" s="4" t="s">
        <v>1872</v>
      </c>
      <c r="AE496" s="4" t="s">
        <v>1873</v>
      </c>
      <c r="AF496" s="4" t="s">
        <v>723</v>
      </c>
    </row>
    <row r="497" spans="1:35" ht="54" x14ac:dyDescent="0.3">
      <c r="A497" s="10" t="s">
        <v>1874</v>
      </c>
      <c r="B497" s="10" t="s">
        <v>1861</v>
      </c>
      <c r="C497" s="11" t="s">
        <v>1862</v>
      </c>
      <c r="D497" s="12"/>
      <c r="E497" s="12" t="s">
        <v>1875</v>
      </c>
      <c r="F497" s="12" t="s">
        <v>58</v>
      </c>
      <c r="G497" s="13">
        <v>1</v>
      </c>
      <c r="H497" s="13"/>
      <c r="I497" s="13">
        <v>7010.2</v>
      </c>
      <c r="J497" s="14">
        <f>IFERROR(ROUND(SUM(M498,M499)/I497, 2),0)</f>
        <v>35.61</v>
      </c>
      <c r="K497" s="15">
        <v>546</v>
      </c>
      <c r="L497" s="14">
        <f>J497+ROUND(K497, 2)</f>
        <v>581.61</v>
      </c>
      <c r="M497" s="14">
        <f>ROUND(J497*I497, 2)</f>
        <v>249633.22</v>
      </c>
      <c r="N497" s="14">
        <f>ROUND(I497*ROUND(K497, 2), 2)</f>
        <v>3827569.2</v>
      </c>
      <c r="O497" s="14">
        <f>M497+N497</f>
        <v>4077202.4200000004</v>
      </c>
      <c r="P497" s="14">
        <f>IFERROR(ROUND(SUM(S498,S499)/I497, 2),0)</f>
        <v>35.61</v>
      </c>
      <c r="Q497" s="16">
        <v>780</v>
      </c>
      <c r="R497" s="14">
        <f>P497+ROUND(Q497, 2)</f>
        <v>815.61</v>
      </c>
      <c r="S497" s="14">
        <f>ROUND(P497*I497, 2)</f>
        <v>249633.22</v>
      </c>
      <c r="T497" s="14">
        <f>ROUND(I497*ROUND(Q497, 2), 2)</f>
        <v>5467956</v>
      </c>
      <c r="U497" s="14">
        <f>S497+T497</f>
        <v>5717589.2199999997</v>
      </c>
      <c r="V497" s="9">
        <f>ROUND(P497 / 1.2, 2)</f>
        <v>29.68</v>
      </c>
      <c r="W497" s="9">
        <f>ROUND(Q497 / 1.2, 2)</f>
        <v>650</v>
      </c>
      <c r="X497" s="9">
        <f>ROUND(R497 / 1.2, 2)</f>
        <v>679.68</v>
      </c>
      <c r="Y497" s="9">
        <f t="shared" si="24"/>
        <v>208027.68</v>
      </c>
      <c r="Z497" s="9">
        <f>ROUND(T497 / 1.2, 2)</f>
        <v>4556630</v>
      </c>
      <c r="AA497" s="9">
        <f>Y497+Z497</f>
        <v>4764657.68</v>
      </c>
      <c r="AD497" s="4">
        <v>311044482</v>
      </c>
      <c r="AE497" s="4">
        <v>22791240</v>
      </c>
      <c r="AG497" s="4" t="s">
        <v>1864</v>
      </c>
      <c r="AH497" s="4" t="s">
        <v>1865</v>
      </c>
      <c r="AI497" s="4" t="s">
        <v>469</v>
      </c>
    </row>
    <row r="498" spans="1:35" ht="36" x14ac:dyDescent="0.3">
      <c r="A498" s="10" t="s">
        <v>1876</v>
      </c>
      <c r="B498" s="10"/>
      <c r="C498" s="17" t="s">
        <v>720</v>
      </c>
      <c r="D498" s="12"/>
      <c r="E498" s="12"/>
      <c r="F498" s="18" t="s">
        <v>99</v>
      </c>
      <c r="G498" s="19">
        <v>0.15</v>
      </c>
      <c r="H498" s="19"/>
      <c r="I498" s="19">
        <v>1051.53</v>
      </c>
      <c r="J498" s="20">
        <v>90.28</v>
      </c>
      <c r="M498" s="21">
        <f>ROUND(ROUND(J498, 2)*I498, 2)</f>
        <v>94932.13</v>
      </c>
      <c r="P498" s="22">
        <v>90.28</v>
      </c>
      <c r="S498" s="21">
        <f>ROUND(ROUND(P498, 2)*I498, 2)</f>
        <v>94932.13</v>
      </c>
      <c r="V498" s="9">
        <f>ROUND(ROUND(P498, 2)/1.2, 2)</f>
        <v>75.23</v>
      </c>
      <c r="Y498" s="9">
        <f t="shared" si="24"/>
        <v>79110.11</v>
      </c>
      <c r="AD498" s="4" t="s">
        <v>1877</v>
      </c>
      <c r="AE498" s="4" t="s">
        <v>1878</v>
      </c>
      <c r="AF498" s="4" t="s">
        <v>723</v>
      </c>
    </row>
    <row r="499" spans="1:35" ht="54" x14ac:dyDescent="0.3">
      <c r="A499" s="10" t="s">
        <v>1879</v>
      </c>
      <c r="B499" s="10"/>
      <c r="C499" s="23" t="s">
        <v>1867</v>
      </c>
      <c r="D499" s="12"/>
      <c r="E499" s="12"/>
      <c r="F499" s="18" t="s">
        <v>99</v>
      </c>
      <c r="G499" s="19">
        <v>1.8</v>
      </c>
      <c r="H499" s="19"/>
      <c r="I499" s="19">
        <v>12618.36</v>
      </c>
      <c r="J499" s="20">
        <v>12.26</v>
      </c>
      <c r="M499" s="21">
        <f>ROUND(ROUND(J499, 2)*I499, 2)</f>
        <v>154701.09</v>
      </c>
      <c r="P499" s="22">
        <v>12.26</v>
      </c>
      <c r="S499" s="21">
        <f>ROUND(ROUND(P499, 2)*I499, 2)</f>
        <v>154701.09</v>
      </c>
      <c r="V499" s="9">
        <f>ROUND(ROUND(P499, 2)/1.2, 2)</f>
        <v>10.220000000000001</v>
      </c>
      <c r="Y499" s="9">
        <f t="shared" si="24"/>
        <v>128917.58</v>
      </c>
      <c r="AD499" s="4" t="s">
        <v>1880</v>
      </c>
      <c r="AE499" s="4" t="s">
        <v>1881</v>
      </c>
      <c r="AF499" s="4" t="s">
        <v>1870</v>
      </c>
    </row>
    <row r="500" spans="1:35" ht="16.95" customHeight="1" x14ac:dyDescent="0.3">
      <c r="A500" s="10" t="s">
        <v>1882</v>
      </c>
      <c r="B500" s="10" t="s">
        <v>1883</v>
      </c>
      <c r="C500" s="51" t="s">
        <v>1884</v>
      </c>
      <c r="D500" s="52"/>
      <c r="E500" s="52"/>
      <c r="F500" s="52"/>
      <c r="G500" s="52"/>
      <c r="H500" s="52"/>
      <c r="I500" s="53"/>
      <c r="M500" s="6">
        <f>SUM(M501,M504,M507,M510,M513,M516,M519,M522,M525,M528,M531)</f>
        <v>1016757.3</v>
      </c>
      <c r="N500" s="6">
        <f>SUM(N501,N504,N507,N510,N513,N516,N519,N522,N525,N528,N531)</f>
        <v>5706040</v>
      </c>
      <c r="O500" s="6">
        <f>SUM(O501,O504,O507,O510,O513,O516,O519,O522,O525,O528,O531)</f>
        <v>6722797.2999999989</v>
      </c>
      <c r="S500" s="6">
        <f>SUM(S501,S504,S507,S510,S513,S516,S519,S522,S525,S528,S531)</f>
        <v>1016757.3</v>
      </c>
      <c r="T500" s="6">
        <f>SUM(T501,T504,T507,T510,T513,T516,T519,T522,T525,T528,T531)</f>
        <v>8151520.8399999999</v>
      </c>
      <c r="U500" s="6">
        <f>SUM(U501,U504,U507,U510,U513,U516,U519,U522,U525,U528,U531)</f>
        <v>9168278.1400000006</v>
      </c>
      <c r="Y500" s="9">
        <f>SUM(Y501,Y504,Y507,Y510,Y513,Y516,Y519,Y522,Y525,Y528,Y531)</f>
        <v>847297.75</v>
      </c>
      <c r="Z500" s="9">
        <f>SUM(Z501,Z504,Z507,Z510,Z513,Z516,Z519,Z522,Z525,Z528,Z531)</f>
        <v>6792934.0399999991</v>
      </c>
      <c r="AA500" s="9">
        <f>SUM(AA501,AA504,AA507,AA510,AA513,AA516,AA519,AA522,AA525,AA528,AA531)</f>
        <v>7640231.7899999991</v>
      </c>
      <c r="AD500" s="4">
        <v>311044398</v>
      </c>
      <c r="AE500" s="4">
        <v>22883914</v>
      </c>
    </row>
    <row r="501" spans="1:35" ht="108" x14ac:dyDescent="0.3">
      <c r="A501" s="10" t="s">
        <v>1885</v>
      </c>
      <c r="B501" s="10" t="s">
        <v>1886</v>
      </c>
      <c r="C501" s="11" t="s">
        <v>1887</v>
      </c>
      <c r="D501" s="12"/>
      <c r="E501" s="12" t="s">
        <v>1888</v>
      </c>
      <c r="F501" s="12" t="s">
        <v>58</v>
      </c>
      <c r="G501" s="13">
        <v>1</v>
      </c>
      <c r="H501" s="13"/>
      <c r="I501" s="13">
        <v>47.78</v>
      </c>
      <c r="J501" s="14">
        <f>IFERROR(ROUND(SUM(M502,M503)/I501, 2),0)</f>
        <v>82.68</v>
      </c>
      <c r="K501" s="15">
        <v>464</v>
      </c>
      <c r="L501" s="14">
        <f>J501+ROUND(K501, 2)</f>
        <v>546.68000000000006</v>
      </c>
      <c r="M501" s="14">
        <f>ROUND(J501*I501, 2)</f>
        <v>3950.45</v>
      </c>
      <c r="N501" s="14">
        <f>ROUND(I501*ROUND(K501, 2), 2)</f>
        <v>22169.919999999998</v>
      </c>
      <c r="O501" s="14">
        <f>M501+N501</f>
        <v>26120.37</v>
      </c>
      <c r="P501" s="14">
        <f>IFERROR(ROUND(SUM(S502,S503)/I501, 2),0)</f>
        <v>82.68</v>
      </c>
      <c r="Q501" s="16">
        <v>662.86</v>
      </c>
      <c r="R501" s="14">
        <f>P501+ROUND(Q501, 2)</f>
        <v>745.54</v>
      </c>
      <c r="S501" s="14">
        <f>ROUND(P501*I501, 2)</f>
        <v>3950.45</v>
      </c>
      <c r="T501" s="14">
        <f>ROUND(I501*ROUND(Q501, 2), 2)</f>
        <v>31671.45</v>
      </c>
      <c r="U501" s="14">
        <f>S501+T501</f>
        <v>35621.9</v>
      </c>
      <c r="V501" s="9">
        <f>ROUND(P501 / 1.2, 2)</f>
        <v>68.900000000000006</v>
      </c>
      <c r="W501" s="9">
        <f>ROUND(Q501 / 1.2, 2)</f>
        <v>552.38</v>
      </c>
      <c r="X501" s="9">
        <f>ROUND(R501 / 1.2, 2)</f>
        <v>621.28</v>
      </c>
      <c r="Y501" s="9">
        <f>ROUND(S501 / 1.2, 2)</f>
        <v>3292.04</v>
      </c>
      <c r="Z501" s="9">
        <f>ROUND(T501 / 1.2, 2)</f>
        <v>26392.880000000001</v>
      </c>
      <c r="AA501" s="9">
        <f>Y501+Z501</f>
        <v>29684.920000000002</v>
      </c>
      <c r="AD501" s="4">
        <v>311044400</v>
      </c>
      <c r="AE501" s="4">
        <v>22883916</v>
      </c>
      <c r="AG501" s="4" t="s">
        <v>1889</v>
      </c>
      <c r="AH501" s="4" t="s">
        <v>1890</v>
      </c>
      <c r="AI501" s="4" t="s">
        <v>469</v>
      </c>
    </row>
    <row r="502" spans="1:35" ht="36" x14ac:dyDescent="0.3">
      <c r="A502" s="10" t="s">
        <v>1891</v>
      </c>
      <c r="B502" s="10"/>
      <c r="C502" s="17" t="s">
        <v>1503</v>
      </c>
      <c r="D502" s="12"/>
      <c r="E502" s="12"/>
      <c r="F502" s="18" t="s">
        <v>99</v>
      </c>
      <c r="G502" s="19">
        <v>0.3</v>
      </c>
      <c r="H502" s="19"/>
      <c r="I502" s="19">
        <v>14.334</v>
      </c>
      <c r="J502" s="20">
        <v>230.45</v>
      </c>
      <c r="M502" s="21">
        <f>ROUND(ROUND(J502, 2)*I502, 2)</f>
        <v>3303.27</v>
      </c>
      <c r="P502" s="22">
        <v>230.45</v>
      </c>
      <c r="S502" s="21">
        <f>ROUND(ROUND(P502, 2)*I502, 2)</f>
        <v>3303.27</v>
      </c>
      <c r="V502" s="9">
        <f>ROUND(ROUND(P502, 2)/1.2, 2)</f>
        <v>192.04</v>
      </c>
      <c r="Y502" s="9">
        <f t="shared" ref="Y502:Y533" si="25">ROUND(S502 / 1.2, 2)</f>
        <v>2752.73</v>
      </c>
      <c r="AD502" s="4" t="s">
        <v>1892</v>
      </c>
      <c r="AE502" s="4" t="s">
        <v>1893</v>
      </c>
      <c r="AF502" s="4" t="s">
        <v>1507</v>
      </c>
    </row>
    <row r="503" spans="1:35" ht="36" x14ac:dyDescent="0.3">
      <c r="A503" s="10" t="s">
        <v>1894</v>
      </c>
      <c r="B503" s="10"/>
      <c r="C503" s="17" t="s">
        <v>1057</v>
      </c>
      <c r="D503" s="12"/>
      <c r="E503" s="12"/>
      <c r="F503" s="18" t="s">
        <v>99</v>
      </c>
      <c r="G503" s="19">
        <v>0.15</v>
      </c>
      <c r="H503" s="19"/>
      <c r="I503" s="19">
        <v>7.1669999999999998</v>
      </c>
      <c r="J503" s="20">
        <v>90.28</v>
      </c>
      <c r="M503" s="21">
        <f>ROUND(ROUND(J503, 2)*I503, 2)</f>
        <v>647.04</v>
      </c>
      <c r="P503" s="22">
        <v>90.28</v>
      </c>
      <c r="S503" s="21">
        <f>ROUND(ROUND(P503, 2)*I503, 2)</f>
        <v>647.04</v>
      </c>
      <c r="V503" s="9">
        <f>ROUND(ROUND(P503, 2)/1.2, 2)</f>
        <v>75.23</v>
      </c>
      <c r="Y503" s="9">
        <f t="shared" si="25"/>
        <v>539.20000000000005</v>
      </c>
      <c r="AD503" s="4" t="s">
        <v>1895</v>
      </c>
      <c r="AE503" s="4" t="s">
        <v>1896</v>
      </c>
      <c r="AF503" s="4" t="s">
        <v>1060</v>
      </c>
    </row>
    <row r="504" spans="1:35" ht="108" x14ac:dyDescent="0.3">
      <c r="A504" s="10" t="s">
        <v>1897</v>
      </c>
      <c r="B504" s="10" t="s">
        <v>1886</v>
      </c>
      <c r="C504" s="11" t="s">
        <v>1887</v>
      </c>
      <c r="D504" s="12"/>
      <c r="E504" s="12" t="s">
        <v>1898</v>
      </c>
      <c r="F504" s="12" t="s">
        <v>58</v>
      </c>
      <c r="G504" s="13">
        <v>1</v>
      </c>
      <c r="H504" s="13"/>
      <c r="I504" s="13">
        <v>727.11</v>
      </c>
      <c r="J504" s="14">
        <f>IFERROR(ROUND(SUM(M505,M506)/I504, 2),0)</f>
        <v>82.68</v>
      </c>
      <c r="K504" s="15">
        <v>464</v>
      </c>
      <c r="L504" s="14">
        <f>J504+ROUND(K504, 2)</f>
        <v>546.68000000000006</v>
      </c>
      <c r="M504" s="14">
        <f>ROUND(J504*I504, 2)</f>
        <v>60117.45</v>
      </c>
      <c r="N504" s="14">
        <f>ROUND(I504*ROUND(K504, 2), 2)</f>
        <v>337379.04</v>
      </c>
      <c r="O504" s="14">
        <f>M504+N504</f>
        <v>397496.49</v>
      </c>
      <c r="P504" s="14">
        <f>IFERROR(ROUND(SUM(S505,S506)/I504, 2),0)</f>
        <v>82.68</v>
      </c>
      <c r="Q504" s="16">
        <v>662.86</v>
      </c>
      <c r="R504" s="14">
        <f>P504+ROUND(Q504, 2)</f>
        <v>745.54</v>
      </c>
      <c r="S504" s="14">
        <f>ROUND(P504*I504, 2)</f>
        <v>60117.45</v>
      </c>
      <c r="T504" s="14">
        <f>ROUND(I504*ROUND(Q504, 2), 2)</f>
        <v>481972.13</v>
      </c>
      <c r="U504" s="14">
        <f>S504+T504</f>
        <v>542089.57999999996</v>
      </c>
      <c r="V504" s="9">
        <f>ROUND(P504 / 1.2, 2)</f>
        <v>68.900000000000006</v>
      </c>
      <c r="W504" s="9">
        <f>ROUND(Q504 / 1.2, 2)</f>
        <v>552.38</v>
      </c>
      <c r="X504" s="9">
        <f>ROUND(R504 / 1.2, 2)</f>
        <v>621.28</v>
      </c>
      <c r="Y504" s="9">
        <f t="shared" si="25"/>
        <v>50097.88</v>
      </c>
      <c r="Z504" s="9">
        <f>ROUND(T504 / 1.2, 2)</f>
        <v>401643.44</v>
      </c>
      <c r="AA504" s="9">
        <f>Y504+Z504</f>
        <v>451741.32</v>
      </c>
      <c r="AD504" s="4">
        <v>311044483</v>
      </c>
      <c r="AE504" s="4">
        <v>22885356</v>
      </c>
      <c r="AG504" s="4" t="s">
        <v>1889</v>
      </c>
      <c r="AH504" s="4" t="s">
        <v>1890</v>
      </c>
      <c r="AI504" s="4" t="s">
        <v>469</v>
      </c>
    </row>
    <row r="505" spans="1:35" ht="36" x14ac:dyDescent="0.3">
      <c r="A505" s="10" t="s">
        <v>1899</v>
      </c>
      <c r="B505" s="10"/>
      <c r="C505" s="17" t="s">
        <v>1057</v>
      </c>
      <c r="D505" s="12"/>
      <c r="E505" s="12"/>
      <c r="F505" s="18" t="s">
        <v>99</v>
      </c>
      <c r="G505" s="19">
        <v>0.15</v>
      </c>
      <c r="H505" s="19"/>
      <c r="I505" s="19">
        <v>109.06699999999999</v>
      </c>
      <c r="J505" s="20">
        <v>90.28</v>
      </c>
      <c r="M505" s="21">
        <f>ROUND(ROUND(J505, 2)*I505, 2)</f>
        <v>9846.57</v>
      </c>
      <c r="P505" s="22">
        <v>90.28</v>
      </c>
      <c r="S505" s="21">
        <f>ROUND(ROUND(P505, 2)*I505, 2)</f>
        <v>9846.57</v>
      </c>
      <c r="V505" s="9">
        <f>ROUND(ROUND(P505, 2)/1.2, 2)</f>
        <v>75.23</v>
      </c>
      <c r="Y505" s="9">
        <f t="shared" si="25"/>
        <v>8205.48</v>
      </c>
      <c r="AD505" s="4" t="s">
        <v>1900</v>
      </c>
      <c r="AE505" s="4" t="s">
        <v>1901</v>
      </c>
      <c r="AF505" s="4" t="s">
        <v>1060</v>
      </c>
    </row>
    <row r="506" spans="1:35" ht="36" x14ac:dyDescent="0.3">
      <c r="A506" s="10" t="s">
        <v>1902</v>
      </c>
      <c r="B506" s="10"/>
      <c r="C506" s="17" t="s">
        <v>1503</v>
      </c>
      <c r="D506" s="12"/>
      <c r="E506" s="12"/>
      <c r="F506" s="18" t="s">
        <v>99</v>
      </c>
      <c r="G506" s="19">
        <v>0.3</v>
      </c>
      <c r="H506" s="19"/>
      <c r="I506" s="19">
        <v>218.13300000000001</v>
      </c>
      <c r="J506" s="20">
        <v>230.45</v>
      </c>
      <c r="M506" s="21">
        <f>ROUND(ROUND(J506, 2)*I506, 2)</f>
        <v>50268.75</v>
      </c>
      <c r="P506" s="22">
        <v>230.45</v>
      </c>
      <c r="S506" s="21">
        <f>ROUND(ROUND(P506, 2)*I506, 2)</f>
        <v>50268.75</v>
      </c>
      <c r="V506" s="9">
        <f>ROUND(ROUND(P506, 2)/1.2, 2)</f>
        <v>192.04</v>
      </c>
      <c r="Y506" s="9">
        <f t="shared" si="25"/>
        <v>41890.629999999997</v>
      </c>
      <c r="AD506" s="4" t="s">
        <v>1903</v>
      </c>
      <c r="AE506" s="4" t="s">
        <v>1904</v>
      </c>
      <c r="AF506" s="4" t="s">
        <v>1507</v>
      </c>
    </row>
    <row r="507" spans="1:35" ht="126" x14ac:dyDescent="0.3">
      <c r="A507" s="10" t="s">
        <v>1905</v>
      </c>
      <c r="B507" s="10" t="s">
        <v>1886</v>
      </c>
      <c r="C507" s="11" t="s">
        <v>1887</v>
      </c>
      <c r="D507" s="12"/>
      <c r="E507" s="12" t="s">
        <v>1906</v>
      </c>
      <c r="F507" s="12" t="s">
        <v>58</v>
      </c>
      <c r="G507" s="13">
        <v>1</v>
      </c>
      <c r="H507" s="13"/>
      <c r="I507" s="13">
        <v>503.14</v>
      </c>
      <c r="J507" s="14">
        <f>IFERROR(ROUND(SUM(M508,M509)/I507, 2),0)</f>
        <v>82.68</v>
      </c>
      <c r="K507" s="15">
        <v>464</v>
      </c>
      <c r="L507" s="14">
        <f>J507+ROUND(K507, 2)</f>
        <v>546.68000000000006</v>
      </c>
      <c r="M507" s="14">
        <f>ROUND(J507*I507, 2)</f>
        <v>41599.620000000003</v>
      </c>
      <c r="N507" s="14">
        <f>ROUND(I507*ROUND(K507, 2), 2)</f>
        <v>233456.96</v>
      </c>
      <c r="O507" s="14">
        <f>M507+N507</f>
        <v>275056.58</v>
      </c>
      <c r="P507" s="14">
        <f>IFERROR(ROUND(SUM(S508,S509)/I507, 2),0)</f>
        <v>82.68</v>
      </c>
      <c r="Q507" s="16">
        <v>662.86</v>
      </c>
      <c r="R507" s="14">
        <f>P507+ROUND(Q507, 2)</f>
        <v>745.54</v>
      </c>
      <c r="S507" s="14">
        <f>ROUND(P507*I507, 2)</f>
        <v>41599.620000000003</v>
      </c>
      <c r="T507" s="14">
        <f>ROUND(I507*ROUND(Q507, 2), 2)</f>
        <v>333511.38</v>
      </c>
      <c r="U507" s="14">
        <f>S507+T507</f>
        <v>375111</v>
      </c>
      <c r="V507" s="9">
        <f>ROUND(P507 / 1.2, 2)</f>
        <v>68.900000000000006</v>
      </c>
      <c r="W507" s="9">
        <f>ROUND(Q507 / 1.2, 2)</f>
        <v>552.38</v>
      </c>
      <c r="X507" s="9">
        <f>ROUND(R507 / 1.2, 2)</f>
        <v>621.28</v>
      </c>
      <c r="Y507" s="9">
        <f t="shared" si="25"/>
        <v>34666.35</v>
      </c>
      <c r="Z507" s="9">
        <f>ROUND(T507 / 1.2, 2)</f>
        <v>277926.15000000002</v>
      </c>
      <c r="AA507" s="9">
        <f>Y507+Z507</f>
        <v>312592.5</v>
      </c>
      <c r="AD507" s="4">
        <v>311044484</v>
      </c>
      <c r="AE507" s="4">
        <v>22885357</v>
      </c>
      <c r="AG507" s="4" t="s">
        <v>1889</v>
      </c>
      <c r="AH507" s="4" t="s">
        <v>1890</v>
      </c>
      <c r="AI507" s="4" t="s">
        <v>469</v>
      </c>
    </row>
    <row r="508" spans="1:35" ht="36" x14ac:dyDescent="0.3">
      <c r="A508" s="10" t="s">
        <v>1907</v>
      </c>
      <c r="B508" s="10"/>
      <c r="C508" s="17" t="s">
        <v>1503</v>
      </c>
      <c r="D508" s="12"/>
      <c r="E508" s="12"/>
      <c r="F508" s="18" t="s">
        <v>99</v>
      </c>
      <c r="G508" s="19">
        <v>0.3</v>
      </c>
      <c r="H508" s="19"/>
      <c r="I508" s="19">
        <v>150.94200000000001</v>
      </c>
      <c r="J508" s="20">
        <v>230.45</v>
      </c>
      <c r="M508" s="21">
        <f>ROUND(ROUND(J508, 2)*I508, 2)</f>
        <v>34784.58</v>
      </c>
      <c r="P508" s="22">
        <v>230.45</v>
      </c>
      <c r="S508" s="21">
        <f>ROUND(ROUND(P508, 2)*I508, 2)</f>
        <v>34784.58</v>
      </c>
      <c r="V508" s="9">
        <f>ROUND(ROUND(P508, 2)/1.2, 2)</f>
        <v>192.04</v>
      </c>
      <c r="Y508" s="9">
        <f t="shared" si="25"/>
        <v>28987.15</v>
      </c>
      <c r="AD508" s="4" t="s">
        <v>1908</v>
      </c>
      <c r="AE508" s="4" t="s">
        <v>1909</v>
      </c>
      <c r="AF508" s="4" t="s">
        <v>1507</v>
      </c>
    </row>
    <row r="509" spans="1:35" ht="36" x14ac:dyDescent="0.3">
      <c r="A509" s="10" t="s">
        <v>1910</v>
      </c>
      <c r="B509" s="10"/>
      <c r="C509" s="17" t="s">
        <v>1057</v>
      </c>
      <c r="D509" s="12"/>
      <c r="E509" s="12"/>
      <c r="F509" s="18" t="s">
        <v>99</v>
      </c>
      <c r="G509" s="19">
        <v>0.15</v>
      </c>
      <c r="H509" s="19"/>
      <c r="I509" s="19">
        <v>75.471000000000004</v>
      </c>
      <c r="J509" s="20">
        <v>90.28</v>
      </c>
      <c r="M509" s="21">
        <f>ROUND(ROUND(J509, 2)*I509, 2)</f>
        <v>6813.52</v>
      </c>
      <c r="P509" s="22">
        <v>90.28</v>
      </c>
      <c r="S509" s="21">
        <f>ROUND(ROUND(P509, 2)*I509, 2)</f>
        <v>6813.52</v>
      </c>
      <c r="V509" s="9">
        <f>ROUND(ROUND(P509, 2)/1.2, 2)</f>
        <v>75.23</v>
      </c>
      <c r="Y509" s="9">
        <f t="shared" si="25"/>
        <v>5677.93</v>
      </c>
      <c r="AD509" s="4" t="s">
        <v>1911</v>
      </c>
      <c r="AE509" s="4" t="s">
        <v>1912</v>
      </c>
      <c r="AF509" s="4" t="s">
        <v>1060</v>
      </c>
    </row>
    <row r="510" spans="1:35" ht="90" x14ac:dyDescent="0.3">
      <c r="A510" s="10" t="s">
        <v>1913</v>
      </c>
      <c r="B510" s="10" t="s">
        <v>1886</v>
      </c>
      <c r="C510" s="11" t="s">
        <v>1887</v>
      </c>
      <c r="D510" s="12"/>
      <c r="E510" s="12" t="s">
        <v>1914</v>
      </c>
      <c r="F510" s="12" t="s">
        <v>58</v>
      </c>
      <c r="G510" s="13">
        <v>1</v>
      </c>
      <c r="H510" s="13"/>
      <c r="I510" s="13">
        <v>2411.1799999999998</v>
      </c>
      <c r="J510" s="14">
        <f>IFERROR(ROUND(SUM(M511,M512)/I510, 2),0)</f>
        <v>82.68</v>
      </c>
      <c r="K510" s="15">
        <v>464</v>
      </c>
      <c r="L510" s="14">
        <f>J510+ROUND(K510, 2)</f>
        <v>546.68000000000006</v>
      </c>
      <c r="M510" s="14">
        <f>ROUND(J510*I510, 2)</f>
        <v>199356.36</v>
      </c>
      <c r="N510" s="14">
        <f>ROUND(I510*ROUND(K510, 2), 2)</f>
        <v>1118787.52</v>
      </c>
      <c r="O510" s="14">
        <f>M510+N510</f>
        <v>1318143.8799999999</v>
      </c>
      <c r="P510" s="14">
        <f>IFERROR(ROUND(SUM(S511,S512)/I510, 2),0)</f>
        <v>82.68</v>
      </c>
      <c r="Q510" s="16">
        <v>662.86</v>
      </c>
      <c r="R510" s="14">
        <f>P510+ROUND(Q510, 2)</f>
        <v>745.54</v>
      </c>
      <c r="S510" s="14">
        <f>ROUND(P510*I510, 2)</f>
        <v>199356.36</v>
      </c>
      <c r="T510" s="14">
        <f>ROUND(I510*ROUND(Q510, 2), 2)</f>
        <v>1598274.77</v>
      </c>
      <c r="U510" s="14">
        <f>S510+T510</f>
        <v>1797631.13</v>
      </c>
      <c r="V510" s="9">
        <f>ROUND(P510 / 1.2, 2)</f>
        <v>68.900000000000006</v>
      </c>
      <c r="W510" s="9">
        <f>ROUND(Q510 / 1.2, 2)</f>
        <v>552.38</v>
      </c>
      <c r="X510" s="9">
        <f>ROUND(R510 / 1.2, 2)</f>
        <v>621.28</v>
      </c>
      <c r="Y510" s="9">
        <f t="shared" si="25"/>
        <v>166130.29999999999</v>
      </c>
      <c r="Z510" s="9">
        <f>ROUND(T510 / 1.2, 2)</f>
        <v>1331895.6399999999</v>
      </c>
      <c r="AA510" s="9">
        <f>Y510+Z510</f>
        <v>1498025.94</v>
      </c>
      <c r="AD510" s="4">
        <v>311044485</v>
      </c>
      <c r="AE510" s="4">
        <v>22885358</v>
      </c>
      <c r="AG510" s="4" t="s">
        <v>1889</v>
      </c>
      <c r="AH510" s="4" t="s">
        <v>1890</v>
      </c>
      <c r="AI510" s="4" t="s">
        <v>469</v>
      </c>
    </row>
    <row r="511" spans="1:35" ht="36" x14ac:dyDescent="0.3">
      <c r="A511" s="10" t="s">
        <v>1915</v>
      </c>
      <c r="B511" s="10"/>
      <c r="C511" s="17" t="s">
        <v>1057</v>
      </c>
      <c r="D511" s="12"/>
      <c r="E511" s="12"/>
      <c r="F511" s="18" t="s">
        <v>99</v>
      </c>
      <c r="G511" s="19">
        <v>0.15</v>
      </c>
      <c r="H511" s="19"/>
      <c r="I511" s="19">
        <v>361.67700000000002</v>
      </c>
      <c r="J511" s="20">
        <v>90.28</v>
      </c>
      <c r="M511" s="21">
        <f>ROUND(ROUND(J511, 2)*I511, 2)</f>
        <v>32652.2</v>
      </c>
      <c r="P511" s="22">
        <v>90.28</v>
      </c>
      <c r="S511" s="21">
        <f>ROUND(ROUND(P511, 2)*I511, 2)</f>
        <v>32652.2</v>
      </c>
      <c r="V511" s="9">
        <f>ROUND(ROUND(P511, 2)/1.2, 2)</f>
        <v>75.23</v>
      </c>
      <c r="Y511" s="9">
        <f t="shared" si="25"/>
        <v>27210.17</v>
      </c>
      <c r="AD511" s="4" t="s">
        <v>1916</v>
      </c>
      <c r="AE511" s="4" t="s">
        <v>1917</v>
      </c>
      <c r="AF511" s="4" t="s">
        <v>1060</v>
      </c>
    </row>
    <row r="512" spans="1:35" ht="36" x14ac:dyDescent="0.3">
      <c r="A512" s="10" t="s">
        <v>1918</v>
      </c>
      <c r="B512" s="10"/>
      <c r="C512" s="17" t="s">
        <v>1503</v>
      </c>
      <c r="D512" s="12"/>
      <c r="E512" s="12"/>
      <c r="F512" s="18" t="s">
        <v>99</v>
      </c>
      <c r="G512" s="19">
        <v>0.3</v>
      </c>
      <c r="H512" s="19"/>
      <c r="I512" s="19">
        <v>723.35400000000004</v>
      </c>
      <c r="J512" s="20">
        <v>230.45</v>
      </c>
      <c r="M512" s="21">
        <f>ROUND(ROUND(J512, 2)*I512, 2)</f>
        <v>166696.93</v>
      </c>
      <c r="P512" s="22">
        <v>230.45</v>
      </c>
      <c r="S512" s="21">
        <f>ROUND(ROUND(P512, 2)*I512, 2)</f>
        <v>166696.93</v>
      </c>
      <c r="V512" s="9">
        <f>ROUND(ROUND(P512, 2)/1.2, 2)</f>
        <v>192.04</v>
      </c>
      <c r="Y512" s="9">
        <f t="shared" si="25"/>
        <v>138914.10999999999</v>
      </c>
      <c r="AD512" s="4" t="s">
        <v>1919</v>
      </c>
      <c r="AE512" s="4" t="s">
        <v>1920</v>
      </c>
      <c r="AF512" s="4" t="s">
        <v>1507</v>
      </c>
    </row>
    <row r="513" spans="1:35" ht="108" x14ac:dyDescent="0.3">
      <c r="A513" s="10" t="s">
        <v>1921</v>
      </c>
      <c r="B513" s="10" t="s">
        <v>1886</v>
      </c>
      <c r="C513" s="11" t="s">
        <v>1887</v>
      </c>
      <c r="D513" s="12"/>
      <c r="E513" s="12" t="s">
        <v>1922</v>
      </c>
      <c r="F513" s="12" t="s">
        <v>58</v>
      </c>
      <c r="G513" s="13">
        <v>1</v>
      </c>
      <c r="H513" s="13"/>
      <c r="I513" s="13">
        <v>18.829999999999998</v>
      </c>
      <c r="J513" s="14">
        <f>IFERROR(ROUND(SUM(M514,M515)/I513, 2),0)</f>
        <v>82.68</v>
      </c>
      <c r="K513" s="15">
        <v>464</v>
      </c>
      <c r="L513" s="14">
        <f>J513+ROUND(K513, 2)</f>
        <v>546.68000000000006</v>
      </c>
      <c r="M513" s="14">
        <f>ROUND(J513*I513, 2)</f>
        <v>1556.86</v>
      </c>
      <c r="N513" s="14">
        <f>ROUND(I513*ROUND(K513, 2), 2)</f>
        <v>8737.1200000000008</v>
      </c>
      <c r="O513" s="14">
        <f>M513+N513</f>
        <v>10293.980000000001</v>
      </c>
      <c r="P513" s="14">
        <f>IFERROR(ROUND(SUM(S514,S515)/I513, 2),0)</f>
        <v>82.68</v>
      </c>
      <c r="Q513" s="16">
        <v>662.86</v>
      </c>
      <c r="R513" s="14">
        <f>P513+ROUND(Q513, 2)</f>
        <v>745.54</v>
      </c>
      <c r="S513" s="14">
        <f>ROUND(P513*I513, 2)</f>
        <v>1556.86</v>
      </c>
      <c r="T513" s="14">
        <f>ROUND(I513*ROUND(Q513, 2), 2)</f>
        <v>12481.65</v>
      </c>
      <c r="U513" s="14">
        <f>S513+T513</f>
        <v>14038.51</v>
      </c>
      <c r="V513" s="9">
        <f>ROUND(P513 / 1.2, 2)</f>
        <v>68.900000000000006</v>
      </c>
      <c r="W513" s="9">
        <f>ROUND(Q513 / 1.2, 2)</f>
        <v>552.38</v>
      </c>
      <c r="X513" s="9">
        <f>ROUND(R513 / 1.2, 2)</f>
        <v>621.28</v>
      </c>
      <c r="Y513" s="9">
        <f t="shared" si="25"/>
        <v>1297.3800000000001</v>
      </c>
      <c r="Z513" s="9">
        <f>ROUND(T513 / 1.2, 2)</f>
        <v>10401.379999999999</v>
      </c>
      <c r="AA513" s="9">
        <f>Y513+Z513</f>
        <v>11698.759999999998</v>
      </c>
      <c r="AD513" s="4">
        <v>311044486</v>
      </c>
      <c r="AE513" s="4">
        <v>22885365</v>
      </c>
      <c r="AG513" s="4" t="s">
        <v>1889</v>
      </c>
      <c r="AH513" s="4" t="s">
        <v>1890</v>
      </c>
      <c r="AI513" s="4" t="s">
        <v>469</v>
      </c>
    </row>
    <row r="514" spans="1:35" ht="36" x14ac:dyDescent="0.3">
      <c r="A514" s="10" t="s">
        <v>1923</v>
      </c>
      <c r="B514" s="10"/>
      <c r="C514" s="17" t="s">
        <v>1503</v>
      </c>
      <c r="D514" s="12"/>
      <c r="E514" s="12"/>
      <c r="F514" s="18" t="s">
        <v>99</v>
      </c>
      <c r="G514" s="19">
        <v>0.3</v>
      </c>
      <c r="H514" s="19"/>
      <c r="I514" s="19">
        <v>5.649</v>
      </c>
      <c r="J514" s="20">
        <v>230.45</v>
      </c>
      <c r="M514" s="21">
        <f>ROUND(ROUND(J514, 2)*I514, 2)</f>
        <v>1301.81</v>
      </c>
      <c r="P514" s="22">
        <v>230.45</v>
      </c>
      <c r="S514" s="21">
        <f>ROUND(ROUND(P514, 2)*I514, 2)</f>
        <v>1301.81</v>
      </c>
      <c r="V514" s="9">
        <f>ROUND(ROUND(P514, 2)/1.2, 2)</f>
        <v>192.04</v>
      </c>
      <c r="Y514" s="9">
        <f t="shared" si="25"/>
        <v>1084.8399999999999</v>
      </c>
      <c r="AD514" s="4" t="s">
        <v>1924</v>
      </c>
      <c r="AE514" s="4" t="s">
        <v>1925</v>
      </c>
      <c r="AF514" s="4" t="s">
        <v>1507</v>
      </c>
    </row>
    <row r="515" spans="1:35" ht="36" x14ac:dyDescent="0.3">
      <c r="A515" s="10" t="s">
        <v>1926</v>
      </c>
      <c r="B515" s="10"/>
      <c r="C515" s="17" t="s">
        <v>1057</v>
      </c>
      <c r="D515" s="12"/>
      <c r="E515" s="12"/>
      <c r="F515" s="18" t="s">
        <v>99</v>
      </c>
      <c r="G515" s="19">
        <v>0.15</v>
      </c>
      <c r="H515" s="19"/>
      <c r="I515" s="19">
        <v>2.8250000000000002</v>
      </c>
      <c r="J515" s="20">
        <v>90.28</v>
      </c>
      <c r="M515" s="21">
        <f>ROUND(ROUND(J515, 2)*I515, 2)</f>
        <v>255.04</v>
      </c>
      <c r="P515" s="22">
        <v>90.28</v>
      </c>
      <c r="S515" s="21">
        <f>ROUND(ROUND(P515, 2)*I515, 2)</f>
        <v>255.04</v>
      </c>
      <c r="V515" s="9">
        <f>ROUND(ROUND(P515, 2)/1.2, 2)</f>
        <v>75.23</v>
      </c>
      <c r="Y515" s="9">
        <f t="shared" si="25"/>
        <v>212.53</v>
      </c>
      <c r="AD515" s="4" t="s">
        <v>1927</v>
      </c>
      <c r="AE515" s="4" t="s">
        <v>1928</v>
      </c>
      <c r="AF515" s="4" t="s">
        <v>1060</v>
      </c>
    </row>
    <row r="516" spans="1:35" ht="108" x14ac:dyDescent="0.3">
      <c r="A516" s="10" t="s">
        <v>1929</v>
      </c>
      <c r="B516" s="10" t="s">
        <v>1886</v>
      </c>
      <c r="C516" s="11" t="s">
        <v>1887</v>
      </c>
      <c r="D516" s="12"/>
      <c r="E516" s="12" t="s">
        <v>1930</v>
      </c>
      <c r="F516" s="12" t="s">
        <v>58</v>
      </c>
      <c r="G516" s="13">
        <v>1</v>
      </c>
      <c r="H516" s="13"/>
      <c r="I516" s="13">
        <v>57.38</v>
      </c>
      <c r="J516" s="14">
        <f>IFERROR(ROUND(SUM(M517,M518)/I516, 2),0)</f>
        <v>82.68</v>
      </c>
      <c r="K516" s="15">
        <v>464</v>
      </c>
      <c r="L516" s="14">
        <f>J516+ROUND(K516, 2)</f>
        <v>546.68000000000006</v>
      </c>
      <c r="M516" s="14">
        <f>ROUND(J516*I516, 2)</f>
        <v>4744.18</v>
      </c>
      <c r="N516" s="14">
        <f>ROUND(I516*ROUND(K516, 2), 2)</f>
        <v>26624.32</v>
      </c>
      <c r="O516" s="14">
        <f>M516+N516</f>
        <v>31368.5</v>
      </c>
      <c r="P516" s="14">
        <f>IFERROR(ROUND(SUM(S517,S518)/I516, 2),0)</f>
        <v>82.68</v>
      </c>
      <c r="Q516" s="16">
        <v>662.86</v>
      </c>
      <c r="R516" s="14">
        <f>P516+ROUND(Q516, 2)</f>
        <v>745.54</v>
      </c>
      <c r="S516" s="14">
        <f>ROUND(P516*I516, 2)</f>
        <v>4744.18</v>
      </c>
      <c r="T516" s="14">
        <f>ROUND(I516*ROUND(Q516, 2), 2)</f>
        <v>38034.910000000003</v>
      </c>
      <c r="U516" s="14">
        <f>S516+T516</f>
        <v>42779.090000000004</v>
      </c>
      <c r="V516" s="9">
        <f>ROUND(P516 / 1.2, 2)</f>
        <v>68.900000000000006</v>
      </c>
      <c r="W516" s="9">
        <f>ROUND(Q516 / 1.2, 2)</f>
        <v>552.38</v>
      </c>
      <c r="X516" s="9">
        <f>ROUND(R516 / 1.2, 2)</f>
        <v>621.28</v>
      </c>
      <c r="Y516" s="9">
        <f t="shared" si="25"/>
        <v>3953.48</v>
      </c>
      <c r="Z516" s="9">
        <f>ROUND(T516 / 1.2, 2)</f>
        <v>31695.759999999998</v>
      </c>
      <c r="AA516" s="9">
        <f>Y516+Z516</f>
        <v>35649.24</v>
      </c>
      <c r="AD516" s="4">
        <v>311044487</v>
      </c>
      <c r="AE516" s="4">
        <v>22885359</v>
      </c>
      <c r="AG516" s="4" t="s">
        <v>1889</v>
      </c>
      <c r="AH516" s="4" t="s">
        <v>1890</v>
      </c>
      <c r="AI516" s="4" t="s">
        <v>469</v>
      </c>
    </row>
    <row r="517" spans="1:35" ht="36" x14ac:dyDescent="0.3">
      <c r="A517" s="10" t="s">
        <v>1931</v>
      </c>
      <c r="B517" s="10"/>
      <c r="C517" s="17" t="s">
        <v>1057</v>
      </c>
      <c r="D517" s="12"/>
      <c r="E517" s="12"/>
      <c r="F517" s="18" t="s">
        <v>99</v>
      </c>
      <c r="G517" s="19">
        <v>0.15</v>
      </c>
      <c r="H517" s="19"/>
      <c r="I517" s="19">
        <v>8.6069999999999993</v>
      </c>
      <c r="J517" s="20">
        <v>90.28</v>
      </c>
      <c r="M517" s="21">
        <f>ROUND(ROUND(J517, 2)*I517, 2)</f>
        <v>777.04</v>
      </c>
      <c r="P517" s="22">
        <v>90.28</v>
      </c>
      <c r="S517" s="21">
        <f>ROUND(ROUND(P517, 2)*I517, 2)</f>
        <v>777.04</v>
      </c>
      <c r="V517" s="9">
        <f>ROUND(ROUND(P517, 2)/1.2, 2)</f>
        <v>75.23</v>
      </c>
      <c r="Y517" s="9">
        <f t="shared" si="25"/>
        <v>647.53</v>
      </c>
      <c r="AD517" s="4" t="s">
        <v>1932</v>
      </c>
      <c r="AE517" s="4" t="s">
        <v>1933</v>
      </c>
      <c r="AF517" s="4" t="s">
        <v>1060</v>
      </c>
    </row>
    <row r="518" spans="1:35" ht="36" x14ac:dyDescent="0.3">
      <c r="A518" s="10" t="s">
        <v>1934</v>
      </c>
      <c r="B518" s="10"/>
      <c r="C518" s="17" t="s">
        <v>1503</v>
      </c>
      <c r="D518" s="12"/>
      <c r="E518" s="12"/>
      <c r="F518" s="18" t="s">
        <v>99</v>
      </c>
      <c r="G518" s="19">
        <v>0.3</v>
      </c>
      <c r="H518" s="19"/>
      <c r="I518" s="19">
        <v>17.213999999999999</v>
      </c>
      <c r="J518" s="20">
        <v>230.45</v>
      </c>
      <c r="M518" s="21">
        <f>ROUND(ROUND(J518, 2)*I518, 2)</f>
        <v>3966.97</v>
      </c>
      <c r="P518" s="22">
        <v>230.45</v>
      </c>
      <c r="S518" s="21">
        <f>ROUND(ROUND(P518, 2)*I518, 2)</f>
        <v>3966.97</v>
      </c>
      <c r="V518" s="9">
        <f>ROUND(ROUND(P518, 2)/1.2, 2)</f>
        <v>192.04</v>
      </c>
      <c r="Y518" s="9">
        <f t="shared" si="25"/>
        <v>3305.81</v>
      </c>
      <c r="AD518" s="4" t="s">
        <v>1935</v>
      </c>
      <c r="AE518" s="4" t="s">
        <v>1936</v>
      </c>
      <c r="AF518" s="4" t="s">
        <v>1507</v>
      </c>
    </row>
    <row r="519" spans="1:35" ht="108" x14ac:dyDescent="0.3">
      <c r="A519" s="10" t="s">
        <v>1937</v>
      </c>
      <c r="B519" s="10" t="s">
        <v>1886</v>
      </c>
      <c r="C519" s="11" t="s">
        <v>1887</v>
      </c>
      <c r="D519" s="12"/>
      <c r="E519" s="12" t="s">
        <v>1938</v>
      </c>
      <c r="F519" s="12" t="s">
        <v>58</v>
      </c>
      <c r="G519" s="13">
        <v>1</v>
      </c>
      <c r="H519" s="13"/>
      <c r="I519" s="13">
        <v>57.27</v>
      </c>
      <c r="J519" s="14">
        <f>IFERROR(ROUND(SUM(M520,M521)/I519, 2),0)</f>
        <v>82.68</v>
      </c>
      <c r="K519" s="15">
        <v>464</v>
      </c>
      <c r="L519" s="14">
        <f>J519+ROUND(K519, 2)</f>
        <v>546.68000000000006</v>
      </c>
      <c r="M519" s="14">
        <f>ROUND(J519*I519, 2)</f>
        <v>4735.08</v>
      </c>
      <c r="N519" s="14">
        <f>ROUND(I519*ROUND(K519, 2), 2)</f>
        <v>26573.279999999999</v>
      </c>
      <c r="O519" s="14">
        <f>M519+N519</f>
        <v>31308.36</v>
      </c>
      <c r="P519" s="14">
        <f>IFERROR(ROUND(SUM(S520,S521)/I519, 2),0)</f>
        <v>82.68</v>
      </c>
      <c r="Q519" s="16">
        <v>662.86</v>
      </c>
      <c r="R519" s="14">
        <f>P519+ROUND(Q519, 2)</f>
        <v>745.54</v>
      </c>
      <c r="S519" s="14">
        <f>ROUND(P519*I519, 2)</f>
        <v>4735.08</v>
      </c>
      <c r="T519" s="14">
        <f>ROUND(I519*ROUND(Q519, 2), 2)</f>
        <v>37961.99</v>
      </c>
      <c r="U519" s="14">
        <f>S519+T519</f>
        <v>42697.07</v>
      </c>
      <c r="V519" s="9">
        <f>ROUND(P519 / 1.2, 2)</f>
        <v>68.900000000000006</v>
      </c>
      <c r="W519" s="9">
        <f>ROUND(Q519 / 1.2, 2)</f>
        <v>552.38</v>
      </c>
      <c r="X519" s="9">
        <f>ROUND(R519 / 1.2, 2)</f>
        <v>621.28</v>
      </c>
      <c r="Y519" s="9">
        <f t="shared" si="25"/>
        <v>3945.9</v>
      </c>
      <c r="Z519" s="9">
        <f>ROUND(T519 / 1.2, 2)</f>
        <v>31634.99</v>
      </c>
      <c r="AA519" s="9">
        <f>Y519+Z519</f>
        <v>35580.89</v>
      </c>
      <c r="AD519" s="4">
        <v>311044488</v>
      </c>
      <c r="AE519" s="4">
        <v>22885360</v>
      </c>
      <c r="AG519" s="4" t="s">
        <v>1889</v>
      </c>
      <c r="AH519" s="4" t="s">
        <v>1890</v>
      </c>
      <c r="AI519" s="4" t="s">
        <v>469</v>
      </c>
    </row>
    <row r="520" spans="1:35" ht="36" x14ac:dyDescent="0.3">
      <c r="A520" s="10" t="s">
        <v>1939</v>
      </c>
      <c r="B520" s="10"/>
      <c r="C520" s="17" t="s">
        <v>1503</v>
      </c>
      <c r="D520" s="12"/>
      <c r="E520" s="12"/>
      <c r="F520" s="18" t="s">
        <v>99</v>
      </c>
      <c r="G520" s="19">
        <v>0.3</v>
      </c>
      <c r="H520" s="19"/>
      <c r="I520" s="19">
        <v>17.181000000000001</v>
      </c>
      <c r="J520" s="20">
        <v>230.45</v>
      </c>
      <c r="M520" s="21">
        <f>ROUND(ROUND(J520, 2)*I520, 2)</f>
        <v>3959.36</v>
      </c>
      <c r="P520" s="22">
        <v>230.45</v>
      </c>
      <c r="S520" s="21">
        <f>ROUND(ROUND(P520, 2)*I520, 2)</f>
        <v>3959.36</v>
      </c>
      <c r="V520" s="9">
        <f>ROUND(ROUND(P520, 2)/1.2, 2)</f>
        <v>192.04</v>
      </c>
      <c r="Y520" s="9">
        <f t="shared" si="25"/>
        <v>3299.47</v>
      </c>
      <c r="AD520" s="4" t="s">
        <v>1940</v>
      </c>
      <c r="AE520" s="4" t="s">
        <v>1941</v>
      </c>
      <c r="AF520" s="4" t="s">
        <v>1507</v>
      </c>
    </row>
    <row r="521" spans="1:35" ht="36" x14ac:dyDescent="0.3">
      <c r="A521" s="10" t="s">
        <v>1942</v>
      </c>
      <c r="B521" s="10"/>
      <c r="C521" s="17" t="s">
        <v>1057</v>
      </c>
      <c r="D521" s="12"/>
      <c r="E521" s="12"/>
      <c r="F521" s="18" t="s">
        <v>99</v>
      </c>
      <c r="G521" s="19">
        <v>0.15</v>
      </c>
      <c r="H521" s="19"/>
      <c r="I521" s="19">
        <v>8.5909999999999993</v>
      </c>
      <c r="J521" s="20">
        <v>90.28</v>
      </c>
      <c r="M521" s="21">
        <f>ROUND(ROUND(J521, 2)*I521, 2)</f>
        <v>775.6</v>
      </c>
      <c r="P521" s="22">
        <v>90.28</v>
      </c>
      <c r="S521" s="21">
        <f>ROUND(ROUND(P521, 2)*I521, 2)</f>
        <v>775.6</v>
      </c>
      <c r="V521" s="9">
        <f>ROUND(ROUND(P521, 2)/1.2, 2)</f>
        <v>75.23</v>
      </c>
      <c r="Y521" s="9">
        <f t="shared" si="25"/>
        <v>646.33000000000004</v>
      </c>
      <c r="AD521" s="4" t="s">
        <v>1943</v>
      </c>
      <c r="AE521" s="4" t="s">
        <v>1944</v>
      </c>
      <c r="AF521" s="4" t="s">
        <v>1060</v>
      </c>
    </row>
    <row r="522" spans="1:35" ht="108" x14ac:dyDescent="0.3">
      <c r="A522" s="10" t="s">
        <v>1945</v>
      </c>
      <c r="B522" s="10" t="s">
        <v>1886</v>
      </c>
      <c r="C522" s="11" t="s">
        <v>1887</v>
      </c>
      <c r="D522" s="12"/>
      <c r="E522" s="12" t="s">
        <v>1946</v>
      </c>
      <c r="F522" s="12" t="s">
        <v>58</v>
      </c>
      <c r="G522" s="13">
        <v>1</v>
      </c>
      <c r="H522" s="13"/>
      <c r="I522" s="13">
        <v>28.67</v>
      </c>
      <c r="J522" s="14">
        <f>IFERROR(ROUND(SUM(M523,M524)/I522, 2),0)</f>
        <v>82.68</v>
      </c>
      <c r="K522" s="15">
        <v>464</v>
      </c>
      <c r="L522" s="14">
        <f>J522+ROUND(K522, 2)</f>
        <v>546.68000000000006</v>
      </c>
      <c r="M522" s="14">
        <f>ROUND(J522*I522, 2)</f>
        <v>2370.44</v>
      </c>
      <c r="N522" s="14">
        <f>ROUND(I522*ROUND(K522, 2), 2)</f>
        <v>13302.88</v>
      </c>
      <c r="O522" s="14">
        <f>M522+N522</f>
        <v>15673.32</v>
      </c>
      <c r="P522" s="14">
        <f>IFERROR(ROUND(SUM(S523,S524)/I522, 2),0)</f>
        <v>82.68</v>
      </c>
      <c r="Q522" s="16">
        <v>662.86</v>
      </c>
      <c r="R522" s="14">
        <f>P522+ROUND(Q522, 2)</f>
        <v>745.54</v>
      </c>
      <c r="S522" s="14">
        <f>ROUND(P522*I522, 2)</f>
        <v>2370.44</v>
      </c>
      <c r="T522" s="14">
        <f>ROUND(I522*ROUND(Q522, 2), 2)</f>
        <v>19004.2</v>
      </c>
      <c r="U522" s="14">
        <f>S522+T522</f>
        <v>21374.639999999999</v>
      </c>
      <c r="V522" s="9">
        <f>ROUND(P522 / 1.2, 2)</f>
        <v>68.900000000000006</v>
      </c>
      <c r="W522" s="9">
        <f>ROUND(Q522 / 1.2, 2)</f>
        <v>552.38</v>
      </c>
      <c r="X522" s="9">
        <f>ROUND(R522 / 1.2, 2)</f>
        <v>621.28</v>
      </c>
      <c r="Y522" s="9">
        <f t="shared" si="25"/>
        <v>1975.37</v>
      </c>
      <c r="Z522" s="9">
        <f>ROUND(T522 / 1.2, 2)</f>
        <v>15836.83</v>
      </c>
      <c r="AA522" s="9">
        <f>Y522+Z522</f>
        <v>17812.2</v>
      </c>
      <c r="AD522" s="4">
        <v>311044489</v>
      </c>
      <c r="AE522" s="4">
        <v>22885361</v>
      </c>
      <c r="AG522" s="4" t="s">
        <v>1889</v>
      </c>
      <c r="AH522" s="4" t="s">
        <v>1890</v>
      </c>
      <c r="AI522" s="4" t="s">
        <v>469</v>
      </c>
    </row>
    <row r="523" spans="1:35" ht="36" x14ac:dyDescent="0.3">
      <c r="A523" s="10" t="s">
        <v>1947</v>
      </c>
      <c r="B523" s="10"/>
      <c r="C523" s="17" t="s">
        <v>1057</v>
      </c>
      <c r="D523" s="12"/>
      <c r="E523" s="12"/>
      <c r="F523" s="18" t="s">
        <v>99</v>
      </c>
      <c r="G523" s="19">
        <v>0.15</v>
      </c>
      <c r="H523" s="19"/>
      <c r="I523" s="19">
        <v>4.3010000000000002</v>
      </c>
      <c r="J523" s="20">
        <v>90.28</v>
      </c>
      <c r="M523" s="21">
        <f>ROUND(ROUND(J523, 2)*I523, 2)</f>
        <v>388.29</v>
      </c>
      <c r="P523" s="22">
        <v>90.28</v>
      </c>
      <c r="S523" s="21">
        <f>ROUND(ROUND(P523, 2)*I523, 2)</f>
        <v>388.29</v>
      </c>
      <c r="V523" s="9">
        <f>ROUND(ROUND(P523, 2)/1.2, 2)</f>
        <v>75.23</v>
      </c>
      <c r="Y523" s="9">
        <f t="shared" si="25"/>
        <v>323.58</v>
      </c>
      <c r="AD523" s="4" t="s">
        <v>1948</v>
      </c>
      <c r="AE523" s="4" t="s">
        <v>1949</v>
      </c>
      <c r="AF523" s="4" t="s">
        <v>1060</v>
      </c>
    </row>
    <row r="524" spans="1:35" ht="36" x14ac:dyDescent="0.3">
      <c r="A524" s="10" t="s">
        <v>1950</v>
      </c>
      <c r="B524" s="10"/>
      <c r="C524" s="17" t="s">
        <v>1503</v>
      </c>
      <c r="D524" s="12"/>
      <c r="E524" s="12"/>
      <c r="F524" s="18" t="s">
        <v>99</v>
      </c>
      <c r="G524" s="19">
        <v>0.3</v>
      </c>
      <c r="H524" s="19"/>
      <c r="I524" s="19">
        <v>8.6010000000000009</v>
      </c>
      <c r="J524" s="20">
        <v>230.45</v>
      </c>
      <c r="M524" s="21">
        <f>ROUND(ROUND(J524, 2)*I524, 2)</f>
        <v>1982.1</v>
      </c>
      <c r="P524" s="22">
        <v>230.45</v>
      </c>
      <c r="S524" s="21">
        <f>ROUND(ROUND(P524, 2)*I524, 2)</f>
        <v>1982.1</v>
      </c>
      <c r="V524" s="9">
        <f>ROUND(ROUND(P524, 2)/1.2, 2)</f>
        <v>192.04</v>
      </c>
      <c r="Y524" s="9">
        <f t="shared" si="25"/>
        <v>1651.75</v>
      </c>
      <c r="AD524" s="4" t="s">
        <v>1951</v>
      </c>
      <c r="AE524" s="4" t="s">
        <v>1952</v>
      </c>
      <c r="AF524" s="4" t="s">
        <v>1507</v>
      </c>
    </row>
    <row r="525" spans="1:35" ht="108" x14ac:dyDescent="0.3">
      <c r="A525" s="10" t="s">
        <v>1953</v>
      </c>
      <c r="B525" s="10" t="s">
        <v>1886</v>
      </c>
      <c r="C525" s="11" t="s">
        <v>1887</v>
      </c>
      <c r="D525" s="12"/>
      <c r="E525" s="12" t="s">
        <v>1954</v>
      </c>
      <c r="F525" s="12" t="s">
        <v>58</v>
      </c>
      <c r="G525" s="13">
        <v>1</v>
      </c>
      <c r="H525" s="13"/>
      <c r="I525" s="13">
        <v>4293.76</v>
      </c>
      <c r="J525" s="14">
        <f>IFERROR(ROUND(SUM(M526,M527)/I525, 2),0)</f>
        <v>82.68</v>
      </c>
      <c r="K525" s="15">
        <v>464</v>
      </c>
      <c r="L525" s="14">
        <f>J525+ROUND(K525, 2)</f>
        <v>546.68000000000006</v>
      </c>
      <c r="M525" s="14">
        <f>ROUND(J525*I525, 2)</f>
        <v>355008.08</v>
      </c>
      <c r="N525" s="14">
        <f>ROUND(I525*ROUND(K525, 2), 2)</f>
        <v>1992304.6399999999</v>
      </c>
      <c r="O525" s="14">
        <f>M525+N525</f>
        <v>2347312.7199999997</v>
      </c>
      <c r="P525" s="14">
        <f>IFERROR(ROUND(SUM(S526,S527)/I525, 2),0)</f>
        <v>82.68</v>
      </c>
      <c r="Q525" s="16">
        <v>662.86</v>
      </c>
      <c r="R525" s="14">
        <f>P525+ROUND(Q525, 2)</f>
        <v>745.54</v>
      </c>
      <c r="S525" s="14">
        <f>ROUND(P525*I525, 2)</f>
        <v>355008.08</v>
      </c>
      <c r="T525" s="14">
        <f>ROUND(I525*ROUND(Q525, 2), 2)</f>
        <v>2846161.75</v>
      </c>
      <c r="U525" s="14">
        <f>S525+T525</f>
        <v>3201169.83</v>
      </c>
      <c r="V525" s="9">
        <f>ROUND(P525 / 1.2, 2)</f>
        <v>68.900000000000006</v>
      </c>
      <c r="W525" s="9">
        <f>ROUND(Q525 / 1.2, 2)</f>
        <v>552.38</v>
      </c>
      <c r="X525" s="9">
        <f>ROUND(R525 / 1.2, 2)</f>
        <v>621.28</v>
      </c>
      <c r="Y525" s="9">
        <f t="shared" si="25"/>
        <v>295840.07</v>
      </c>
      <c r="Z525" s="9">
        <f>ROUND(T525 / 1.2, 2)</f>
        <v>2371801.46</v>
      </c>
      <c r="AA525" s="9">
        <f>Y525+Z525</f>
        <v>2667641.5299999998</v>
      </c>
      <c r="AD525" s="4">
        <v>311044490</v>
      </c>
      <c r="AE525" s="4">
        <v>22885362</v>
      </c>
      <c r="AG525" s="4" t="s">
        <v>1889</v>
      </c>
      <c r="AH525" s="4" t="s">
        <v>1890</v>
      </c>
      <c r="AI525" s="4" t="s">
        <v>469</v>
      </c>
    </row>
    <row r="526" spans="1:35" ht="36" x14ac:dyDescent="0.3">
      <c r="A526" s="10" t="s">
        <v>1955</v>
      </c>
      <c r="B526" s="10"/>
      <c r="C526" s="17" t="s">
        <v>1503</v>
      </c>
      <c r="D526" s="12"/>
      <c r="E526" s="12"/>
      <c r="F526" s="18" t="s">
        <v>99</v>
      </c>
      <c r="G526" s="19">
        <v>0.3</v>
      </c>
      <c r="H526" s="19"/>
      <c r="I526" s="19">
        <v>1288.1279999999999</v>
      </c>
      <c r="J526" s="20">
        <v>230.45</v>
      </c>
      <c r="M526" s="21">
        <f>ROUND(ROUND(J526, 2)*I526, 2)</f>
        <v>296849.09999999998</v>
      </c>
      <c r="P526" s="22">
        <v>230.45</v>
      </c>
      <c r="S526" s="21">
        <f>ROUND(ROUND(P526, 2)*I526, 2)</f>
        <v>296849.09999999998</v>
      </c>
      <c r="V526" s="9">
        <f>ROUND(ROUND(P526, 2)/1.2, 2)</f>
        <v>192.04</v>
      </c>
      <c r="Y526" s="9">
        <f t="shared" si="25"/>
        <v>247374.25</v>
      </c>
      <c r="AD526" s="4" t="s">
        <v>1956</v>
      </c>
      <c r="AE526" s="4" t="s">
        <v>1957</v>
      </c>
      <c r="AF526" s="4" t="s">
        <v>1507</v>
      </c>
    </row>
    <row r="527" spans="1:35" ht="36" x14ac:dyDescent="0.3">
      <c r="A527" s="10" t="s">
        <v>1958</v>
      </c>
      <c r="B527" s="10"/>
      <c r="C527" s="17" t="s">
        <v>1057</v>
      </c>
      <c r="D527" s="12"/>
      <c r="E527" s="12"/>
      <c r="F527" s="18" t="s">
        <v>99</v>
      </c>
      <c r="G527" s="19">
        <v>0.15</v>
      </c>
      <c r="H527" s="19"/>
      <c r="I527" s="19">
        <v>644.06399999999996</v>
      </c>
      <c r="J527" s="20">
        <v>90.28</v>
      </c>
      <c r="M527" s="21">
        <f>ROUND(ROUND(J527, 2)*I527, 2)</f>
        <v>58146.1</v>
      </c>
      <c r="P527" s="22">
        <v>90.28</v>
      </c>
      <c r="S527" s="21">
        <f>ROUND(ROUND(P527, 2)*I527, 2)</f>
        <v>58146.1</v>
      </c>
      <c r="V527" s="9">
        <f>ROUND(ROUND(P527, 2)/1.2, 2)</f>
        <v>75.23</v>
      </c>
      <c r="Y527" s="9">
        <f t="shared" si="25"/>
        <v>48455.08</v>
      </c>
      <c r="AD527" s="4" t="s">
        <v>1959</v>
      </c>
      <c r="AE527" s="4" t="s">
        <v>1960</v>
      </c>
      <c r="AF527" s="4" t="s">
        <v>1060</v>
      </c>
    </row>
    <row r="528" spans="1:35" ht="108" x14ac:dyDescent="0.3">
      <c r="A528" s="10" t="s">
        <v>1961</v>
      </c>
      <c r="B528" s="10" t="s">
        <v>1886</v>
      </c>
      <c r="C528" s="11" t="s">
        <v>1887</v>
      </c>
      <c r="D528" s="12"/>
      <c r="E528" s="12" t="s">
        <v>1962</v>
      </c>
      <c r="F528" s="12" t="s">
        <v>58</v>
      </c>
      <c r="G528" s="13">
        <v>1</v>
      </c>
      <c r="H528" s="13"/>
      <c r="I528" s="13">
        <v>355.1</v>
      </c>
      <c r="J528" s="14">
        <f>IFERROR(ROUND(SUM(M529,M530)/I528, 2),0)</f>
        <v>82.68</v>
      </c>
      <c r="K528" s="15">
        <v>464</v>
      </c>
      <c r="L528" s="14">
        <f>J528+ROUND(K528, 2)</f>
        <v>546.68000000000006</v>
      </c>
      <c r="M528" s="14">
        <f>ROUND(J528*I528, 2)</f>
        <v>29359.67</v>
      </c>
      <c r="N528" s="14">
        <f>ROUND(I528*ROUND(K528, 2), 2)</f>
        <v>164766.39999999999</v>
      </c>
      <c r="O528" s="14">
        <f>M528+N528</f>
        <v>194126.07</v>
      </c>
      <c r="P528" s="14">
        <f>IFERROR(ROUND(SUM(S529,S530)/I528, 2),0)</f>
        <v>82.68</v>
      </c>
      <c r="Q528" s="16">
        <v>662.86</v>
      </c>
      <c r="R528" s="14">
        <f>P528+ROUND(Q528, 2)</f>
        <v>745.54</v>
      </c>
      <c r="S528" s="14">
        <f>ROUND(P528*I528, 2)</f>
        <v>29359.67</v>
      </c>
      <c r="T528" s="14">
        <f>ROUND(I528*ROUND(Q528, 2), 2)</f>
        <v>235381.59</v>
      </c>
      <c r="U528" s="14">
        <f>S528+T528</f>
        <v>264741.26</v>
      </c>
      <c r="V528" s="9">
        <f>ROUND(P528 / 1.2, 2)</f>
        <v>68.900000000000006</v>
      </c>
      <c r="W528" s="9">
        <f>ROUND(Q528 / 1.2, 2)</f>
        <v>552.38</v>
      </c>
      <c r="X528" s="9">
        <f>ROUND(R528 / 1.2, 2)</f>
        <v>621.28</v>
      </c>
      <c r="Y528" s="9">
        <f t="shared" si="25"/>
        <v>24466.39</v>
      </c>
      <c r="Z528" s="9">
        <f>ROUND(T528 / 1.2, 2)</f>
        <v>196151.33</v>
      </c>
      <c r="AA528" s="9">
        <f>Y528+Z528</f>
        <v>220617.71999999997</v>
      </c>
      <c r="AD528" s="4">
        <v>311044491</v>
      </c>
      <c r="AE528" s="4">
        <v>22885363</v>
      </c>
      <c r="AG528" s="4" t="s">
        <v>1889</v>
      </c>
      <c r="AH528" s="4" t="s">
        <v>1890</v>
      </c>
      <c r="AI528" s="4" t="s">
        <v>469</v>
      </c>
    </row>
    <row r="529" spans="1:35" ht="36" x14ac:dyDescent="0.3">
      <c r="A529" s="10" t="s">
        <v>1963</v>
      </c>
      <c r="B529" s="10"/>
      <c r="C529" s="17" t="s">
        <v>1057</v>
      </c>
      <c r="D529" s="12"/>
      <c r="E529" s="12"/>
      <c r="F529" s="18" t="s">
        <v>99</v>
      </c>
      <c r="G529" s="19">
        <v>0.15</v>
      </c>
      <c r="H529" s="19"/>
      <c r="I529" s="19">
        <v>53.265000000000001</v>
      </c>
      <c r="J529" s="20">
        <v>90.28</v>
      </c>
      <c r="M529" s="21">
        <f>ROUND(ROUND(J529, 2)*I529, 2)</f>
        <v>4808.76</v>
      </c>
      <c r="P529" s="22">
        <v>90.28</v>
      </c>
      <c r="S529" s="21">
        <f>ROUND(ROUND(P529, 2)*I529, 2)</f>
        <v>4808.76</v>
      </c>
      <c r="V529" s="9">
        <f>ROUND(ROUND(P529, 2)/1.2, 2)</f>
        <v>75.23</v>
      </c>
      <c r="Y529" s="9">
        <f t="shared" si="25"/>
        <v>4007.3</v>
      </c>
      <c r="AD529" s="4" t="s">
        <v>1964</v>
      </c>
      <c r="AE529" s="4" t="s">
        <v>1965</v>
      </c>
      <c r="AF529" s="4" t="s">
        <v>1060</v>
      </c>
    </row>
    <row r="530" spans="1:35" ht="36" x14ac:dyDescent="0.3">
      <c r="A530" s="10" t="s">
        <v>1966</v>
      </c>
      <c r="B530" s="10"/>
      <c r="C530" s="17" t="s">
        <v>1503</v>
      </c>
      <c r="D530" s="12"/>
      <c r="E530" s="12"/>
      <c r="F530" s="18" t="s">
        <v>99</v>
      </c>
      <c r="G530" s="19">
        <v>0.3</v>
      </c>
      <c r="H530" s="19"/>
      <c r="I530" s="19">
        <v>106.53</v>
      </c>
      <c r="J530" s="20">
        <v>230.45</v>
      </c>
      <c r="M530" s="21">
        <f>ROUND(ROUND(J530, 2)*I530, 2)</f>
        <v>24549.84</v>
      </c>
      <c r="P530" s="22">
        <v>230.45</v>
      </c>
      <c r="S530" s="21">
        <f>ROUND(ROUND(P530, 2)*I530, 2)</f>
        <v>24549.84</v>
      </c>
      <c r="V530" s="9">
        <f>ROUND(ROUND(P530, 2)/1.2, 2)</f>
        <v>192.04</v>
      </c>
      <c r="Y530" s="9">
        <f t="shared" si="25"/>
        <v>20458.2</v>
      </c>
      <c r="AD530" s="4" t="s">
        <v>1967</v>
      </c>
      <c r="AE530" s="4" t="s">
        <v>1968</v>
      </c>
      <c r="AF530" s="4" t="s">
        <v>1507</v>
      </c>
    </row>
    <row r="531" spans="1:35" ht="90" x14ac:dyDescent="0.3">
      <c r="A531" s="10" t="s">
        <v>1969</v>
      </c>
      <c r="B531" s="10" t="s">
        <v>1886</v>
      </c>
      <c r="C531" s="11" t="s">
        <v>1887</v>
      </c>
      <c r="D531" s="12"/>
      <c r="E531" s="12" t="s">
        <v>1970</v>
      </c>
      <c r="F531" s="12" t="s">
        <v>58</v>
      </c>
      <c r="G531" s="13">
        <v>1</v>
      </c>
      <c r="H531" s="13"/>
      <c r="I531" s="13">
        <v>3797.28</v>
      </c>
      <c r="J531" s="14">
        <f>IFERROR(ROUND(SUM(M532,M533)/I531, 2),0)</f>
        <v>82.68</v>
      </c>
      <c r="K531" s="15">
        <v>464</v>
      </c>
      <c r="L531" s="14">
        <f>J531+ROUND(K531, 2)</f>
        <v>546.68000000000006</v>
      </c>
      <c r="M531" s="14">
        <f>ROUND(J531*I531, 2)</f>
        <v>313959.11</v>
      </c>
      <c r="N531" s="14">
        <f>ROUND(I531*ROUND(K531, 2), 2)</f>
        <v>1761937.92</v>
      </c>
      <c r="O531" s="14">
        <f>M531+N531</f>
        <v>2075897.0299999998</v>
      </c>
      <c r="P531" s="14">
        <f>IFERROR(ROUND(SUM(S532,S533)/I531, 2),0)</f>
        <v>82.68</v>
      </c>
      <c r="Q531" s="16">
        <v>662.86</v>
      </c>
      <c r="R531" s="14">
        <f>P531+ROUND(Q531, 2)</f>
        <v>745.54</v>
      </c>
      <c r="S531" s="14">
        <f>ROUND(P531*I531, 2)</f>
        <v>313959.11</v>
      </c>
      <c r="T531" s="14">
        <f>ROUND(I531*ROUND(Q531, 2), 2)</f>
        <v>2517065.02</v>
      </c>
      <c r="U531" s="14">
        <f>S531+T531</f>
        <v>2831024.13</v>
      </c>
      <c r="V531" s="9">
        <f>ROUND(P531 / 1.2, 2)</f>
        <v>68.900000000000006</v>
      </c>
      <c r="W531" s="9">
        <f>ROUND(Q531 / 1.2, 2)</f>
        <v>552.38</v>
      </c>
      <c r="X531" s="9">
        <f>ROUND(R531 / 1.2, 2)</f>
        <v>621.28</v>
      </c>
      <c r="Y531" s="9">
        <f t="shared" si="25"/>
        <v>261632.59</v>
      </c>
      <c r="Z531" s="9">
        <f>ROUND(T531 / 1.2, 2)</f>
        <v>2097554.1800000002</v>
      </c>
      <c r="AA531" s="9">
        <f>Y531+Z531</f>
        <v>2359186.77</v>
      </c>
      <c r="AD531" s="4">
        <v>311044492</v>
      </c>
      <c r="AE531" s="4">
        <v>22885364</v>
      </c>
      <c r="AG531" s="4" t="s">
        <v>1889</v>
      </c>
      <c r="AH531" s="4" t="s">
        <v>1890</v>
      </c>
      <c r="AI531" s="4" t="s">
        <v>469</v>
      </c>
    </row>
    <row r="532" spans="1:35" ht="36" x14ac:dyDescent="0.3">
      <c r="A532" s="10" t="s">
        <v>1971</v>
      </c>
      <c r="B532" s="10"/>
      <c r="C532" s="17" t="s">
        <v>1503</v>
      </c>
      <c r="D532" s="12"/>
      <c r="E532" s="12"/>
      <c r="F532" s="18" t="s">
        <v>99</v>
      </c>
      <c r="G532" s="19">
        <v>0.3</v>
      </c>
      <c r="H532" s="19"/>
      <c r="I532" s="19">
        <v>1139.184</v>
      </c>
      <c r="J532" s="20">
        <v>230.45</v>
      </c>
      <c r="M532" s="21">
        <f>ROUND(ROUND(J532, 2)*I532, 2)</f>
        <v>262524.95</v>
      </c>
      <c r="P532" s="22">
        <v>230.45</v>
      </c>
      <c r="S532" s="21">
        <f>ROUND(ROUND(P532, 2)*I532, 2)</f>
        <v>262524.95</v>
      </c>
      <c r="V532" s="9">
        <f>ROUND(ROUND(P532, 2)/1.2, 2)</f>
        <v>192.04</v>
      </c>
      <c r="Y532" s="9">
        <f t="shared" si="25"/>
        <v>218770.79</v>
      </c>
      <c r="AD532" s="4" t="s">
        <v>1972</v>
      </c>
      <c r="AE532" s="4" t="s">
        <v>1973</v>
      </c>
      <c r="AF532" s="4" t="s">
        <v>1507</v>
      </c>
    </row>
    <row r="533" spans="1:35" ht="36" x14ac:dyDescent="0.3">
      <c r="A533" s="10" t="s">
        <v>1974</v>
      </c>
      <c r="B533" s="10"/>
      <c r="C533" s="17" t="s">
        <v>1057</v>
      </c>
      <c r="D533" s="12"/>
      <c r="E533" s="12"/>
      <c r="F533" s="18" t="s">
        <v>99</v>
      </c>
      <c r="G533" s="19">
        <v>0.15</v>
      </c>
      <c r="H533" s="19"/>
      <c r="I533" s="19">
        <v>569.59199999999998</v>
      </c>
      <c r="J533" s="20">
        <v>90.28</v>
      </c>
      <c r="M533" s="21">
        <f>ROUND(ROUND(J533, 2)*I533, 2)</f>
        <v>51422.77</v>
      </c>
      <c r="P533" s="22">
        <v>90.28</v>
      </c>
      <c r="S533" s="21">
        <f>ROUND(ROUND(P533, 2)*I533, 2)</f>
        <v>51422.77</v>
      </c>
      <c r="V533" s="9">
        <f>ROUND(ROUND(P533, 2)/1.2, 2)</f>
        <v>75.23</v>
      </c>
      <c r="Y533" s="9">
        <f t="shared" si="25"/>
        <v>42852.31</v>
      </c>
      <c r="AD533" s="4" t="s">
        <v>1975</v>
      </c>
      <c r="AE533" s="4" t="s">
        <v>1976</v>
      </c>
      <c r="AF533" s="4" t="s">
        <v>1060</v>
      </c>
    </row>
    <row r="534" spans="1:35" ht="16.95" customHeight="1" x14ac:dyDescent="0.3">
      <c r="A534" s="10" t="s">
        <v>1977</v>
      </c>
      <c r="B534" s="10" t="s">
        <v>1978</v>
      </c>
      <c r="C534" s="51" t="s">
        <v>1979</v>
      </c>
      <c r="D534" s="52"/>
      <c r="E534" s="52"/>
      <c r="F534" s="52"/>
      <c r="G534" s="52"/>
      <c r="H534" s="52"/>
      <c r="I534" s="53"/>
      <c r="M534" s="6">
        <f>SUM(M535,M536,M538,M540,M542,M544,M546,M548,M550,M552,M554,M556,M558,M569,M580,M582)</f>
        <v>1078575.9099999999</v>
      </c>
      <c r="N534" s="6">
        <f>SUM(N535,N536,N538,N540,N542,N544,N546,N548,N550,N552,N554,N556,N558,N569,N580,N582)</f>
        <v>13435630.290000001</v>
      </c>
      <c r="O534" s="6">
        <f>SUM(O535,O536,O538,O540,O542,O544,O546,O548,O550,O552,O554,O556,O558,O569,O580,O582)</f>
        <v>14514206.200000001</v>
      </c>
      <c r="S534" s="6">
        <f>SUM(S535,S536,S538,S540,S542,S544,S546,S548,S550,S552,S554,S556,S558,S569,S580,S582)</f>
        <v>39521925.81000001</v>
      </c>
      <c r="T534" s="6">
        <f>SUM(T535,T536,T538,T540,T542,T544,T546,T548,T550,T552,T554,T556,T558,T569,T580,T582)</f>
        <v>19193763.209999997</v>
      </c>
      <c r="U534" s="6">
        <f>SUM(U535,U536,U538,U540,U542,U544,U546,U548,U550,U552,U554,U556,U558,U569,U580,U582)</f>
        <v>58715689.020000011</v>
      </c>
      <c r="Y534" s="9">
        <f>SUM(Y535,Y536,Y538,Y540,Y542,Y544,Y546,Y548,Y550,Y552,Y554,Y556,Y558,Y569,Y580,Y582)</f>
        <v>32934938.190000001</v>
      </c>
      <c r="Z534" s="9">
        <f>SUM(Z535,Z536,Z538,Z540,Z542,Z544,Z546,Z548,Z550,Z552,Z554,Z556,Z558,Z569,Z580,Z582)</f>
        <v>15994802.659999996</v>
      </c>
      <c r="AA534" s="9">
        <f>SUM(AA535,AA536,AA538,AA540,AA542,AA544,AA546,AA548,AA550,AA552,AA554,AA556,AA558,AA569,AA580,AA582)</f>
        <v>48929740.850000001</v>
      </c>
      <c r="AD534" s="4">
        <v>311044401</v>
      </c>
      <c r="AE534" s="4">
        <v>22791292</v>
      </c>
    </row>
    <row r="535" spans="1:35" ht="54" x14ac:dyDescent="0.3">
      <c r="A535" s="10" t="s">
        <v>1980</v>
      </c>
      <c r="B535" s="10" t="s">
        <v>1981</v>
      </c>
      <c r="C535" s="11" t="s">
        <v>1982</v>
      </c>
      <c r="D535" s="12"/>
      <c r="E535" s="12"/>
      <c r="F535" s="12" t="s">
        <v>58</v>
      </c>
      <c r="G535" s="13">
        <v>1</v>
      </c>
      <c r="H535" s="13"/>
      <c r="I535" s="13">
        <v>7535.57</v>
      </c>
      <c r="J535" s="14">
        <v>0</v>
      </c>
      <c r="K535" s="15">
        <v>121</v>
      </c>
      <c r="L535" s="14">
        <f>J535+ROUND(K535, 2)</f>
        <v>121</v>
      </c>
      <c r="M535" s="14">
        <v>0</v>
      </c>
      <c r="N535" s="14">
        <f>ROUND(I535*ROUND(K535, 2), 2)</f>
        <v>911803.97</v>
      </c>
      <c r="O535" s="14">
        <f>M535+N535</f>
        <v>911803.97</v>
      </c>
      <c r="P535" s="14">
        <v>0</v>
      </c>
      <c r="Q535" s="16">
        <v>172.86</v>
      </c>
      <c r="R535" s="14">
        <f>P535+ROUND(Q535, 2)</f>
        <v>172.86</v>
      </c>
      <c r="S535" s="14">
        <v>0</v>
      </c>
      <c r="T535" s="14">
        <f>ROUND(I535*ROUND(Q535, 2), 2)</f>
        <v>1302598.6299999999</v>
      </c>
      <c r="U535" s="14">
        <f>S535+T535</f>
        <v>1302598.6299999999</v>
      </c>
      <c r="V535" s="9"/>
      <c r="W535" s="9">
        <f>ROUND(Q535 / 1.2, 2)</f>
        <v>144.05000000000001</v>
      </c>
      <c r="X535" s="9">
        <f>ROUND(R535 / 1.2, 2)</f>
        <v>144.05000000000001</v>
      </c>
      <c r="Y535" s="9"/>
      <c r="Z535" s="9">
        <f>ROUND(T535 / 1.2, 2)</f>
        <v>1085498.8600000001</v>
      </c>
      <c r="AA535" s="9">
        <f>Y535+Z535</f>
        <v>1085498.8600000001</v>
      </c>
      <c r="AD535" s="4">
        <v>311044403</v>
      </c>
      <c r="AE535" s="4">
        <v>22929788</v>
      </c>
      <c r="AG535" s="4" t="s">
        <v>1983</v>
      </c>
      <c r="AH535" s="4" t="s">
        <v>1984</v>
      </c>
      <c r="AI535" s="4" t="s">
        <v>469</v>
      </c>
    </row>
    <row r="536" spans="1:35" ht="36" x14ac:dyDescent="0.3">
      <c r="A536" s="10" t="s">
        <v>1985</v>
      </c>
      <c r="B536" s="10" t="s">
        <v>1986</v>
      </c>
      <c r="C536" s="11" t="s">
        <v>1987</v>
      </c>
      <c r="D536" s="12"/>
      <c r="E536" s="12"/>
      <c r="F536" s="12" t="s">
        <v>58</v>
      </c>
      <c r="G536" s="13">
        <v>1</v>
      </c>
      <c r="H536" s="13"/>
      <c r="I536" s="13">
        <v>3219.96</v>
      </c>
      <c r="J536" s="14">
        <f>IFERROR(ROUND(SUM(M537)/I536, 2),0)</f>
        <v>0</v>
      </c>
      <c r="K536" s="15">
        <v>1723.99</v>
      </c>
      <c r="L536" s="14">
        <f>J536+ROUND(K536, 2)</f>
        <v>1723.99</v>
      </c>
      <c r="M536" s="14">
        <f>ROUND(J536*I536, 2)</f>
        <v>0</v>
      </c>
      <c r="N536" s="14">
        <f>ROUND(I536*ROUND(K536, 2), 2)</f>
        <v>5551178.8399999999</v>
      </c>
      <c r="O536" s="14">
        <f>M536+N536</f>
        <v>5551178.8399999999</v>
      </c>
      <c r="P536" s="14">
        <f>IFERROR(ROUND(SUM(S537)/I536, 2),0)</f>
        <v>1312</v>
      </c>
      <c r="Q536" s="16">
        <v>2462.84</v>
      </c>
      <c r="R536" s="14">
        <f>P536+ROUND(Q536, 2)</f>
        <v>3774.84</v>
      </c>
      <c r="S536" s="14">
        <f>ROUND(P536*I536, 2)</f>
        <v>4224587.5199999996</v>
      </c>
      <c r="T536" s="14">
        <f>ROUND(I536*ROUND(Q536, 2), 2)</f>
        <v>7930246.29</v>
      </c>
      <c r="U536" s="14">
        <f>S536+T536</f>
        <v>12154833.809999999</v>
      </c>
      <c r="V536" s="9">
        <f>ROUND(P536 / 1.2, 2)</f>
        <v>1093.33</v>
      </c>
      <c r="W536" s="9">
        <f>ROUND(Q536 / 1.2, 2)</f>
        <v>2052.37</v>
      </c>
      <c r="X536" s="9">
        <f>ROUND(R536 / 1.2, 2)</f>
        <v>3145.7</v>
      </c>
      <c r="Y536" s="9">
        <f t="shared" ref="Y536:Y583" si="26">ROUND(S536 / 1.2, 2)</f>
        <v>3520489.6</v>
      </c>
      <c r="Z536" s="9">
        <f>ROUND(T536 / 1.2, 2)</f>
        <v>6608538.5800000001</v>
      </c>
      <c r="AA536" s="9">
        <f>Y536+Z536</f>
        <v>10129028.18</v>
      </c>
      <c r="AD536" s="4">
        <v>311044405</v>
      </c>
      <c r="AE536" s="4">
        <v>22892007</v>
      </c>
      <c r="AG536" s="4" t="s">
        <v>1988</v>
      </c>
      <c r="AH536" s="4" t="s">
        <v>1989</v>
      </c>
      <c r="AI536" s="4" t="s">
        <v>469</v>
      </c>
    </row>
    <row r="537" spans="1:35" ht="306" x14ac:dyDescent="0.3">
      <c r="A537" s="10" t="s">
        <v>1990</v>
      </c>
      <c r="B537" s="10"/>
      <c r="C537" s="17" t="s">
        <v>1991</v>
      </c>
      <c r="D537" s="12"/>
      <c r="E537" s="12" t="s">
        <v>1992</v>
      </c>
      <c r="F537" s="18" t="s">
        <v>58</v>
      </c>
      <c r="G537" s="19">
        <v>1</v>
      </c>
      <c r="H537" s="19"/>
      <c r="I537" s="19">
        <v>3219.96</v>
      </c>
      <c r="J537" s="20">
        <v>0</v>
      </c>
      <c r="M537" s="21">
        <f>ROUND(ROUND(J537, 2)*I537, 2)</f>
        <v>0</v>
      </c>
      <c r="P537" s="22">
        <v>1312</v>
      </c>
      <c r="S537" s="21">
        <f>ROUND(ROUND(P537, 2)*I537, 2)</f>
        <v>4224587.5199999996</v>
      </c>
      <c r="V537" s="9">
        <f>ROUND(ROUND(P537, 2)/1.2, 2)</f>
        <v>1093.33</v>
      </c>
      <c r="Y537" s="9">
        <f t="shared" si="26"/>
        <v>3520489.6</v>
      </c>
      <c r="AD537" s="4" t="s">
        <v>1993</v>
      </c>
      <c r="AE537" s="4" t="s">
        <v>1994</v>
      </c>
      <c r="AF537" s="4" t="s">
        <v>1995</v>
      </c>
    </row>
    <row r="538" spans="1:35" ht="36" x14ac:dyDescent="0.3">
      <c r="A538" s="10" t="s">
        <v>1996</v>
      </c>
      <c r="B538" s="10" t="s">
        <v>1986</v>
      </c>
      <c r="C538" s="11" t="s">
        <v>1987</v>
      </c>
      <c r="D538" s="12"/>
      <c r="E538" s="12" t="s">
        <v>1997</v>
      </c>
      <c r="F538" s="12" t="s">
        <v>58</v>
      </c>
      <c r="G538" s="13">
        <v>1</v>
      </c>
      <c r="H538" s="13"/>
      <c r="I538" s="13">
        <v>147.91</v>
      </c>
      <c r="J538" s="14">
        <f>IFERROR(ROUND(SUM(M539)/I538, 2),0)</f>
        <v>0</v>
      </c>
      <c r="K538" s="15">
        <v>1723.99</v>
      </c>
      <c r="L538" s="14">
        <f>J538+ROUND(K538, 2)</f>
        <v>1723.99</v>
      </c>
      <c r="M538" s="14">
        <f>ROUND(J538*I538, 2)</f>
        <v>0</v>
      </c>
      <c r="N538" s="14">
        <f>ROUND(I538*ROUND(K538, 2), 2)</f>
        <v>254995.36</v>
      </c>
      <c r="O538" s="14">
        <f>M538+N538</f>
        <v>254995.36</v>
      </c>
      <c r="P538" s="14">
        <f>IFERROR(ROUND(SUM(S539)/I538, 2),0)</f>
        <v>15500</v>
      </c>
      <c r="Q538" s="16">
        <v>2462.84</v>
      </c>
      <c r="R538" s="14">
        <f>P538+ROUND(Q538, 2)</f>
        <v>17962.84</v>
      </c>
      <c r="S538" s="14">
        <f>ROUND(P538*I538, 2)</f>
        <v>2292605</v>
      </c>
      <c r="T538" s="14">
        <f>ROUND(I538*ROUND(Q538, 2), 2)</f>
        <v>364278.66</v>
      </c>
      <c r="U538" s="14">
        <f>S538+T538</f>
        <v>2656883.66</v>
      </c>
      <c r="V538" s="9">
        <f>ROUND(P538 / 1.2, 2)</f>
        <v>12916.67</v>
      </c>
      <c r="W538" s="9">
        <f>ROUND(Q538 / 1.2, 2)</f>
        <v>2052.37</v>
      </c>
      <c r="X538" s="9">
        <f>ROUND(R538 / 1.2, 2)</f>
        <v>14969.03</v>
      </c>
      <c r="Y538" s="9">
        <f t="shared" si="26"/>
        <v>1910504.17</v>
      </c>
      <c r="Z538" s="9">
        <f>ROUND(T538 / 1.2, 2)</f>
        <v>303565.55</v>
      </c>
      <c r="AA538" s="9">
        <f>Y538+Z538</f>
        <v>2214069.7199999997</v>
      </c>
      <c r="AD538" s="4">
        <v>311044493</v>
      </c>
      <c r="AE538" s="4">
        <v>22892018</v>
      </c>
      <c r="AG538" s="4" t="s">
        <v>1988</v>
      </c>
      <c r="AH538" s="4" t="s">
        <v>1989</v>
      </c>
      <c r="AI538" s="4" t="s">
        <v>469</v>
      </c>
    </row>
    <row r="539" spans="1:35" ht="90" x14ac:dyDescent="0.3">
      <c r="A539" s="10" t="s">
        <v>1998</v>
      </c>
      <c r="B539" s="10"/>
      <c r="C539" s="17" t="s">
        <v>1991</v>
      </c>
      <c r="D539" s="12"/>
      <c r="E539" s="12" t="s">
        <v>1999</v>
      </c>
      <c r="F539" s="18" t="s">
        <v>58</v>
      </c>
      <c r="G539" s="19">
        <v>1</v>
      </c>
      <c r="H539" s="19"/>
      <c r="I539" s="19">
        <v>147.91</v>
      </c>
      <c r="J539" s="20">
        <v>0</v>
      </c>
      <c r="M539" s="21">
        <f>ROUND(ROUND(J539, 2)*I539, 2)</f>
        <v>0</v>
      </c>
      <c r="P539" s="22">
        <v>15500</v>
      </c>
      <c r="S539" s="21">
        <f>ROUND(ROUND(P539, 2)*I539, 2)</f>
        <v>2292605</v>
      </c>
      <c r="V539" s="9">
        <f>ROUND(ROUND(P539, 2)/1.2, 2)</f>
        <v>12916.67</v>
      </c>
      <c r="Y539" s="9">
        <f t="shared" si="26"/>
        <v>1910504.17</v>
      </c>
      <c r="AD539" s="4" t="s">
        <v>2000</v>
      </c>
      <c r="AE539" s="4" t="s">
        <v>2001</v>
      </c>
      <c r="AF539" s="4" t="s">
        <v>1995</v>
      </c>
    </row>
    <row r="540" spans="1:35" ht="36" x14ac:dyDescent="0.3">
      <c r="A540" s="10" t="s">
        <v>2002</v>
      </c>
      <c r="B540" s="10" t="s">
        <v>1986</v>
      </c>
      <c r="C540" s="11" t="s">
        <v>1987</v>
      </c>
      <c r="D540" s="12"/>
      <c r="E540" s="12" t="s">
        <v>2003</v>
      </c>
      <c r="F540" s="12" t="s">
        <v>58</v>
      </c>
      <c r="G540" s="13">
        <v>1</v>
      </c>
      <c r="H540" s="13"/>
      <c r="I540" s="13">
        <v>144.66999999999999</v>
      </c>
      <c r="J540" s="14">
        <f>IFERROR(ROUND(SUM(M541)/I540, 2),0)</f>
        <v>0</v>
      </c>
      <c r="K540" s="15">
        <v>1723.99</v>
      </c>
      <c r="L540" s="14">
        <f>J540+ROUND(K540, 2)</f>
        <v>1723.99</v>
      </c>
      <c r="M540" s="14">
        <f>ROUND(J540*I540, 2)</f>
        <v>0</v>
      </c>
      <c r="N540" s="14">
        <f>ROUND(I540*ROUND(K540, 2), 2)</f>
        <v>249409.63</v>
      </c>
      <c r="O540" s="14">
        <f>M540+N540</f>
        <v>249409.63</v>
      </c>
      <c r="P540" s="14">
        <f>IFERROR(ROUND(SUM(S541)/I540, 2),0)</f>
        <v>15500</v>
      </c>
      <c r="Q540" s="16">
        <v>2462.84</v>
      </c>
      <c r="R540" s="14">
        <f>P540+ROUND(Q540, 2)</f>
        <v>17962.84</v>
      </c>
      <c r="S540" s="14">
        <f>ROUND(P540*I540, 2)</f>
        <v>2242385</v>
      </c>
      <c r="T540" s="14">
        <f>ROUND(I540*ROUND(Q540, 2), 2)</f>
        <v>356299.06</v>
      </c>
      <c r="U540" s="14">
        <f>S540+T540</f>
        <v>2598684.06</v>
      </c>
      <c r="V540" s="9">
        <f>ROUND(P540 / 1.2, 2)</f>
        <v>12916.67</v>
      </c>
      <c r="W540" s="9">
        <f>ROUND(Q540 / 1.2, 2)</f>
        <v>2052.37</v>
      </c>
      <c r="X540" s="9">
        <f>ROUND(R540 / 1.2, 2)</f>
        <v>14969.03</v>
      </c>
      <c r="Y540" s="9">
        <f t="shared" si="26"/>
        <v>1868654.17</v>
      </c>
      <c r="Z540" s="9">
        <f>ROUND(T540 / 1.2, 2)</f>
        <v>296915.88</v>
      </c>
      <c r="AA540" s="9">
        <f>Y540+Z540</f>
        <v>2165570.0499999998</v>
      </c>
      <c r="AD540" s="4">
        <v>311044494</v>
      </c>
      <c r="AE540" s="4">
        <v>22892019</v>
      </c>
      <c r="AG540" s="4" t="s">
        <v>1988</v>
      </c>
      <c r="AH540" s="4" t="s">
        <v>1989</v>
      </c>
      <c r="AI540" s="4" t="s">
        <v>469</v>
      </c>
    </row>
    <row r="541" spans="1:35" ht="90" x14ac:dyDescent="0.3">
      <c r="A541" s="10" t="s">
        <v>2004</v>
      </c>
      <c r="B541" s="10"/>
      <c r="C541" s="17" t="s">
        <v>1991</v>
      </c>
      <c r="D541" s="12"/>
      <c r="E541" s="12" t="s">
        <v>2005</v>
      </c>
      <c r="F541" s="18" t="s">
        <v>58</v>
      </c>
      <c r="G541" s="19">
        <v>1</v>
      </c>
      <c r="H541" s="19"/>
      <c r="I541" s="19">
        <v>144.66999999999999</v>
      </c>
      <c r="J541" s="20">
        <v>0</v>
      </c>
      <c r="M541" s="21">
        <f>ROUND(ROUND(J541, 2)*I541, 2)</f>
        <v>0</v>
      </c>
      <c r="P541" s="22">
        <v>15500</v>
      </c>
      <c r="S541" s="21">
        <f>ROUND(ROUND(P541, 2)*I541, 2)</f>
        <v>2242385</v>
      </c>
      <c r="V541" s="9">
        <f>ROUND(ROUND(P541, 2)/1.2, 2)</f>
        <v>12916.67</v>
      </c>
      <c r="Y541" s="9">
        <f t="shared" si="26"/>
        <v>1868654.17</v>
      </c>
      <c r="AD541" s="4" t="s">
        <v>2006</v>
      </c>
      <c r="AE541" s="4" t="s">
        <v>2007</v>
      </c>
      <c r="AF541" s="4" t="s">
        <v>1995</v>
      </c>
    </row>
    <row r="542" spans="1:35" ht="36" x14ac:dyDescent="0.3">
      <c r="A542" s="10" t="s">
        <v>2008</v>
      </c>
      <c r="B542" s="10" t="s">
        <v>1986</v>
      </c>
      <c r="C542" s="11" t="s">
        <v>1987</v>
      </c>
      <c r="D542" s="12"/>
      <c r="E542" s="12" t="s">
        <v>2009</v>
      </c>
      <c r="F542" s="12" t="s">
        <v>58</v>
      </c>
      <c r="G542" s="13">
        <v>1</v>
      </c>
      <c r="H542" s="13"/>
      <c r="I542" s="13">
        <v>144.31</v>
      </c>
      <c r="J542" s="14">
        <f>IFERROR(ROUND(SUM(M543)/I542, 2),0)</f>
        <v>0</v>
      </c>
      <c r="K542" s="15">
        <v>1723.99</v>
      </c>
      <c r="L542" s="14">
        <f>J542+ROUND(K542, 2)</f>
        <v>1723.99</v>
      </c>
      <c r="M542" s="14">
        <f>ROUND(J542*I542, 2)</f>
        <v>0</v>
      </c>
      <c r="N542" s="14">
        <f>ROUND(I542*ROUND(K542, 2), 2)</f>
        <v>248789</v>
      </c>
      <c r="O542" s="14">
        <f>M542+N542</f>
        <v>248789</v>
      </c>
      <c r="P542" s="14">
        <f>IFERROR(ROUND(SUM(S543)/I542, 2),0)</f>
        <v>15500</v>
      </c>
      <c r="Q542" s="16">
        <v>2462.84</v>
      </c>
      <c r="R542" s="14">
        <f>P542+ROUND(Q542, 2)</f>
        <v>17962.84</v>
      </c>
      <c r="S542" s="14">
        <f>ROUND(P542*I542, 2)</f>
        <v>2236805</v>
      </c>
      <c r="T542" s="14">
        <f>ROUND(I542*ROUND(Q542, 2), 2)</f>
        <v>355412.44</v>
      </c>
      <c r="U542" s="14">
        <f>S542+T542</f>
        <v>2592217.44</v>
      </c>
      <c r="V542" s="9">
        <f>ROUND(P542 / 1.2, 2)</f>
        <v>12916.67</v>
      </c>
      <c r="W542" s="9">
        <f>ROUND(Q542 / 1.2, 2)</f>
        <v>2052.37</v>
      </c>
      <c r="X542" s="9">
        <f>ROUND(R542 / 1.2, 2)</f>
        <v>14969.03</v>
      </c>
      <c r="Y542" s="9">
        <f t="shared" si="26"/>
        <v>1864004.17</v>
      </c>
      <c r="Z542" s="9">
        <f>ROUND(T542 / 1.2, 2)</f>
        <v>296177.03000000003</v>
      </c>
      <c r="AA542" s="9">
        <f>Y542+Z542</f>
        <v>2160181.2000000002</v>
      </c>
      <c r="AD542" s="4">
        <v>311044495</v>
      </c>
      <c r="AE542" s="4">
        <v>22892020</v>
      </c>
      <c r="AG542" s="4" t="s">
        <v>1988</v>
      </c>
      <c r="AH542" s="4" t="s">
        <v>1989</v>
      </c>
      <c r="AI542" s="4" t="s">
        <v>469</v>
      </c>
    </row>
    <row r="543" spans="1:35" ht="90" x14ac:dyDescent="0.3">
      <c r="A543" s="10" t="s">
        <v>2010</v>
      </c>
      <c r="B543" s="10"/>
      <c r="C543" s="17" t="s">
        <v>1991</v>
      </c>
      <c r="D543" s="12"/>
      <c r="E543" s="12" t="s">
        <v>2005</v>
      </c>
      <c r="F543" s="18" t="s">
        <v>58</v>
      </c>
      <c r="G543" s="19">
        <v>1</v>
      </c>
      <c r="H543" s="19"/>
      <c r="I543" s="19">
        <v>144.31</v>
      </c>
      <c r="J543" s="20">
        <v>0</v>
      </c>
      <c r="M543" s="21">
        <f>ROUND(ROUND(J543, 2)*I543, 2)</f>
        <v>0</v>
      </c>
      <c r="P543" s="22">
        <v>15500</v>
      </c>
      <c r="S543" s="21">
        <f>ROUND(ROUND(P543, 2)*I543, 2)</f>
        <v>2236805</v>
      </c>
      <c r="V543" s="9">
        <f>ROUND(ROUND(P543, 2)/1.2, 2)</f>
        <v>12916.67</v>
      </c>
      <c r="Y543" s="9">
        <f t="shared" si="26"/>
        <v>1864004.17</v>
      </c>
      <c r="AD543" s="4" t="s">
        <v>2011</v>
      </c>
      <c r="AE543" s="4" t="s">
        <v>2012</v>
      </c>
      <c r="AF543" s="4" t="s">
        <v>1995</v>
      </c>
    </row>
    <row r="544" spans="1:35" ht="36" x14ac:dyDescent="0.3">
      <c r="A544" s="10" t="s">
        <v>2013</v>
      </c>
      <c r="B544" s="10" t="s">
        <v>1986</v>
      </c>
      <c r="C544" s="11" t="s">
        <v>1987</v>
      </c>
      <c r="D544" s="12"/>
      <c r="E544" s="12" t="s">
        <v>2014</v>
      </c>
      <c r="F544" s="12" t="s">
        <v>58</v>
      </c>
      <c r="G544" s="13">
        <v>1</v>
      </c>
      <c r="H544" s="13"/>
      <c r="I544" s="13">
        <v>802.27</v>
      </c>
      <c r="J544" s="14">
        <f>IFERROR(ROUND(SUM(M545)/I544, 2),0)</f>
        <v>0</v>
      </c>
      <c r="K544" s="15">
        <v>1723.99</v>
      </c>
      <c r="L544" s="14">
        <f>J544+ROUND(K544, 2)</f>
        <v>1723.99</v>
      </c>
      <c r="M544" s="14">
        <f>ROUND(J544*I544, 2)</f>
        <v>0</v>
      </c>
      <c r="N544" s="14">
        <f>ROUND(I544*ROUND(K544, 2), 2)</f>
        <v>1383105.46</v>
      </c>
      <c r="O544" s="14">
        <f>M544+N544</f>
        <v>1383105.46</v>
      </c>
      <c r="P544" s="14">
        <f>IFERROR(ROUND(SUM(S545)/I544, 2),0)</f>
        <v>15500</v>
      </c>
      <c r="Q544" s="16">
        <v>2462.84</v>
      </c>
      <c r="R544" s="14">
        <f>P544+ROUND(Q544, 2)</f>
        <v>17962.84</v>
      </c>
      <c r="S544" s="14">
        <f>ROUND(P544*I544, 2)</f>
        <v>12435185</v>
      </c>
      <c r="T544" s="14">
        <f>ROUND(I544*ROUND(Q544, 2), 2)</f>
        <v>1975862.65</v>
      </c>
      <c r="U544" s="14">
        <f>S544+T544</f>
        <v>14411047.65</v>
      </c>
      <c r="V544" s="9">
        <f>ROUND(P544 / 1.2, 2)</f>
        <v>12916.67</v>
      </c>
      <c r="W544" s="9">
        <f>ROUND(Q544 / 1.2, 2)</f>
        <v>2052.37</v>
      </c>
      <c r="X544" s="9">
        <f>ROUND(R544 / 1.2, 2)</f>
        <v>14969.03</v>
      </c>
      <c r="Y544" s="9">
        <f t="shared" si="26"/>
        <v>10362654.17</v>
      </c>
      <c r="Z544" s="9">
        <f>ROUND(T544 / 1.2, 2)</f>
        <v>1646552.21</v>
      </c>
      <c r="AA544" s="9">
        <f>Y544+Z544</f>
        <v>12009206.379999999</v>
      </c>
      <c r="AD544" s="4">
        <v>311044496</v>
      </c>
      <c r="AE544" s="4">
        <v>22892021</v>
      </c>
      <c r="AG544" s="4" t="s">
        <v>1988</v>
      </c>
      <c r="AH544" s="4" t="s">
        <v>1989</v>
      </c>
      <c r="AI544" s="4" t="s">
        <v>469</v>
      </c>
    </row>
    <row r="545" spans="1:35" ht="90" x14ac:dyDescent="0.3">
      <c r="A545" s="10" t="s">
        <v>2015</v>
      </c>
      <c r="B545" s="10"/>
      <c r="C545" s="17" t="s">
        <v>1991</v>
      </c>
      <c r="D545" s="12"/>
      <c r="E545" s="12" t="s">
        <v>2016</v>
      </c>
      <c r="F545" s="18" t="s">
        <v>58</v>
      </c>
      <c r="G545" s="19">
        <v>1</v>
      </c>
      <c r="H545" s="19"/>
      <c r="I545" s="19">
        <v>802.27</v>
      </c>
      <c r="J545" s="20">
        <v>0</v>
      </c>
      <c r="M545" s="21">
        <f>ROUND(ROUND(J545, 2)*I545, 2)</f>
        <v>0</v>
      </c>
      <c r="P545" s="22">
        <v>15500</v>
      </c>
      <c r="S545" s="21">
        <f>ROUND(ROUND(P545, 2)*I545, 2)</f>
        <v>12435185</v>
      </c>
      <c r="V545" s="9">
        <f>ROUND(ROUND(P545, 2)/1.2, 2)</f>
        <v>12916.67</v>
      </c>
      <c r="Y545" s="9">
        <f t="shared" si="26"/>
        <v>10362654.17</v>
      </c>
      <c r="AD545" s="4" t="s">
        <v>2017</v>
      </c>
      <c r="AE545" s="4" t="s">
        <v>2018</v>
      </c>
      <c r="AF545" s="4" t="s">
        <v>1995</v>
      </c>
    </row>
    <row r="546" spans="1:35" ht="36" x14ac:dyDescent="0.3">
      <c r="A546" s="10" t="s">
        <v>2019</v>
      </c>
      <c r="B546" s="10" t="s">
        <v>1986</v>
      </c>
      <c r="C546" s="11" t="s">
        <v>1987</v>
      </c>
      <c r="D546" s="12"/>
      <c r="E546" s="12" t="s">
        <v>2020</v>
      </c>
      <c r="F546" s="12" t="s">
        <v>58</v>
      </c>
      <c r="G546" s="13">
        <v>1</v>
      </c>
      <c r="H546" s="13"/>
      <c r="I546" s="13">
        <v>143.38999999999999</v>
      </c>
      <c r="J546" s="14">
        <f>IFERROR(ROUND(SUM(M547)/I546, 2),0)</f>
        <v>0</v>
      </c>
      <c r="K546" s="15">
        <v>1723.99</v>
      </c>
      <c r="L546" s="14">
        <f>J546+ROUND(K546, 2)</f>
        <v>1723.99</v>
      </c>
      <c r="M546" s="14">
        <f>ROUND(J546*I546, 2)</f>
        <v>0</v>
      </c>
      <c r="N546" s="14">
        <f>ROUND(I546*ROUND(K546, 2), 2)</f>
        <v>247202.93</v>
      </c>
      <c r="O546" s="14">
        <f>M546+N546</f>
        <v>247202.93</v>
      </c>
      <c r="P546" s="14">
        <f>IFERROR(ROUND(SUM(S547)/I546, 2),0)</f>
        <v>15500</v>
      </c>
      <c r="Q546" s="16">
        <v>2462.84</v>
      </c>
      <c r="R546" s="14">
        <f>P546+ROUND(Q546, 2)</f>
        <v>17962.84</v>
      </c>
      <c r="S546" s="14">
        <f>ROUND(P546*I546, 2)</f>
        <v>2222545</v>
      </c>
      <c r="T546" s="14">
        <f>ROUND(I546*ROUND(Q546, 2), 2)</f>
        <v>353146.63</v>
      </c>
      <c r="U546" s="14">
        <f>S546+T546</f>
        <v>2575691.63</v>
      </c>
      <c r="V546" s="9">
        <f>ROUND(P546 / 1.2, 2)</f>
        <v>12916.67</v>
      </c>
      <c r="W546" s="9">
        <f>ROUND(Q546 / 1.2, 2)</f>
        <v>2052.37</v>
      </c>
      <c r="X546" s="9">
        <f>ROUND(R546 / 1.2, 2)</f>
        <v>14969.03</v>
      </c>
      <c r="Y546" s="9">
        <f t="shared" si="26"/>
        <v>1852120.83</v>
      </c>
      <c r="Z546" s="9">
        <f>ROUND(T546 / 1.2, 2)</f>
        <v>294288.86</v>
      </c>
      <c r="AA546" s="9">
        <f>Y546+Z546</f>
        <v>2146409.69</v>
      </c>
      <c r="AD546" s="4">
        <v>311044497</v>
      </c>
      <c r="AE546" s="4">
        <v>22892022</v>
      </c>
      <c r="AG546" s="4" t="s">
        <v>1988</v>
      </c>
      <c r="AH546" s="4" t="s">
        <v>1989</v>
      </c>
      <c r="AI546" s="4" t="s">
        <v>469</v>
      </c>
    </row>
    <row r="547" spans="1:35" ht="90" x14ac:dyDescent="0.3">
      <c r="A547" s="10" t="s">
        <v>2021</v>
      </c>
      <c r="B547" s="10"/>
      <c r="C547" s="17" t="s">
        <v>1991</v>
      </c>
      <c r="D547" s="12"/>
      <c r="E547" s="12" t="s">
        <v>2022</v>
      </c>
      <c r="F547" s="18" t="s">
        <v>58</v>
      </c>
      <c r="G547" s="19">
        <v>1</v>
      </c>
      <c r="H547" s="19"/>
      <c r="I547" s="19">
        <v>143.38999999999999</v>
      </c>
      <c r="J547" s="20">
        <v>0</v>
      </c>
      <c r="M547" s="21">
        <f>ROUND(ROUND(J547, 2)*I547, 2)</f>
        <v>0</v>
      </c>
      <c r="P547" s="22">
        <v>15500</v>
      </c>
      <c r="S547" s="21">
        <f>ROUND(ROUND(P547, 2)*I547, 2)</f>
        <v>2222545</v>
      </c>
      <c r="V547" s="9">
        <f>ROUND(ROUND(P547, 2)/1.2, 2)</f>
        <v>12916.67</v>
      </c>
      <c r="Y547" s="9">
        <f t="shared" si="26"/>
        <v>1852120.83</v>
      </c>
      <c r="AD547" s="4" t="s">
        <v>2023</v>
      </c>
      <c r="AE547" s="4" t="s">
        <v>2024</v>
      </c>
      <c r="AF547" s="4" t="s">
        <v>1995</v>
      </c>
    </row>
    <row r="548" spans="1:35" ht="36" x14ac:dyDescent="0.3">
      <c r="A548" s="10" t="s">
        <v>2025</v>
      </c>
      <c r="B548" s="10" t="s">
        <v>1986</v>
      </c>
      <c r="C548" s="11" t="s">
        <v>1987</v>
      </c>
      <c r="D548" s="12"/>
      <c r="E548" s="12" t="s">
        <v>2026</v>
      </c>
      <c r="F548" s="12" t="s">
        <v>58</v>
      </c>
      <c r="G548" s="13">
        <v>1</v>
      </c>
      <c r="H548" s="13"/>
      <c r="I548" s="13">
        <v>144.66999999999999</v>
      </c>
      <c r="J548" s="14">
        <f>IFERROR(ROUND(SUM(M549)/I548, 2),0)</f>
        <v>0</v>
      </c>
      <c r="K548" s="15">
        <v>1723.99</v>
      </c>
      <c r="L548" s="14">
        <f>J548+ROUND(K548, 2)</f>
        <v>1723.99</v>
      </c>
      <c r="M548" s="14">
        <f>ROUND(J548*I548, 2)</f>
        <v>0</v>
      </c>
      <c r="N548" s="14">
        <f>ROUND(I548*ROUND(K548, 2), 2)</f>
        <v>249409.63</v>
      </c>
      <c r="O548" s="14">
        <f>M548+N548</f>
        <v>249409.63</v>
      </c>
      <c r="P548" s="14">
        <f>IFERROR(ROUND(SUM(S549)/I548, 2),0)</f>
        <v>7010</v>
      </c>
      <c r="Q548" s="16">
        <v>2462.84</v>
      </c>
      <c r="R548" s="14">
        <f>P548+ROUND(Q548, 2)</f>
        <v>9472.84</v>
      </c>
      <c r="S548" s="14">
        <f>ROUND(P548*I548, 2)</f>
        <v>1014136.7</v>
      </c>
      <c r="T548" s="14">
        <f>ROUND(I548*ROUND(Q548, 2), 2)</f>
        <v>356299.06</v>
      </c>
      <c r="U548" s="14">
        <f>S548+T548</f>
        <v>1370435.76</v>
      </c>
      <c r="V548" s="9">
        <f>ROUND(P548 / 1.2, 2)</f>
        <v>5841.67</v>
      </c>
      <c r="W548" s="9">
        <f>ROUND(Q548 / 1.2, 2)</f>
        <v>2052.37</v>
      </c>
      <c r="X548" s="9">
        <f>ROUND(R548 / 1.2, 2)</f>
        <v>7894.03</v>
      </c>
      <c r="Y548" s="9">
        <f t="shared" si="26"/>
        <v>845113.92</v>
      </c>
      <c r="Z548" s="9">
        <f>ROUND(T548 / 1.2, 2)</f>
        <v>296915.88</v>
      </c>
      <c r="AA548" s="9">
        <f>Y548+Z548</f>
        <v>1142029.8</v>
      </c>
      <c r="AD548" s="4">
        <v>311044498</v>
      </c>
      <c r="AE548" s="4">
        <v>22892023</v>
      </c>
      <c r="AG548" s="4" t="s">
        <v>1988</v>
      </c>
      <c r="AH548" s="4" t="s">
        <v>1989</v>
      </c>
      <c r="AI548" s="4" t="s">
        <v>469</v>
      </c>
    </row>
    <row r="549" spans="1:35" ht="108" x14ac:dyDescent="0.3">
      <c r="A549" s="10" t="s">
        <v>2027</v>
      </c>
      <c r="B549" s="10"/>
      <c r="C549" s="17" t="s">
        <v>1991</v>
      </c>
      <c r="D549" s="12"/>
      <c r="E549" s="12" t="s">
        <v>2028</v>
      </c>
      <c r="F549" s="18" t="s">
        <v>58</v>
      </c>
      <c r="G549" s="19">
        <v>1</v>
      </c>
      <c r="H549" s="19"/>
      <c r="I549" s="19">
        <v>144.66999999999999</v>
      </c>
      <c r="J549" s="20">
        <v>0</v>
      </c>
      <c r="M549" s="21">
        <f>ROUND(ROUND(J549, 2)*I549, 2)</f>
        <v>0</v>
      </c>
      <c r="P549" s="22">
        <v>7010</v>
      </c>
      <c r="S549" s="21">
        <f>ROUND(ROUND(P549, 2)*I549, 2)</f>
        <v>1014136.7</v>
      </c>
      <c r="V549" s="9">
        <f>ROUND(ROUND(P549, 2)/1.2, 2)</f>
        <v>5841.67</v>
      </c>
      <c r="Y549" s="9">
        <f t="shared" si="26"/>
        <v>845113.92</v>
      </c>
      <c r="AD549" s="4" t="s">
        <v>2029</v>
      </c>
      <c r="AE549" s="4" t="s">
        <v>2030</v>
      </c>
      <c r="AF549" s="4" t="s">
        <v>1995</v>
      </c>
    </row>
    <row r="550" spans="1:35" ht="36" x14ac:dyDescent="0.3">
      <c r="A550" s="10" t="s">
        <v>2031</v>
      </c>
      <c r="B550" s="10" t="s">
        <v>1986</v>
      </c>
      <c r="C550" s="11" t="s">
        <v>1987</v>
      </c>
      <c r="D550" s="12"/>
      <c r="E550" s="12" t="s">
        <v>2032</v>
      </c>
      <c r="F550" s="12" t="s">
        <v>58</v>
      </c>
      <c r="G550" s="13">
        <v>1</v>
      </c>
      <c r="H550" s="13"/>
      <c r="I550" s="13">
        <v>144.31</v>
      </c>
      <c r="J550" s="14">
        <f>IFERROR(ROUND(SUM(M551)/I550, 2),0)</f>
        <v>0</v>
      </c>
      <c r="K550" s="15">
        <v>1723.99</v>
      </c>
      <c r="L550" s="14">
        <f>J550+ROUND(K550, 2)</f>
        <v>1723.99</v>
      </c>
      <c r="M550" s="14">
        <f>ROUND(J550*I550, 2)</f>
        <v>0</v>
      </c>
      <c r="N550" s="14">
        <f>ROUND(I550*ROUND(K550, 2), 2)</f>
        <v>248789</v>
      </c>
      <c r="O550" s="14">
        <f>M550+N550</f>
        <v>248789</v>
      </c>
      <c r="P550" s="14">
        <f>IFERROR(ROUND(SUM(S551)/I550, 2),0)</f>
        <v>7010</v>
      </c>
      <c r="Q550" s="16">
        <v>2462.84</v>
      </c>
      <c r="R550" s="14">
        <f>P550+ROUND(Q550, 2)</f>
        <v>9472.84</v>
      </c>
      <c r="S550" s="14">
        <f>ROUND(P550*I550, 2)</f>
        <v>1011613.1</v>
      </c>
      <c r="T550" s="14">
        <f>ROUND(I550*ROUND(Q550, 2), 2)</f>
        <v>355412.44</v>
      </c>
      <c r="U550" s="14">
        <f>S550+T550</f>
        <v>1367025.54</v>
      </c>
      <c r="V550" s="9">
        <f>ROUND(P550 / 1.2, 2)</f>
        <v>5841.67</v>
      </c>
      <c r="W550" s="9">
        <f>ROUND(Q550 / 1.2, 2)</f>
        <v>2052.37</v>
      </c>
      <c r="X550" s="9">
        <f>ROUND(R550 / 1.2, 2)</f>
        <v>7894.03</v>
      </c>
      <c r="Y550" s="9">
        <f t="shared" si="26"/>
        <v>843010.92</v>
      </c>
      <c r="Z550" s="9">
        <f>ROUND(T550 / 1.2, 2)</f>
        <v>296177.03000000003</v>
      </c>
      <c r="AA550" s="9">
        <f>Y550+Z550</f>
        <v>1139187.9500000002</v>
      </c>
      <c r="AD550" s="4">
        <v>311044499</v>
      </c>
      <c r="AE550" s="4">
        <v>22892024</v>
      </c>
      <c r="AG550" s="4" t="s">
        <v>1988</v>
      </c>
      <c r="AH550" s="4" t="s">
        <v>1989</v>
      </c>
      <c r="AI550" s="4" t="s">
        <v>469</v>
      </c>
    </row>
    <row r="551" spans="1:35" ht="108" x14ac:dyDescent="0.3">
      <c r="A551" s="10" t="s">
        <v>2033</v>
      </c>
      <c r="B551" s="10"/>
      <c r="C551" s="17" t="s">
        <v>1991</v>
      </c>
      <c r="D551" s="12"/>
      <c r="E551" s="12" t="s">
        <v>2028</v>
      </c>
      <c r="F551" s="18" t="s">
        <v>58</v>
      </c>
      <c r="G551" s="19">
        <v>1</v>
      </c>
      <c r="H551" s="19"/>
      <c r="I551" s="19">
        <v>144.31</v>
      </c>
      <c r="J551" s="20">
        <v>0</v>
      </c>
      <c r="M551" s="21">
        <f>ROUND(ROUND(J551, 2)*I551, 2)</f>
        <v>0</v>
      </c>
      <c r="P551" s="22">
        <v>7010</v>
      </c>
      <c r="S551" s="21">
        <f>ROUND(ROUND(P551, 2)*I551, 2)</f>
        <v>1011613.1</v>
      </c>
      <c r="V551" s="9">
        <f>ROUND(ROUND(P551, 2)/1.2, 2)</f>
        <v>5841.67</v>
      </c>
      <c r="Y551" s="9">
        <f t="shared" si="26"/>
        <v>843010.92</v>
      </c>
      <c r="AD551" s="4" t="s">
        <v>2034</v>
      </c>
      <c r="AE551" s="4" t="s">
        <v>2035</v>
      </c>
      <c r="AF551" s="4" t="s">
        <v>1995</v>
      </c>
    </row>
    <row r="552" spans="1:35" ht="36" x14ac:dyDescent="0.3">
      <c r="A552" s="10" t="s">
        <v>2036</v>
      </c>
      <c r="B552" s="10" t="s">
        <v>1986</v>
      </c>
      <c r="C552" s="11" t="s">
        <v>1987</v>
      </c>
      <c r="D552" s="12"/>
      <c r="E552" s="12" t="s">
        <v>2037</v>
      </c>
      <c r="F552" s="12" t="s">
        <v>58</v>
      </c>
      <c r="G552" s="13">
        <v>1</v>
      </c>
      <c r="H552" s="13"/>
      <c r="I552" s="13">
        <v>802.41</v>
      </c>
      <c r="J552" s="14">
        <f>IFERROR(ROUND(SUM(M553)/I552, 2),0)</f>
        <v>0</v>
      </c>
      <c r="K552" s="15">
        <v>1723.99</v>
      </c>
      <c r="L552" s="14">
        <f>J552+ROUND(K552, 2)</f>
        <v>1723.99</v>
      </c>
      <c r="M552" s="14">
        <f>ROUND(J552*I552, 2)</f>
        <v>0</v>
      </c>
      <c r="N552" s="14">
        <f>ROUND(I552*ROUND(K552, 2), 2)</f>
        <v>1383346.82</v>
      </c>
      <c r="O552" s="14">
        <f>M552+N552</f>
        <v>1383346.82</v>
      </c>
      <c r="P552" s="14">
        <f>IFERROR(ROUND(SUM(S553)/I552, 2),0)</f>
        <v>7010</v>
      </c>
      <c r="Q552" s="16">
        <v>2462.84</v>
      </c>
      <c r="R552" s="14">
        <f>P552+ROUND(Q552, 2)</f>
        <v>9472.84</v>
      </c>
      <c r="S552" s="14">
        <f>ROUND(P552*I552, 2)</f>
        <v>5624894.0999999996</v>
      </c>
      <c r="T552" s="14">
        <f>ROUND(I552*ROUND(Q552, 2), 2)</f>
        <v>1976207.44</v>
      </c>
      <c r="U552" s="14">
        <f>S552+T552</f>
        <v>7601101.5399999991</v>
      </c>
      <c r="V552" s="9">
        <f>ROUND(P552 / 1.2, 2)</f>
        <v>5841.67</v>
      </c>
      <c r="W552" s="9">
        <f>ROUND(Q552 / 1.2, 2)</f>
        <v>2052.37</v>
      </c>
      <c r="X552" s="9">
        <f>ROUND(R552 / 1.2, 2)</f>
        <v>7894.03</v>
      </c>
      <c r="Y552" s="9">
        <f t="shared" si="26"/>
        <v>4687411.75</v>
      </c>
      <c r="Z552" s="9">
        <f>ROUND(T552 / 1.2, 2)</f>
        <v>1646839.53</v>
      </c>
      <c r="AA552" s="9">
        <f>Y552+Z552</f>
        <v>6334251.2800000003</v>
      </c>
      <c r="AD552" s="4">
        <v>311044500</v>
      </c>
      <c r="AE552" s="4">
        <v>22892025</v>
      </c>
      <c r="AG552" s="4" t="s">
        <v>1988</v>
      </c>
      <c r="AH552" s="4" t="s">
        <v>1989</v>
      </c>
      <c r="AI552" s="4" t="s">
        <v>469</v>
      </c>
    </row>
    <row r="553" spans="1:35" ht="108" x14ac:dyDescent="0.3">
      <c r="A553" s="10" t="s">
        <v>2038</v>
      </c>
      <c r="B553" s="10"/>
      <c r="C553" s="17" t="s">
        <v>1991</v>
      </c>
      <c r="D553" s="12"/>
      <c r="E553" s="12" t="s">
        <v>2039</v>
      </c>
      <c r="F553" s="18" t="s">
        <v>58</v>
      </c>
      <c r="G553" s="19">
        <v>1</v>
      </c>
      <c r="H553" s="19"/>
      <c r="I553" s="19">
        <v>802.41</v>
      </c>
      <c r="J553" s="20">
        <v>0</v>
      </c>
      <c r="M553" s="21">
        <f>ROUND(ROUND(J553, 2)*I553, 2)</f>
        <v>0</v>
      </c>
      <c r="P553" s="22">
        <v>7010</v>
      </c>
      <c r="S553" s="21">
        <f>ROUND(ROUND(P553, 2)*I553, 2)</f>
        <v>5624894.0999999996</v>
      </c>
      <c r="V553" s="9">
        <f>ROUND(ROUND(P553, 2)/1.2, 2)</f>
        <v>5841.67</v>
      </c>
      <c r="Y553" s="9">
        <f t="shared" si="26"/>
        <v>4687411.75</v>
      </c>
      <c r="AD553" s="4" t="s">
        <v>2040</v>
      </c>
      <c r="AE553" s="4" t="s">
        <v>2041</v>
      </c>
      <c r="AF553" s="4" t="s">
        <v>1995</v>
      </c>
    </row>
    <row r="554" spans="1:35" ht="36" x14ac:dyDescent="0.3">
      <c r="A554" s="10" t="s">
        <v>2042</v>
      </c>
      <c r="B554" s="10" t="s">
        <v>1986</v>
      </c>
      <c r="C554" s="11" t="s">
        <v>1987</v>
      </c>
      <c r="D554" s="12"/>
      <c r="E554" s="12" t="s">
        <v>2043</v>
      </c>
      <c r="F554" s="12" t="s">
        <v>58</v>
      </c>
      <c r="G554" s="13">
        <v>1</v>
      </c>
      <c r="H554" s="13"/>
      <c r="I554" s="13">
        <v>236.15</v>
      </c>
      <c r="J554" s="14">
        <f>IFERROR(ROUND(SUM(M555)/I554, 2),0)</f>
        <v>0</v>
      </c>
      <c r="K554" s="15">
        <v>1723.99</v>
      </c>
      <c r="L554" s="14">
        <f>J554+ROUND(K554, 2)</f>
        <v>1723.99</v>
      </c>
      <c r="M554" s="14">
        <f>ROUND(J554*I554, 2)</f>
        <v>0</v>
      </c>
      <c r="N554" s="14">
        <f>ROUND(I554*ROUND(K554, 2), 2)</f>
        <v>407120.24</v>
      </c>
      <c r="O554" s="14">
        <f>M554+N554</f>
        <v>407120.24</v>
      </c>
      <c r="P554" s="14">
        <f>IFERROR(ROUND(SUM(S555)/I554, 2),0)</f>
        <v>11750</v>
      </c>
      <c r="Q554" s="16">
        <v>2462.84</v>
      </c>
      <c r="R554" s="14">
        <f>P554+ROUND(Q554, 2)</f>
        <v>14212.84</v>
      </c>
      <c r="S554" s="14">
        <f>ROUND(P554*I554, 2)</f>
        <v>2774762.5</v>
      </c>
      <c r="T554" s="14">
        <f>ROUND(I554*ROUND(Q554, 2), 2)</f>
        <v>581599.67000000004</v>
      </c>
      <c r="U554" s="14">
        <f>S554+T554</f>
        <v>3356362.17</v>
      </c>
      <c r="V554" s="9">
        <f>ROUND(P554 / 1.2, 2)</f>
        <v>9791.67</v>
      </c>
      <c r="W554" s="9">
        <f>ROUND(Q554 / 1.2, 2)</f>
        <v>2052.37</v>
      </c>
      <c r="X554" s="9">
        <f>ROUND(R554 / 1.2, 2)</f>
        <v>11844.03</v>
      </c>
      <c r="Y554" s="9">
        <f t="shared" si="26"/>
        <v>2312302.08</v>
      </c>
      <c r="Z554" s="9">
        <f>ROUND(T554 / 1.2, 2)</f>
        <v>484666.39</v>
      </c>
      <c r="AA554" s="9">
        <f>Y554+Z554</f>
        <v>2796968.47</v>
      </c>
      <c r="AD554" s="4">
        <v>311044501</v>
      </c>
      <c r="AE554" s="4">
        <v>22892287</v>
      </c>
      <c r="AG554" s="4" t="s">
        <v>1988</v>
      </c>
      <c r="AH554" s="4" t="s">
        <v>1989</v>
      </c>
      <c r="AI554" s="4" t="s">
        <v>469</v>
      </c>
    </row>
    <row r="555" spans="1:35" ht="126" x14ac:dyDescent="0.3">
      <c r="A555" s="10" t="s">
        <v>2044</v>
      </c>
      <c r="B555" s="10"/>
      <c r="C555" s="17" t="s">
        <v>1991</v>
      </c>
      <c r="D555" s="12"/>
      <c r="E555" s="12" t="s">
        <v>2045</v>
      </c>
      <c r="F555" s="18" t="s">
        <v>58</v>
      </c>
      <c r="G555" s="19">
        <v>1</v>
      </c>
      <c r="H555" s="19"/>
      <c r="I555" s="19">
        <v>236.15</v>
      </c>
      <c r="J555" s="20">
        <v>0</v>
      </c>
      <c r="M555" s="21">
        <f>ROUND(ROUND(J555, 2)*I555, 2)</f>
        <v>0</v>
      </c>
      <c r="P555" s="22">
        <v>11750</v>
      </c>
      <c r="S555" s="21">
        <f>ROUND(ROUND(P555, 2)*I555, 2)</f>
        <v>2774762.5</v>
      </c>
      <c r="V555" s="9">
        <f>ROUND(ROUND(P555, 2)/1.2, 2)</f>
        <v>9791.67</v>
      </c>
      <c r="Y555" s="9">
        <f t="shared" si="26"/>
        <v>2312302.08</v>
      </c>
      <c r="AD555" s="4" t="s">
        <v>2046</v>
      </c>
      <c r="AE555" s="4" t="s">
        <v>2047</v>
      </c>
      <c r="AF555" s="4" t="s">
        <v>1995</v>
      </c>
    </row>
    <row r="556" spans="1:35" ht="36" x14ac:dyDescent="0.3">
      <c r="A556" s="10" t="s">
        <v>2048</v>
      </c>
      <c r="B556" s="10" t="s">
        <v>1986</v>
      </c>
      <c r="C556" s="11" t="s">
        <v>1987</v>
      </c>
      <c r="D556" s="12"/>
      <c r="E556" s="12" t="s">
        <v>2049</v>
      </c>
      <c r="F556" s="12" t="s">
        <v>58</v>
      </c>
      <c r="G556" s="13">
        <v>1</v>
      </c>
      <c r="H556" s="13"/>
      <c r="I556" s="13">
        <v>286.12</v>
      </c>
      <c r="J556" s="14">
        <f>IFERROR(ROUND(SUM(M557)/I556, 2),0)</f>
        <v>0</v>
      </c>
      <c r="K556" s="15">
        <v>1723.99</v>
      </c>
      <c r="L556" s="14">
        <f>J556+ROUND(K556, 2)</f>
        <v>1723.99</v>
      </c>
      <c r="M556" s="14">
        <f>ROUND(J556*I556, 2)</f>
        <v>0</v>
      </c>
      <c r="N556" s="14">
        <f>ROUND(I556*ROUND(K556, 2), 2)</f>
        <v>493268.02</v>
      </c>
      <c r="O556" s="14">
        <f>M556+N556</f>
        <v>493268.02</v>
      </c>
      <c r="P556" s="14">
        <f>IFERROR(ROUND(SUM(S557)/I556, 2),0)</f>
        <v>6500</v>
      </c>
      <c r="Q556" s="16">
        <v>2462.84</v>
      </c>
      <c r="R556" s="14">
        <f>P556+ROUND(Q556, 2)</f>
        <v>8962.84</v>
      </c>
      <c r="S556" s="14">
        <f>ROUND(P556*I556, 2)</f>
        <v>1859780</v>
      </c>
      <c r="T556" s="14">
        <f>ROUND(I556*ROUND(Q556, 2), 2)</f>
        <v>704667.78</v>
      </c>
      <c r="U556" s="14">
        <f>S556+T556</f>
        <v>2564447.7800000003</v>
      </c>
      <c r="V556" s="9">
        <f>ROUND(P556 / 1.2, 2)</f>
        <v>5416.67</v>
      </c>
      <c r="W556" s="9">
        <f>ROUND(Q556 / 1.2, 2)</f>
        <v>2052.37</v>
      </c>
      <c r="X556" s="9">
        <f>ROUND(R556 / 1.2, 2)</f>
        <v>7469.03</v>
      </c>
      <c r="Y556" s="9">
        <f t="shared" si="26"/>
        <v>1549816.67</v>
      </c>
      <c r="Z556" s="9">
        <f>ROUND(T556 / 1.2, 2)</f>
        <v>587223.15</v>
      </c>
      <c r="AA556" s="9">
        <f>Y556+Z556</f>
        <v>2137039.8199999998</v>
      </c>
      <c r="AD556" s="4">
        <v>311044502</v>
      </c>
      <c r="AE556" s="4">
        <v>22892288</v>
      </c>
      <c r="AG556" s="4" t="s">
        <v>1988</v>
      </c>
      <c r="AH556" s="4" t="s">
        <v>1989</v>
      </c>
      <c r="AI556" s="4" t="s">
        <v>469</v>
      </c>
    </row>
    <row r="557" spans="1:35" ht="126" x14ac:dyDescent="0.3">
      <c r="A557" s="10" t="s">
        <v>2050</v>
      </c>
      <c r="B557" s="10"/>
      <c r="C557" s="17" t="s">
        <v>1991</v>
      </c>
      <c r="D557" s="12"/>
      <c r="E557" s="12" t="s">
        <v>2051</v>
      </c>
      <c r="F557" s="18" t="s">
        <v>58</v>
      </c>
      <c r="G557" s="19">
        <v>1</v>
      </c>
      <c r="H557" s="19"/>
      <c r="I557" s="19">
        <v>286.12</v>
      </c>
      <c r="J557" s="20">
        <v>0</v>
      </c>
      <c r="M557" s="21">
        <f>ROUND(ROUND(J557, 2)*I557, 2)</f>
        <v>0</v>
      </c>
      <c r="P557" s="22">
        <v>6500</v>
      </c>
      <c r="S557" s="21">
        <f>ROUND(ROUND(P557, 2)*I557, 2)</f>
        <v>1859780</v>
      </c>
      <c r="V557" s="9">
        <f>ROUND(ROUND(P557, 2)/1.2, 2)</f>
        <v>5416.67</v>
      </c>
      <c r="Y557" s="9">
        <f t="shared" si="26"/>
        <v>1549816.67</v>
      </c>
      <c r="AD557" s="4" t="s">
        <v>2052</v>
      </c>
      <c r="AE557" s="4" t="s">
        <v>2053</v>
      </c>
      <c r="AF557" s="4" t="s">
        <v>1995</v>
      </c>
    </row>
    <row r="558" spans="1:35" ht="72" x14ac:dyDescent="0.3">
      <c r="A558" s="10" t="s">
        <v>2054</v>
      </c>
      <c r="B558" s="10" t="s">
        <v>2055</v>
      </c>
      <c r="C558" s="11" t="s">
        <v>2056</v>
      </c>
      <c r="D558" s="12"/>
      <c r="E558" s="12" t="s">
        <v>2057</v>
      </c>
      <c r="F558" s="12" t="s">
        <v>58</v>
      </c>
      <c r="G558" s="13">
        <v>1</v>
      </c>
      <c r="H558" s="13"/>
      <c r="I558" s="13">
        <v>37.6</v>
      </c>
      <c r="J558" s="14">
        <f>IFERROR(ROUND(SUM(M559,M560,M561,M562,M563,M564,M565,M566,M567,M568)/I558, 2),0)</f>
        <v>459.36</v>
      </c>
      <c r="K558" s="15">
        <v>1563</v>
      </c>
      <c r="L558" s="14">
        <f>J558+ROUND(K558, 2)</f>
        <v>2022.3600000000001</v>
      </c>
      <c r="M558" s="14">
        <f>ROUND(J558*I558, 2)</f>
        <v>17271.939999999999</v>
      </c>
      <c r="N558" s="14">
        <f>ROUND(I558*ROUND(K558, 2), 2)</f>
        <v>58768.800000000003</v>
      </c>
      <c r="O558" s="14">
        <f>M558+N558</f>
        <v>76040.740000000005</v>
      </c>
      <c r="P558" s="14">
        <f>IFERROR(ROUND(SUM(S559,S560,S561,S562,S563,S564,S565,S566,S567,S568)/I558, 2),0)</f>
        <v>3854.16</v>
      </c>
      <c r="Q558" s="16">
        <v>2232.86</v>
      </c>
      <c r="R558" s="14">
        <f>P558+ROUND(Q558, 2)</f>
        <v>6087.02</v>
      </c>
      <c r="S558" s="14">
        <f>ROUND(P558*I558, 2)</f>
        <v>144916.42000000001</v>
      </c>
      <c r="T558" s="14">
        <f>ROUND(I558*ROUND(Q558, 2), 2)</f>
        <v>83955.54</v>
      </c>
      <c r="U558" s="14">
        <f>S558+T558</f>
        <v>228871.96000000002</v>
      </c>
      <c r="V558" s="9">
        <f>ROUND(P558 / 1.2, 2)</f>
        <v>3211.8</v>
      </c>
      <c r="W558" s="9">
        <f>ROUND(Q558 / 1.2, 2)</f>
        <v>1860.72</v>
      </c>
      <c r="X558" s="9">
        <f>ROUND(R558 / 1.2, 2)</f>
        <v>5072.5200000000004</v>
      </c>
      <c r="Y558" s="9">
        <f t="shared" si="26"/>
        <v>120763.68</v>
      </c>
      <c r="Z558" s="9">
        <f>ROUND(T558 / 1.2, 2)</f>
        <v>69962.95</v>
      </c>
      <c r="AA558" s="9">
        <f>Y558+Z558</f>
        <v>190726.63</v>
      </c>
      <c r="AD558" s="4">
        <v>311044406</v>
      </c>
      <c r="AE558" s="4">
        <v>22791295</v>
      </c>
      <c r="AG558" s="4" t="s">
        <v>2058</v>
      </c>
      <c r="AH558" s="4" t="s">
        <v>2059</v>
      </c>
      <c r="AI558" s="4" t="s">
        <v>469</v>
      </c>
    </row>
    <row r="559" spans="1:35" ht="18" x14ac:dyDescent="0.3">
      <c r="A559" s="10" t="s">
        <v>2060</v>
      </c>
      <c r="B559" s="10"/>
      <c r="C559" s="17" t="s">
        <v>2061</v>
      </c>
      <c r="D559" s="12"/>
      <c r="E559" s="12"/>
      <c r="F559" s="18" t="s">
        <v>99</v>
      </c>
      <c r="G559" s="19">
        <v>0.35</v>
      </c>
      <c r="H559" s="19"/>
      <c r="I559" s="19">
        <v>13.16</v>
      </c>
      <c r="J559" s="20">
        <v>55.91</v>
      </c>
      <c r="M559" s="21">
        <f t="shared" ref="M559:M568" si="27">ROUND(ROUND(J559, 2)*I559, 2)</f>
        <v>735.78</v>
      </c>
      <c r="P559" s="22">
        <v>55.91</v>
      </c>
      <c r="S559" s="21">
        <f t="shared" ref="S559:S568" si="28">ROUND(ROUND(P559, 2)*I559, 2)</f>
        <v>735.78</v>
      </c>
      <c r="V559" s="9">
        <f t="shared" ref="V559:V568" si="29">ROUND(ROUND(P559, 2)/1.2, 2)</f>
        <v>46.59</v>
      </c>
      <c r="Y559" s="9">
        <f t="shared" si="26"/>
        <v>613.15</v>
      </c>
      <c r="AD559" s="4" t="s">
        <v>2062</v>
      </c>
      <c r="AE559" s="4" t="s">
        <v>2063</v>
      </c>
      <c r="AF559" s="4" t="s">
        <v>2064</v>
      </c>
    </row>
    <row r="560" spans="1:35" ht="18" x14ac:dyDescent="0.3">
      <c r="A560" s="10" t="s">
        <v>2065</v>
      </c>
      <c r="B560" s="10"/>
      <c r="C560" s="17" t="s">
        <v>2066</v>
      </c>
      <c r="D560" s="12"/>
      <c r="E560" s="12"/>
      <c r="F560" s="18" t="s">
        <v>139</v>
      </c>
      <c r="G560" s="19">
        <v>0.3</v>
      </c>
      <c r="H560" s="19"/>
      <c r="I560" s="19">
        <v>11.28</v>
      </c>
      <c r="J560" s="20">
        <v>5.7</v>
      </c>
      <c r="M560" s="21">
        <f t="shared" si="27"/>
        <v>64.3</v>
      </c>
      <c r="P560" s="22">
        <v>5.7</v>
      </c>
      <c r="S560" s="21">
        <f t="shared" si="28"/>
        <v>64.3</v>
      </c>
      <c r="V560" s="9">
        <f t="shared" si="29"/>
        <v>4.75</v>
      </c>
      <c r="Y560" s="9">
        <f t="shared" si="26"/>
        <v>53.58</v>
      </c>
      <c r="AD560" s="4" t="s">
        <v>2067</v>
      </c>
      <c r="AE560" s="4" t="s">
        <v>2068</v>
      </c>
      <c r="AF560" s="4" t="s">
        <v>2069</v>
      </c>
    </row>
    <row r="561" spans="1:35" ht="36" x14ac:dyDescent="0.3">
      <c r="A561" s="10" t="s">
        <v>2070</v>
      </c>
      <c r="B561" s="10"/>
      <c r="C561" s="23" t="s">
        <v>2071</v>
      </c>
      <c r="D561" s="12"/>
      <c r="E561" s="12"/>
      <c r="F561" s="18" t="s">
        <v>139</v>
      </c>
      <c r="G561" s="19">
        <v>3.6</v>
      </c>
      <c r="H561" s="19"/>
      <c r="I561" s="19">
        <v>135.36000000000001</v>
      </c>
      <c r="J561" s="20">
        <v>16.170000000000002</v>
      </c>
      <c r="M561" s="21">
        <f t="shared" si="27"/>
        <v>2188.77</v>
      </c>
      <c r="P561" s="22">
        <v>16.170000000000002</v>
      </c>
      <c r="S561" s="21">
        <f t="shared" si="28"/>
        <v>2188.77</v>
      </c>
      <c r="V561" s="9">
        <f t="shared" si="29"/>
        <v>13.48</v>
      </c>
      <c r="Y561" s="9">
        <f t="shared" si="26"/>
        <v>1823.98</v>
      </c>
      <c r="AD561" s="4" t="s">
        <v>2072</v>
      </c>
      <c r="AE561" s="4" t="s">
        <v>2073</v>
      </c>
      <c r="AF561" s="4" t="s">
        <v>2074</v>
      </c>
    </row>
    <row r="562" spans="1:35" ht="18" x14ac:dyDescent="0.3">
      <c r="A562" s="10" t="s">
        <v>2075</v>
      </c>
      <c r="B562" s="10"/>
      <c r="C562" s="17" t="s">
        <v>2076</v>
      </c>
      <c r="D562" s="12"/>
      <c r="E562" s="12"/>
      <c r="F562" s="18" t="s">
        <v>139</v>
      </c>
      <c r="G562" s="19">
        <v>30</v>
      </c>
      <c r="H562" s="19"/>
      <c r="I562" s="19">
        <v>1128</v>
      </c>
      <c r="J562" s="20">
        <v>0.61</v>
      </c>
      <c r="M562" s="21">
        <f t="shared" si="27"/>
        <v>688.08</v>
      </c>
      <c r="P562" s="22">
        <v>0.61</v>
      </c>
      <c r="S562" s="21">
        <f t="shared" si="28"/>
        <v>688.08</v>
      </c>
      <c r="V562" s="9">
        <f t="shared" si="29"/>
        <v>0.51</v>
      </c>
      <c r="Y562" s="9">
        <f t="shared" si="26"/>
        <v>573.4</v>
      </c>
      <c r="AD562" s="4" t="s">
        <v>2077</v>
      </c>
      <c r="AE562" s="4" t="s">
        <v>2078</v>
      </c>
      <c r="AF562" s="4" t="s">
        <v>2079</v>
      </c>
    </row>
    <row r="563" spans="1:35" ht="18" x14ac:dyDescent="0.3">
      <c r="A563" s="10" t="s">
        <v>2080</v>
      </c>
      <c r="B563" s="10"/>
      <c r="C563" s="17" t="s">
        <v>2081</v>
      </c>
      <c r="D563" s="12"/>
      <c r="E563" s="12"/>
      <c r="F563" s="18" t="s">
        <v>58</v>
      </c>
      <c r="G563" s="19">
        <v>2.0499999999999998</v>
      </c>
      <c r="H563" s="19"/>
      <c r="I563" s="19">
        <v>77.08</v>
      </c>
      <c r="J563" s="20">
        <v>0</v>
      </c>
      <c r="M563" s="21">
        <f t="shared" si="27"/>
        <v>0</v>
      </c>
      <c r="P563" s="22">
        <v>1656</v>
      </c>
      <c r="S563" s="21">
        <f t="shared" si="28"/>
        <v>127644.48</v>
      </c>
      <c r="V563" s="9">
        <f t="shared" si="29"/>
        <v>1380</v>
      </c>
      <c r="Y563" s="9">
        <f t="shared" si="26"/>
        <v>106370.4</v>
      </c>
      <c r="AD563" s="4" t="s">
        <v>2082</v>
      </c>
      <c r="AE563" s="4" t="s">
        <v>2083</v>
      </c>
      <c r="AF563" s="4" t="s">
        <v>2084</v>
      </c>
    </row>
    <row r="564" spans="1:35" ht="18" x14ac:dyDescent="0.3">
      <c r="A564" s="10" t="s">
        <v>2085</v>
      </c>
      <c r="B564" s="10"/>
      <c r="C564" s="17" t="s">
        <v>2086</v>
      </c>
      <c r="D564" s="12"/>
      <c r="E564" s="12"/>
      <c r="F564" s="18" t="s">
        <v>139</v>
      </c>
      <c r="G564" s="19">
        <v>15</v>
      </c>
      <c r="H564" s="19"/>
      <c r="I564" s="19">
        <v>564</v>
      </c>
      <c r="J564" s="20">
        <v>0.96</v>
      </c>
      <c r="M564" s="21">
        <f t="shared" si="27"/>
        <v>541.44000000000005</v>
      </c>
      <c r="P564" s="22">
        <v>0.96</v>
      </c>
      <c r="S564" s="21">
        <f t="shared" si="28"/>
        <v>541.44000000000005</v>
      </c>
      <c r="V564" s="9">
        <f t="shared" si="29"/>
        <v>0.8</v>
      </c>
      <c r="Y564" s="9">
        <f t="shared" si="26"/>
        <v>451.2</v>
      </c>
      <c r="AD564" s="4" t="s">
        <v>2087</v>
      </c>
      <c r="AE564" s="4" t="s">
        <v>2088</v>
      </c>
      <c r="AF564" s="4" t="s">
        <v>2089</v>
      </c>
    </row>
    <row r="565" spans="1:35" ht="18" x14ac:dyDescent="0.3">
      <c r="A565" s="10" t="s">
        <v>2090</v>
      </c>
      <c r="B565" s="10"/>
      <c r="C565" s="17" t="s">
        <v>2091</v>
      </c>
      <c r="D565" s="12"/>
      <c r="E565" s="12"/>
      <c r="F565" s="18" t="s">
        <v>258</v>
      </c>
      <c r="G565" s="19">
        <v>1.25</v>
      </c>
      <c r="H565" s="19"/>
      <c r="I565" s="19">
        <v>47</v>
      </c>
      <c r="J565" s="20">
        <v>2.84</v>
      </c>
      <c r="M565" s="21">
        <f t="shared" si="27"/>
        <v>133.47999999999999</v>
      </c>
      <c r="P565" s="22">
        <v>2.84</v>
      </c>
      <c r="S565" s="21">
        <f t="shared" si="28"/>
        <v>133.47999999999999</v>
      </c>
      <c r="V565" s="9">
        <f t="shared" si="29"/>
        <v>2.37</v>
      </c>
      <c r="Y565" s="9">
        <f t="shared" si="26"/>
        <v>111.23</v>
      </c>
      <c r="AD565" s="4" t="s">
        <v>2092</v>
      </c>
      <c r="AE565" s="4" t="s">
        <v>2093</v>
      </c>
      <c r="AF565" s="4" t="s">
        <v>2094</v>
      </c>
    </row>
    <row r="566" spans="1:35" ht="18" x14ac:dyDescent="0.3">
      <c r="A566" s="10" t="s">
        <v>2095</v>
      </c>
      <c r="B566" s="10"/>
      <c r="C566" s="17" t="s">
        <v>2096</v>
      </c>
      <c r="D566" s="12"/>
      <c r="E566" s="12"/>
      <c r="F566" s="18" t="s">
        <v>139</v>
      </c>
      <c r="G566" s="19">
        <v>0.75</v>
      </c>
      <c r="H566" s="19"/>
      <c r="I566" s="19">
        <v>28.2</v>
      </c>
      <c r="J566" s="20">
        <v>2.84</v>
      </c>
      <c r="M566" s="21">
        <f t="shared" si="27"/>
        <v>80.09</v>
      </c>
      <c r="P566" s="22">
        <v>2.84</v>
      </c>
      <c r="S566" s="21">
        <f t="shared" si="28"/>
        <v>80.09</v>
      </c>
      <c r="V566" s="9">
        <f t="shared" si="29"/>
        <v>2.37</v>
      </c>
      <c r="Y566" s="9">
        <f t="shared" si="26"/>
        <v>66.739999999999995</v>
      </c>
      <c r="AD566" s="4" t="s">
        <v>2097</v>
      </c>
      <c r="AE566" s="4" t="s">
        <v>2098</v>
      </c>
      <c r="AF566" s="4" t="s">
        <v>2099</v>
      </c>
    </row>
    <row r="567" spans="1:35" ht="18" x14ac:dyDescent="0.3">
      <c r="A567" s="10" t="s">
        <v>2100</v>
      </c>
      <c r="B567" s="10"/>
      <c r="C567" s="17" t="s">
        <v>2101</v>
      </c>
      <c r="D567" s="12"/>
      <c r="E567" s="12"/>
      <c r="F567" s="18" t="s">
        <v>258</v>
      </c>
      <c r="G567" s="19">
        <v>4.7</v>
      </c>
      <c r="H567" s="19"/>
      <c r="I567" s="19">
        <v>176.72</v>
      </c>
      <c r="J567" s="20">
        <v>68.099999999999994</v>
      </c>
      <c r="M567" s="21">
        <f t="shared" si="27"/>
        <v>12034.63</v>
      </c>
      <c r="P567" s="22">
        <v>68.099999999999994</v>
      </c>
      <c r="S567" s="21">
        <f t="shared" si="28"/>
        <v>12034.63</v>
      </c>
      <c r="V567" s="9">
        <f t="shared" si="29"/>
        <v>56.75</v>
      </c>
      <c r="Y567" s="9">
        <f t="shared" si="26"/>
        <v>10028.86</v>
      </c>
      <c r="AD567" s="4" t="s">
        <v>2102</v>
      </c>
      <c r="AE567" s="4" t="s">
        <v>2103</v>
      </c>
      <c r="AF567" s="4" t="s">
        <v>2104</v>
      </c>
    </row>
    <row r="568" spans="1:35" ht="18" x14ac:dyDescent="0.3">
      <c r="A568" s="10" t="s">
        <v>2105</v>
      </c>
      <c r="B568" s="10"/>
      <c r="C568" s="23" t="s">
        <v>2106</v>
      </c>
      <c r="D568" s="12"/>
      <c r="E568" s="12"/>
      <c r="F568" s="18" t="s">
        <v>139</v>
      </c>
      <c r="G568" s="19">
        <v>4.2</v>
      </c>
      <c r="H568" s="19"/>
      <c r="I568" s="19">
        <v>157.91999999999999</v>
      </c>
      <c r="J568" s="20">
        <v>5.0999999999999996</v>
      </c>
      <c r="M568" s="21">
        <f t="shared" si="27"/>
        <v>805.39</v>
      </c>
      <c r="P568" s="22">
        <v>5.0999999999999996</v>
      </c>
      <c r="S568" s="21">
        <f t="shared" si="28"/>
        <v>805.39</v>
      </c>
      <c r="V568" s="9">
        <f t="shared" si="29"/>
        <v>4.25</v>
      </c>
      <c r="Y568" s="9">
        <f t="shared" si="26"/>
        <v>671.16</v>
      </c>
      <c r="AD568" s="4" t="s">
        <v>2107</v>
      </c>
      <c r="AE568" s="4" t="s">
        <v>2108</v>
      </c>
      <c r="AF568" s="4" t="s">
        <v>2109</v>
      </c>
    </row>
    <row r="569" spans="1:35" ht="54" x14ac:dyDescent="0.3">
      <c r="A569" s="10" t="s">
        <v>2110</v>
      </c>
      <c r="B569" s="10" t="s">
        <v>2055</v>
      </c>
      <c r="C569" s="11" t="s">
        <v>2056</v>
      </c>
      <c r="D569" s="12"/>
      <c r="E569" s="12" t="s">
        <v>2111</v>
      </c>
      <c r="F569" s="12" t="s">
        <v>58</v>
      </c>
      <c r="G569" s="13">
        <v>1</v>
      </c>
      <c r="H569" s="13"/>
      <c r="I569" s="13">
        <v>624.6</v>
      </c>
      <c r="J569" s="14">
        <f>IFERROR(ROUND(SUM(M570,M571,M572,M573,M574,M575,M576,M577,M578,M579)/I569, 2),0)</f>
        <v>741.83</v>
      </c>
      <c r="K569" s="15">
        <v>1563</v>
      </c>
      <c r="L569" s="14">
        <f>J569+ROUND(K569, 2)</f>
        <v>2304.83</v>
      </c>
      <c r="M569" s="14">
        <f>ROUND(J569*I569, 2)</f>
        <v>463347.02</v>
      </c>
      <c r="N569" s="14">
        <f>ROUND(I569*ROUND(K569, 2), 2)</f>
        <v>976249.8</v>
      </c>
      <c r="O569" s="14">
        <f>M569+N569</f>
        <v>1439596.82</v>
      </c>
      <c r="P569" s="14">
        <f>IFERROR(ROUND(SUM(S570,S571,S572,S573,S574,S575,S576,S577,S578,S579)/I569, 2),0)</f>
        <v>741.83</v>
      </c>
      <c r="Q569" s="16">
        <v>2232.86</v>
      </c>
      <c r="R569" s="14">
        <f>P569+ROUND(Q569, 2)</f>
        <v>2974.69</v>
      </c>
      <c r="S569" s="14">
        <f>ROUND(P569*I569, 2)</f>
        <v>463347.02</v>
      </c>
      <c r="T569" s="14">
        <f>ROUND(I569*ROUND(Q569, 2), 2)</f>
        <v>1394644.36</v>
      </c>
      <c r="U569" s="14">
        <f>S569+T569</f>
        <v>1857991.3800000001</v>
      </c>
      <c r="V569" s="9">
        <f>ROUND(P569 / 1.2, 2)</f>
        <v>618.19000000000005</v>
      </c>
      <c r="W569" s="9">
        <f>ROUND(Q569 / 1.2, 2)</f>
        <v>1860.72</v>
      </c>
      <c r="X569" s="9">
        <f>ROUND(R569 / 1.2, 2)</f>
        <v>2478.91</v>
      </c>
      <c r="Y569" s="9">
        <f t="shared" si="26"/>
        <v>386122.52</v>
      </c>
      <c r="Z569" s="9">
        <f>ROUND(T569 / 1.2, 2)</f>
        <v>1162203.6299999999</v>
      </c>
      <c r="AA569" s="9">
        <f>Y569+Z569</f>
        <v>1548326.15</v>
      </c>
      <c r="AD569" s="4">
        <v>311044503</v>
      </c>
      <c r="AE569" s="4">
        <v>22791298</v>
      </c>
      <c r="AG569" s="4" t="s">
        <v>2058</v>
      </c>
      <c r="AH569" s="4" t="s">
        <v>2059</v>
      </c>
      <c r="AI569" s="4" t="s">
        <v>469</v>
      </c>
    </row>
    <row r="570" spans="1:35" ht="18" x14ac:dyDescent="0.3">
      <c r="A570" s="10" t="s">
        <v>2112</v>
      </c>
      <c r="B570" s="10"/>
      <c r="C570" s="23" t="s">
        <v>2106</v>
      </c>
      <c r="D570" s="12"/>
      <c r="E570" s="12"/>
      <c r="F570" s="18" t="s">
        <v>139</v>
      </c>
      <c r="G570" s="19">
        <v>4.2</v>
      </c>
      <c r="H570" s="19"/>
      <c r="I570" s="19">
        <v>2623.32</v>
      </c>
      <c r="J570" s="20">
        <v>5.0999999999999996</v>
      </c>
      <c r="M570" s="21">
        <f t="shared" ref="M570:M579" si="30">ROUND(ROUND(J570, 2)*I570, 2)</f>
        <v>13378.93</v>
      </c>
      <c r="P570" s="22">
        <v>5.0999999999999996</v>
      </c>
      <c r="S570" s="21">
        <f t="shared" ref="S570:S579" si="31">ROUND(ROUND(P570, 2)*I570, 2)</f>
        <v>13378.93</v>
      </c>
      <c r="V570" s="9">
        <f t="shared" ref="V570:V579" si="32">ROUND(ROUND(P570, 2)/1.2, 2)</f>
        <v>4.25</v>
      </c>
      <c r="Y570" s="9">
        <f t="shared" si="26"/>
        <v>11149.11</v>
      </c>
      <c r="AD570" s="4" t="s">
        <v>2113</v>
      </c>
      <c r="AE570" s="4" t="s">
        <v>2114</v>
      </c>
      <c r="AF570" s="4" t="s">
        <v>2109</v>
      </c>
    </row>
    <row r="571" spans="1:35" ht="18" x14ac:dyDescent="0.3">
      <c r="A571" s="10" t="s">
        <v>2115</v>
      </c>
      <c r="B571" s="10"/>
      <c r="C571" s="17" t="s">
        <v>2101</v>
      </c>
      <c r="D571" s="12"/>
      <c r="E571" s="12"/>
      <c r="F571" s="18" t="s">
        <v>258</v>
      </c>
      <c r="G571" s="19">
        <v>4.7</v>
      </c>
      <c r="H571" s="19"/>
      <c r="I571" s="19">
        <v>2935.62</v>
      </c>
      <c r="J571" s="20">
        <v>68.099999999999994</v>
      </c>
      <c r="M571" s="21">
        <f t="shared" si="30"/>
        <v>199915.72</v>
      </c>
      <c r="P571" s="22">
        <v>68.099999999999994</v>
      </c>
      <c r="S571" s="21">
        <f t="shared" si="31"/>
        <v>199915.72</v>
      </c>
      <c r="V571" s="9">
        <f t="shared" si="32"/>
        <v>56.75</v>
      </c>
      <c r="Y571" s="9">
        <f t="shared" si="26"/>
        <v>166596.43</v>
      </c>
      <c r="AD571" s="4" t="s">
        <v>2116</v>
      </c>
      <c r="AE571" s="4" t="s">
        <v>2117</v>
      </c>
      <c r="AF571" s="4" t="s">
        <v>2104</v>
      </c>
    </row>
    <row r="572" spans="1:35" ht="36" x14ac:dyDescent="0.3">
      <c r="A572" s="10" t="s">
        <v>2118</v>
      </c>
      <c r="B572" s="10"/>
      <c r="C572" s="17" t="s">
        <v>2119</v>
      </c>
      <c r="D572" s="12"/>
      <c r="E572" s="12"/>
      <c r="F572" s="18" t="s">
        <v>58</v>
      </c>
      <c r="G572" s="19">
        <v>2.0499999999999998</v>
      </c>
      <c r="H572" s="19"/>
      <c r="I572" s="19">
        <v>1280.43</v>
      </c>
      <c r="J572" s="20">
        <v>137.79</v>
      </c>
      <c r="M572" s="21">
        <f t="shared" si="30"/>
        <v>176430.45</v>
      </c>
      <c r="P572" s="22">
        <v>137.79</v>
      </c>
      <c r="S572" s="21">
        <f t="shared" si="31"/>
        <v>176430.45</v>
      </c>
      <c r="V572" s="9">
        <f t="shared" si="32"/>
        <v>114.83</v>
      </c>
      <c r="Y572" s="9">
        <f t="shared" si="26"/>
        <v>147025.38</v>
      </c>
      <c r="AD572" s="4" t="s">
        <v>2120</v>
      </c>
      <c r="AE572" s="4" t="s">
        <v>2121</v>
      </c>
      <c r="AF572" s="4" t="s">
        <v>2122</v>
      </c>
    </row>
    <row r="573" spans="1:35" ht="18" x14ac:dyDescent="0.3">
      <c r="A573" s="10" t="s">
        <v>2123</v>
      </c>
      <c r="B573" s="10"/>
      <c r="C573" s="17" t="s">
        <v>2096</v>
      </c>
      <c r="D573" s="12"/>
      <c r="E573" s="12"/>
      <c r="F573" s="18" t="s">
        <v>139</v>
      </c>
      <c r="G573" s="19">
        <v>0.75</v>
      </c>
      <c r="H573" s="19"/>
      <c r="I573" s="19">
        <v>468.45</v>
      </c>
      <c r="J573" s="20">
        <v>2.84</v>
      </c>
      <c r="M573" s="21">
        <f t="shared" si="30"/>
        <v>1330.4</v>
      </c>
      <c r="P573" s="22">
        <v>2.84</v>
      </c>
      <c r="S573" s="21">
        <f t="shared" si="31"/>
        <v>1330.4</v>
      </c>
      <c r="V573" s="9">
        <f t="shared" si="32"/>
        <v>2.37</v>
      </c>
      <c r="Y573" s="9">
        <f t="shared" si="26"/>
        <v>1108.67</v>
      </c>
      <c r="AD573" s="4" t="s">
        <v>2124</v>
      </c>
      <c r="AE573" s="4" t="s">
        <v>2125</v>
      </c>
      <c r="AF573" s="4" t="s">
        <v>2099</v>
      </c>
    </row>
    <row r="574" spans="1:35" ht="18" x14ac:dyDescent="0.3">
      <c r="A574" s="10" t="s">
        <v>2126</v>
      </c>
      <c r="B574" s="10"/>
      <c r="C574" s="17" t="s">
        <v>2091</v>
      </c>
      <c r="D574" s="12"/>
      <c r="E574" s="12"/>
      <c r="F574" s="18" t="s">
        <v>258</v>
      </c>
      <c r="G574" s="19">
        <v>1.25</v>
      </c>
      <c r="H574" s="19"/>
      <c r="I574" s="19">
        <v>780.75</v>
      </c>
      <c r="J574" s="20">
        <v>2.84</v>
      </c>
      <c r="M574" s="21">
        <f t="shared" si="30"/>
        <v>2217.33</v>
      </c>
      <c r="P574" s="22">
        <v>2.84</v>
      </c>
      <c r="S574" s="21">
        <f t="shared" si="31"/>
        <v>2217.33</v>
      </c>
      <c r="V574" s="9">
        <f t="shared" si="32"/>
        <v>2.37</v>
      </c>
      <c r="Y574" s="9">
        <f t="shared" si="26"/>
        <v>1847.78</v>
      </c>
      <c r="AD574" s="4" t="s">
        <v>2127</v>
      </c>
      <c r="AE574" s="4" t="s">
        <v>2128</v>
      </c>
      <c r="AF574" s="4" t="s">
        <v>2094</v>
      </c>
    </row>
    <row r="575" spans="1:35" ht="18" x14ac:dyDescent="0.3">
      <c r="A575" s="10" t="s">
        <v>2129</v>
      </c>
      <c r="B575" s="10"/>
      <c r="C575" s="17" t="s">
        <v>2086</v>
      </c>
      <c r="D575" s="12"/>
      <c r="E575" s="12"/>
      <c r="F575" s="18" t="s">
        <v>139</v>
      </c>
      <c r="G575" s="19">
        <v>15</v>
      </c>
      <c r="H575" s="19"/>
      <c r="I575" s="19">
        <v>9369</v>
      </c>
      <c r="J575" s="20">
        <v>0.96</v>
      </c>
      <c r="M575" s="21">
        <f t="shared" si="30"/>
        <v>8994.24</v>
      </c>
      <c r="P575" s="22">
        <v>0.96</v>
      </c>
      <c r="S575" s="21">
        <f t="shared" si="31"/>
        <v>8994.24</v>
      </c>
      <c r="V575" s="9">
        <f t="shared" si="32"/>
        <v>0.8</v>
      </c>
      <c r="Y575" s="9">
        <f t="shared" si="26"/>
        <v>7495.2</v>
      </c>
      <c r="AD575" s="4" t="s">
        <v>2130</v>
      </c>
      <c r="AE575" s="4" t="s">
        <v>2131</v>
      </c>
      <c r="AF575" s="4" t="s">
        <v>2089</v>
      </c>
    </row>
    <row r="576" spans="1:35" ht="18" x14ac:dyDescent="0.3">
      <c r="A576" s="10" t="s">
        <v>2132</v>
      </c>
      <c r="B576" s="10"/>
      <c r="C576" s="17" t="s">
        <v>2076</v>
      </c>
      <c r="D576" s="12"/>
      <c r="E576" s="12"/>
      <c r="F576" s="18" t="s">
        <v>139</v>
      </c>
      <c r="G576" s="19">
        <v>30</v>
      </c>
      <c r="H576" s="19"/>
      <c r="I576" s="19">
        <v>18738</v>
      </c>
      <c r="J576" s="20">
        <v>0.61</v>
      </c>
      <c r="M576" s="21">
        <f t="shared" si="30"/>
        <v>11430.18</v>
      </c>
      <c r="P576" s="22">
        <v>0.61</v>
      </c>
      <c r="S576" s="21">
        <f t="shared" si="31"/>
        <v>11430.18</v>
      </c>
      <c r="V576" s="9">
        <f t="shared" si="32"/>
        <v>0.51</v>
      </c>
      <c r="Y576" s="9">
        <f t="shared" si="26"/>
        <v>9525.15</v>
      </c>
      <c r="AD576" s="4" t="s">
        <v>2133</v>
      </c>
      <c r="AE576" s="4" t="s">
        <v>2134</v>
      </c>
      <c r="AF576" s="4" t="s">
        <v>2079</v>
      </c>
    </row>
    <row r="577" spans="1:35" ht="36" x14ac:dyDescent="0.3">
      <c r="A577" s="10" t="s">
        <v>2135</v>
      </c>
      <c r="B577" s="10"/>
      <c r="C577" s="23" t="s">
        <v>2071</v>
      </c>
      <c r="D577" s="12"/>
      <c r="E577" s="12"/>
      <c r="F577" s="18" t="s">
        <v>139</v>
      </c>
      <c r="G577" s="19">
        <v>3.6</v>
      </c>
      <c r="H577" s="19"/>
      <c r="I577" s="19">
        <v>2248.56</v>
      </c>
      <c r="J577" s="20">
        <v>16.170000000000002</v>
      </c>
      <c r="M577" s="21">
        <f t="shared" si="30"/>
        <v>36359.22</v>
      </c>
      <c r="P577" s="22">
        <v>16.170000000000002</v>
      </c>
      <c r="S577" s="21">
        <f t="shared" si="31"/>
        <v>36359.22</v>
      </c>
      <c r="V577" s="9">
        <f t="shared" si="32"/>
        <v>13.48</v>
      </c>
      <c r="Y577" s="9">
        <f t="shared" si="26"/>
        <v>30299.35</v>
      </c>
      <c r="AD577" s="4" t="s">
        <v>2136</v>
      </c>
      <c r="AE577" s="4" t="s">
        <v>2137</v>
      </c>
      <c r="AF577" s="4" t="s">
        <v>2074</v>
      </c>
    </row>
    <row r="578" spans="1:35" ht="18" x14ac:dyDescent="0.3">
      <c r="A578" s="10" t="s">
        <v>2138</v>
      </c>
      <c r="B578" s="10"/>
      <c r="C578" s="17" t="s">
        <v>2066</v>
      </c>
      <c r="D578" s="12"/>
      <c r="E578" s="12"/>
      <c r="F578" s="18" t="s">
        <v>139</v>
      </c>
      <c r="G578" s="19">
        <v>0.3</v>
      </c>
      <c r="H578" s="19"/>
      <c r="I578" s="19">
        <v>187.38</v>
      </c>
      <c r="J578" s="20">
        <v>5.7</v>
      </c>
      <c r="M578" s="21">
        <f t="shared" si="30"/>
        <v>1068.07</v>
      </c>
      <c r="P578" s="22">
        <v>5.7</v>
      </c>
      <c r="S578" s="21">
        <f t="shared" si="31"/>
        <v>1068.07</v>
      </c>
      <c r="V578" s="9">
        <f t="shared" si="32"/>
        <v>4.75</v>
      </c>
      <c r="Y578" s="9">
        <f t="shared" si="26"/>
        <v>890.06</v>
      </c>
      <c r="AD578" s="4" t="s">
        <v>2139</v>
      </c>
      <c r="AE578" s="4" t="s">
        <v>2140</v>
      </c>
      <c r="AF578" s="4" t="s">
        <v>2069</v>
      </c>
    </row>
    <row r="579" spans="1:35" ht="18" x14ac:dyDescent="0.3">
      <c r="A579" s="10" t="s">
        <v>2141</v>
      </c>
      <c r="B579" s="10"/>
      <c r="C579" s="17" t="s">
        <v>2061</v>
      </c>
      <c r="D579" s="12"/>
      <c r="E579" s="12"/>
      <c r="F579" s="18" t="s">
        <v>99</v>
      </c>
      <c r="G579" s="19">
        <v>0.35</v>
      </c>
      <c r="H579" s="19"/>
      <c r="I579" s="19">
        <v>218.61</v>
      </c>
      <c r="J579" s="20">
        <v>55.91</v>
      </c>
      <c r="M579" s="21">
        <f t="shared" si="30"/>
        <v>12222.49</v>
      </c>
      <c r="P579" s="22">
        <v>55.91</v>
      </c>
      <c r="S579" s="21">
        <f t="shared" si="31"/>
        <v>12222.49</v>
      </c>
      <c r="V579" s="9">
        <f t="shared" si="32"/>
        <v>46.59</v>
      </c>
      <c r="Y579" s="9">
        <f t="shared" si="26"/>
        <v>10185.41</v>
      </c>
      <c r="AD579" s="4" t="s">
        <v>2142</v>
      </c>
      <c r="AE579" s="4" t="s">
        <v>2143</v>
      </c>
      <c r="AF579" s="4" t="s">
        <v>2064</v>
      </c>
    </row>
    <row r="580" spans="1:35" ht="36" x14ac:dyDescent="0.3">
      <c r="A580" s="10" t="s">
        <v>2144</v>
      </c>
      <c r="B580" s="10" t="s">
        <v>2145</v>
      </c>
      <c r="C580" s="11" t="s">
        <v>2146</v>
      </c>
      <c r="D580" s="12"/>
      <c r="E580" s="12"/>
      <c r="F580" s="12" t="s">
        <v>58</v>
      </c>
      <c r="G580" s="13">
        <v>1</v>
      </c>
      <c r="H580" s="13"/>
      <c r="I580" s="13">
        <v>638.57000000000005</v>
      </c>
      <c r="J580" s="14">
        <f>IFERROR(ROUND(SUM(M581)/I580, 2),0)</f>
        <v>936.4</v>
      </c>
      <c r="K580" s="15">
        <v>962.99</v>
      </c>
      <c r="L580" s="14">
        <f>J580+ROUND(K580, 2)</f>
        <v>1899.3899999999999</v>
      </c>
      <c r="M580" s="14">
        <f>ROUND(J580*I580, 2)</f>
        <v>597956.94999999995</v>
      </c>
      <c r="N580" s="14">
        <f>ROUND(I580*ROUND(K580, 2), 2)</f>
        <v>614936.52</v>
      </c>
      <c r="O580" s="14">
        <f>M580+N580</f>
        <v>1212893.47</v>
      </c>
      <c r="P580" s="14">
        <f>IFERROR(ROUND(SUM(S581)/I580, 2),0)</f>
        <v>936.4</v>
      </c>
      <c r="Q580" s="16">
        <v>1375.7</v>
      </c>
      <c r="R580" s="14">
        <f>P580+ROUND(Q580, 2)</f>
        <v>2312.1</v>
      </c>
      <c r="S580" s="14">
        <f>ROUND(P580*I580, 2)</f>
        <v>597956.94999999995</v>
      </c>
      <c r="T580" s="14">
        <f>ROUND(I580*ROUND(Q580, 2), 2)</f>
        <v>878480.75</v>
      </c>
      <c r="U580" s="14">
        <f>S580+T580</f>
        <v>1476437.7</v>
      </c>
      <c r="V580" s="9">
        <f>ROUND(P580 / 1.2, 2)</f>
        <v>780.33</v>
      </c>
      <c r="W580" s="9">
        <f>ROUND(Q580 / 1.2, 2)</f>
        <v>1146.42</v>
      </c>
      <c r="X580" s="9">
        <f>ROUND(R580 / 1.2, 2)</f>
        <v>1926.75</v>
      </c>
      <c r="Y580" s="9">
        <f t="shared" si="26"/>
        <v>498297.46</v>
      </c>
      <c r="Z580" s="9">
        <f>ROUND(T580 / 1.2, 2)</f>
        <v>732067.29</v>
      </c>
      <c r="AA580" s="9">
        <f>Y580+Z580</f>
        <v>1230364.75</v>
      </c>
      <c r="AD580" s="4">
        <v>311044407</v>
      </c>
      <c r="AE580" s="4">
        <v>22892005</v>
      </c>
      <c r="AG580" s="4" t="s">
        <v>2147</v>
      </c>
      <c r="AH580" s="4" t="s">
        <v>2148</v>
      </c>
      <c r="AI580" s="4" t="s">
        <v>469</v>
      </c>
    </row>
    <row r="581" spans="1:35" ht="90" x14ac:dyDescent="0.3">
      <c r="A581" s="10" t="s">
        <v>2149</v>
      </c>
      <c r="B581" s="10"/>
      <c r="C581" s="23" t="s">
        <v>2150</v>
      </c>
      <c r="D581" s="12"/>
      <c r="E581" s="12" t="s">
        <v>2151</v>
      </c>
      <c r="F581" s="18" t="s">
        <v>58</v>
      </c>
      <c r="G581" s="19">
        <v>1.1000000000000001</v>
      </c>
      <c r="H581" s="24"/>
      <c r="I581" s="24">
        <v>702.42700000000002</v>
      </c>
      <c r="J581" s="20">
        <v>851.27</v>
      </c>
      <c r="M581" s="21">
        <f>ROUND(ROUND(J581, 2)*I581, 2)</f>
        <v>597955.03</v>
      </c>
      <c r="P581" s="22">
        <v>851.27</v>
      </c>
      <c r="S581" s="21">
        <f>ROUND(ROUND(P581, 2)*I581, 2)</f>
        <v>597955.03</v>
      </c>
      <c r="V581" s="9">
        <f>ROUND(ROUND(P581, 2)/1.2, 2)</f>
        <v>709.39</v>
      </c>
      <c r="Y581" s="9">
        <f t="shared" si="26"/>
        <v>498295.86</v>
      </c>
      <c r="AD581" s="4" t="s">
        <v>2152</v>
      </c>
      <c r="AE581" s="4" t="s">
        <v>2153</v>
      </c>
      <c r="AF581" s="4" t="s">
        <v>2154</v>
      </c>
    </row>
    <row r="582" spans="1:35" ht="54" x14ac:dyDescent="0.3">
      <c r="A582" s="10" t="s">
        <v>2155</v>
      </c>
      <c r="B582" s="10" t="s">
        <v>2145</v>
      </c>
      <c r="C582" s="11" t="s">
        <v>2146</v>
      </c>
      <c r="D582" s="12"/>
      <c r="E582" s="12" t="s">
        <v>2156</v>
      </c>
      <c r="F582" s="12" t="s">
        <v>58</v>
      </c>
      <c r="G582" s="13">
        <v>1</v>
      </c>
      <c r="H582" s="13"/>
      <c r="I582" s="13">
        <v>163.30000000000001</v>
      </c>
      <c r="J582" s="14">
        <f>IFERROR(ROUND(SUM(M583)/I582, 2),0)</f>
        <v>0</v>
      </c>
      <c r="K582" s="15">
        <v>962.99</v>
      </c>
      <c r="L582" s="14">
        <f>J582+ROUND(K582, 2)</f>
        <v>962.99</v>
      </c>
      <c r="M582" s="14">
        <f>ROUND(J582*I582, 2)</f>
        <v>0</v>
      </c>
      <c r="N582" s="14">
        <f>ROUND(I582*ROUND(K582, 2), 2)</f>
        <v>157256.26999999999</v>
      </c>
      <c r="O582" s="14">
        <f>M582+N582</f>
        <v>157256.26999999999</v>
      </c>
      <c r="P582" s="14">
        <f>IFERROR(ROUND(SUM(S583)/I582, 2),0)</f>
        <v>2305</v>
      </c>
      <c r="Q582" s="16">
        <v>1375.7</v>
      </c>
      <c r="R582" s="14">
        <f>P582+ROUND(Q582, 2)</f>
        <v>3680.7</v>
      </c>
      <c r="S582" s="14">
        <f>ROUND(P582*I582, 2)</f>
        <v>376406.5</v>
      </c>
      <c r="T582" s="14">
        <f>ROUND(I582*ROUND(Q582, 2), 2)</f>
        <v>224651.81</v>
      </c>
      <c r="U582" s="14">
        <f>S582+T582</f>
        <v>601058.31000000006</v>
      </c>
      <c r="V582" s="9">
        <f>ROUND(P582 / 1.2, 2)</f>
        <v>1920.83</v>
      </c>
      <c r="W582" s="9">
        <f>ROUND(Q582 / 1.2, 2)</f>
        <v>1146.42</v>
      </c>
      <c r="X582" s="9">
        <f>ROUND(R582 / 1.2, 2)</f>
        <v>3067.25</v>
      </c>
      <c r="Y582" s="9">
        <f t="shared" si="26"/>
        <v>313672.08</v>
      </c>
      <c r="Z582" s="9">
        <f>ROUND(T582 / 1.2, 2)</f>
        <v>187209.84</v>
      </c>
      <c r="AA582" s="9">
        <f>Y582+Z582</f>
        <v>500881.92000000004</v>
      </c>
      <c r="AD582" s="4">
        <v>311044504</v>
      </c>
      <c r="AE582" s="4">
        <v>23306497</v>
      </c>
      <c r="AG582" s="4" t="s">
        <v>2147</v>
      </c>
      <c r="AH582" s="4" t="s">
        <v>2148</v>
      </c>
      <c r="AI582" s="4" t="s">
        <v>469</v>
      </c>
    </row>
    <row r="583" spans="1:35" ht="198" x14ac:dyDescent="0.3">
      <c r="A583" s="10" t="s">
        <v>2157</v>
      </c>
      <c r="B583" s="10"/>
      <c r="C583" s="17" t="s">
        <v>2158</v>
      </c>
      <c r="D583" s="12"/>
      <c r="E583" s="12" t="s">
        <v>2159</v>
      </c>
      <c r="F583" s="18" t="s">
        <v>58</v>
      </c>
      <c r="G583" s="19">
        <v>1</v>
      </c>
      <c r="H583" s="24"/>
      <c r="I583" s="24">
        <v>163.30000000000001</v>
      </c>
      <c r="J583" s="20">
        <v>0</v>
      </c>
      <c r="M583" s="21">
        <f>ROUND(ROUND(J583, 2)*I583, 2)</f>
        <v>0</v>
      </c>
      <c r="P583" s="22">
        <v>2305</v>
      </c>
      <c r="S583" s="21">
        <f>ROUND(ROUND(P583, 2)*I583, 2)</f>
        <v>376406.5</v>
      </c>
      <c r="V583" s="9">
        <f>ROUND(ROUND(P583, 2)/1.2, 2)</f>
        <v>1920.83</v>
      </c>
      <c r="Y583" s="9">
        <f t="shared" si="26"/>
        <v>313672.08</v>
      </c>
      <c r="AD583" s="4" t="s">
        <v>2160</v>
      </c>
      <c r="AE583" s="4" t="s">
        <v>2161</v>
      </c>
      <c r="AF583" s="4" t="s">
        <v>2162</v>
      </c>
    </row>
    <row r="584" spans="1:35" ht="16.95" customHeight="1" x14ac:dyDescent="0.3">
      <c r="A584" s="10" t="s">
        <v>2163</v>
      </c>
      <c r="B584" s="10" t="s">
        <v>2164</v>
      </c>
      <c r="C584" s="51" t="s">
        <v>418</v>
      </c>
      <c r="D584" s="52"/>
      <c r="E584" s="52"/>
      <c r="F584" s="52"/>
      <c r="G584" s="52"/>
      <c r="H584" s="52"/>
      <c r="I584" s="53"/>
      <c r="M584" s="6">
        <f>SUM(M585,M586)</f>
        <v>0</v>
      </c>
      <c r="N584" s="6">
        <f>SUM(N585,N586)</f>
        <v>676751.92</v>
      </c>
      <c r="O584" s="6">
        <f>SUM(O585,O586)</f>
        <v>676751.92</v>
      </c>
      <c r="S584" s="6">
        <f>SUM(S585,S586)</f>
        <v>0</v>
      </c>
      <c r="T584" s="6">
        <f>SUM(T585,T586)</f>
        <v>11863700.629999999</v>
      </c>
      <c r="U584" s="6">
        <f>SUM(U585,U586)</f>
        <v>11863700.629999999</v>
      </c>
      <c r="Y584" s="9">
        <f>SUM(Y585,Y586)</f>
        <v>0</v>
      </c>
      <c r="Z584" s="9">
        <f>SUM(Z585,Z586)</f>
        <v>9886417.1999999993</v>
      </c>
      <c r="AA584" s="9">
        <f>SUM(AA585,AA586)</f>
        <v>9886417.1999999993</v>
      </c>
      <c r="AD584" s="4">
        <v>311044408</v>
      </c>
      <c r="AE584" s="4">
        <v>22726872</v>
      </c>
    </row>
    <row r="585" spans="1:35" ht="54" x14ac:dyDescent="0.3">
      <c r="A585" s="10" t="s">
        <v>2165</v>
      </c>
      <c r="B585" s="10" t="s">
        <v>2166</v>
      </c>
      <c r="C585" s="11" t="s">
        <v>2167</v>
      </c>
      <c r="D585" s="12" t="s">
        <v>2168</v>
      </c>
      <c r="E585" s="12"/>
      <c r="F585" s="12" t="s">
        <v>2169</v>
      </c>
      <c r="G585" s="13">
        <v>1</v>
      </c>
      <c r="H585" s="13"/>
      <c r="I585" s="13">
        <v>8</v>
      </c>
      <c r="J585" s="14">
        <v>0</v>
      </c>
      <c r="K585" s="15">
        <v>84593.99</v>
      </c>
      <c r="L585" s="14">
        <f>J585+ROUND(K585, 2)</f>
        <v>84593.99</v>
      </c>
      <c r="M585" s="14">
        <v>0</v>
      </c>
      <c r="N585" s="14">
        <f>ROUND(I585*ROUND(K585, 2), 2)</f>
        <v>676751.92</v>
      </c>
      <c r="O585" s="14">
        <f>M585+N585</f>
        <v>676751.92</v>
      </c>
      <c r="P585" s="14">
        <v>0</v>
      </c>
      <c r="Q585" s="16">
        <v>126890.98</v>
      </c>
      <c r="R585" s="14">
        <f>P585+ROUND(Q585, 2)</f>
        <v>126890.98</v>
      </c>
      <c r="S585" s="14">
        <v>0</v>
      </c>
      <c r="T585" s="14">
        <f>ROUND(I585*ROUND(Q585, 2), 2)</f>
        <v>1015127.84</v>
      </c>
      <c r="U585" s="14">
        <f>S585+T585</f>
        <v>1015127.84</v>
      </c>
      <c r="V585" s="9"/>
      <c r="W585" s="9">
        <f>ROUND(Q585 / 1.2, 2)</f>
        <v>105742.48</v>
      </c>
      <c r="X585" s="9">
        <f>ROUND(R585 / 1.2, 2)</f>
        <v>105742.48</v>
      </c>
      <c r="Y585" s="9"/>
      <c r="Z585" s="9">
        <f>ROUND(T585 / 1.2, 2)</f>
        <v>845939.87</v>
      </c>
      <c r="AA585" s="9">
        <f>Y585+Z585</f>
        <v>845939.87</v>
      </c>
      <c r="AD585" s="4">
        <v>311044410</v>
      </c>
      <c r="AE585" s="4">
        <v>23947022</v>
      </c>
      <c r="AG585" s="4" t="s">
        <v>2170</v>
      </c>
      <c r="AH585" s="4" t="s">
        <v>2171</v>
      </c>
      <c r="AI585" s="4" t="s">
        <v>469</v>
      </c>
    </row>
    <row r="586" spans="1:35" ht="36" x14ac:dyDescent="0.3">
      <c r="A586" s="10" t="s">
        <v>2172</v>
      </c>
      <c r="B586" s="10" t="s">
        <v>2173</v>
      </c>
      <c r="C586" s="11" t="s">
        <v>2174</v>
      </c>
      <c r="D586" s="12" t="s">
        <v>2175</v>
      </c>
      <c r="E586" s="12"/>
      <c r="F586" s="12" t="s">
        <v>2176</v>
      </c>
      <c r="G586" s="13">
        <v>1</v>
      </c>
      <c r="H586" s="13"/>
      <c r="I586" s="13">
        <v>1</v>
      </c>
      <c r="J586" s="14">
        <v>0</v>
      </c>
      <c r="K586" s="15">
        <v>0</v>
      </c>
      <c r="L586" s="14">
        <f>J586+ROUND(K586, 2)</f>
        <v>0</v>
      </c>
      <c r="M586" s="14">
        <v>0</v>
      </c>
      <c r="N586" s="14">
        <f>ROUND(I586*ROUND(K586, 2), 2)</f>
        <v>0</v>
      </c>
      <c r="O586" s="14">
        <f>M586+N586</f>
        <v>0</v>
      </c>
      <c r="P586" s="14">
        <v>0</v>
      </c>
      <c r="Q586" s="16">
        <v>10848572.789999999</v>
      </c>
      <c r="R586" s="14">
        <f>P586+ROUND(Q586, 2)</f>
        <v>10848572.789999999</v>
      </c>
      <c r="S586" s="14">
        <v>0</v>
      </c>
      <c r="T586" s="14">
        <f>ROUND(I586*ROUND(Q586, 2), 2)</f>
        <v>10848572.789999999</v>
      </c>
      <c r="U586" s="14">
        <f>S586+T586</f>
        <v>10848572.789999999</v>
      </c>
      <c r="V586" s="9"/>
      <c r="W586" s="9">
        <f>ROUND(Q586 / 1.2, 2)</f>
        <v>9040477.3300000001</v>
      </c>
      <c r="X586" s="9">
        <f>ROUND(R586 / 1.2, 2)</f>
        <v>9040477.3300000001</v>
      </c>
      <c r="Y586" s="9"/>
      <c r="Z586" s="9">
        <f>ROUND(T586 / 1.2, 2)</f>
        <v>9040477.3300000001</v>
      </c>
      <c r="AA586" s="9">
        <f>Y586+Z586</f>
        <v>9040477.3300000001</v>
      </c>
      <c r="AD586" s="4">
        <v>311044412</v>
      </c>
      <c r="AE586" s="4">
        <v>22931896</v>
      </c>
      <c r="AG586" s="4" t="s">
        <v>2177</v>
      </c>
      <c r="AH586" s="4" t="s">
        <v>2178</v>
      </c>
      <c r="AI586" s="4" t="s">
        <v>469</v>
      </c>
    </row>
    <row r="587" spans="1:35" ht="24" customHeight="1" x14ac:dyDescent="0.3">
      <c r="A587" s="26"/>
      <c r="B587" s="26"/>
      <c r="C587" s="26"/>
      <c r="D587" s="27" t="s">
        <v>2179</v>
      </c>
      <c r="E587" s="26"/>
      <c r="F587" s="26"/>
      <c r="G587" s="26"/>
      <c r="H587" s="26"/>
      <c r="I587" s="26"/>
      <c r="J587" s="26"/>
      <c r="K587" s="26"/>
      <c r="L587" s="26"/>
      <c r="M587" s="28">
        <f>SUM(M8)</f>
        <v>66484118.949999988</v>
      </c>
      <c r="N587" s="28">
        <f>SUM(N8)</f>
        <v>165687544.92999998</v>
      </c>
      <c r="O587" s="28">
        <f>M587+N587</f>
        <v>232171663.87999997</v>
      </c>
      <c r="P587" s="26"/>
      <c r="Q587" s="26"/>
      <c r="R587" s="26"/>
      <c r="S587" s="28">
        <f>SUM(S8)</f>
        <v>126561694.37</v>
      </c>
      <c r="T587" s="28">
        <f>SUM(T8)</f>
        <v>248557463.05000004</v>
      </c>
      <c r="U587" s="28">
        <f>S587+T587</f>
        <v>375119157.42000008</v>
      </c>
      <c r="Y587" s="9">
        <f>SUM(Y8)</f>
        <v>105468078.77</v>
      </c>
      <c r="Z587" s="9">
        <f>SUM(Z8)</f>
        <v>207131219.36999997</v>
      </c>
      <c r="AA587" s="9">
        <f>Y587+Z587</f>
        <v>312599298.13999999</v>
      </c>
    </row>
    <row r="588" spans="1:35" ht="22.8" x14ac:dyDescent="0.3">
      <c r="A588" s="48" t="s">
        <v>2180</v>
      </c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50"/>
    </row>
    <row r="589" spans="1:35" ht="15.6" x14ac:dyDescent="0.3">
      <c r="A589" s="30"/>
      <c r="B589" s="5" t="s">
        <v>2181</v>
      </c>
      <c r="C589" s="29" t="s">
        <v>2182</v>
      </c>
      <c r="D589" s="29" t="s">
        <v>2183</v>
      </c>
      <c r="E589" s="31"/>
      <c r="F589" s="31"/>
      <c r="G589" s="31"/>
      <c r="H589" s="46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47"/>
    </row>
    <row r="590" spans="1:35" ht="15.6" x14ac:dyDescent="0.3">
      <c r="A590" s="30"/>
      <c r="B590" s="5" t="s">
        <v>2184</v>
      </c>
      <c r="C590" s="29" t="s">
        <v>2185</v>
      </c>
      <c r="D590" s="29" t="s">
        <v>2186</v>
      </c>
      <c r="E590" s="31"/>
      <c r="F590" s="31"/>
      <c r="G590" s="31"/>
      <c r="H590" s="46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47"/>
    </row>
    <row r="591" spans="1:35" ht="31.2" x14ac:dyDescent="0.3">
      <c r="A591" s="30"/>
      <c r="B591" s="5" t="s">
        <v>2187</v>
      </c>
      <c r="C591" s="29" t="s">
        <v>2188</v>
      </c>
      <c r="D591" s="29" t="s">
        <v>2189</v>
      </c>
      <c r="E591" s="31"/>
      <c r="F591" s="31"/>
      <c r="G591" s="31"/>
      <c r="H591" s="46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47"/>
    </row>
    <row r="592" spans="1:35" ht="15.6" x14ac:dyDescent="0.3">
      <c r="A592" s="30"/>
      <c r="B592" s="5" t="s">
        <v>2190</v>
      </c>
      <c r="C592" s="29" t="s">
        <v>2191</v>
      </c>
      <c r="D592" s="29" t="s">
        <v>2192</v>
      </c>
      <c r="E592" s="31"/>
      <c r="F592" s="31"/>
      <c r="G592" s="31"/>
      <c r="H592" s="46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47"/>
    </row>
    <row r="593" spans="1:21" ht="15.6" x14ac:dyDescent="0.3">
      <c r="A593" s="30"/>
      <c r="B593" s="5" t="s">
        <v>2193</v>
      </c>
      <c r="C593" s="29" t="s">
        <v>2194</v>
      </c>
      <c r="D593" s="29" t="s">
        <v>2186</v>
      </c>
      <c r="E593" s="31"/>
      <c r="F593" s="31"/>
      <c r="G593" s="31"/>
      <c r="H593" s="46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47"/>
    </row>
    <row r="594" spans="1:21" ht="31.2" x14ac:dyDescent="0.3">
      <c r="A594" s="30"/>
      <c r="B594" s="5" t="s">
        <v>2195</v>
      </c>
      <c r="C594" s="29" t="s">
        <v>2196</v>
      </c>
      <c r="D594" s="29" t="s">
        <v>2197</v>
      </c>
      <c r="E594" s="31"/>
      <c r="F594" s="31"/>
      <c r="G594" s="31"/>
      <c r="H594" s="46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47"/>
    </row>
    <row r="595" spans="1:21" ht="31.2" x14ac:dyDescent="0.3">
      <c r="A595" s="30"/>
      <c r="B595" s="5" t="s">
        <v>2198</v>
      </c>
      <c r="C595" s="29" t="s">
        <v>2199</v>
      </c>
      <c r="D595" s="29" t="s">
        <v>2200</v>
      </c>
      <c r="E595" s="31"/>
      <c r="F595" s="31"/>
      <c r="G595" s="31"/>
      <c r="H595" s="46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47"/>
    </row>
    <row r="596" spans="1:21" ht="15.6" x14ac:dyDescent="0.3">
      <c r="A596" s="30"/>
      <c r="B596" s="5" t="s">
        <v>2201</v>
      </c>
      <c r="C596" s="29" t="s">
        <v>2202</v>
      </c>
      <c r="D596" s="29" t="s">
        <v>2203</v>
      </c>
      <c r="E596" s="31"/>
      <c r="F596" s="31"/>
      <c r="G596" s="31"/>
      <c r="H596" s="46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47"/>
    </row>
    <row r="597" spans="1:21" ht="15.6" x14ac:dyDescent="0.3">
      <c r="A597" s="30"/>
      <c r="B597" s="5" t="s">
        <v>2204</v>
      </c>
      <c r="C597" s="29" t="s">
        <v>2205</v>
      </c>
      <c r="D597" s="29" t="s">
        <v>2206</v>
      </c>
      <c r="E597" s="31"/>
      <c r="F597" s="31"/>
      <c r="G597" s="31"/>
      <c r="H597" s="46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47"/>
    </row>
    <row r="598" spans="1:21" ht="31.2" x14ac:dyDescent="0.3">
      <c r="A598" s="30"/>
      <c r="B598" s="5" t="s">
        <v>2207</v>
      </c>
      <c r="C598" s="29" t="s">
        <v>2208</v>
      </c>
      <c r="D598" s="29" t="s">
        <v>2209</v>
      </c>
      <c r="E598" s="31"/>
      <c r="F598" s="31"/>
      <c r="G598" s="31"/>
      <c r="H598" s="46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47"/>
    </row>
    <row r="599" spans="1:21" ht="46.8" x14ac:dyDescent="0.3">
      <c r="A599" s="30"/>
      <c r="B599" s="5" t="s">
        <v>2210</v>
      </c>
      <c r="C599" s="29" t="s">
        <v>2211</v>
      </c>
      <c r="D599" s="29" t="s">
        <v>2212</v>
      </c>
      <c r="E599" s="31"/>
      <c r="F599" s="31"/>
      <c r="G599" s="31"/>
      <c r="H599" s="46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47"/>
    </row>
    <row r="600" spans="1:21" ht="31.2" x14ac:dyDescent="0.3">
      <c r="A600" s="30"/>
      <c r="B600" s="5" t="s">
        <v>2213</v>
      </c>
      <c r="C600" s="29" t="s">
        <v>2214</v>
      </c>
      <c r="D600" s="29" t="s">
        <v>2215</v>
      </c>
      <c r="E600" s="31"/>
      <c r="F600" s="31"/>
      <c r="G600" s="31"/>
      <c r="H600" s="46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47"/>
    </row>
    <row r="601" spans="1:21" ht="15.6" x14ac:dyDescent="0.3">
      <c r="A601" s="30"/>
      <c r="B601" s="5" t="s">
        <v>2216</v>
      </c>
      <c r="C601" s="29" t="s">
        <v>2217</v>
      </c>
      <c r="D601" s="29" t="s">
        <v>2218</v>
      </c>
      <c r="E601" s="31"/>
      <c r="F601" s="31"/>
      <c r="G601" s="31"/>
      <c r="H601" s="46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47"/>
    </row>
    <row r="602" spans="1:21" ht="46.8" x14ac:dyDescent="0.3">
      <c r="A602" s="30"/>
      <c r="B602" s="5" t="s">
        <v>2219</v>
      </c>
      <c r="C602" s="29" t="s">
        <v>2220</v>
      </c>
      <c r="D602" s="29" t="s">
        <v>2221</v>
      </c>
      <c r="E602" s="31"/>
      <c r="F602" s="31"/>
      <c r="G602" s="31"/>
      <c r="H602" s="46" t="s">
        <v>2222</v>
      </c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47"/>
    </row>
    <row r="603" spans="1:21" ht="15.6" x14ac:dyDescent="0.3">
      <c r="A603" s="30"/>
      <c r="B603" s="5" t="s">
        <v>2223</v>
      </c>
      <c r="C603" s="29" t="s">
        <v>2224</v>
      </c>
      <c r="D603" s="29" t="s">
        <v>2225</v>
      </c>
      <c r="E603" s="31"/>
      <c r="F603" s="31"/>
      <c r="G603" s="31"/>
      <c r="H603" s="46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47"/>
    </row>
    <row r="604" spans="1:21" ht="15.6" x14ac:dyDescent="0.3">
      <c r="A604" s="30"/>
      <c r="B604" s="5" t="s">
        <v>2226</v>
      </c>
      <c r="C604" s="29" t="s">
        <v>2227</v>
      </c>
      <c r="D604" s="31"/>
      <c r="E604" s="31"/>
      <c r="F604" s="31"/>
      <c r="G604" s="31"/>
      <c r="H604" s="46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47"/>
    </row>
    <row r="605" spans="1:21" ht="15.6" x14ac:dyDescent="0.3">
      <c r="A605" s="30"/>
      <c r="B605" s="5" t="s">
        <v>2228</v>
      </c>
      <c r="C605" s="29" t="s">
        <v>2229</v>
      </c>
      <c r="D605" s="31"/>
      <c r="E605" s="31"/>
      <c r="F605" s="31"/>
      <c r="G605" s="31"/>
      <c r="H605" s="46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47"/>
    </row>
    <row r="606" spans="1:21" ht="15.6" x14ac:dyDescent="0.3">
      <c r="A606" s="30"/>
      <c r="B606" s="5" t="s">
        <v>2230</v>
      </c>
      <c r="C606" s="29" t="s">
        <v>2231</v>
      </c>
      <c r="D606" s="31"/>
      <c r="E606" s="31"/>
      <c r="F606" s="31"/>
      <c r="G606" s="31"/>
      <c r="H606" s="46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47"/>
    </row>
  </sheetData>
  <mergeCells count="81">
    <mergeCell ref="A2:U2"/>
    <mergeCell ref="A3:U3"/>
    <mergeCell ref="A4:U4"/>
    <mergeCell ref="A5:A7"/>
    <mergeCell ref="B5:B7"/>
    <mergeCell ref="C5:C7"/>
    <mergeCell ref="D5:D7"/>
    <mergeCell ref="E5:E7"/>
    <mergeCell ref="F5:F7"/>
    <mergeCell ref="G5:G7"/>
    <mergeCell ref="S5:U5"/>
    <mergeCell ref="J6:K6"/>
    <mergeCell ref="L6:L7"/>
    <mergeCell ref="M6:N6"/>
    <mergeCell ref="O6:O7"/>
    <mergeCell ref="P6:Q6"/>
    <mergeCell ref="C10:I10"/>
    <mergeCell ref="H5:H7"/>
    <mergeCell ref="I5:I7"/>
    <mergeCell ref="J5:O5"/>
    <mergeCell ref="P5:R5"/>
    <mergeCell ref="R6:R7"/>
    <mergeCell ref="S6:T6"/>
    <mergeCell ref="U6:U7"/>
    <mergeCell ref="A8:I8"/>
    <mergeCell ref="C9:I9"/>
    <mergeCell ref="C34:I34"/>
    <mergeCell ref="C11:I11"/>
    <mergeCell ref="C12:I12"/>
    <mergeCell ref="C13:I13"/>
    <mergeCell ref="C15:I15"/>
    <mergeCell ref="C16:I16"/>
    <mergeCell ref="C17:I17"/>
    <mergeCell ref="C18:I18"/>
    <mergeCell ref="C19:I19"/>
    <mergeCell ref="C25:I25"/>
    <mergeCell ref="C32:I32"/>
    <mergeCell ref="C33:I33"/>
    <mergeCell ref="C110:I110"/>
    <mergeCell ref="C43:I43"/>
    <mergeCell ref="C44:I44"/>
    <mergeCell ref="C51:I51"/>
    <mergeCell ref="C57:I57"/>
    <mergeCell ref="C74:I74"/>
    <mergeCell ref="C99:I99"/>
    <mergeCell ref="C101:I101"/>
    <mergeCell ref="C102:I102"/>
    <mergeCell ref="C107:I107"/>
    <mergeCell ref="C108:I108"/>
    <mergeCell ref="C109:I109"/>
    <mergeCell ref="C584:I584"/>
    <mergeCell ref="C111:I111"/>
    <mergeCell ref="C193:I193"/>
    <mergeCell ref="C216:I216"/>
    <mergeCell ref="C285:I285"/>
    <mergeCell ref="C288:I288"/>
    <mergeCell ref="C289:I289"/>
    <mergeCell ref="C373:I373"/>
    <mergeCell ref="C474:I474"/>
    <mergeCell ref="C475:I475"/>
    <mergeCell ref="C500:I500"/>
    <mergeCell ref="C534:I534"/>
    <mergeCell ref="H599:U599"/>
    <mergeCell ref="A588:U588"/>
    <mergeCell ref="H589:U589"/>
    <mergeCell ref="H590:U590"/>
    <mergeCell ref="H591:U591"/>
    <mergeCell ref="H592:U592"/>
    <mergeCell ref="H593:U593"/>
    <mergeCell ref="H594:U594"/>
    <mergeCell ref="H595:U595"/>
    <mergeCell ref="H596:U596"/>
    <mergeCell ref="H597:U597"/>
    <mergeCell ref="H598:U598"/>
    <mergeCell ref="H606:U606"/>
    <mergeCell ref="H600:U600"/>
    <mergeCell ref="H601:U601"/>
    <mergeCell ref="H602:U602"/>
    <mergeCell ref="H603:U603"/>
    <mergeCell ref="H604:U604"/>
    <mergeCell ref="H605:U605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ТКП</vt:lpstr>
      <vt:lpstr>Лист1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Linux</cp:lastModifiedBy>
  <dcterms:created xsi:type="dcterms:W3CDTF">2026-01-27T09:00:10Z</dcterms:created>
  <dcterms:modified xsi:type="dcterms:W3CDTF">2026-02-18T13:27:54Z</dcterms:modified>
  <cp:category/>
</cp:coreProperties>
</file>