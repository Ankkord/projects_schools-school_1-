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inux\Downloads\"/>
    </mc:Choice>
  </mc:AlternateContent>
  <bookViews>
    <workbookView xWindow="120" yWindow="12" windowWidth="18960" windowHeight="11328"/>
  </bookViews>
  <sheets>
    <sheet name="Table 4" sheetId="4" r:id="rId1"/>
  </sheets>
  <calcPr calcId="152511"/>
</workbook>
</file>

<file path=xl/calcChain.xml><?xml version="1.0" encoding="utf-8"?>
<calcChain xmlns="http://schemas.openxmlformats.org/spreadsheetml/2006/main">
  <c r="N26" i="4" l="1"/>
  <c r="I17" i="4" l="1"/>
  <c r="J17" i="4"/>
  <c r="K17" i="4"/>
  <c r="L17" i="4"/>
  <c r="M17" i="4"/>
  <c r="I18" i="4"/>
  <c r="J18" i="4"/>
  <c r="K18" i="4"/>
  <c r="L18" i="4"/>
  <c r="M18" i="4"/>
  <c r="I19" i="4"/>
  <c r="J19" i="4"/>
  <c r="K19" i="4"/>
  <c r="L19" i="4"/>
  <c r="M19" i="4"/>
  <c r="I20" i="4"/>
  <c r="J20" i="4"/>
  <c r="K20" i="4"/>
  <c r="L20" i="4"/>
  <c r="M20" i="4"/>
  <c r="I21" i="4"/>
  <c r="J21" i="4"/>
  <c r="K21" i="4"/>
  <c r="L21" i="4"/>
  <c r="M21" i="4"/>
  <c r="I22" i="4"/>
  <c r="J22" i="4"/>
  <c r="K22" i="4"/>
  <c r="L22" i="4"/>
  <c r="M22" i="4"/>
  <c r="I23" i="4"/>
  <c r="J23" i="4"/>
  <c r="K23" i="4"/>
  <c r="L23" i="4"/>
  <c r="M23" i="4"/>
  <c r="I24" i="4"/>
  <c r="J24" i="4"/>
  <c r="K24" i="4"/>
  <c r="L24" i="4"/>
  <c r="M24" i="4"/>
  <c r="J15" i="4"/>
  <c r="J26" i="4" s="1"/>
  <c r="K15" i="4"/>
  <c r="K26" i="4" s="1"/>
  <c r="L15" i="4"/>
  <c r="L26" i="4" s="1"/>
  <c r="M15" i="4"/>
  <c r="J16" i="4"/>
  <c r="K16" i="4"/>
  <c r="L16" i="4"/>
  <c r="M16" i="4"/>
  <c r="M26" i="4" s="1"/>
  <c r="I15" i="4"/>
  <c r="I26" i="4" s="1"/>
  <c r="I16" i="4"/>
</calcChain>
</file>

<file path=xl/sharedStrings.xml><?xml version="1.0" encoding="utf-8"?>
<sst xmlns="http://schemas.openxmlformats.org/spreadsheetml/2006/main" count="44" uniqueCount="32">
  <si>
    <r>
      <rPr>
        <i/>
        <sz val="11"/>
        <rFont val="ISOCPEUR"/>
        <family val="2"/>
      </rPr>
      <t>ГОСТ 8509-93</t>
    </r>
  </si>
  <si>
    <r>
      <rPr>
        <i/>
        <sz val="11"/>
        <rFont val="ISOCPEUR"/>
        <family val="2"/>
      </rPr>
      <t>Уголок 50х5</t>
    </r>
  </si>
  <si>
    <r>
      <rPr>
        <i/>
        <sz val="13"/>
        <rFont val="ISOCPEUR"/>
        <family val="2"/>
      </rPr>
      <t>Поз.</t>
    </r>
  </si>
  <si>
    <r>
      <rPr>
        <i/>
        <sz val="13"/>
        <rFont val="ISOCPEUR"/>
        <family val="2"/>
      </rPr>
      <t>Обозначение</t>
    </r>
  </si>
  <si>
    <r>
      <rPr>
        <i/>
        <sz val="13"/>
        <rFont val="ISOCPEUR"/>
        <family val="2"/>
      </rPr>
      <t>Наименование</t>
    </r>
  </si>
  <si>
    <r>
      <rPr>
        <i/>
        <sz val="11"/>
        <rFont val="ISOCPEUR"/>
        <family val="2"/>
      </rPr>
      <t>Длина L, мм</t>
    </r>
  </si>
  <si>
    <r>
      <rPr>
        <i/>
        <sz val="11"/>
        <rFont val="ISOCPEUR"/>
        <family val="2"/>
      </rPr>
      <t>Масса ед. кг.</t>
    </r>
  </si>
  <si>
    <r>
      <rPr>
        <i/>
        <sz val="11"/>
        <rFont val="ISOCPEUR"/>
        <family val="2"/>
      </rPr>
      <t>Кол-во шт всего</t>
    </r>
  </si>
  <si>
    <r>
      <rPr>
        <i/>
        <sz val="11"/>
        <rFont val="ISOCPEUR"/>
        <family val="2"/>
      </rPr>
      <t>Масса всего, кг.</t>
    </r>
  </si>
  <si>
    <r>
      <rPr>
        <i/>
        <sz val="16"/>
        <rFont val="ISOCPEUR"/>
        <family val="2"/>
      </rPr>
      <t>Марка стали</t>
    </r>
  </si>
  <si>
    <r>
      <rPr>
        <i/>
        <sz val="11"/>
        <rFont val="ISOCPEUR"/>
        <family val="2"/>
      </rPr>
      <t>Уголок 100х63х6</t>
    </r>
  </si>
  <si>
    <r>
      <rPr>
        <i/>
        <sz val="11"/>
        <rFont val="ISOCPEUR"/>
        <family val="2"/>
      </rPr>
      <t>Уголок 125х80х8</t>
    </r>
  </si>
  <si>
    <r>
      <rPr>
        <i/>
        <sz val="11"/>
        <rFont val="ISOCPEUR"/>
        <family val="2"/>
      </rPr>
      <t>Уголок 80х7</t>
    </r>
  </si>
  <si>
    <r>
      <rPr>
        <i/>
        <sz val="11"/>
        <rFont val="ISOCPEUR"/>
        <family val="2"/>
      </rPr>
      <t>СТО 36554501-048-2016*</t>
    </r>
  </si>
  <si>
    <r>
      <rPr>
        <i/>
        <sz val="11"/>
        <rFont val="ISOCPEUR"/>
        <family val="2"/>
      </rPr>
      <t>Клиновой анкер MKT B 8-10-19/75</t>
    </r>
  </si>
  <si>
    <r>
      <rPr>
        <i/>
        <sz val="11"/>
        <rFont val="ISOCPEUR"/>
        <family val="2"/>
      </rPr>
      <t>ГОСТ 103-2006</t>
    </r>
  </si>
  <si>
    <r>
      <rPr>
        <i/>
        <sz val="11"/>
        <rFont val="ISOCPEUR"/>
        <family val="2"/>
      </rPr>
      <t>Пластина 50х4</t>
    </r>
  </si>
  <si>
    <r>
      <rPr>
        <i/>
        <sz val="11"/>
        <rFont val="ISOCPEUR"/>
        <family val="2"/>
      </rPr>
      <t>ГОСТ 8510-86</t>
    </r>
  </si>
  <si>
    <r>
      <rPr>
        <i/>
        <sz val="11"/>
        <rFont val="ISOCPEUR"/>
        <family val="2"/>
      </rPr>
      <t>Уголок 90х7</t>
    </r>
  </si>
  <si>
    <r>
      <rPr>
        <i/>
        <sz val="11"/>
        <rFont val="ISOCPEUR"/>
        <family val="2"/>
      </rPr>
      <t>Пл1</t>
    </r>
  </si>
  <si>
    <r>
      <rPr>
        <i/>
        <sz val="11"/>
        <rFont val="ISOCPEUR"/>
        <family val="2"/>
      </rPr>
      <t>Пл2</t>
    </r>
  </si>
  <si>
    <r>
      <rPr>
        <i/>
        <sz val="11"/>
        <rFont val="ISOCPEUR"/>
        <family val="2"/>
      </rPr>
      <t>У1</t>
    </r>
  </si>
  <si>
    <r>
      <rPr>
        <i/>
        <sz val="11"/>
        <rFont val="ISOCPEUR"/>
        <family val="2"/>
      </rPr>
      <t>У2</t>
    </r>
  </si>
  <si>
    <r>
      <rPr>
        <i/>
        <sz val="11"/>
        <rFont val="ISOCPEUR"/>
        <family val="2"/>
      </rPr>
      <t>У3</t>
    </r>
  </si>
  <si>
    <r>
      <rPr>
        <i/>
        <sz val="15.5"/>
        <rFont val="ISOCPEUR"/>
        <family val="2"/>
      </rPr>
      <t>Спецификация элементов стальных перемычек 3-го этажа</t>
    </r>
  </si>
  <si>
    <r>
      <rPr>
        <i/>
        <sz val="11"/>
        <rFont val="ISOCPEUR"/>
        <family val="2"/>
      </rPr>
      <t>Пл3</t>
    </r>
  </si>
  <si>
    <t>Г5</t>
  </si>
  <si>
    <t>К13</t>
  </si>
  <si>
    <t>К6</t>
  </si>
  <si>
    <t>К2</t>
  </si>
  <si>
    <t>К3</t>
  </si>
  <si>
    <t>К9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</si>
</sst>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0" x14ac:knownFonts="1">
    <font>
      <sz val="10"/>
      <color rgb="FF000000"/>
      <name val="Times New Roman"/>
      <charset val="204"/>
    </font>
    <font>
      <i/>
      <sz val="15.5"/>
      <name val="ISOCPEUR"/>
      <family val="2"/>
      <charset val="204"/>
    </font>
    <font>
      <i/>
      <sz val="13"/>
      <name val="ISOCPEUR"/>
      <family val="2"/>
      <charset val="204"/>
    </font>
    <font>
      <i/>
      <sz val="11"/>
      <color rgb="FF000000"/>
      <name val="ISOCPEUR"/>
      <family val="2"/>
    </font>
    <font>
      <i/>
      <sz val="11"/>
      <name val="ISOCPEUR"/>
      <family val="2"/>
      <charset val="204"/>
    </font>
    <font>
      <i/>
      <sz val="15.5"/>
      <name val="ISOCPEUR"/>
      <family val="2"/>
    </font>
    <font>
      <i/>
      <sz val="16"/>
      <name val="ISOCPEUR"/>
      <family val="2"/>
    </font>
    <font>
      <i/>
      <sz val="11"/>
      <name val="ISOCPEUR"/>
      <family val="2"/>
    </font>
    <font>
      <i/>
      <sz val="13"/>
      <name val="ISOCPEUR"/>
      <family val="2"/>
    </font>
    <font>
      <sz val="10"/>
      <color rgb="FF00000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 applyFill="1" applyBorder="1" applyAlignment="1">
      <alignment horizontal="left" vertical="top"/>
    </xf>
    <xf numFmtId="0" fontId="2" fillId="0" borderId="2" xfId="0" applyFont="1" applyFill="1" applyBorder="1" applyAlignment="1">
      <alignment horizontal="center" vertical="top" wrapText="1"/>
    </xf>
    <xf numFmtId="0" fontId="0" fillId="0" borderId="2" xfId="0" applyFill="1" applyBorder="1" applyAlignment="1">
      <alignment horizontal="left" vertical="top" wrapText="1" indent="1"/>
    </xf>
    <xf numFmtId="0" fontId="0" fillId="0" borderId="2" xfId="0" applyFill="1" applyBorder="1" applyAlignment="1">
      <alignment horizontal="left" vertical="top" wrapText="1" indent="2"/>
    </xf>
    <xf numFmtId="1" fontId="3" fillId="0" borderId="2" xfId="0" applyNumberFormat="1" applyFont="1" applyFill="1" applyBorder="1" applyAlignment="1">
      <alignment horizontal="center" vertical="top" shrinkToFit="1"/>
    </xf>
    <xf numFmtId="2" fontId="3" fillId="0" borderId="2" xfId="0" applyNumberFormat="1" applyFont="1" applyFill="1" applyBorder="1" applyAlignment="1">
      <alignment horizontal="center" vertical="top" shrinkToFit="1"/>
    </xf>
    <xf numFmtId="164" fontId="3" fillId="0" borderId="2" xfId="0" applyNumberFormat="1" applyFont="1" applyFill="1" applyBorder="1" applyAlignment="1">
      <alignment horizontal="center" vertical="top" shrinkToFit="1"/>
    </xf>
    <xf numFmtId="0" fontId="0" fillId="0" borderId="2" xfId="0" applyFill="1" applyBorder="1" applyAlignment="1">
      <alignment horizontal="left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top" wrapText="1"/>
    </xf>
    <xf numFmtId="0" fontId="9" fillId="0" borderId="0" xfId="0" applyFont="1" applyFill="1" applyBorder="1" applyAlignment="1">
      <alignment horizontal="left" vertical="top"/>
    </xf>
    <xf numFmtId="0" fontId="1" fillId="0" borderId="3" xfId="0" applyFont="1" applyFill="1" applyBorder="1" applyAlignment="1">
      <alignment horizontal="center" vertical="top" wrapText="1"/>
    </xf>
    <xf numFmtId="0" fontId="1" fillId="0" borderId="1" xfId="0" applyFont="1" applyFill="1" applyBorder="1" applyAlignment="1">
      <alignment horizontal="center" vertical="top" wrapText="1"/>
    </xf>
    <xf numFmtId="0" fontId="1" fillId="0" borderId="4" xfId="0" applyFont="1" applyFill="1" applyBorder="1" applyAlignment="1">
      <alignment horizontal="center" vertical="top" wrapText="1"/>
    </xf>
    <xf numFmtId="0" fontId="4" fillId="0" borderId="3" xfId="0" applyFont="1" applyFill="1" applyBorder="1" applyAlignment="1">
      <alignment horizontal="left" vertical="top" wrapText="1" indent="1"/>
    </xf>
    <xf numFmtId="0" fontId="4" fillId="0" borderId="4" xfId="0" applyFont="1" applyFill="1" applyBorder="1" applyAlignment="1">
      <alignment horizontal="left" vertical="top" wrapText="1" inden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6"/>
  <sheetViews>
    <sheetView tabSelected="1" zoomScale="55" zoomScaleNormal="55" workbookViewId="0">
      <selection activeCell="N26" sqref="N26"/>
    </sheetView>
  </sheetViews>
  <sheetFormatPr defaultRowHeight="13.2" x14ac:dyDescent="0.25"/>
  <cols>
    <col min="1" max="1" width="12.88671875" customWidth="1"/>
    <col min="2" max="2" width="29.77734375" customWidth="1"/>
    <col min="3" max="3" width="19.77734375" customWidth="1"/>
    <col min="4" max="4" width="12.88671875" customWidth="1"/>
    <col min="5" max="6" width="13.109375" customWidth="1"/>
    <col min="7" max="7" width="16.6640625" customWidth="1"/>
    <col min="8" max="8" width="16.21875" customWidth="1"/>
  </cols>
  <sheetData>
    <row r="1" spans="1:14" ht="30" customHeight="1" x14ac:dyDescent="0.25">
      <c r="A1" s="11" t="s">
        <v>24</v>
      </c>
      <c r="B1" s="12"/>
      <c r="C1" s="12"/>
      <c r="D1" s="12"/>
      <c r="E1" s="12"/>
      <c r="F1" s="12"/>
      <c r="G1" s="12"/>
      <c r="H1" s="13"/>
    </row>
    <row r="2" spans="1:14" ht="43.05" customHeight="1" x14ac:dyDescent="0.25">
      <c r="A2" s="1" t="s">
        <v>2</v>
      </c>
      <c r="B2" s="1" t="s">
        <v>3</v>
      </c>
      <c r="C2" s="1" t="s">
        <v>4</v>
      </c>
      <c r="D2" s="8" t="s">
        <v>5</v>
      </c>
      <c r="E2" s="8" t="s">
        <v>6</v>
      </c>
      <c r="F2" s="2" t="s">
        <v>7</v>
      </c>
      <c r="G2" s="8" t="s">
        <v>8</v>
      </c>
      <c r="H2" s="3" t="s">
        <v>9</v>
      </c>
      <c r="I2" s="10" t="s">
        <v>26</v>
      </c>
      <c r="J2" s="10" t="s">
        <v>29</v>
      </c>
      <c r="K2" s="10" t="s">
        <v>30</v>
      </c>
      <c r="L2" s="10" t="s">
        <v>28</v>
      </c>
      <c r="M2" s="10" t="s">
        <v>27</v>
      </c>
      <c r="N2" s="10" t="s">
        <v>31</v>
      </c>
    </row>
    <row r="3" spans="1:14" ht="22.95" hidden="1" customHeight="1" x14ac:dyDescent="0.25">
      <c r="A3" s="7"/>
      <c r="B3" s="9" t="s">
        <v>0</v>
      </c>
      <c r="C3" s="9" t="s">
        <v>12</v>
      </c>
      <c r="D3" s="4">
        <v>120</v>
      </c>
      <c r="E3" s="5">
        <v>1.02</v>
      </c>
      <c r="F3" s="4">
        <v>1</v>
      </c>
      <c r="G3" s="5">
        <v>1.02</v>
      </c>
      <c r="H3" s="7"/>
      <c r="I3">
        <v>3</v>
      </c>
      <c r="J3">
        <v>1</v>
      </c>
      <c r="K3">
        <v>27</v>
      </c>
      <c r="L3">
        <v>1</v>
      </c>
      <c r="M3">
        <v>1</v>
      </c>
    </row>
    <row r="4" spans="1:14" ht="22.95" hidden="1" customHeight="1" x14ac:dyDescent="0.25">
      <c r="A4" s="4">
        <v>2</v>
      </c>
      <c r="B4" s="9" t="s">
        <v>0</v>
      </c>
      <c r="C4" s="9" t="s">
        <v>1</v>
      </c>
      <c r="D4" s="4">
        <v>640</v>
      </c>
      <c r="E4" s="5">
        <v>2.41</v>
      </c>
      <c r="F4" s="4">
        <v>2</v>
      </c>
      <c r="G4" s="5">
        <v>4.82</v>
      </c>
      <c r="H4" s="7"/>
      <c r="M4">
        <v>2</v>
      </c>
    </row>
    <row r="5" spans="1:14" ht="22.95" hidden="1" customHeight="1" x14ac:dyDescent="0.25">
      <c r="A5" s="4">
        <v>22</v>
      </c>
      <c r="B5" s="9" t="s">
        <v>0</v>
      </c>
      <c r="C5" s="9" t="s">
        <v>18</v>
      </c>
      <c r="D5" s="4">
        <v>2680</v>
      </c>
      <c r="E5" s="5">
        <v>25.84</v>
      </c>
      <c r="F5" s="4">
        <v>6</v>
      </c>
      <c r="G5" s="5">
        <v>155.04</v>
      </c>
      <c r="H5" s="7"/>
      <c r="I5">
        <v>2</v>
      </c>
    </row>
    <row r="6" spans="1:14" ht="22.95" hidden="1" customHeight="1" x14ac:dyDescent="0.25">
      <c r="A6" s="4"/>
      <c r="B6" s="9"/>
      <c r="C6" s="9" t="s">
        <v>10</v>
      </c>
      <c r="D6" s="4">
        <v>1236.1538461538462</v>
      </c>
      <c r="E6" s="4">
        <v>9.3084615384615379</v>
      </c>
      <c r="F6" s="4">
        <v>35</v>
      </c>
      <c r="G6" s="5">
        <v>325.7961538461538</v>
      </c>
      <c r="H6" s="7"/>
      <c r="J6">
        <v>1</v>
      </c>
      <c r="K6">
        <v>1</v>
      </c>
    </row>
    <row r="7" spans="1:14" ht="22.95" hidden="1" customHeight="1" x14ac:dyDescent="0.25">
      <c r="A7" s="4">
        <v>36</v>
      </c>
      <c r="B7" s="9" t="s">
        <v>17</v>
      </c>
      <c r="C7" s="9" t="s">
        <v>11</v>
      </c>
      <c r="D7" s="4">
        <v>2060</v>
      </c>
      <c r="E7" s="5">
        <v>25.91</v>
      </c>
      <c r="F7" s="4">
        <v>1</v>
      </c>
      <c r="G7" s="5">
        <v>25.91</v>
      </c>
      <c r="H7" s="7"/>
      <c r="L7">
        <v>1</v>
      </c>
    </row>
    <row r="8" spans="1:14" ht="22.95" hidden="1" customHeight="1" x14ac:dyDescent="0.25">
      <c r="A8" s="9" t="s">
        <v>19</v>
      </c>
      <c r="B8" s="9" t="s">
        <v>15</v>
      </c>
      <c r="C8" s="9" t="s">
        <v>16</v>
      </c>
      <c r="D8" s="4">
        <v>200</v>
      </c>
      <c r="E8" s="5">
        <v>0.31</v>
      </c>
      <c r="F8" s="4">
        <v>160</v>
      </c>
      <c r="G8" s="6">
        <v>49.6</v>
      </c>
      <c r="H8" s="7"/>
      <c r="I8">
        <v>5</v>
      </c>
    </row>
    <row r="9" spans="1:14" ht="22.95" hidden="1" customHeight="1" x14ac:dyDescent="0.25">
      <c r="A9" s="9" t="s">
        <v>20</v>
      </c>
      <c r="B9" s="9" t="s">
        <v>15</v>
      </c>
      <c r="C9" s="9" t="s">
        <v>16</v>
      </c>
      <c r="D9" s="4">
        <v>120</v>
      </c>
      <c r="E9" s="5">
        <v>0.19</v>
      </c>
      <c r="F9" s="4">
        <v>6</v>
      </c>
      <c r="G9" s="5">
        <v>1.1399999999999999</v>
      </c>
      <c r="H9" s="7"/>
      <c r="N9">
        <v>1</v>
      </c>
    </row>
    <row r="10" spans="1:14" ht="22.95" hidden="1" customHeight="1" x14ac:dyDescent="0.25">
      <c r="A10" s="9" t="s">
        <v>25</v>
      </c>
      <c r="B10" s="9" t="s">
        <v>15</v>
      </c>
      <c r="C10" s="9" t="s">
        <v>16</v>
      </c>
      <c r="D10" s="4">
        <v>200</v>
      </c>
      <c r="E10" s="5">
        <v>0.31</v>
      </c>
      <c r="F10" s="4">
        <v>2</v>
      </c>
      <c r="G10" s="5">
        <v>0.62</v>
      </c>
      <c r="H10" s="7"/>
      <c r="M10">
        <v>2</v>
      </c>
    </row>
    <row r="11" spans="1:14" ht="22.95" hidden="1" customHeight="1" x14ac:dyDescent="0.25">
      <c r="A11" s="9" t="s">
        <v>21</v>
      </c>
      <c r="B11" s="9" t="s">
        <v>0</v>
      </c>
      <c r="C11" s="9" t="s">
        <v>1</v>
      </c>
      <c r="D11" s="4">
        <v>120</v>
      </c>
      <c r="E11" s="5">
        <v>0.45</v>
      </c>
      <c r="F11" s="4">
        <v>2</v>
      </c>
      <c r="G11" s="6">
        <v>0.9</v>
      </c>
      <c r="H11" s="7"/>
    </row>
    <row r="12" spans="1:14" ht="22.95" hidden="1" customHeight="1" x14ac:dyDescent="0.25">
      <c r="A12" s="9" t="s">
        <v>22</v>
      </c>
      <c r="B12" s="9" t="s">
        <v>0</v>
      </c>
      <c r="C12" s="9" t="s">
        <v>12</v>
      </c>
      <c r="D12" s="4">
        <v>120</v>
      </c>
      <c r="E12" s="5">
        <v>1.02</v>
      </c>
      <c r="F12" s="4">
        <v>6</v>
      </c>
      <c r="G12" s="5">
        <v>6.12</v>
      </c>
      <c r="H12" s="7"/>
      <c r="J12">
        <v>1</v>
      </c>
      <c r="L12">
        <v>2</v>
      </c>
    </row>
    <row r="13" spans="1:14" ht="22.95" hidden="1" customHeight="1" x14ac:dyDescent="0.25">
      <c r="A13" s="9" t="s">
        <v>23</v>
      </c>
      <c r="B13" s="9" t="s">
        <v>0</v>
      </c>
      <c r="C13" s="9" t="s">
        <v>12</v>
      </c>
      <c r="D13" s="4">
        <v>200</v>
      </c>
      <c r="E13" s="6">
        <v>1.7</v>
      </c>
      <c r="F13" s="4">
        <v>66</v>
      </c>
      <c r="G13" s="6">
        <v>112.2</v>
      </c>
      <c r="H13" s="7"/>
      <c r="I13">
        <v>2</v>
      </c>
    </row>
    <row r="14" spans="1:14" ht="23.55" hidden="1" customHeight="1" x14ac:dyDescent="0.25">
      <c r="A14" s="7"/>
      <c r="B14" s="9" t="s">
        <v>13</v>
      </c>
      <c r="C14" s="14" t="s">
        <v>14</v>
      </c>
      <c r="D14" s="15"/>
      <c r="E14" s="7"/>
      <c r="F14" s="4">
        <v>14</v>
      </c>
      <c r="G14" s="7"/>
      <c r="H14" s="7"/>
    </row>
    <row r="15" spans="1:14" hidden="1" x14ac:dyDescent="0.25">
      <c r="I15">
        <f>I4*$E4</f>
        <v>0</v>
      </c>
      <c r="J15">
        <f t="shared" ref="J15:M15" si="0">J4*$E4</f>
        <v>0</v>
      </c>
      <c r="K15">
        <f t="shared" si="0"/>
        <v>0</v>
      </c>
      <c r="L15">
        <f t="shared" si="0"/>
        <v>0</v>
      </c>
      <c r="M15">
        <f t="shared" si="0"/>
        <v>4.82</v>
      </c>
    </row>
    <row r="16" spans="1:14" hidden="1" x14ac:dyDescent="0.25">
      <c r="I16">
        <f>I5*$E5</f>
        <v>51.68</v>
      </c>
      <c r="J16">
        <f t="shared" ref="J16:M16" si="1">J5*$E5</f>
        <v>0</v>
      </c>
      <c r="K16">
        <f t="shared" si="1"/>
        <v>0</v>
      </c>
      <c r="L16">
        <f t="shared" si="1"/>
        <v>0</v>
      </c>
      <c r="M16">
        <f t="shared" si="1"/>
        <v>0</v>
      </c>
    </row>
    <row r="17" spans="9:14" hidden="1" x14ac:dyDescent="0.25">
      <c r="I17">
        <f t="shared" ref="I17:M17" si="2">I6*$E6</f>
        <v>0</v>
      </c>
      <c r="J17">
        <f t="shared" si="2"/>
        <v>9.3084615384615379</v>
      </c>
      <c r="K17">
        <f t="shared" si="2"/>
        <v>9.3084615384615379</v>
      </c>
      <c r="L17">
        <f t="shared" si="2"/>
        <v>0</v>
      </c>
      <c r="M17">
        <f t="shared" si="2"/>
        <v>0</v>
      </c>
    </row>
    <row r="18" spans="9:14" hidden="1" x14ac:dyDescent="0.25">
      <c r="I18">
        <f t="shared" ref="I18:M18" si="3">I7*$E7</f>
        <v>0</v>
      </c>
      <c r="J18">
        <f t="shared" si="3"/>
        <v>0</v>
      </c>
      <c r="K18">
        <f t="shared" si="3"/>
        <v>0</v>
      </c>
      <c r="L18">
        <f t="shared" si="3"/>
        <v>25.91</v>
      </c>
      <c r="M18">
        <f t="shared" si="3"/>
        <v>0</v>
      </c>
    </row>
    <row r="19" spans="9:14" hidden="1" x14ac:dyDescent="0.25">
      <c r="I19">
        <f t="shared" ref="I19:M19" si="4">I8*$E8</f>
        <v>1.55</v>
      </c>
      <c r="J19">
        <f t="shared" si="4"/>
        <v>0</v>
      </c>
      <c r="K19">
        <f t="shared" si="4"/>
        <v>0</v>
      </c>
      <c r="L19">
        <f t="shared" si="4"/>
        <v>0</v>
      </c>
      <c r="M19">
        <f t="shared" si="4"/>
        <v>0</v>
      </c>
    </row>
    <row r="20" spans="9:14" hidden="1" x14ac:dyDescent="0.25">
      <c r="I20">
        <f t="shared" ref="I20:M20" si="5">I9*$E9</f>
        <v>0</v>
      </c>
      <c r="J20">
        <f t="shared" si="5"/>
        <v>0</v>
      </c>
      <c r="K20">
        <f t="shared" si="5"/>
        <v>0</v>
      </c>
      <c r="L20">
        <f t="shared" si="5"/>
        <v>0</v>
      </c>
      <c r="M20">
        <f t="shared" si="5"/>
        <v>0</v>
      </c>
    </row>
    <row r="21" spans="9:14" hidden="1" x14ac:dyDescent="0.25">
      <c r="I21">
        <f t="shared" ref="I21:M21" si="6">I10*$E10</f>
        <v>0</v>
      </c>
      <c r="J21">
        <f t="shared" si="6"/>
        <v>0</v>
      </c>
      <c r="K21">
        <f t="shared" si="6"/>
        <v>0</v>
      </c>
      <c r="L21">
        <f t="shared" si="6"/>
        <v>0</v>
      </c>
      <c r="M21">
        <f t="shared" si="6"/>
        <v>0.62</v>
      </c>
    </row>
    <row r="22" spans="9:14" hidden="1" x14ac:dyDescent="0.25">
      <c r="I22">
        <f t="shared" ref="I22:M22" si="7">I11*$E11</f>
        <v>0</v>
      </c>
      <c r="J22">
        <f t="shared" si="7"/>
        <v>0</v>
      </c>
      <c r="K22">
        <f t="shared" si="7"/>
        <v>0</v>
      </c>
      <c r="L22">
        <f t="shared" si="7"/>
        <v>0</v>
      </c>
      <c r="M22">
        <f t="shared" si="7"/>
        <v>0</v>
      </c>
    </row>
    <row r="23" spans="9:14" hidden="1" x14ac:dyDescent="0.25">
      <c r="I23">
        <f t="shared" ref="I23:M23" si="8">I12*$E12</f>
        <v>0</v>
      </c>
      <c r="J23">
        <f t="shared" si="8"/>
        <v>1.02</v>
      </c>
      <c r="K23">
        <f t="shared" si="8"/>
        <v>0</v>
      </c>
      <c r="L23">
        <f t="shared" si="8"/>
        <v>2.04</v>
      </c>
      <c r="M23">
        <f t="shared" si="8"/>
        <v>0</v>
      </c>
    </row>
    <row r="24" spans="9:14" hidden="1" x14ac:dyDescent="0.25">
      <c r="I24">
        <f t="shared" ref="I24:M24" si="9">I13*$E13</f>
        <v>3.4</v>
      </c>
      <c r="J24">
        <f t="shared" si="9"/>
        <v>0</v>
      </c>
      <c r="K24">
        <f t="shared" si="9"/>
        <v>0</v>
      </c>
      <c r="L24">
        <f t="shared" si="9"/>
        <v>0</v>
      </c>
      <c r="M24">
        <f t="shared" si="9"/>
        <v>0</v>
      </c>
    </row>
    <row r="26" spans="9:14" x14ac:dyDescent="0.25">
      <c r="I26">
        <f>SUM(I15:I24)</f>
        <v>56.629999999999995</v>
      </c>
      <c r="J26">
        <f t="shared" ref="J26:M26" si="10">SUM(J15:J24)</f>
        <v>10.328461538461537</v>
      </c>
      <c r="K26">
        <f t="shared" si="10"/>
        <v>9.3084615384615379</v>
      </c>
      <c r="L26">
        <f t="shared" si="10"/>
        <v>27.95</v>
      </c>
      <c r="M26">
        <f t="shared" si="10"/>
        <v>5.44</v>
      </c>
      <c r="N26">
        <f>2.83*2+N9*E9</f>
        <v>5.8500000000000005</v>
      </c>
    </row>
  </sheetData>
  <mergeCells count="2">
    <mergeCell ref="A1:H1"/>
    <mergeCell ref="C14:D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 4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Linux</cp:lastModifiedBy>
  <dcterms:created xsi:type="dcterms:W3CDTF">2026-02-19T11:26:15Z</dcterms:created>
  <dcterms:modified xsi:type="dcterms:W3CDTF">2026-02-19T13:02:11Z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2026-02-19T00:00:00Z</vt:filetime>
  </property>
  <property fmtid="{D5CDD505-2E9C-101B-9397-08002B2CF9AE}" pid="3" name="LastSaved">
    <vt:filetime>2026-02-19T00:00:00Z</vt:filetime>
  </property>
</Properties>
</file>