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120" yWindow="12" windowWidth="18960" windowHeight="11328"/>
  </bookViews>
  <sheets>
    <sheet name="Table 1" sheetId="1" r:id="rId1"/>
    <sheet name="Лист1" sheetId="2" r:id="rId2"/>
  </sheets>
  <calcPr calcId="152511"/>
</workbook>
</file>

<file path=xl/calcChain.xml><?xml version="1.0" encoding="utf-8"?>
<calcChain xmlns="http://schemas.openxmlformats.org/spreadsheetml/2006/main">
  <c r="I18" i="1" l="1"/>
  <c r="J16" i="1"/>
  <c r="K16" i="1"/>
  <c r="L16" i="1"/>
  <c r="M16" i="1"/>
  <c r="N16" i="1"/>
  <c r="O16" i="1"/>
  <c r="P16" i="1"/>
  <c r="J17" i="1"/>
  <c r="K17" i="1"/>
  <c r="L17" i="1"/>
  <c r="M17" i="1"/>
  <c r="N17" i="1"/>
  <c r="O17" i="1"/>
  <c r="P17" i="1"/>
  <c r="J18" i="1"/>
  <c r="K18" i="1"/>
  <c r="L18" i="1"/>
  <c r="M18" i="1"/>
  <c r="N18" i="1"/>
  <c r="O18" i="1"/>
  <c r="P18" i="1"/>
  <c r="J19" i="1"/>
  <c r="K19" i="1"/>
  <c r="L19" i="1"/>
  <c r="M19" i="1"/>
  <c r="N19" i="1"/>
  <c r="O19" i="1"/>
  <c r="P19" i="1"/>
  <c r="J20" i="1"/>
  <c r="K20" i="1"/>
  <c r="L20" i="1"/>
  <c r="M20" i="1"/>
  <c r="N20" i="1"/>
  <c r="O20" i="1"/>
  <c r="P20" i="1"/>
  <c r="J21" i="1"/>
  <c r="K21" i="1"/>
  <c r="L21" i="1"/>
  <c r="M21" i="1"/>
  <c r="N21" i="1"/>
  <c r="O21" i="1"/>
  <c r="P21" i="1"/>
  <c r="J22" i="1"/>
  <c r="K22" i="1"/>
  <c r="L22" i="1"/>
  <c r="M22" i="1"/>
  <c r="N22" i="1"/>
  <c r="O22" i="1"/>
  <c r="P22" i="1"/>
  <c r="J23" i="1"/>
  <c r="K23" i="1"/>
  <c r="L23" i="1"/>
  <c r="M23" i="1"/>
  <c r="N23" i="1"/>
  <c r="O23" i="1"/>
  <c r="P23" i="1"/>
  <c r="J24" i="1"/>
  <c r="K24" i="1"/>
  <c r="L24" i="1"/>
  <c r="M24" i="1"/>
  <c r="N24" i="1"/>
  <c r="O24" i="1"/>
  <c r="P24" i="1"/>
  <c r="J25" i="1"/>
  <c r="K25" i="1"/>
  <c r="L25" i="1"/>
  <c r="M25" i="1"/>
  <c r="N25" i="1"/>
  <c r="O25" i="1"/>
  <c r="P25" i="1"/>
  <c r="J26" i="1"/>
  <c r="K26" i="1"/>
  <c r="L26" i="1"/>
  <c r="M26" i="1"/>
  <c r="N26" i="1"/>
  <c r="O26" i="1"/>
  <c r="P26" i="1"/>
  <c r="I17" i="1"/>
  <c r="I19" i="1"/>
  <c r="I20" i="1"/>
  <c r="I21" i="1"/>
  <c r="I22" i="1"/>
  <c r="I23" i="1"/>
  <c r="I24" i="1"/>
  <c r="I25" i="1"/>
  <c r="I26" i="1"/>
  <c r="I16" i="1"/>
  <c r="H5" i="1"/>
  <c r="H6" i="1"/>
  <c r="H7" i="1"/>
  <c r="H8" i="1"/>
  <c r="H9" i="1"/>
  <c r="H10" i="1"/>
  <c r="H11" i="1"/>
  <c r="H12" i="1"/>
  <c r="H13" i="1"/>
  <c r="H14" i="1"/>
  <c r="H4" i="1"/>
  <c r="I29" i="1" l="1"/>
  <c r="N29" i="1"/>
  <c r="L29" i="1"/>
  <c r="O29" i="1"/>
  <c r="M29" i="1"/>
  <c r="K29" i="1"/>
  <c r="J29" i="1"/>
  <c r="P29" i="1"/>
  <c r="G5" i="1"/>
</calcChain>
</file>

<file path=xl/sharedStrings.xml><?xml version="1.0" encoding="utf-8"?>
<sst xmlns="http://schemas.openxmlformats.org/spreadsheetml/2006/main" count="62" uniqueCount="47">
  <si>
    <r>
      <rPr>
        <i/>
        <sz val="15.5"/>
        <rFont val="ISOCPEUR"/>
        <family val="2"/>
      </rPr>
      <t>Спецификация элементов стальных перемычек 4-го этажа</t>
    </r>
  </si>
  <si>
    <r>
      <rPr>
        <i/>
        <sz val="13"/>
        <rFont val="ISOCPEUR"/>
        <family val="2"/>
      </rPr>
      <t>Поз.</t>
    </r>
  </si>
  <si>
    <r>
      <rPr>
        <i/>
        <sz val="13"/>
        <rFont val="ISOCPEUR"/>
        <family val="2"/>
      </rPr>
      <t>Обозначение</t>
    </r>
  </si>
  <si>
    <r>
      <rPr>
        <i/>
        <sz val="13"/>
        <rFont val="ISOCPEUR"/>
        <family val="2"/>
      </rPr>
      <t>Наименование</t>
    </r>
  </si>
  <si>
    <r>
      <rPr>
        <i/>
        <sz val="11"/>
        <rFont val="ISOCPEUR"/>
        <family val="2"/>
      </rPr>
      <t>Длина L, мм</t>
    </r>
  </si>
  <si>
    <r>
      <rPr>
        <i/>
        <sz val="11"/>
        <rFont val="ISOCPEUR"/>
        <family val="2"/>
      </rPr>
      <t>Масса ед. кг.</t>
    </r>
  </si>
  <si>
    <r>
      <rPr>
        <i/>
        <sz val="11"/>
        <rFont val="ISOCPEUR"/>
        <family val="2"/>
      </rPr>
      <t>Кол-во шт всего</t>
    </r>
  </si>
  <si>
    <r>
      <rPr>
        <i/>
        <sz val="11"/>
        <rFont val="ISOCPEUR"/>
        <family val="2"/>
      </rPr>
      <t>Масса всего, кг.</t>
    </r>
  </si>
  <si>
    <r>
      <rPr>
        <i/>
        <sz val="16"/>
        <rFont val="ISOCPEUR"/>
        <family val="2"/>
      </rPr>
      <t>Марка стали</t>
    </r>
  </si>
  <si>
    <r>
      <rPr>
        <i/>
        <sz val="11"/>
        <rFont val="ISOCPEUR"/>
        <family val="2"/>
      </rPr>
      <t>ГОСТ 8509-93</t>
    </r>
  </si>
  <si>
    <r>
      <rPr>
        <i/>
        <sz val="11"/>
        <rFont val="ISOCPEUR"/>
        <family val="2"/>
      </rPr>
      <t>Уголок 80х7</t>
    </r>
  </si>
  <si>
    <r>
      <rPr>
        <i/>
        <sz val="11"/>
        <rFont val="ISOCPEUR"/>
        <family val="2"/>
      </rPr>
      <t>Уголок 50х5</t>
    </r>
  </si>
  <si>
    <r>
      <rPr>
        <i/>
        <sz val="11"/>
        <rFont val="ISOCPEUR"/>
        <family val="2"/>
      </rPr>
      <t>Уголок 63х6</t>
    </r>
  </si>
  <si>
    <r>
      <rPr>
        <i/>
        <sz val="11"/>
        <rFont val="ISOCPEUR"/>
        <family val="2"/>
      </rPr>
      <t>ГОСТ 8510-86</t>
    </r>
  </si>
  <si>
    <r>
      <rPr>
        <i/>
        <sz val="11"/>
        <rFont val="ISOCPEUR"/>
        <family val="2"/>
      </rPr>
      <t>Уголок 100х63х6</t>
    </r>
  </si>
  <si>
    <r>
      <rPr>
        <i/>
        <sz val="11"/>
        <rFont val="ISOCPEUR"/>
        <family val="2"/>
      </rPr>
      <t>Пл1</t>
    </r>
  </si>
  <si>
    <r>
      <rPr>
        <i/>
        <sz val="11"/>
        <rFont val="ISOCPEUR"/>
        <family val="2"/>
      </rPr>
      <t>ГОСТ 103-2006</t>
    </r>
  </si>
  <si>
    <r>
      <rPr>
        <i/>
        <sz val="11"/>
        <rFont val="ISOCPEUR"/>
        <family val="2"/>
      </rPr>
      <t>Пластина 50х4</t>
    </r>
  </si>
  <si>
    <r>
      <rPr>
        <i/>
        <sz val="11"/>
        <rFont val="ISOCPEUR"/>
        <family val="2"/>
      </rPr>
      <t>Пл2</t>
    </r>
  </si>
  <si>
    <r>
      <rPr>
        <i/>
        <sz val="11"/>
        <rFont val="ISOCPEUR"/>
        <family val="2"/>
      </rPr>
      <t>У1</t>
    </r>
  </si>
  <si>
    <r>
      <rPr>
        <i/>
        <sz val="11"/>
        <rFont val="ISOCPEUR"/>
        <family val="2"/>
      </rPr>
      <t>У3</t>
    </r>
  </si>
  <si>
    <r>
      <rPr>
        <i/>
        <sz val="11"/>
        <rFont val="ISOCPEUR"/>
        <family val="2"/>
      </rPr>
      <t>СТО 36554501-048-2016*</t>
    </r>
  </si>
  <si>
    <r>
      <rPr>
        <i/>
        <sz val="11"/>
        <rFont val="ISOCPEUR"/>
        <family val="2"/>
      </rPr>
      <t>Клиновой анкер MKT B 8-10-19/75</t>
    </r>
  </si>
  <si>
    <t>ПР-Г1</t>
  </si>
  <si>
    <t>Г1</t>
  </si>
  <si>
    <t>Г2</t>
  </si>
  <si>
    <t>Г6</t>
  </si>
  <si>
    <t>Г6*</t>
  </si>
  <si>
    <t>К2</t>
  </si>
  <si>
    <t>К3</t>
  </si>
  <si>
    <t>К12</t>
  </si>
  <si>
    <t>К13</t>
  </si>
  <si>
    <t>Количество</t>
  </si>
  <si>
    <t>Содержимое</t>
  </si>
  <si>
    <t>ПР-К13</t>
  </si>
  <si>
    <t>ПР-Г6*</t>
  </si>
  <si>
    <t>ПР-К6</t>
  </si>
  <si>
    <t>ПР-K2</t>
  </si>
  <si>
    <t>ПР-Г5</t>
  </si>
  <si>
    <t>ПР-Г4</t>
  </si>
  <si>
    <t>ПР-К9</t>
  </si>
  <si>
    <t>ПР-K3</t>
  </si>
  <si>
    <t>ПР-К2</t>
  </si>
  <si>
    <t>ПР-Г6</t>
  </si>
  <si>
    <t>ПР-К1</t>
  </si>
  <si>
    <t>ПР-К3</t>
  </si>
  <si>
    <t>ПР-Г2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</si>
</sst>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i/>
      <sz val="15.5"/>
      <name val="ISOCPEUR"/>
      <family val="2"/>
      <charset val="204"/>
    </font>
    <font>
      <i/>
      <sz val="13"/>
      <name val="ISOCPEUR"/>
      <family val="2"/>
      <charset val="204"/>
    </font>
    <font>
      <i/>
      <sz val="11"/>
      <name val="ISOCPEUR"/>
      <family val="2"/>
      <charset val="204"/>
    </font>
    <font>
      <i/>
      <sz val="11"/>
      <color rgb="FF000000"/>
      <name val="ISOCPEUR"/>
      <family val="2"/>
    </font>
    <font>
      <i/>
      <sz val="15.5"/>
      <name val="ISOCPEUR"/>
      <family val="2"/>
    </font>
    <font>
      <i/>
      <sz val="13"/>
      <name val="ISOCPEUR"/>
      <family val="2"/>
    </font>
    <font>
      <i/>
      <sz val="11"/>
      <name val="ISOCPEUR"/>
      <family val="2"/>
    </font>
    <font>
      <i/>
      <sz val="16"/>
      <name val="ISOCPEUR"/>
      <family val="2"/>
    </font>
    <font>
      <sz val="10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2" fontId="4" fillId="0" borderId="1" xfId="0" applyNumberFormat="1" applyFont="1" applyFill="1" applyBorder="1" applyAlignment="1">
      <alignment horizontal="center" vertical="top" shrinkToFit="1"/>
    </xf>
    <xf numFmtId="164" fontId="4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left" vertical="top" wrapText="1" indent="1"/>
    </xf>
    <xf numFmtId="0" fontId="3" fillId="0" borderId="13" xfId="0" applyFont="1" applyFill="1" applyBorder="1" applyAlignment="1">
      <alignment horizontal="left" vertical="top" wrapText="1" indent="1"/>
    </xf>
    <xf numFmtId="0" fontId="0" fillId="0" borderId="14" xfId="0" applyFill="1" applyBorder="1" applyAlignment="1">
      <alignment horizontal="left" vertical="center" wrapText="1"/>
    </xf>
    <xf numFmtId="1" fontId="4" fillId="0" borderId="14" xfId="0" applyNumberFormat="1" applyFont="1" applyFill="1" applyBorder="1" applyAlignment="1">
      <alignment horizontal="center" vertical="top" shrinkToFit="1"/>
    </xf>
    <xf numFmtId="0" fontId="0" fillId="0" borderId="1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0" fillId="0" borderId="0" xfId="0"/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19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indexed="64"/>
        </left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2:P14" totalsRowShown="0" headerRowDxfId="18" dataDxfId="17" tableBorderDxfId="16">
  <autoFilter ref="A2:P14"/>
  <tableColumns count="16">
    <tableColumn id="1" name="Поз." dataDxfId="15"/>
    <tableColumn id="2" name="Обозначение" dataDxfId="14"/>
    <tableColumn id="3" name="Наименование" dataDxfId="13"/>
    <tableColumn id="4" name="Длина L, мм" dataDxfId="12"/>
    <tableColumn id="5" name="Масса ед. кг." dataDxfId="11"/>
    <tableColumn id="6" name="Кол-во шт всего" dataDxfId="10"/>
    <tableColumn id="7" name="Масса всего, кг." dataDxfId="9"/>
    <tableColumn id="8" name="Марка стали" dataDxfId="8"/>
    <tableColumn id="9" name="Г1" dataDxfId="7"/>
    <tableColumn id="10" name="Г2" dataDxfId="6"/>
    <tableColumn id="11" name="Г6" dataDxfId="5"/>
    <tableColumn id="12" name="Г6*" dataDxfId="4"/>
    <tableColumn id="13" name="К2" dataDxfId="3"/>
    <tableColumn id="14" name="К3" dataDxfId="2"/>
    <tableColumn id="15" name="К12" dataDxfId="1"/>
    <tableColumn id="16" name="К13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topLeftCell="C1" zoomScale="55" zoomScaleNormal="55" workbookViewId="0">
      <selection activeCell="O2" sqref="O2"/>
    </sheetView>
  </sheetViews>
  <sheetFormatPr defaultRowHeight="13.2" x14ac:dyDescent="0.25"/>
  <cols>
    <col min="1" max="1" width="12.88671875" customWidth="1"/>
    <col min="2" max="2" width="29.77734375" customWidth="1"/>
    <col min="3" max="3" width="19.77734375" customWidth="1"/>
    <col min="4" max="4" width="13.33203125" customWidth="1"/>
    <col min="5" max="5" width="14.21875" customWidth="1"/>
    <col min="6" max="6" width="17.44140625" customWidth="1"/>
    <col min="7" max="7" width="16.77734375" customWidth="1"/>
    <col min="8" max="8" width="16.44140625" customWidth="1"/>
    <col min="9" max="9" width="8.88671875" style="8" customWidth="1"/>
    <col min="10" max="16" width="10.5546875" style="8" customWidth="1"/>
  </cols>
  <sheetData>
    <row r="1" spans="1:16" ht="30" customHeight="1" x14ac:dyDescent="0.25">
      <c r="A1" s="37" t="s">
        <v>0</v>
      </c>
      <c r="B1" s="38"/>
      <c r="C1" s="38"/>
      <c r="D1" s="38"/>
      <c r="E1" s="38"/>
      <c r="F1" s="38"/>
      <c r="G1" s="38"/>
      <c r="H1" s="39"/>
      <c r="I1" s="10" t="s">
        <v>23</v>
      </c>
      <c r="J1" s="9"/>
      <c r="K1" s="9"/>
      <c r="L1" s="9"/>
      <c r="M1" s="9"/>
      <c r="N1" s="9"/>
      <c r="O1" s="9"/>
      <c r="P1" s="9"/>
    </row>
    <row r="2" spans="1:16" ht="43.05" customHeight="1" x14ac:dyDescent="0.25">
      <c r="A2" s="17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11" t="s">
        <v>8</v>
      </c>
      <c r="I2" s="35" t="s">
        <v>24</v>
      </c>
      <c r="J2" s="34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3" t="s">
        <v>30</v>
      </c>
      <c r="P2" s="34" t="s">
        <v>31</v>
      </c>
    </row>
    <row r="3" spans="1:16" ht="22.95" hidden="1" customHeight="1" x14ac:dyDescent="0.25">
      <c r="A3" s="18"/>
      <c r="B3" s="4" t="s">
        <v>9</v>
      </c>
      <c r="C3" s="4" t="s">
        <v>10</v>
      </c>
      <c r="D3" s="5">
        <v>120</v>
      </c>
      <c r="E3" s="6">
        <v>1.02</v>
      </c>
      <c r="F3" s="5">
        <v>1</v>
      </c>
      <c r="G3" s="6">
        <v>1.02</v>
      </c>
      <c r="H3" s="12"/>
      <c r="I3" s="14">
        <v>7</v>
      </c>
      <c r="J3" s="15">
        <v>3</v>
      </c>
      <c r="K3" s="15">
        <v>6</v>
      </c>
      <c r="L3" s="15">
        <v>1</v>
      </c>
      <c r="M3" s="15">
        <v>1</v>
      </c>
      <c r="N3" s="15">
        <v>3</v>
      </c>
      <c r="O3" s="15">
        <v>1</v>
      </c>
      <c r="P3" s="15"/>
    </row>
    <row r="4" spans="1:16" ht="22.95" hidden="1" customHeight="1" x14ac:dyDescent="0.25">
      <c r="A4" s="19">
        <v>1</v>
      </c>
      <c r="B4" s="4" t="s">
        <v>9</v>
      </c>
      <c r="C4" s="4" t="s">
        <v>11</v>
      </c>
      <c r="D4" s="5">
        <v>750</v>
      </c>
      <c r="E4" s="6">
        <v>2.83</v>
      </c>
      <c r="F4" s="5">
        <v>2</v>
      </c>
      <c r="G4" s="6">
        <v>5.66</v>
      </c>
      <c r="H4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2</v>
      </c>
      <c r="I4" s="28"/>
      <c r="J4" s="29"/>
      <c r="K4" s="29"/>
      <c r="L4" s="29"/>
      <c r="M4" s="29"/>
      <c r="N4" s="29"/>
      <c r="O4" s="29">
        <v>2</v>
      </c>
      <c r="P4" s="29"/>
    </row>
    <row r="5" spans="1:16" ht="22.95" hidden="1" customHeight="1" x14ac:dyDescent="0.25">
      <c r="A5" s="19">
        <v>2</v>
      </c>
      <c r="B5" s="4" t="s">
        <v>9</v>
      </c>
      <c r="C5" s="4" t="s">
        <v>12</v>
      </c>
      <c r="D5" s="5">
        <v>1552</v>
      </c>
      <c r="E5" s="6">
        <v>8.8800000000000008</v>
      </c>
      <c r="F5" s="5">
        <v>20</v>
      </c>
      <c r="G5" s="6">
        <f>Таблица1[[#This Row],[Кол-во шт всего]]*Таблица1[[#This Row],[Масса ед. кг.]]</f>
        <v>177.60000000000002</v>
      </c>
      <c r="H5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20</v>
      </c>
      <c r="I5" s="28"/>
      <c r="J5" s="29">
        <v>2</v>
      </c>
      <c r="K5" s="29">
        <v>2</v>
      </c>
      <c r="L5" s="29">
        <v>2</v>
      </c>
      <c r="M5" s="29"/>
      <c r="N5" s="29"/>
      <c r="O5" s="29"/>
      <c r="P5" s="29"/>
    </row>
    <row r="6" spans="1:16" ht="22.95" hidden="1" customHeight="1" x14ac:dyDescent="0.25">
      <c r="A6" s="19">
        <v>8</v>
      </c>
      <c r="B6" s="4" t="s">
        <v>9</v>
      </c>
      <c r="C6" s="4" t="s">
        <v>10</v>
      </c>
      <c r="D6" s="5">
        <v>2480</v>
      </c>
      <c r="E6" s="7">
        <v>21.1</v>
      </c>
      <c r="F6" s="5">
        <v>14</v>
      </c>
      <c r="G6" s="7">
        <v>295.39999999999998</v>
      </c>
      <c r="H6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14</v>
      </c>
      <c r="I6" s="28">
        <v>2</v>
      </c>
      <c r="J6" s="29"/>
      <c r="K6" s="29"/>
      <c r="L6" s="29"/>
      <c r="M6" s="29"/>
      <c r="N6" s="29"/>
      <c r="O6" s="29"/>
      <c r="P6" s="29"/>
    </row>
    <row r="7" spans="1:16" ht="22.95" hidden="1" customHeight="1" x14ac:dyDescent="0.25">
      <c r="A7" s="19">
        <v>9</v>
      </c>
      <c r="B7" s="4" t="s">
        <v>13</v>
      </c>
      <c r="C7" s="4" t="s">
        <v>14</v>
      </c>
      <c r="D7" s="5">
        <v>920</v>
      </c>
      <c r="E7" s="6">
        <v>6.93</v>
      </c>
      <c r="F7" s="5">
        <v>1</v>
      </c>
      <c r="G7" s="6">
        <v>6.93</v>
      </c>
      <c r="H7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1</v>
      </c>
      <c r="I7" s="32"/>
      <c r="J7" s="33"/>
      <c r="K7" s="33"/>
      <c r="L7" s="33"/>
      <c r="M7" s="33">
        <v>1</v>
      </c>
      <c r="N7" s="33"/>
      <c r="O7" s="33"/>
      <c r="P7" s="33"/>
    </row>
    <row r="8" spans="1:16" ht="22.95" hidden="1" customHeight="1" x14ac:dyDescent="0.25">
      <c r="A8" s="19">
        <v>9</v>
      </c>
      <c r="B8" s="4" t="s">
        <v>13</v>
      </c>
      <c r="C8" s="4" t="s">
        <v>14</v>
      </c>
      <c r="D8" s="5">
        <v>1170</v>
      </c>
      <c r="E8" s="6">
        <v>8.81</v>
      </c>
      <c r="F8" s="5">
        <v>3</v>
      </c>
      <c r="G8" s="6">
        <v>26.43</v>
      </c>
      <c r="H8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3</v>
      </c>
      <c r="I8" s="32"/>
      <c r="J8" s="33"/>
      <c r="K8" s="33"/>
      <c r="L8" s="33"/>
      <c r="M8" s="33"/>
      <c r="N8" s="33">
        <v>1</v>
      </c>
      <c r="O8" s="33"/>
      <c r="P8" s="33"/>
    </row>
    <row r="9" spans="1:16" ht="22.95" hidden="1" customHeight="1" x14ac:dyDescent="0.25">
      <c r="A9" s="19">
        <v>10</v>
      </c>
      <c r="B9" s="4" t="s">
        <v>13</v>
      </c>
      <c r="C9" s="4" t="s">
        <v>14</v>
      </c>
      <c r="D9" s="5">
        <v>1500</v>
      </c>
      <c r="E9" s="7">
        <v>11.3</v>
      </c>
      <c r="F9" s="5">
        <v>1</v>
      </c>
      <c r="G9" s="7">
        <v>11.3</v>
      </c>
      <c r="H9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0</v>
      </c>
      <c r="I9" s="32"/>
      <c r="J9" s="33"/>
      <c r="K9" s="33"/>
      <c r="L9" s="33"/>
      <c r="M9" s="33"/>
      <c r="N9" s="33"/>
      <c r="O9" s="33"/>
      <c r="P9" s="33"/>
    </row>
    <row r="10" spans="1:16" ht="22.95" hidden="1" customHeight="1" x14ac:dyDescent="0.25">
      <c r="A10" s="20" t="s">
        <v>15</v>
      </c>
      <c r="B10" s="4" t="s">
        <v>16</v>
      </c>
      <c r="C10" s="4" t="s">
        <v>17</v>
      </c>
      <c r="D10" s="5">
        <v>200</v>
      </c>
      <c r="E10" s="6">
        <v>0.31</v>
      </c>
      <c r="F10" s="5">
        <v>57</v>
      </c>
      <c r="G10" s="6">
        <v>17.670000000000002</v>
      </c>
      <c r="H10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61</v>
      </c>
      <c r="I10" s="30">
        <v>4</v>
      </c>
      <c r="J10" s="31">
        <v>4</v>
      </c>
      <c r="K10" s="31">
        <v>3</v>
      </c>
      <c r="L10" s="31">
        <v>3</v>
      </c>
      <c r="M10" s="31"/>
      <c r="N10" s="31"/>
      <c r="O10" s="31"/>
      <c r="P10" s="31"/>
    </row>
    <row r="11" spans="1:16" ht="22.95" hidden="1" customHeight="1" x14ac:dyDescent="0.25">
      <c r="A11" s="20" t="s">
        <v>18</v>
      </c>
      <c r="B11" s="4" t="s">
        <v>16</v>
      </c>
      <c r="C11" s="4" t="s">
        <v>17</v>
      </c>
      <c r="D11" s="5">
        <v>120</v>
      </c>
      <c r="E11" s="6">
        <v>0.19</v>
      </c>
      <c r="F11" s="5">
        <v>2</v>
      </c>
      <c r="G11" s="6">
        <v>0.38</v>
      </c>
      <c r="H11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1</v>
      </c>
      <c r="I11" s="30"/>
      <c r="J11" s="31"/>
      <c r="K11" s="31"/>
      <c r="L11" s="31"/>
      <c r="M11" s="31">
        <v>0</v>
      </c>
      <c r="N11" s="31">
        <v>0</v>
      </c>
      <c r="O11" s="31">
        <v>1</v>
      </c>
      <c r="P11" s="31"/>
    </row>
    <row r="12" spans="1:16" ht="22.95" hidden="1" customHeight="1" x14ac:dyDescent="0.25">
      <c r="A12" s="20" t="s">
        <v>19</v>
      </c>
      <c r="B12" s="4" t="s">
        <v>9</v>
      </c>
      <c r="C12" s="4" t="s">
        <v>11</v>
      </c>
      <c r="D12" s="5">
        <v>120</v>
      </c>
      <c r="E12" s="6">
        <v>0.45</v>
      </c>
      <c r="F12" s="5">
        <v>1</v>
      </c>
      <c r="G12" s="6">
        <v>0.45</v>
      </c>
      <c r="H12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1</v>
      </c>
      <c r="I12" s="16"/>
      <c r="J12" s="9"/>
      <c r="K12" s="9"/>
      <c r="L12" s="9"/>
      <c r="M12" s="9"/>
      <c r="N12" s="9"/>
      <c r="O12" s="9">
        <v>1</v>
      </c>
      <c r="P12" s="9"/>
    </row>
    <row r="13" spans="1:16" ht="22.95" hidden="1" customHeight="1" x14ac:dyDescent="0.25">
      <c r="A13" s="20" t="s">
        <v>20</v>
      </c>
      <c r="B13" s="4" t="s">
        <v>9</v>
      </c>
      <c r="C13" s="4" t="s">
        <v>10</v>
      </c>
      <c r="D13" s="5">
        <v>200</v>
      </c>
      <c r="E13" s="7">
        <v>1.7</v>
      </c>
      <c r="F13" s="5">
        <v>21</v>
      </c>
      <c r="G13" s="7">
        <v>35.700000000000003</v>
      </c>
      <c r="H13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20</v>
      </c>
      <c r="I13" s="16">
        <v>2</v>
      </c>
      <c r="J13" s="9">
        <v>2</v>
      </c>
      <c r="K13" s="9"/>
      <c r="L13" s="9"/>
      <c r="M13" s="9"/>
      <c r="N13" s="9"/>
      <c r="O13" s="9"/>
      <c r="P13" s="9"/>
    </row>
    <row r="14" spans="1:16" ht="23.55" hidden="1" customHeight="1" x14ac:dyDescent="0.25">
      <c r="A14" s="21"/>
      <c r="B14" s="22" t="s">
        <v>21</v>
      </c>
      <c r="C14" s="23" t="s">
        <v>22</v>
      </c>
      <c r="D14" s="24"/>
      <c r="E14" s="25"/>
      <c r="F14" s="26">
        <v>2</v>
      </c>
      <c r="G14" s="25"/>
      <c r="H14" s="12">
        <f>Таблица1[[#This Row],[Г1]]*I$3+Таблица1[[#This Row],[Г2]]*J$3+Таблица1[[#This Row],[Г6]]*K$3+Таблица1[[#This Row],[Г6*]]*L$3+Таблица1[[#This Row],[К2]]*M$3+Таблица1[[#This Row],[К3]]*N$3+Таблица1[[#This Row],[К12]]*O$3+Таблица1[[#This Row],[К13]]*P$3</f>
        <v>2</v>
      </c>
      <c r="I14" s="27"/>
      <c r="J14" s="13"/>
      <c r="K14" s="13"/>
      <c r="L14" s="13"/>
      <c r="M14" s="13"/>
      <c r="N14" s="13"/>
      <c r="O14" s="13">
        <v>2</v>
      </c>
      <c r="P14" s="13"/>
    </row>
    <row r="15" spans="1:16" hidden="1" x14ac:dyDescent="0.25"/>
    <row r="16" spans="1:16" hidden="1" x14ac:dyDescent="0.25">
      <c r="I16" s="8">
        <f>I4*$E4</f>
        <v>0</v>
      </c>
      <c r="J16" s="8">
        <f t="shared" ref="J16:P16" si="0">J4*$E4</f>
        <v>0</v>
      </c>
      <c r="K16" s="8">
        <f t="shared" si="0"/>
        <v>0</v>
      </c>
      <c r="L16" s="8">
        <f t="shared" si="0"/>
        <v>0</v>
      </c>
      <c r="M16" s="8">
        <f t="shared" si="0"/>
        <v>0</v>
      </c>
      <c r="N16" s="8">
        <f t="shared" si="0"/>
        <v>0</v>
      </c>
      <c r="O16" s="8">
        <f t="shared" si="0"/>
        <v>5.66</v>
      </c>
      <c r="P16" s="8">
        <f t="shared" si="0"/>
        <v>0</v>
      </c>
    </row>
    <row r="17" spans="9:16" hidden="1" x14ac:dyDescent="0.25">
      <c r="I17" s="8">
        <f t="shared" ref="I17:P26" si="1">I5*$E5</f>
        <v>0</v>
      </c>
      <c r="J17" s="8">
        <f t="shared" si="1"/>
        <v>17.760000000000002</v>
      </c>
      <c r="K17" s="8">
        <f t="shared" si="1"/>
        <v>17.760000000000002</v>
      </c>
      <c r="L17" s="8">
        <f t="shared" si="1"/>
        <v>17.760000000000002</v>
      </c>
      <c r="M17" s="8">
        <f t="shared" si="1"/>
        <v>0</v>
      </c>
      <c r="N17" s="8">
        <f t="shared" si="1"/>
        <v>0</v>
      </c>
      <c r="O17" s="8">
        <f t="shared" si="1"/>
        <v>0</v>
      </c>
      <c r="P17" s="8">
        <f t="shared" si="1"/>
        <v>0</v>
      </c>
    </row>
    <row r="18" spans="9:16" hidden="1" x14ac:dyDescent="0.25">
      <c r="I18" s="8">
        <f>I6*$E6</f>
        <v>42.2</v>
      </c>
      <c r="J18" s="8">
        <f t="shared" si="1"/>
        <v>0</v>
      </c>
      <c r="K18" s="8">
        <f t="shared" si="1"/>
        <v>0</v>
      </c>
      <c r="L18" s="8">
        <f t="shared" si="1"/>
        <v>0</v>
      </c>
      <c r="M18" s="8">
        <f t="shared" si="1"/>
        <v>0</v>
      </c>
      <c r="N18" s="8">
        <f t="shared" si="1"/>
        <v>0</v>
      </c>
      <c r="O18" s="8">
        <f t="shared" si="1"/>
        <v>0</v>
      </c>
      <c r="P18" s="8">
        <f t="shared" si="1"/>
        <v>0</v>
      </c>
    </row>
    <row r="19" spans="9:16" hidden="1" x14ac:dyDescent="0.25">
      <c r="I19" s="8">
        <f t="shared" si="1"/>
        <v>0</v>
      </c>
      <c r="J19" s="8">
        <f t="shared" si="1"/>
        <v>0</v>
      </c>
      <c r="K19" s="8">
        <f t="shared" si="1"/>
        <v>0</v>
      </c>
      <c r="L19" s="8">
        <f t="shared" si="1"/>
        <v>0</v>
      </c>
      <c r="M19" s="8">
        <f t="shared" si="1"/>
        <v>6.93</v>
      </c>
      <c r="N19" s="8">
        <f t="shared" si="1"/>
        <v>0</v>
      </c>
      <c r="O19" s="8">
        <f t="shared" si="1"/>
        <v>0</v>
      </c>
      <c r="P19" s="8">
        <f t="shared" si="1"/>
        <v>0</v>
      </c>
    </row>
    <row r="20" spans="9:16" hidden="1" x14ac:dyDescent="0.25"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8.81</v>
      </c>
      <c r="O20" s="8">
        <f t="shared" si="1"/>
        <v>0</v>
      </c>
      <c r="P20" s="8">
        <f t="shared" si="1"/>
        <v>0</v>
      </c>
    </row>
    <row r="21" spans="9:16" hidden="1" x14ac:dyDescent="0.25">
      <c r="I21" s="8">
        <f t="shared" si="1"/>
        <v>0</v>
      </c>
      <c r="J21" s="8">
        <f t="shared" si="1"/>
        <v>0</v>
      </c>
      <c r="K21" s="8">
        <f t="shared" si="1"/>
        <v>0</v>
      </c>
      <c r="L21" s="8">
        <f t="shared" si="1"/>
        <v>0</v>
      </c>
      <c r="M21" s="8">
        <f t="shared" si="1"/>
        <v>0</v>
      </c>
      <c r="N21" s="8">
        <f t="shared" si="1"/>
        <v>0</v>
      </c>
      <c r="O21" s="8">
        <f t="shared" si="1"/>
        <v>0</v>
      </c>
      <c r="P21" s="8">
        <f t="shared" si="1"/>
        <v>0</v>
      </c>
    </row>
    <row r="22" spans="9:16" hidden="1" x14ac:dyDescent="0.25">
      <c r="I22" s="8">
        <f t="shared" si="1"/>
        <v>1.24</v>
      </c>
      <c r="J22" s="8">
        <f t="shared" si="1"/>
        <v>1.24</v>
      </c>
      <c r="K22" s="8">
        <f t="shared" si="1"/>
        <v>0.92999999999999994</v>
      </c>
      <c r="L22" s="8">
        <f t="shared" si="1"/>
        <v>0.92999999999999994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9:16" hidden="1" x14ac:dyDescent="0.25">
      <c r="I23" s="8">
        <f t="shared" si="1"/>
        <v>0</v>
      </c>
      <c r="J23" s="8">
        <f t="shared" si="1"/>
        <v>0</v>
      </c>
      <c r="K23" s="8">
        <f t="shared" si="1"/>
        <v>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0.19</v>
      </c>
      <c r="P23" s="8">
        <f t="shared" si="1"/>
        <v>0</v>
      </c>
    </row>
    <row r="24" spans="9:16" hidden="1" x14ac:dyDescent="0.25">
      <c r="I24" s="8">
        <f t="shared" si="1"/>
        <v>0</v>
      </c>
      <c r="J24" s="8">
        <f t="shared" si="1"/>
        <v>0</v>
      </c>
      <c r="K24" s="8">
        <f t="shared" si="1"/>
        <v>0</v>
      </c>
      <c r="L24" s="8">
        <f t="shared" si="1"/>
        <v>0</v>
      </c>
      <c r="M24" s="8">
        <f t="shared" si="1"/>
        <v>0</v>
      </c>
      <c r="N24" s="8">
        <f t="shared" si="1"/>
        <v>0</v>
      </c>
      <c r="O24" s="8">
        <f t="shared" si="1"/>
        <v>0.45</v>
      </c>
      <c r="P24" s="8">
        <f t="shared" si="1"/>
        <v>0</v>
      </c>
    </row>
    <row r="25" spans="9:16" hidden="1" x14ac:dyDescent="0.25">
      <c r="I25" s="8">
        <f t="shared" si="1"/>
        <v>3.4</v>
      </c>
      <c r="J25" s="8">
        <f t="shared" si="1"/>
        <v>3.4</v>
      </c>
      <c r="K25" s="8">
        <f t="shared" si="1"/>
        <v>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0</v>
      </c>
      <c r="P25" s="8">
        <f t="shared" si="1"/>
        <v>0</v>
      </c>
    </row>
    <row r="26" spans="9:16" hidden="1" x14ac:dyDescent="0.25">
      <c r="I26" s="8">
        <f t="shared" si="1"/>
        <v>0</v>
      </c>
      <c r="J26" s="8">
        <f t="shared" si="1"/>
        <v>0</v>
      </c>
      <c r="K26" s="8">
        <f t="shared" si="1"/>
        <v>0</v>
      </c>
      <c r="L26" s="8">
        <f t="shared" si="1"/>
        <v>0</v>
      </c>
      <c r="M26" s="8">
        <f t="shared" si="1"/>
        <v>0</v>
      </c>
      <c r="N26" s="8">
        <f t="shared" si="1"/>
        <v>0</v>
      </c>
      <c r="O26" s="8">
        <f t="shared" si="1"/>
        <v>0</v>
      </c>
      <c r="P26" s="8">
        <f t="shared" si="1"/>
        <v>0</v>
      </c>
    </row>
    <row r="29" spans="9:16" x14ac:dyDescent="0.25">
      <c r="I29" s="8">
        <f>SUM(I16:I26)</f>
        <v>46.84</v>
      </c>
      <c r="J29" s="8">
        <f t="shared" ref="J29:P29" si="2">SUM(J16:J26)</f>
        <v>22.4</v>
      </c>
      <c r="K29" s="8">
        <f t="shared" si="2"/>
        <v>18.690000000000001</v>
      </c>
      <c r="L29" s="8">
        <f t="shared" si="2"/>
        <v>18.690000000000001</v>
      </c>
      <c r="M29" s="8">
        <f t="shared" si="2"/>
        <v>6.93</v>
      </c>
      <c r="N29" s="8">
        <f t="shared" si="2"/>
        <v>8.81</v>
      </c>
      <c r="O29" s="8">
        <f t="shared" si="2"/>
        <v>6.3000000000000007</v>
      </c>
      <c r="P29" s="8">
        <f t="shared" si="2"/>
        <v>0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6" sqref="B6"/>
    </sheetView>
  </sheetViews>
  <sheetFormatPr defaultRowHeight="13.2" x14ac:dyDescent="0.25"/>
  <cols>
    <col min="1" max="1" width="14.109375" style="36" customWidth="1"/>
    <col min="2" max="2" width="14.21875" style="36" customWidth="1"/>
    <col min="3" max="16384" width="8.88671875" style="36"/>
  </cols>
  <sheetData>
    <row r="1" spans="1:2" x14ac:dyDescent="0.25">
      <c r="A1" s="8" t="s">
        <v>33</v>
      </c>
      <c r="B1" s="8" t="s">
        <v>32</v>
      </c>
    </row>
    <row r="2" spans="1:2" x14ac:dyDescent="0.25">
      <c r="A2" s="8" t="s">
        <v>23</v>
      </c>
      <c r="B2" s="8">
        <v>30</v>
      </c>
    </row>
    <row r="3" spans="1:2" x14ac:dyDescent="0.25">
      <c r="A3" s="8" t="s">
        <v>46</v>
      </c>
      <c r="B3" s="8">
        <v>16</v>
      </c>
    </row>
    <row r="4" spans="1:2" x14ac:dyDescent="0.25">
      <c r="A4" s="8" t="s">
        <v>39</v>
      </c>
      <c r="B4" s="8">
        <v>3</v>
      </c>
    </row>
    <row r="5" spans="1:2" x14ac:dyDescent="0.25">
      <c r="A5" s="8" t="s">
        <v>38</v>
      </c>
      <c r="B5" s="8">
        <v>2</v>
      </c>
    </row>
    <row r="6" spans="1:2" x14ac:dyDescent="0.25">
      <c r="A6" s="8" t="s">
        <v>43</v>
      </c>
      <c r="B6" s="8">
        <v>8</v>
      </c>
    </row>
    <row r="7" spans="1:2" x14ac:dyDescent="0.25">
      <c r="A7" s="8" t="s">
        <v>35</v>
      </c>
      <c r="B7" s="8">
        <v>1</v>
      </c>
    </row>
    <row r="8" spans="1:2" x14ac:dyDescent="0.25">
      <c r="A8" s="8" t="s">
        <v>44</v>
      </c>
      <c r="B8" s="8">
        <v>9</v>
      </c>
    </row>
    <row r="9" spans="1:2" x14ac:dyDescent="0.25">
      <c r="A9" s="8" t="s">
        <v>34</v>
      </c>
      <c r="B9" s="8">
        <v>1</v>
      </c>
    </row>
    <row r="10" spans="1:2" x14ac:dyDescent="0.25">
      <c r="A10" s="8" t="s">
        <v>42</v>
      </c>
      <c r="B10" s="8">
        <v>6</v>
      </c>
    </row>
    <row r="11" spans="1:2" x14ac:dyDescent="0.25">
      <c r="A11" s="8" t="s">
        <v>45</v>
      </c>
      <c r="B11" s="8">
        <v>12</v>
      </c>
    </row>
    <row r="12" spans="1:2" x14ac:dyDescent="0.25">
      <c r="A12" s="8" t="s">
        <v>36</v>
      </c>
      <c r="B12" s="8">
        <v>1</v>
      </c>
    </row>
    <row r="13" spans="1:2" x14ac:dyDescent="0.25">
      <c r="A13" s="8" t="s">
        <v>40</v>
      </c>
      <c r="B13" s="8">
        <v>3</v>
      </c>
    </row>
    <row r="14" spans="1:2" x14ac:dyDescent="0.25">
      <c r="A14" s="8" t="s">
        <v>37</v>
      </c>
      <c r="B14" s="8">
        <v>1</v>
      </c>
    </row>
    <row r="15" spans="1:2" x14ac:dyDescent="0.25">
      <c r="A15" s="8" t="s">
        <v>41</v>
      </c>
      <c r="B15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2026-02-19T10:12:15Z</dcterms:created>
  <dcterms:modified xsi:type="dcterms:W3CDTF">2026-02-19T13:02:09Z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2026-02-19T00:00:00Z</vt:filetime>
  </property>
  <property fmtid="{D5CDD505-2E9C-101B-9397-08002B2CF9AE}" pid="3" name="LastSaved">
    <vt:filetime>2026-02-19T00:00:00Z</vt:filetime>
  </property>
</Properties>
</file>