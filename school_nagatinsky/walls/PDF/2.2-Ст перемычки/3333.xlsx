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wnloads\"/>
    </mc:Choice>
  </mc:AlternateContent>
  <bookViews>
    <workbookView xWindow="120" yWindow="12" windowWidth="18960" windowHeight="11328"/>
  </bookViews>
  <sheets>
    <sheet name="Table 2" sheetId="2" r:id="rId1"/>
  </sheets>
  <calcPr calcId="152511"/>
</workbook>
</file>

<file path=xl/calcChain.xml><?xml version="1.0" encoding="utf-8"?>
<calcChain xmlns="http://schemas.openxmlformats.org/spreadsheetml/2006/main">
  <c r="J20" i="2" l="1"/>
  <c r="I20" i="2"/>
  <c r="J11" i="2"/>
  <c r="J19" i="2" s="1"/>
  <c r="J12" i="2"/>
  <c r="J13" i="2"/>
  <c r="J14" i="2"/>
  <c r="J15" i="2"/>
  <c r="J16" i="2"/>
  <c r="J17" i="2"/>
  <c r="J18" i="2"/>
  <c r="I12" i="2"/>
  <c r="I13" i="2"/>
  <c r="I14" i="2"/>
  <c r="I15" i="2"/>
  <c r="I16" i="2"/>
  <c r="I17" i="2"/>
  <c r="I18" i="2"/>
  <c r="I19" i="2"/>
  <c r="I11" i="2"/>
</calcChain>
</file>

<file path=xl/sharedStrings.xml><?xml version="1.0" encoding="utf-8"?>
<sst xmlns="http://schemas.openxmlformats.org/spreadsheetml/2006/main" count="24" uniqueCount="22">
  <si>
    <r>
      <rPr>
        <i/>
        <sz val="11"/>
        <rFont val="ISOCPEUR"/>
        <family val="2"/>
      </rPr>
      <t>ГОСТ 8509-93</t>
    </r>
  </si>
  <si>
    <r>
      <rPr>
        <i/>
        <sz val="13"/>
        <rFont val="ISOCPEUR"/>
        <family val="2"/>
      </rPr>
      <t>Поз.</t>
    </r>
  </si>
  <si>
    <r>
      <rPr>
        <i/>
        <sz val="13"/>
        <rFont val="ISOCPEUR"/>
        <family val="2"/>
      </rPr>
      <t>Обозначение</t>
    </r>
  </si>
  <si>
    <r>
      <rPr>
        <i/>
        <sz val="13"/>
        <rFont val="ISOCPEUR"/>
        <family val="2"/>
      </rPr>
      <t>Наименование</t>
    </r>
  </si>
  <si>
    <r>
      <rPr>
        <i/>
        <sz val="11"/>
        <rFont val="ISOCPEUR"/>
        <family val="2"/>
      </rPr>
      <t>Длина L, мм</t>
    </r>
  </si>
  <si>
    <r>
      <rPr>
        <i/>
        <sz val="11"/>
        <rFont val="ISOCPEUR"/>
        <family val="2"/>
      </rPr>
      <t>Масса ед. кг.</t>
    </r>
  </si>
  <si>
    <r>
      <rPr>
        <i/>
        <sz val="11"/>
        <rFont val="ISOCPEUR"/>
        <family val="2"/>
      </rPr>
      <t>Кол-во шт всего</t>
    </r>
  </si>
  <si>
    <r>
      <rPr>
        <i/>
        <sz val="11"/>
        <rFont val="ISOCPEUR"/>
        <family val="2"/>
      </rPr>
      <t>Масса всего, кг.</t>
    </r>
  </si>
  <si>
    <r>
      <rPr>
        <i/>
        <sz val="16"/>
        <rFont val="ISOCPEUR"/>
        <family val="2"/>
      </rPr>
      <t>Марка стали</t>
    </r>
  </si>
  <si>
    <r>
      <rPr>
        <i/>
        <sz val="11"/>
        <rFont val="ISOCPEUR"/>
        <family val="2"/>
      </rPr>
      <t>Уголок 100х63х6</t>
    </r>
  </si>
  <si>
    <r>
      <rPr>
        <i/>
        <sz val="11"/>
        <rFont val="ISOCPEUR"/>
        <family val="2"/>
      </rPr>
      <t>Уголок 80х7</t>
    </r>
  </si>
  <si>
    <r>
      <rPr>
        <i/>
        <sz val="11"/>
        <rFont val="ISOCPEUR"/>
        <family val="2"/>
      </rPr>
      <t>СТО 36554501-048-2016*</t>
    </r>
  </si>
  <si>
    <r>
      <rPr>
        <i/>
        <sz val="11"/>
        <rFont val="ISOCPEUR"/>
        <family val="2"/>
      </rPr>
      <t>Клиновой анкер MKT B 8-10-19/75</t>
    </r>
  </si>
  <si>
    <r>
      <rPr>
        <i/>
        <sz val="15.5"/>
        <rFont val="ISOCPEUR"/>
        <family val="2"/>
      </rPr>
      <t>Спецификация элементов стальных перемычек 1-го этажа</t>
    </r>
  </si>
  <si>
    <r>
      <rPr>
        <i/>
        <sz val="11"/>
        <rFont val="ISOCPEUR"/>
        <family val="2"/>
      </rPr>
      <t>ГОСТ 103-2006</t>
    </r>
  </si>
  <si>
    <r>
      <rPr>
        <i/>
        <sz val="11"/>
        <rFont val="ISOCPEUR"/>
        <family val="2"/>
      </rPr>
      <t>Пластина 50х4</t>
    </r>
  </si>
  <si>
    <r>
      <rPr>
        <i/>
        <sz val="11"/>
        <rFont val="ISOCPEUR"/>
        <family val="2"/>
      </rPr>
      <t>Уголок 63х6</t>
    </r>
  </si>
  <si>
    <r>
      <rPr>
        <i/>
        <sz val="11"/>
        <rFont val="ISOCPEUR"/>
        <family val="2"/>
      </rPr>
      <t>Пл1</t>
    </r>
  </si>
  <si>
    <r>
      <rPr>
        <i/>
        <sz val="11"/>
        <rFont val="ISOCPEUR"/>
        <family val="2"/>
      </rPr>
      <t>У2</t>
    </r>
  </si>
  <si>
    <r>
      <rPr>
        <i/>
        <sz val="11"/>
        <rFont val="ISOCPEUR"/>
        <family val="2"/>
      </rPr>
      <t>У3</t>
    </r>
  </si>
  <si>
    <t>Г4</t>
  </si>
  <si>
    <t>К1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</si>
</sst>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10" x14ac:knownFonts="1">
    <font>
      <sz val="10"/>
      <color rgb="FF000000"/>
      <name val="Times New Roman"/>
      <charset val="204"/>
    </font>
    <font>
      <i/>
      <sz val="15.5"/>
      <name val="ISOCPEUR"/>
      <family val="2"/>
      <charset val="204"/>
    </font>
    <font>
      <i/>
      <sz val="13"/>
      <name val="ISOCPEUR"/>
      <family val="2"/>
      <charset val="204"/>
    </font>
    <font>
      <i/>
      <sz val="11"/>
      <color rgb="FF000000"/>
      <name val="ISOCPEUR"/>
      <family val="2"/>
    </font>
    <font>
      <i/>
      <sz val="11"/>
      <name val="ISOCPEUR"/>
      <family val="2"/>
      <charset val="204"/>
    </font>
    <font>
      <i/>
      <sz val="15.5"/>
      <name val="ISOCPEUR"/>
      <family val="2"/>
    </font>
    <font>
      <i/>
      <sz val="16"/>
      <name val="ISOCPEUR"/>
      <family val="2"/>
    </font>
    <font>
      <i/>
      <sz val="11"/>
      <name val="ISOCPEUR"/>
      <family val="2"/>
    </font>
    <font>
      <i/>
      <sz val="13"/>
      <name val="ISOCPEUR"/>
      <family val="2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 indent="2"/>
    </xf>
    <xf numFmtId="1" fontId="3" fillId="0" borderId="2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Fill="1" applyBorder="1" applyAlignment="1">
      <alignment horizontal="center" vertical="top" shrinkToFit="1"/>
    </xf>
    <xf numFmtId="166" fontId="3" fillId="0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left" vertical="top" wrapText="1" indent="1"/>
    </xf>
    <xf numFmtId="0" fontId="4" fillId="0" borderId="4" xfId="0" applyFont="1" applyFill="1" applyBorder="1" applyAlignment="1">
      <alignment horizontal="left" vertical="top" wrapText="1" indent="1"/>
    </xf>
    <xf numFmtId="0" fontId="9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="55" zoomScaleNormal="55" workbookViewId="0">
      <selection activeCell="F11" sqref="F11"/>
    </sheetView>
  </sheetViews>
  <sheetFormatPr defaultRowHeight="13.2" x14ac:dyDescent="0.25"/>
  <cols>
    <col min="1" max="1" width="12.88671875" customWidth="1"/>
    <col min="2" max="2" width="29.77734375" customWidth="1"/>
    <col min="3" max="3" width="19.77734375" customWidth="1"/>
    <col min="4" max="4" width="12.88671875" customWidth="1"/>
    <col min="5" max="6" width="13.109375" customWidth="1"/>
    <col min="7" max="7" width="16.6640625" customWidth="1"/>
    <col min="8" max="8" width="16.21875" customWidth="1"/>
    <col min="9" max="9" width="6.5546875" customWidth="1"/>
  </cols>
  <sheetData>
    <row r="1" spans="1:10" ht="30" customHeight="1" x14ac:dyDescent="0.25">
      <c r="A1" s="11" t="s">
        <v>13</v>
      </c>
      <c r="B1" s="11"/>
      <c r="C1" s="11"/>
      <c r="D1" s="11"/>
      <c r="E1" s="11"/>
      <c r="F1" s="11"/>
      <c r="G1" s="11"/>
      <c r="H1" s="12"/>
      <c r="I1" s="1"/>
    </row>
    <row r="2" spans="1:10" ht="43.05" customHeight="1" x14ac:dyDescent="0.25">
      <c r="A2" s="2" t="s">
        <v>1</v>
      </c>
      <c r="B2" s="2" t="s">
        <v>2</v>
      </c>
      <c r="C2" s="2" t="s">
        <v>3</v>
      </c>
      <c r="D2" s="9" t="s">
        <v>4</v>
      </c>
      <c r="E2" s="9" t="s">
        <v>5</v>
      </c>
      <c r="F2" s="3" t="s">
        <v>6</v>
      </c>
      <c r="G2" s="9" t="s">
        <v>7</v>
      </c>
      <c r="H2" s="4" t="s">
        <v>8</v>
      </c>
      <c r="I2" s="15" t="s">
        <v>20</v>
      </c>
      <c r="J2" s="16" t="s">
        <v>21</v>
      </c>
    </row>
    <row r="3" spans="1:10" ht="22.95" customHeight="1" x14ac:dyDescent="0.25">
      <c r="A3" s="5"/>
      <c r="B3" s="10"/>
      <c r="C3" s="10" t="s">
        <v>16</v>
      </c>
      <c r="D3" s="5">
        <v>1605.3846153846155</v>
      </c>
      <c r="E3" s="5">
        <v>9.1838461538461527</v>
      </c>
      <c r="F3" s="5">
        <v>68</v>
      </c>
      <c r="G3" s="6">
        <v>624.50153846153842</v>
      </c>
      <c r="H3" s="8"/>
      <c r="I3" s="1">
        <v>2</v>
      </c>
    </row>
    <row r="4" spans="1:10" ht="22.05" customHeight="1" x14ac:dyDescent="0.25">
      <c r="A4" s="5"/>
      <c r="B4" s="10"/>
      <c r="C4" s="10" t="s">
        <v>9</v>
      </c>
      <c r="D4" s="5">
        <v>1345.4545454545455</v>
      </c>
      <c r="E4" s="5">
        <v>10.130909090909091</v>
      </c>
      <c r="F4" s="5">
        <v>84</v>
      </c>
      <c r="G4" s="6">
        <v>850.99636363636364</v>
      </c>
      <c r="H4" s="8"/>
      <c r="I4" s="1"/>
      <c r="J4">
        <v>1</v>
      </c>
    </row>
    <row r="5" spans="1:10" ht="22.95" customHeight="1" x14ac:dyDescent="0.25">
      <c r="A5" s="10" t="s">
        <v>17</v>
      </c>
      <c r="B5" s="10" t="s">
        <v>14</v>
      </c>
      <c r="C5" s="10" t="s">
        <v>15</v>
      </c>
      <c r="D5" s="5">
        <v>200</v>
      </c>
      <c r="E5" s="6">
        <v>0.31</v>
      </c>
      <c r="F5" s="5">
        <v>203</v>
      </c>
      <c r="G5" s="6">
        <v>62.93</v>
      </c>
      <c r="H5" s="8"/>
      <c r="I5" s="1">
        <v>4</v>
      </c>
    </row>
    <row r="6" spans="1:10" ht="22.05" customHeight="1" x14ac:dyDescent="0.25">
      <c r="A6" s="10" t="s">
        <v>18</v>
      </c>
      <c r="B6" s="10" t="s">
        <v>0</v>
      </c>
      <c r="C6" s="10" t="s">
        <v>10</v>
      </c>
      <c r="D6" s="5">
        <v>120</v>
      </c>
      <c r="E6" s="6">
        <v>1.02</v>
      </c>
      <c r="F6" s="5">
        <v>51</v>
      </c>
      <c r="G6" s="6">
        <v>52.02</v>
      </c>
      <c r="H6" s="8"/>
      <c r="I6" s="1"/>
      <c r="J6" s="16">
        <v>2</v>
      </c>
    </row>
    <row r="7" spans="1:10" ht="22.95" customHeight="1" x14ac:dyDescent="0.25">
      <c r="A7" s="10" t="s">
        <v>19</v>
      </c>
      <c r="B7" s="10" t="s">
        <v>0</v>
      </c>
      <c r="C7" s="10" t="s">
        <v>10</v>
      </c>
      <c r="D7" s="5">
        <v>200</v>
      </c>
      <c r="E7" s="7">
        <v>1.7</v>
      </c>
      <c r="F7" s="5">
        <v>78</v>
      </c>
      <c r="G7" s="7">
        <v>132.6</v>
      </c>
      <c r="H7" s="8"/>
      <c r="I7" s="1">
        <v>1</v>
      </c>
    </row>
    <row r="8" spans="1:10" ht="24" customHeight="1" x14ac:dyDescent="0.25">
      <c r="A8" s="8"/>
      <c r="B8" s="10" t="s">
        <v>11</v>
      </c>
      <c r="C8" s="13" t="s">
        <v>12</v>
      </c>
      <c r="D8" s="14"/>
      <c r="E8" s="8"/>
      <c r="F8" s="5">
        <v>13</v>
      </c>
      <c r="G8" s="8"/>
      <c r="H8" s="8"/>
      <c r="I8" s="1"/>
    </row>
    <row r="11" spans="1:10" x14ac:dyDescent="0.25">
      <c r="I11">
        <f>I3*$E3</f>
        <v>18.367692307692305</v>
      </c>
      <c r="J11">
        <f>J3*$E3</f>
        <v>0</v>
      </c>
    </row>
    <row r="12" spans="1:10" x14ac:dyDescent="0.25">
      <c r="I12">
        <f t="shared" ref="I12:J20" si="0">I4*$E4</f>
        <v>0</v>
      </c>
      <c r="J12">
        <f t="shared" si="0"/>
        <v>10.130909090909091</v>
      </c>
    </row>
    <row r="13" spans="1:10" x14ac:dyDescent="0.25">
      <c r="I13">
        <f t="shared" si="0"/>
        <v>1.24</v>
      </c>
      <c r="J13">
        <f t="shared" si="0"/>
        <v>0</v>
      </c>
    </row>
    <row r="14" spans="1:10" x14ac:dyDescent="0.25">
      <c r="I14">
        <f t="shared" si="0"/>
        <v>0</v>
      </c>
      <c r="J14">
        <f t="shared" si="0"/>
        <v>2.04</v>
      </c>
    </row>
    <row r="15" spans="1:10" x14ac:dyDescent="0.25">
      <c r="I15">
        <f t="shared" si="0"/>
        <v>1.7</v>
      </c>
      <c r="J15">
        <f t="shared" si="0"/>
        <v>0</v>
      </c>
    </row>
    <row r="16" spans="1:10" x14ac:dyDescent="0.25">
      <c r="I16">
        <f t="shared" si="0"/>
        <v>0</v>
      </c>
      <c r="J16">
        <f t="shared" si="0"/>
        <v>0</v>
      </c>
    </row>
    <row r="17" spans="9:10" x14ac:dyDescent="0.25">
      <c r="I17">
        <f t="shared" si="0"/>
        <v>0</v>
      </c>
      <c r="J17">
        <f t="shared" si="0"/>
        <v>0</v>
      </c>
    </row>
    <row r="18" spans="9:10" x14ac:dyDescent="0.25">
      <c r="I18">
        <f t="shared" si="0"/>
        <v>0</v>
      </c>
      <c r="J18">
        <f t="shared" si="0"/>
        <v>0</v>
      </c>
    </row>
    <row r="19" spans="9:10" x14ac:dyDescent="0.25">
      <c r="I19">
        <f t="shared" si="0"/>
        <v>0</v>
      </c>
      <c r="J19">
        <f t="shared" si="0"/>
        <v>0</v>
      </c>
    </row>
    <row r="20" spans="9:10" x14ac:dyDescent="0.25">
      <c r="I20">
        <f>SUM(I11:I19)</f>
        <v>21.307692307692303</v>
      </c>
      <c r="J20">
        <f>SUM(J11:J19)</f>
        <v>12.170909090909092</v>
      </c>
    </row>
  </sheetData>
  <mergeCells count="2">
    <mergeCell ref="A1:H1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Linux</cp:lastModifiedBy>
  <dcterms:created xsi:type="dcterms:W3CDTF">2026-02-19T12:01:14Z</dcterms:created>
  <dcterms:modified xsi:type="dcterms:W3CDTF">2026-02-19T12:51:53Z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2026-02-19T00:00:00Z</vt:filetime>
  </property>
  <property fmtid="{D5CDD505-2E9C-101B-9397-08002B2CF9AE}" pid="3" name="LastSaved">
    <vt:filetime>2026-02-19T00:00:00Z</vt:filetime>
  </property>
</Properties>
</file>