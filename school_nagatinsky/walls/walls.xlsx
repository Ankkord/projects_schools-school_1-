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16" firstSheet="2" activeTab="5"/>
  </bookViews>
  <sheets>
    <sheet name="4.2ЧНП25в3.1" sheetId="53" r:id="rId1"/>
    <sheet name="4.1ЧНП25" sheetId="46" r:id="rId2"/>
    <sheet name="КП" sheetId="1" r:id="rId3"/>
    <sheet name="Ведомость" sheetId="21" r:id="rId4"/>
    <sheet name="3.5Шт4в" sheetId="61" r:id="rId5"/>
    <sheet name="3.5Шт4вВед" sheetId="63" r:id="rId6"/>
    <sheet name="3.4.1Шт3.1в" sheetId="54" r:id="rId7"/>
    <sheet name="темп" sheetId="55" r:id="rId8"/>
    <sheet name="3.10ШтПдв4в" sheetId="60" r:id="rId9"/>
    <sheet name="3.3Шт3.1в" sheetId="52" r:id="rId10"/>
    <sheet name="3.2Шт3в" sheetId="45" r:id="rId11"/>
    <sheet name="3.2.1Шт" sheetId="44" r:id="rId12"/>
    <sheet name="1.12Крп4в" sheetId="57" r:id="rId13"/>
    <sheet name="1.11КрпКрвл4в" sheetId="56" r:id="rId14"/>
    <sheet name="1.10КрпКрвл3.1в" sheetId="51" r:id="rId15"/>
    <sheet name="1.9КирпКровля3вып" sheetId="43" r:id="rId16"/>
    <sheet name="1.8КирпПодвал3вып" sheetId="42" r:id="rId17"/>
    <sheet name="1.7Кирп3вып" sheetId="40" r:id="rId18"/>
    <sheet name="1.31Блк4в" sheetId="58" r:id="rId19"/>
    <sheet name="1.30Блок3.1в" sheetId="50" r:id="rId20"/>
    <sheet name="1.20-Блок3.1в" sheetId="49" r:id="rId21"/>
    <sheet name="1.6Блок3вып" sheetId="41" r:id="rId22"/>
    <sheet name="1.4-Бл" sheetId="18" r:id="rId23"/>
    <sheet name="1.40ПГП3в" sheetId="59" r:id="rId24"/>
    <sheet name="1.5-ПГП 3 вып" sheetId="39" r:id="rId25"/>
    <sheet name="2.9-Фар3.1в" sheetId="48" r:id="rId26"/>
    <sheet name="2.7-Фар 3 вып" sheetId="38" r:id="rId27"/>
    <sheet name="2.4-Ст" sheetId="13" r:id="rId28"/>
    <sheet name="2.3-Ст" sheetId="14" r:id="rId29"/>
    <sheet name="2.1-Ст" sheetId="8" r:id="rId30"/>
    <sheet name="2.8-Пер3.1в" sheetId="47" r:id="rId31"/>
    <sheet name="2.6-Пер 3 вып" sheetId="37" r:id="rId32"/>
    <sheet name="1.1-Ст" sheetId="3" state="hidden" r:id="rId33"/>
    <sheet name="1.2-Ст" sheetId="6" state="hidden" r:id="rId34"/>
    <sheet name="1.3-Кирп" sheetId="17" state="hidden" r:id="rId35"/>
    <sheet name="2.6-Пер -1" sheetId="16" r:id="rId36"/>
    <sheet name="2.2-Пер2" sheetId="12" r:id="rId37"/>
    <sheet name="Лист2" sheetId="15" r:id="rId38"/>
    <sheet name="2.2-Пер" sheetId="10" state="hidden" r:id="rId39"/>
    <sheet name="3-Ст" sheetId="4" state="hidden" r:id="rId40"/>
    <sheet name="3.1-Шт" sheetId="26" r:id="rId41"/>
    <sheet name="3.1.1" sheetId="34" r:id="rId42"/>
    <sheet name="3.2-Шт Оста" sheetId="35" r:id="rId43"/>
    <sheet name="3.2.1 Ост" sheetId="36" r:id="rId44"/>
    <sheet name="3.1.2-Шт1э1с" sheetId="25" state="hidden" r:id="rId45"/>
    <sheet name="3.1.3-Шт1э3с" sheetId="27" state="hidden" r:id="rId46"/>
    <sheet name="3.1.4-Шт2э1с" sheetId="28" state="hidden" r:id="rId47"/>
    <sheet name="3.1.5-Шт2э3с" sheetId="29" state="hidden" r:id="rId48"/>
    <sheet name="3.1.6-Шт3э1с" sheetId="31" state="hidden" r:id="rId49"/>
    <sheet name="3.1.7-Шт3э3с" sheetId="32" state="hidden" r:id="rId50"/>
    <sheet name="3.1.8-Шт4э3с" sheetId="33" state="hidden" r:id="rId51"/>
  </sheets>
  <definedNames>
    <definedName name="_xlnm._FilterDatabase" localSheetId="14" hidden="1">'1.10КрпКрвл3.1в'!$A$4:$A$11</definedName>
    <definedName name="_xlnm._FilterDatabase" localSheetId="13" hidden="1">'1.11КрпКрвл4в'!$A$4:$A$9</definedName>
    <definedName name="_xlnm._FilterDatabase" localSheetId="15" hidden="1">'1.9КирпКровля3вып'!$A$4:$A$10</definedName>
  </definedNames>
  <calcPr calcId="152511"/>
  <fileRecoveryPr autoRecover="0"/>
</workbook>
</file>

<file path=xl/calcChain.xml><?xml version="1.0" encoding="utf-8"?>
<calcChain xmlns="http://schemas.openxmlformats.org/spreadsheetml/2006/main">
  <c r="D204" i="63" l="1"/>
  <c r="D206" i="63"/>
  <c r="D207" i="63"/>
  <c r="D208" i="63"/>
  <c r="D209" i="63"/>
  <c r="D210" i="63"/>
  <c r="D211" i="63"/>
  <c r="D212" i="63"/>
  <c r="D213" i="63"/>
  <c r="D215" i="63"/>
  <c r="D216" i="63"/>
  <c r="D218" i="63"/>
  <c r="D220" i="63"/>
  <c r="D221" i="63"/>
  <c r="D222" i="63"/>
  <c r="D224" i="63"/>
  <c r="D225" i="63"/>
  <c r="D227" i="63"/>
  <c r="D229" i="63"/>
  <c r="D231" i="63"/>
  <c r="D232" i="63"/>
  <c r="D234" i="63"/>
  <c r="D236" i="63"/>
  <c r="D237" i="63"/>
  <c r="D238" i="63"/>
  <c r="D240" i="63"/>
  <c r="D241" i="63"/>
  <c r="D242" i="63"/>
  <c r="D243" i="63"/>
  <c r="D244" i="63"/>
  <c r="D245" i="63"/>
  <c r="D246" i="63"/>
  <c r="D248" i="63"/>
  <c r="D249" i="63"/>
  <c r="D251" i="63"/>
  <c r="D253" i="63"/>
  <c r="D254" i="63"/>
  <c r="D255" i="63"/>
  <c r="D257" i="63"/>
  <c r="D258" i="63"/>
  <c r="D260" i="63"/>
  <c r="D262" i="63"/>
  <c r="D263" i="63"/>
  <c r="D265" i="63"/>
  <c r="D71" i="61" l="1"/>
  <c r="D266" i="63"/>
  <c r="E59" i="63"/>
  <c r="E60" i="63"/>
  <c r="E10" i="63"/>
  <c r="E11" i="63"/>
  <c r="E12" i="63"/>
  <c r="E13" i="63"/>
  <c r="E14" i="63"/>
  <c r="E15" i="63"/>
  <c r="E16" i="63"/>
  <c r="E17" i="63"/>
  <c r="E18" i="63"/>
  <c r="E19" i="63"/>
  <c r="E20" i="63"/>
  <c r="E21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I6" i="63"/>
  <c r="I5" i="63"/>
  <c r="I4" i="63"/>
  <c r="I3" i="63"/>
  <c r="E9" i="63"/>
  <c r="E200" i="63"/>
  <c r="C200" i="63"/>
  <c r="E61" i="63" l="1"/>
  <c r="I2" i="63"/>
  <c r="I7" i="63"/>
  <c r="H6" i="61"/>
  <c r="H5" i="61"/>
  <c r="H4" i="61"/>
  <c r="H3" i="61"/>
  <c r="E10" i="60"/>
  <c r="H7" i="61" l="1"/>
  <c r="H2" i="61"/>
  <c r="I2" i="60" l="1"/>
  <c r="I3" i="60" s="1"/>
  <c r="D3" i="59" l="1"/>
  <c r="D6" i="59"/>
  <c r="D3" i="58" l="1"/>
  <c r="D7" i="58"/>
  <c r="D5" i="57"/>
  <c r="D8" i="58" l="1"/>
  <c r="D8" i="57"/>
  <c r="D6" i="56" l="1"/>
  <c r="D8" i="56"/>
  <c r="D9" i="56"/>
  <c r="D7" i="56"/>
  <c r="D5" i="56"/>
  <c r="D4" i="56"/>
  <c r="D10" i="56" l="1"/>
  <c r="D4" i="49"/>
  <c r="D3" i="49"/>
  <c r="E281" i="54" l="1"/>
  <c r="E26" i="55" l="1"/>
  <c r="I8" i="55"/>
  <c r="I7" i="55"/>
  <c r="I6" i="55"/>
  <c r="I5" i="55"/>
  <c r="I4" i="55"/>
  <c r="I3" i="55"/>
  <c r="I2" i="55" l="1"/>
  <c r="I9" i="55"/>
  <c r="I6" i="54"/>
  <c r="I5" i="54"/>
  <c r="I4" i="54"/>
  <c r="I3" i="54"/>
  <c r="I7" i="54" l="1"/>
  <c r="I2" i="54"/>
  <c r="F2" i="53"/>
  <c r="E4" i="52" l="1"/>
  <c r="E3" i="52"/>
  <c r="D11" i="51"/>
  <c r="D10" i="51"/>
  <c r="D9" i="51"/>
  <c r="D8" i="51"/>
  <c r="D7" i="51"/>
  <c r="D6" i="51"/>
  <c r="D5" i="51"/>
  <c r="D4" i="51"/>
  <c r="D3" i="50"/>
  <c r="D4" i="50"/>
  <c r="F5" i="48"/>
  <c r="H5" i="48" s="1"/>
  <c r="F8" i="48"/>
  <c r="H8" i="48" s="1"/>
  <c r="F7" i="48"/>
  <c r="H7" i="48" s="1"/>
  <c r="E9" i="48"/>
  <c r="F4" i="48"/>
  <c r="H4" i="48" s="1"/>
  <c r="F3" i="48"/>
  <c r="H3" i="48" s="1"/>
  <c r="F3" i="47"/>
  <c r="H3" i="47" s="1"/>
  <c r="B13" i="47"/>
  <c r="D13" i="47" s="1"/>
  <c r="B12" i="47"/>
  <c r="D12" i="47" s="1"/>
  <c r="B11" i="47"/>
  <c r="D11" i="47" s="1"/>
  <c r="B10" i="47"/>
  <c r="E7" i="47"/>
  <c r="F6" i="47"/>
  <c r="H6" i="47" s="1"/>
  <c r="F5" i="47"/>
  <c r="H5" i="47" s="1"/>
  <c r="F4" i="47"/>
  <c r="H4" i="47" s="1"/>
  <c r="E2" i="52" l="1"/>
  <c r="E5" i="52"/>
  <c r="D12" i="51"/>
  <c r="D5" i="50"/>
  <c r="H9" i="48"/>
  <c r="B14" i="47"/>
  <c r="H7" i="47"/>
  <c r="D10" i="47"/>
  <c r="D14" i="47" s="1"/>
  <c r="D5" i="40"/>
  <c r="F2" i="46" l="1"/>
  <c r="C6" i="46"/>
  <c r="C5" i="46"/>
  <c r="E2" i="45" l="1"/>
  <c r="E316" i="44"/>
  <c r="E313" i="44"/>
  <c r="E305" i="44"/>
  <c r="E304" i="44"/>
  <c r="E306" i="44"/>
  <c r="E307" i="44"/>
  <c r="E308" i="44"/>
  <c r="E309" i="44"/>
  <c r="E310" i="44"/>
  <c r="E311" i="44"/>
  <c r="E312" i="44"/>
  <c r="E314" i="44"/>
  <c r="E315" i="44"/>
  <c r="E318" i="44"/>
  <c r="E320" i="44"/>
  <c r="E321" i="44"/>
  <c r="E323" i="44"/>
  <c r="E329" i="44"/>
  <c r="E303" i="44"/>
  <c r="E214" i="44"/>
  <c r="E211" i="44"/>
  <c r="E202" i="44"/>
  <c r="E203" i="44"/>
  <c r="E204" i="44"/>
  <c r="E205" i="44"/>
  <c r="E206" i="44"/>
  <c r="E207" i="44"/>
  <c r="E208" i="44"/>
  <c r="E209" i="44"/>
  <c r="E210" i="44"/>
  <c r="E212" i="44"/>
  <c r="E213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01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8" i="45"/>
  <c r="E2" i="35"/>
  <c r="H131" i="44"/>
  <c r="D10" i="43" l="1"/>
  <c r="D9" i="43"/>
  <c r="D8" i="43"/>
  <c r="D7" i="43"/>
  <c r="D6" i="43"/>
  <c r="D5" i="43"/>
  <c r="D4" i="43"/>
  <c r="D11" i="43" l="1"/>
  <c r="D6" i="42" l="1"/>
  <c r="D5" i="42"/>
  <c r="D4" i="42"/>
  <c r="D7" i="42"/>
  <c r="D3" i="40"/>
  <c r="D4" i="40"/>
  <c r="D7" i="40"/>
  <c r="D9" i="40"/>
  <c r="D6" i="40"/>
  <c r="D8" i="40"/>
  <c r="D10" i="40" l="1"/>
  <c r="D7" i="41"/>
  <c r="D6" i="41"/>
  <c r="D5" i="41"/>
  <c r="D4" i="41"/>
  <c r="D3" i="41"/>
  <c r="D3" i="39"/>
  <c r="D8" i="41" l="1"/>
  <c r="D4" i="39"/>
  <c r="F13" i="38"/>
  <c r="H13" i="38" s="1"/>
  <c r="F12" i="38"/>
  <c r="H12" i="38" s="1"/>
  <c r="F10" i="38"/>
  <c r="H10" i="38" s="1"/>
  <c r="E14" i="38"/>
  <c r="F8" i="38"/>
  <c r="H8" i="38" s="1"/>
  <c r="F7" i="38"/>
  <c r="F6" i="38"/>
  <c r="F4" i="38"/>
  <c r="H4" i="38" s="1"/>
  <c r="F3" i="38"/>
  <c r="H3" i="38" s="1"/>
  <c r="H7" i="38"/>
  <c r="H6" i="38"/>
  <c r="B29" i="37"/>
  <c r="D29" i="37" s="1"/>
  <c r="B30" i="37"/>
  <c r="D30" i="37" s="1"/>
  <c r="B31" i="37"/>
  <c r="D31" i="37" s="1"/>
  <c r="B32" i="37"/>
  <c r="D32" i="37" s="1"/>
  <c r="B33" i="37"/>
  <c r="B34" i="37"/>
  <c r="D34" i="37" s="1"/>
  <c r="B35" i="37"/>
  <c r="D35" i="37" s="1"/>
  <c r="B36" i="37"/>
  <c r="D36" i="37" s="1"/>
  <c r="B37" i="37"/>
  <c r="D37" i="37" s="1"/>
  <c r="B28" i="37"/>
  <c r="D28" i="37" s="1"/>
  <c r="C33" i="37"/>
  <c r="F18" i="37"/>
  <c r="H18" i="37" s="1"/>
  <c r="F12" i="37"/>
  <c r="H12" i="37" s="1"/>
  <c r="F3" i="37"/>
  <c r="H3" i="37" s="1"/>
  <c r="F24" i="37"/>
  <c r="H24" i="37" s="1"/>
  <c r="F22" i="37"/>
  <c r="H22" i="37" s="1"/>
  <c r="F21" i="37"/>
  <c r="H21" i="37" s="1"/>
  <c r="F20" i="37"/>
  <c r="H20" i="37" s="1"/>
  <c r="F11" i="37"/>
  <c r="F16" i="37"/>
  <c r="H16" i="37" s="1"/>
  <c r="F15" i="37"/>
  <c r="H15" i="37" s="1"/>
  <c r="F14" i="37"/>
  <c r="H14" i="37" s="1"/>
  <c r="H11" i="37"/>
  <c r="F10" i="37"/>
  <c r="H10" i="37" s="1"/>
  <c r="F8" i="37"/>
  <c r="H8" i="37" s="1"/>
  <c r="F6" i="37"/>
  <c r="H6" i="37" s="1"/>
  <c r="F7" i="37"/>
  <c r="H7" i="37" s="1"/>
  <c r="F5" i="37"/>
  <c r="H5" i="37" s="1"/>
  <c r="E25" i="37"/>
  <c r="H23" i="37"/>
  <c r="H14" i="38" l="1"/>
  <c r="D33" i="37"/>
  <c r="B38" i="37"/>
  <c r="D38" i="37"/>
  <c r="H25" i="37"/>
  <c r="B3" i="36"/>
  <c r="C3" i="36"/>
  <c r="D3" i="36"/>
  <c r="E3" i="36"/>
  <c r="F3" i="36"/>
  <c r="G3" i="36"/>
  <c r="H3" i="36"/>
  <c r="B4" i="36"/>
  <c r="C4" i="36"/>
  <c r="D4" i="36"/>
  <c r="E4" i="36"/>
  <c r="F4" i="36"/>
  <c r="G4" i="36"/>
  <c r="H4" i="36"/>
  <c r="B5" i="36"/>
  <c r="C5" i="36"/>
  <c r="D5" i="36"/>
  <c r="E5" i="36"/>
  <c r="F5" i="36"/>
  <c r="G5" i="36"/>
  <c r="H5" i="36"/>
  <c r="B6" i="36"/>
  <c r="C6" i="36"/>
  <c r="D6" i="36"/>
  <c r="E6" i="36"/>
  <c r="F6" i="36"/>
  <c r="G6" i="36"/>
  <c r="H6" i="36"/>
  <c r="B7" i="36"/>
  <c r="C7" i="36"/>
  <c r="D7" i="36"/>
  <c r="E7" i="36"/>
  <c r="F7" i="36"/>
  <c r="G7" i="36"/>
  <c r="H7" i="36"/>
  <c r="B8" i="36"/>
  <c r="C8" i="36"/>
  <c r="D8" i="36"/>
  <c r="E8" i="36"/>
  <c r="F8" i="36"/>
  <c r="G8" i="36"/>
  <c r="H8" i="36"/>
  <c r="B9" i="36"/>
  <c r="C9" i="36"/>
  <c r="D9" i="36"/>
  <c r="E9" i="36"/>
  <c r="F9" i="36"/>
  <c r="G9" i="36"/>
  <c r="H9" i="36"/>
  <c r="B10" i="36"/>
  <c r="C10" i="36"/>
  <c r="D10" i="36"/>
  <c r="E10" i="36"/>
  <c r="F10" i="36"/>
  <c r="G10" i="36"/>
  <c r="H10" i="36"/>
  <c r="B11" i="36"/>
  <c r="C11" i="36"/>
  <c r="D11" i="36"/>
  <c r="E11" i="36"/>
  <c r="F11" i="36"/>
  <c r="G11" i="36"/>
  <c r="H11" i="36"/>
  <c r="B12" i="36"/>
  <c r="C12" i="36"/>
  <c r="D12" i="36"/>
  <c r="E12" i="36"/>
  <c r="F12" i="36"/>
  <c r="G12" i="36"/>
  <c r="H12" i="36"/>
  <c r="B13" i="36"/>
  <c r="C13" i="36"/>
  <c r="D13" i="36"/>
  <c r="E13" i="36"/>
  <c r="F13" i="36"/>
  <c r="G13" i="36"/>
  <c r="H13" i="36"/>
  <c r="B14" i="36"/>
  <c r="C14" i="36"/>
  <c r="D14" i="36"/>
  <c r="E14" i="36"/>
  <c r="F14" i="36"/>
  <c r="G14" i="36"/>
  <c r="H14" i="36"/>
  <c r="B15" i="36"/>
  <c r="C15" i="36"/>
  <c r="D15" i="36"/>
  <c r="E15" i="36"/>
  <c r="F15" i="36"/>
  <c r="G15" i="36"/>
  <c r="H15" i="36"/>
  <c r="B16" i="36"/>
  <c r="C16" i="36"/>
  <c r="D16" i="36"/>
  <c r="E16" i="36"/>
  <c r="F16" i="36"/>
  <c r="G16" i="36"/>
  <c r="H16" i="36"/>
  <c r="B17" i="36"/>
  <c r="C17" i="36"/>
  <c r="D17" i="36"/>
  <c r="E17" i="36"/>
  <c r="F17" i="36"/>
  <c r="G17" i="36"/>
  <c r="H17" i="36"/>
  <c r="B18" i="36"/>
  <c r="C18" i="36"/>
  <c r="D18" i="36"/>
  <c r="E18" i="36"/>
  <c r="F18" i="36"/>
  <c r="G18" i="36"/>
  <c r="H18" i="36"/>
  <c r="B19" i="36"/>
  <c r="C19" i="36"/>
  <c r="D19" i="36"/>
  <c r="E19" i="36"/>
  <c r="F19" i="36"/>
  <c r="G19" i="36"/>
  <c r="H19" i="36"/>
  <c r="I8" i="36" l="1"/>
  <c r="I6" i="36"/>
  <c r="I10" i="36"/>
  <c r="I4" i="36"/>
  <c r="I7" i="36"/>
  <c r="I5" i="36"/>
  <c r="I11" i="36"/>
  <c r="I13" i="36"/>
  <c r="I15" i="36"/>
  <c r="I19" i="36"/>
  <c r="I12" i="36"/>
  <c r="I9" i="36"/>
  <c r="I17" i="36"/>
  <c r="I3" i="36"/>
  <c r="I14" i="36"/>
  <c r="I16" i="36"/>
  <c r="I18" i="36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3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20" i="36" l="1"/>
  <c r="I16" i="34"/>
  <c r="I12" i="34"/>
  <c r="I6" i="34"/>
  <c r="I11" i="34"/>
  <c r="I13" i="34"/>
  <c r="I4" i="34"/>
  <c r="I5" i="34"/>
  <c r="I7" i="34"/>
  <c r="I15" i="34"/>
  <c r="I3" i="34"/>
  <c r="I14" i="34"/>
  <c r="I8" i="34"/>
  <c r="I9" i="34"/>
  <c r="I10" i="34"/>
  <c r="I10" i="1"/>
  <c r="I16" i="1"/>
  <c r="I25" i="1"/>
  <c r="I35" i="1"/>
  <c r="E5" i="35" l="1"/>
  <c r="E7" i="35"/>
  <c r="E3" i="35"/>
  <c r="E6" i="26"/>
  <c r="E8" i="35"/>
  <c r="E4" i="35"/>
  <c r="E6" i="35"/>
  <c r="E5" i="26"/>
  <c r="I17" i="34"/>
  <c r="E3" i="26"/>
  <c r="E4" i="26"/>
  <c r="F12" i="16"/>
  <c r="H12" i="16" s="1"/>
  <c r="E9" i="35" l="1"/>
  <c r="E7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<sst xmlns="http://schemas.openxmlformats.org/spreadsheetml/2006/main" count="6125" uniqueCount="901">
  <si>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</si>
  <si>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</si>
  <si>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</si>
  <si>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</si>
  <si>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</si>
  <si>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</si>
  <si>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</si>
  <si>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</si>
  <si>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</si>
  <si>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</si>
  <si>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</si>
  <si>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</si>
  <si>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</si>
  <si>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</si>
  <si>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</si>
  <si>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</si>
  <si>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</si>
  <si>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</si>
  <si>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</si>
  <si>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</si>
  <si>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</si>
  <si>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</si>
  <si>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</si>
  <si>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</si>
  <si>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</si>
  <si>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</si>
  <si>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</si>
  <si>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</si>
  <si>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</si>
  <si>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</si>
  <si>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</si>
  <si>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</si>
  <si>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</si>
  <si>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</si>
  <si>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</si>
  <si>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</si>
  <si>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</si>
  <si>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</si>
  <si>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</si>
  <si>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</si>
  <si>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</si>
  <si>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</si>
  <si>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</si>
  <si>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</si>
  <si>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</si>
  <si>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</si>
  <si>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</si>
  <si>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</si>
  <si>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</si>
  <si>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</si>
  <si>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</si>
  <si>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</si>
  <si>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</si>
  <si>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</si>
  <si>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</si>
  <si>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</si>
  <si>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</si>
  <si>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</si>
  <si>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</si>
  <si>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</si>
  <si>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</si>
  <si>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</si>
  <si>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</si>
  <si>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</si>
  <si>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</si>
  <si>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</si>
  <si>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</si>
  <si>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</si>
  <si>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</si>
  <si>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</si>
  <si>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</si>
  <si>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</si>
  <si>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</si>
  <si>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</si>
  <si>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</si>
  <si>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</si>
  <si>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</si>
  <si>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</si>
  <si>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</si>
  <si>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</si>
  <si>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</si>
  <si>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</si>
  <si>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</si>
  <si>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</si>
  <si>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</si>
  <si>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</si>
  <si>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</si>
  <si>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</si>
  <si>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</si>
  <si>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</si>
  <si>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</si>
  <si>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</si>
  <si>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</si>
  <si>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</si>
  <si>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</si>
  <si>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</si>
  <si>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</si>
  <si>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</si>
  <si>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</si>
  <si>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</si>
  <si>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</si>
  <si>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</si>
  <si>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</si>
  <si>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</si>
  <si>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</si>
  <si>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</si>
  <si>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</si>
  <si>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</si>
  <si>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</si>
  <si>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</si>
  <si>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</si>
  <si>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</si>
  <si>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</si>
  <si>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</si>
  <si>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</si>
  <si>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</si>
  <si>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</si>
  <si>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</si>
  <si>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</si>
  <si>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</si>
  <si>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</si>
  <si>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</si>
  <si>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</si>
  <si>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</si>
  <si>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</si>
  <si>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</si>
  <si>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</si>
  <si>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</si>
  <si>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</si>
  <si>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</si>
  <si>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</si>
  <si>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</si>
  <si>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</si>
  <si>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</si>
  <si>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</si>
  <si>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</si>
  <si>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</si>
  <si>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</si>
  <si>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</si>
  <si>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</si>
  <si>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</si>
  <si>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</si>
  <si>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</si>
  <si>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</si>
  <si>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</si>
  <si>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</si>
  <si>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</si>
  <si>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</si>
  <si>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</si>
  <si>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</si>
  <si>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</si>
  <si>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</si>
  <si>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</si>
  <si>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</si>
  <si>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</si>
  <si>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</si>
  <si>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</si>
  <si>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</si>
  <si>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</si>
  <si>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</si>
  <si>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</si>
  <si>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</si>
  <si>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</si>
  <si>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</si>
  <si>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</si>
  <si>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</si>
  <si>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</si>
  <si>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</si>
  <si>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</si>
  <si>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</si>
  <si>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</si>
  <si>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</si>
  <si>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</si>
  <si>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</si>
  <si>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</si>
  <si>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</si>
  <si>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</si>
  <si>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</si>
  <si>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</si>
  <si>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</si>
  <si>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</si>
  <si>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</si>
  <si>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</si>
  <si>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</si>
  <si>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</si>
  <si>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</si>
  <si>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</si>
  <si>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</si>
  <si>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</si>
  <si>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</si>
  <si>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</si>
  <si>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</si>
  <si>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</si>
  <si>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</si>
  <si>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</si>
  <si>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</si>
  <si>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</si>
  <si>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</si>
  <si>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</si>
  <si>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</si>
  <si>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</si>
  <si>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</si>
  <si>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</si>
  <si>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</si>
  <si>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</si>
  <si>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</si>
  <si>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</si>
  <si>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</si>
  <si>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</si>
  <si>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</si>
  <si>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</si>
  <si>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</si>
  <si>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</si>
  <si>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</si>
  <si>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</si>
  <si>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</si>
  <si>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</si>
  <si>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</si>
  <si>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</si>
  <si>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</si>
  <si>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</si>
  <si>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</si>
  <si>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</si>
  <si>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</si>
  <si>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</si>
  <si>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</si>
  <si>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</si>
  <si>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</si>
  <si>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</si>
  <si>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</si>
  <si>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</si>
  <si>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</si>
  <si>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</si>
  <si>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</si>
  <si>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</si>
  <si>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</si>
  <si>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</si>
  <si>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</si>
  <si>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</si>
  <si>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</si>
  <si>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</si>
  <si>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</si>
  <si>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</si>
  <si>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</si>
  <si>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</si>
  <si>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</si>
  <si>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</si>
  <si>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</si>
  <si>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</si>
  <si>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</si>
  <si>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</si>
  <si>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</si>
  <si>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</si>
  <si>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</si>
  <si>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</si>
  <si>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</si>
  <si>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</si>
  <si>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</si>
  <si>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</si>
  <si>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</si>
  <si>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</si>
  <si>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</si>
  <si>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</si>
  <si>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</si>
  <si>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</si>
  <si>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</si>
  <si>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</si>
  <si>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</si>
  <si>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</si>
  <si>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</si>
  <si>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</si>
  <si>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</si>
  <si>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</si>
  <si>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</si>
  <si>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</si>
  <si>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</si>
  <si>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</si>
  <si>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</si>
  <si>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</si>
  <si>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</si>
  <si>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</si>
  <si>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</si>
  <si>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</si>
  <si>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</si>
  <si>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</si>
  <si>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</si>
  <si>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</si>
  <si>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</si>
  <si>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</si>
  <si>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</si>
  <si>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</si>
  <si>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</si>
  <si>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</si>
  <si>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</si>
  <si>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</si>
  <si>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</si>
  <si>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</si>
  <si>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</si>
  <si>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</si>
  <si>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</si>
  <si>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</si>
  <si>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</si>
  <si>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</si>
  <si>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</si>
  <si>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</si>
  <si>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</si>
  <si>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</si>
  <si>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</si>
  <si>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</si>
  <si>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</si>
  <si>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</si>
  <si>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</si>
  <si>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</si>
  <si>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</si>
  <si>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</si>
  <si>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</si>
  <si>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</si>
  <si>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</si>
  <si>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</si>
  <si>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</si>
  <si>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</si>
  <si>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</si>
  <si>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</si>
  <si>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</si>
  <si>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</si>
  <si>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</si>
  <si>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</si>
  <si>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</si>
  <si>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</si>
  <si>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</si>
  <si>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</si>
  <si>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</si>
  <si>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</si>
  <si>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</si>
  <si>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</si>
  <si>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</si>
  <si>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</si>
  <si>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</si>
  <si>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</si>
  <si>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</si>
  <si>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</si>
  <si>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</si>
  <si>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</si>
  <si>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</si>
  <si>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</si>
  <si>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</si>
  <si>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</si>
  <si>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</si>
  <si>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</si>
  <si>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</si>
  <si>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</si>
  <si>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</si>
  <si>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</si>
  <si>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</si>
  <si>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</si>
  <si>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</si>
  <si>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</si>
  <si>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</si>
  <si>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</si>
  <si>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</si>
  <si>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</si>
  <si>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</si>
  <si>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</si>
  <si>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</si>
  <si>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</si>
  <si>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</si>
  <si>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</si>
  <si>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</si>
  <si>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</si>
  <si>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</si>
  <si>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</si>
  <si>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</si>
  <si>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</si>
  <si>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</si>
  <si>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</si>
  <si>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</si>
  <si>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</si>
  <si>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</si>
  <si>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</si>
  <si>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</si>
  <si>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</si>
  <si>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</si>
  <si>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</si>
  <si>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</si>
  <si>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</si>
  <si>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</si>
  <si>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</si>
  <si>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</si>
  <si>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</si>
  <si>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</si>
  <si>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</si>
  <si>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</si>
  <si>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</si>
  <si>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</si>
  <si>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</si>
  <si>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</si>
  <si>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</si>
  <si>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</si>
  <si>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</si>
  <si>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</si>
  <si>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</si>
  <si>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</si>
  <si>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</si>
  <si>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</si>
  <si>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</si>
  <si>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</si>
  <si>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</si>
  <si>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</si>
  <si>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</si>
  <si>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</si>
  <si>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</si>
  <si>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</si>
  <si>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</si>
  <si>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</si>
  <si>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</si>
  <si>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</si>
  <si>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</si>
  <si>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</si>
  <si>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</si>
  <si>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</si>
  <si>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</si>
  <si>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</si>
  <si>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</si>
  <si>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</si>
  <si>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</si>
  <si>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</si>
  <si>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</si>
  <si>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</si>
  <si>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</si>
  <si>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</si>
  <si>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</si>
  <si>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</si>
  <si>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</si>
  <si>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</si>
  <si>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</si>
  <si>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</si>
  <si>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</si>
  <si>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</si>
  <si>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</si>
  <si>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</si>
  <si>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</si>
  <si>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</si>
  <si>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</si>
  <si>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</si>
  <si>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</si>
  <si>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</si>
  <si>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</si>
  <si>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</si>
  <si>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</si>
  <si>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</si>
  <si>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</si>
  <si>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</si>
  <si>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</si>
  <si>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</si>
  <si>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</si>
  <si>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</si>
  <si>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</si>
  <si>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</si>
  <si>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</si>
  <si>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</si>
  <si>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</si>
  <si>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</si>
  <si>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</si>
  <si>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</si>
  <si>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</si>
  <si>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</si>
  <si>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</si>
  <si>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</si>
  <si>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</si>
  <si>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</si>
  <si>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</si>
  <si>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</si>
  <si>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</si>
  <si>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</si>
  <si>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</si>
  <si>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</si>
  <si>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</si>
  <si>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</si>
  <si>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</si>
  <si>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</si>
  <si>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</si>
  <si>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</si>
  <si>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</si>
  <si>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</si>
  <si>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</si>
  <si>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</si>
  <si>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</si>
  <si>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</si>
  <si>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</si>
  <si>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</si>
  <si>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</si>
  <si>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</si>
  <si>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</si>
  <si>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</si>
  <si>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</si>
  <si>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</si>
  <si>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</si>
  <si>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</si>
  <si>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</si>
  <si>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</si>
  <si>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</si>
  <si>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</si>
  <si>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</si>
  <si>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</si>
  <si>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</si>
  <si>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</si>
  <si>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</si>
  <si>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</si>
  <si>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</si>
  <si>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</si>
  <si>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</si>
  <si>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</si>
  <si>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</si>
  <si>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</si>
  <si>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</si>
  <si>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</si>
  <si>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</si>
  <si>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</si>
  <si>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</si>
  <si>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</si>
  <si>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</si>
  <si>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</si>
  <si>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</si>
  <si>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</si>
  <si>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</si>
  <si>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</si>
  <si>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</si>
  <si>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</si>
  <si>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</si>
  <si>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</si>
  <si>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</si>
  <si>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</si>
  <si>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</si>
  <si>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</si>
  <si>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</si>
  <si>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</si>
  <si>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</si>
  <si>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</si>
  <si>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</si>
  <si>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</si>
  <si>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</si>
  <si>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</si>
  <si>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</si>
  <si>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</si>
  <si>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</si>
  <si>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</si>
  <si>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</si>
  <si>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</si>
  <si>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</si>
  <si>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</si>
  <si>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</si>
  <si>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</si>
  <si>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</si>
  <si>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</si>
  <si>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</si>
  <si>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</si>
  <si>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</si>
  <si>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</si>
  <si>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</si>
  <si>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</si>
  <si>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</si>
  <si>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</si>
  <si>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</si>
  <si>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</si>
  <si>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</si>
  <si>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</si>
  <si>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</si>
  <si>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</si>
  <si>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</si>
  <si>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</si>
  <si>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</si>
  <si>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</si>
  <si>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</si>
  <si>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</si>
  <si>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</si>
  <si>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</si>
  <si>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</si>
  <si>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</si>
  <si>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</si>
  <si>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</si>
  <si>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</si>
  <si>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</si>
  <si>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</si>
  <si>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</si>
  <si>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</si>
  <si>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</si>
  <si>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</si>
  <si>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</si>
  <si>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</si>
  <si>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</si>
  <si>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</si>
  <si>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</si>
  <si>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</si>
  <si>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</si>
  <si>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</si>
  <si>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</si>
  <si>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</si>
  <si>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</si>
  <si>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</si>
  <si>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</si>
  <si>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</si>
  <si>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</si>
  <si>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</si>
  <si>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</si>
  <si>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</si>
  <si>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</si>
  <si>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</si>
  <si>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</si>
  <si>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</si>
  <si>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</si>
  <si>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</si>
  <si>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</si>
  <si>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</si>
  <si>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</si>
  <si>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</si>
  <si>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</si>
  <si>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</si>
  <si>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</si>
  <si>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</si>
  <si>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</si>
  <si>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</si>
  <si>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</si>
  <si>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</si>
  <si>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</si>
  <si>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</si>
  <si>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</si>
  <si>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</si>
  <si>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</si>
  <si>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</si>
  <si>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</si>
  <si>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</si>
  <si>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</si>
  <si>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</si>
  <si>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</si>
  <si>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</si>
  <si>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</si>
  <si>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</si>
  <si>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</si>
  <si>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</si>
  <si>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</si>
  <si>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</si>
  <si>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</si>
  <si>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</si>
  <si>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</si>
  <si>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</si>
  <si>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</si>
  <si>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</si>
  <si>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</si>
  <si>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</si>
  <si>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</si>
  <si>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</si>
  <si>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</si>
  <si>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</si>
  <si>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</si>
  <si>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</si>
  <si>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</si>
  <si>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</si>
  <si>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</si>
  <si>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</si>
  <si>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</si>
  <si>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</si>
  <si>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</si>
  <si>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</si>
  <si>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</si>
  <si>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</si>
  <si>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</si>
  <si>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</si>
  <si>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</si>
  <si>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</si>
  <si>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</si>
  <si>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</si>
  <si>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</si>
  <si>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</si>
  <si>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</si>
  <si>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</si>
  <si>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</si>
  <si>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</si>
  <si>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</si>
  <si>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</si>
  <si>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</si>
  <si>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</si>
  <si>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</si>
  <si>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</si>
  <si>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</si>
  <si>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</si>
  <si>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</si>
  <si>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</si>
  <si>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</si>
  <si>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</si>
  <si>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</si>
  <si>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</si>
  <si>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</si>
  <si>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</si>
  <si>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</si>
  <si>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</si>
  <si>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</si>
  <si>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</si>
  <si>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</si>
  <si>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</si>
  <si>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</si>
  <si>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</si>
  <si>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</si>
  <si>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</si>
  <si>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</si>
  <si>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</si>
  <si>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</si>
  <si>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</si>
  <si>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</si>
  <si>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</si>
  <si>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</si>
  <si>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</si>
  <si>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</si>
  <si>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</si>
  <si>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</si>
  <si>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</si>
  <si>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</si>
  <si>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</si>
  <si>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</si>
  <si>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</si>
  <si>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</si>
  <si>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</si>
  <si>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</si>
  <si>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</si>
  <si>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</si>
  <si>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</si>
  <si>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</si>
  <si>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</si>
  <si>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</si>
  <si>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</si>
  <si>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</si>
  <si>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</si>
  <si>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</si>
  <si>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</si>
  <si>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</si>
  <si>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</si>
  <si>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</si>
  <si>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</si>
  <si>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</si>
  <si>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</si>
  <si>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ПГП</t>
    </r>
  </si>
  <si>
    <t>3с</t>
  </si>
  <si>
    <t xml:space="preserve">1с </t>
  </si>
  <si>
    <t xml:space="preserve">1 с </t>
  </si>
  <si>
    <t>3 с</t>
  </si>
  <si>
    <t>3  с</t>
  </si>
  <si>
    <t>Штукатурка по ж/б.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</si>
  <si>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</si>
  <si>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</si>
  <si>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</si>
  <si>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</si>
  <si>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</si>
  <si>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</si>
  <si>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</si>
  <si>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</si>
  <si>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</si>
  <si>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ПР-Г7</t>
  </si>
  <si>
    <t>Итог, кг:</t>
  </si>
  <si>
    <t>Сумма, кг:</t>
  </si>
  <si>
    <t>Ф-5</t>
  </si>
  <si>
    <t>1 этаж. 3 секция.</t>
  </si>
  <si>
    <t>1 этаж. 2 секция.</t>
  </si>
  <si>
    <t>2 этаж. 3 секция.</t>
  </si>
  <si>
    <t>3 этаж. 2 секция.</t>
  </si>
  <si>
    <t>3 этаж. 3 секция.</t>
  </si>
  <si>
    <t>1 этаж. 1 секция.</t>
  </si>
  <si>
    <t>2 этаж. 1 секция.</t>
  </si>
  <si>
    <t>3 этаж. 1 секция.</t>
  </si>
  <si>
    <t>Описание: Подвал</t>
  </si>
  <si>
    <t>Подвал. 1 секция.</t>
  </si>
  <si>
    <t>Подвал. 2 секция.</t>
  </si>
  <si>
    <t>Подвал. 3 секция.</t>
  </si>
  <si>
    <t>Описание: Кладка вентшахт на кровле. Толщина - 120 мм, Кирпич КР-р-по 250х120х65</t>
  </si>
  <si>
    <t>Кровля. 3 секция.</t>
  </si>
  <si>
    <t>ВШ-51</t>
  </si>
  <si>
    <t>ВШ-43</t>
  </si>
  <si>
    <t>ВШ-42</t>
  </si>
  <si>
    <t>ВШ-41</t>
  </si>
  <si>
    <t>ВШ-40</t>
  </si>
  <si>
    <t>ВШ-35</t>
  </si>
  <si>
    <t>Люк на кровлю, 
лестница Л-1</t>
  </si>
  <si>
    <t>Отделка перегородок и стен из кирпича</t>
  </si>
  <si>
    <t>Отделка перегородок и стен из газобетона</t>
  </si>
  <si>
    <t>Отделка перегородок ГКЛ</t>
  </si>
  <si>
    <t>Отделка стен из железобетона</t>
  </si>
  <si>
    <t>Отделка перегородок и стен из Газобетона, Кирпича</t>
  </si>
  <si>
    <t>Отделка перегородок ПГП</t>
  </si>
  <si>
    <t>№ помеще
ния</t>
  </si>
  <si>
    <t>Отделка перегородок и стен из Газобетона, Кирпича.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</si>
  <si>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</si>
  <si>
    <t>ЧН-1, ЧН-7, ЧН-10</t>
  </si>
  <si>
    <t xml:space="preserve"> ЧН-4, ЧН-12, ЧН-13, ЧН-15, ЧН-16, ЧН-20, ЧН-21, ЧН-23</t>
  </si>
  <si>
    <t>Штукатурка по ПГП под облицовку плиткой смесью Knauff-флизен 10 мм с грунтовкой Knauff-тиффенгрунд. Тип: ЧН-2, ЧН-9</t>
  </si>
  <si>
    <t>Штукатурка гипсовая по ПГП. Тип: ЧН-8</t>
  </si>
  <si>
    <t xml:space="preserve"> Штукатурка гипсовая по ж/б. Тип: ЧН-5</t>
  </si>
  <si>
    <t>Штукатурка гипсовая по блоку. Тип: ЧН-6, ЧН-11</t>
  </si>
  <si>
    <t>Штукатурка по блоку и кирпичу. Тип: ЧН-4, ЧН-12, ЧН-13, ЧН-15, ЧН-16, ЧН-20, ЧН-21, ЧН-23</t>
  </si>
  <si>
    <t>Штукатурка по ж/б. Тип: 
ЧН-1, ЧН-7, ЧН-10</t>
  </si>
  <si>
    <t>Облицовка поэлементной сборки Кнауф С626, профили оцинкованные; Плиты из каменной ваты; КНАУФ-лист; Тип: ЧН-25</t>
  </si>
  <si>
    <t>пом</t>
  </si>
  <si>
    <t>объем</t>
  </si>
  <si>
    <t>0.015</t>
  </si>
  <si>
    <t>0.005</t>
  </si>
  <si>
    <t>Устройство перемычек металлических с огрунтовкой и окраской.
1 этаж.</t>
  </si>
  <si>
    <t>ПР-Г3</t>
  </si>
  <si>
    <t>Ф-7.1</t>
  </si>
  <si>
    <t>Ф-7.2</t>
  </si>
  <si>
    <t>ВШ-58</t>
  </si>
  <si>
    <t>ВШ-53</t>
  </si>
  <si>
    <t>ВШ-49</t>
  </si>
  <si>
    <t>ВШ-44</t>
  </si>
  <si>
    <t>ВШ-45</t>
  </si>
  <si>
    <t>ВШ-39</t>
  </si>
  <si>
    <t>ВШ-37</t>
  </si>
  <si>
    <t>ВШ-36</t>
  </si>
  <si>
    <t xml:space="preserve"> ширина полос проклейки 150+150=300 мм, </t>
  </si>
  <si>
    <t>0.009</t>
  </si>
  <si>
    <t>Подвал. Штукатурка по кирпичу. 
Тип: ЧН-26</t>
  </si>
  <si>
    <t>Подвал. Штукатурка по ж/б. 
Тип: ЧН-7</t>
  </si>
  <si>
    <r>
      <rPr>
        <b/>
        <i/>
        <sz val="10"/>
        <rFont val="ГОСТ тип А"/>
        <family val="2"/>
        <charset val="204"/>
      </rPr>
      <t>№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
ния</t>
    </r>
  </si>
  <si>
    <t>ВШ-26</t>
  </si>
  <si>
    <t>ВШ-30</t>
  </si>
  <si>
    <t>Кровля. 2, 3 секция.</t>
  </si>
  <si>
    <t>Итог м2 (без учета оклейки швов):</t>
  </si>
  <si>
    <t>Штукатурка по ж/б. Тип: 
ЧН-7, ЧН-10</t>
  </si>
  <si>
    <t>Штукатурка по блоку и кирпичу. Тип: ЧН-12, ЧН-13, ЧН-16</t>
  </si>
  <si>
    <t>2 этаж. 2 секция.</t>
  </si>
  <si>
    <t>Подвал. 
Штукатурка по кирпичу. 
Тип: ЧН-16</t>
  </si>
  <si>
    <t>0.001</t>
  </si>
  <si>
    <t>4.008</t>
  </si>
  <si>
    <t>4.001</t>
  </si>
  <si>
    <t>4.002</t>
  </si>
  <si>
    <t>4.003</t>
  </si>
  <si>
    <t>4.004</t>
  </si>
  <si>
    <t>4.005</t>
  </si>
  <si>
    <t>4.006</t>
  </si>
  <si>
    <t>4.007</t>
  </si>
  <si>
    <t>3.027</t>
  </si>
  <si>
    <t>3.028</t>
  </si>
  <si>
    <t>3.029</t>
  </si>
  <si>
    <t>3.030</t>
  </si>
  <si>
    <t>3.023</t>
  </si>
  <si>
    <t>3.035</t>
  </si>
  <si>
    <t>3.036</t>
  </si>
  <si>
    <t>3.049</t>
  </si>
  <si>
    <t>3.038</t>
  </si>
  <si>
    <t>3.039</t>
  </si>
  <si>
    <t>3.031</t>
  </si>
  <si>
    <t>3.032</t>
  </si>
  <si>
    <t>3.058</t>
  </si>
  <si>
    <t>2.016</t>
  </si>
  <si>
    <t>2.019</t>
  </si>
  <si>
    <t>2.017</t>
  </si>
  <si>
    <t>2.024</t>
  </si>
  <si>
    <t>2.025</t>
  </si>
  <si>
    <t>2.029</t>
  </si>
  <si>
    <t>2.027</t>
  </si>
  <si>
    <t>2.028</t>
  </si>
  <si>
    <t>2.053</t>
  </si>
  <si>
    <t>2.031</t>
  </si>
  <si>
    <t>1.023</t>
  </si>
  <si>
    <t>1.024</t>
  </si>
  <si>
    <t>1.086</t>
  </si>
  <si>
    <t>1.077</t>
  </si>
  <si>
    <t>1.100</t>
  </si>
  <si>
    <t>1.078</t>
  </si>
  <si>
    <t>1.095</t>
  </si>
  <si>
    <t>1.099</t>
  </si>
  <si>
    <t>1.021</t>
  </si>
  <si>
    <t>1.018</t>
  </si>
  <si>
    <t>1.019</t>
  </si>
  <si>
    <t>1.020</t>
  </si>
  <si>
    <t>1.022</t>
  </si>
  <si>
    <t>1.026</t>
  </si>
  <si>
    <t>1.028</t>
  </si>
  <si>
    <t>1.027</t>
  </si>
  <si>
    <t>1.070</t>
  </si>
  <si>
    <t>1.071</t>
  </si>
  <si>
    <t>1.029</t>
  </si>
  <si>
    <t>1.030</t>
  </si>
  <si>
    <t>1.031</t>
  </si>
  <si>
    <t>1.032</t>
  </si>
  <si>
    <t>1.033</t>
  </si>
  <si>
    <t>1.034</t>
  </si>
  <si>
    <t>1.035</t>
  </si>
  <si>
    <t>1.037</t>
  </si>
  <si>
    <t>Штукатурка гипсовая по блоку. 
Тип: ЧН-6, ЧН-11</t>
  </si>
  <si>
    <t>Штукатурка по блоку и кирпичу. 
Тип: ЧН-4; ЧН-12; ЧН-13; ЧН-15; ЧН-16; ЧН-20; ЧН-21; ЧН-23</t>
  </si>
  <si>
    <t>Ячейка</t>
  </si>
  <si>
    <t>Значение</t>
  </si>
  <si>
    <t>C70</t>
  </si>
  <si>
    <t>А</t>
  </si>
  <si>
    <t>C71</t>
  </si>
  <si>
    <t>Б</t>
  </si>
  <si>
    <t>(пусто)</t>
  </si>
  <si>
    <t>C74</t>
  </si>
  <si>
    <t>В</t>
  </si>
  <si>
    <t>C75</t>
  </si>
  <si>
    <t>C76</t>
  </si>
  <si>
    <t>#Н/Д (ошибка)</t>
  </si>
  <si>
    <t>C77</t>
  </si>
  <si>
    <t xml:space="preserve"> Штукатурка гипсовая по ж/б. 
Тип: ЧН-5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</si>
</sst>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.000"/>
    <numFmt numFmtId="165" formatCode="0.000"/>
    <numFmt numFmtId="166" formatCode="0.0"/>
    <numFmt numFmtId="167" formatCode="#,##0.0"/>
  </numFmts>
  <fonts count="56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i/>
      <sz val="14"/>
      <color rgb="FFFF0000"/>
      <name val="ГОСТ тип А"/>
      <family val="2"/>
      <charset val="204"/>
    </font>
    <font>
      <sz val="10"/>
      <color rgb="FFFF0000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2"/>
      <color theme="1"/>
      <name val="Calibri"/>
      <family val="2"/>
      <scheme val="minor"/>
    </font>
    <font>
      <b/>
      <i/>
      <sz val="12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i/>
      <sz val="12"/>
      <name val="ГОСТ тип А"/>
      <family val="2"/>
      <charset val="204"/>
    </font>
    <font>
      <i/>
      <sz val="12"/>
      <color rgb="FFFF0000"/>
      <name val="ГОСТ тип А"/>
      <family val="2"/>
      <charset val="204"/>
    </font>
    <font>
      <sz val="8"/>
      <color rgb="FF0F1115"/>
      <name val="Consolas"/>
      <family val="3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47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 wrapText="1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  <xf numFmtId="0" fontId="34" fillId="10" borderId="4" xfId="1" applyNumberFormat="1" applyFont="1" applyFill="1" applyBorder="1" applyAlignment="1">
      <alignment horizontal="center" vertical="center"/>
    </xf>
    <xf numFmtId="3" fontId="35" fillId="10" borderId="4" xfId="1" applyNumberFormat="1" applyFont="1" applyFill="1" applyBorder="1" applyAlignment="1">
      <alignment horizontal="center" vertical="center" shrinkToFit="1"/>
    </xf>
    <xf numFmtId="0" fontId="31" fillId="10" borderId="4" xfId="1" applyNumberFormat="1" applyFont="1" applyFill="1" applyBorder="1" applyAlignment="1">
      <alignment horizontal="center" vertical="center" wrapText="1"/>
    </xf>
    <xf numFmtId="166" fontId="35" fillId="10" borderId="4" xfId="1" applyNumberFormat="1" applyFont="1" applyFill="1" applyBorder="1" applyAlignment="1">
      <alignment horizontal="center" vertical="center" shrinkToFit="1"/>
    </xf>
    <xf numFmtId="0" fontId="34" fillId="10" borderId="36" xfId="1" applyNumberFormat="1" applyFont="1" applyFill="1" applyBorder="1" applyAlignment="1">
      <alignment horizontal="center" vertical="center"/>
    </xf>
    <xf numFmtId="3" fontId="35" fillId="10" borderId="36" xfId="1" applyNumberFormat="1" applyFont="1" applyFill="1" applyBorder="1" applyAlignment="1">
      <alignment horizontal="center" vertical="center" shrinkToFit="1"/>
    </xf>
    <xf numFmtId="0" fontId="31" fillId="10" borderId="36" xfId="1" applyNumberFormat="1" applyFont="1" applyFill="1" applyBorder="1" applyAlignment="1">
      <alignment horizontal="center" vertical="center" wrapText="1"/>
    </xf>
    <xf numFmtId="166" fontId="35" fillId="10" borderId="36" xfId="1" applyNumberFormat="1" applyFont="1" applyFill="1" applyBorder="1" applyAlignment="1">
      <alignment horizontal="center" vertical="center" shrinkToFit="1"/>
    </xf>
    <xf numFmtId="3" fontId="31" fillId="10" borderId="4" xfId="1" applyNumberFormat="1" applyFont="1" applyFill="1" applyBorder="1" applyAlignment="1">
      <alignment horizontal="center" vertical="center" shrinkToFit="1"/>
    </xf>
    <xf numFmtId="3" fontId="31" fillId="0" borderId="4" xfId="1" applyNumberFormat="1" applyFont="1" applyBorder="1" applyAlignment="1">
      <alignment horizontal="center" vertical="center" shrinkToFit="1"/>
    </xf>
    <xf numFmtId="164" fontId="40" fillId="0" borderId="4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horizontal="right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/>
    </xf>
    <xf numFmtId="164" fontId="40" fillId="10" borderId="4" xfId="0" applyNumberFormat="1" applyFont="1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left" vertical="center" wrapText="1" indent="4"/>
    </xf>
    <xf numFmtId="0" fontId="34" fillId="9" borderId="4" xfId="1" applyNumberFormat="1" applyFont="1" applyFill="1" applyBorder="1" applyAlignment="1">
      <alignment horizontal="left" vertical="top" wrapText="1"/>
    </xf>
    <xf numFmtId="0" fontId="34" fillId="0" borderId="4" xfId="1" applyNumberFormat="1" applyFont="1" applyBorder="1" applyAlignment="1">
      <alignment horizontal="left" vertical="top" wrapText="1"/>
    </xf>
    <xf numFmtId="0" fontId="34" fillId="10" borderId="4" xfId="1" applyNumberFormat="1" applyFont="1" applyFill="1" applyBorder="1" applyAlignment="1">
      <alignment horizontal="left" vertical="top" wrapText="1"/>
    </xf>
    <xf numFmtId="0" fontId="34" fillId="10" borderId="50" xfId="1" applyNumberFormat="1" applyFont="1" applyFill="1" applyBorder="1" applyAlignment="1">
      <alignment horizontal="center" vertical="center"/>
    </xf>
    <xf numFmtId="0" fontId="34" fillId="10" borderId="51" xfId="1" applyNumberFormat="1" applyFont="1" applyFill="1" applyBorder="1" applyAlignment="1">
      <alignment horizontal="left" vertical="top" wrapText="1"/>
    </xf>
    <xf numFmtId="0" fontId="34" fillId="0" borderId="50" xfId="1" applyNumberFormat="1" applyFont="1" applyBorder="1" applyAlignment="1">
      <alignment horizontal="center" vertical="center"/>
    </xf>
    <xf numFmtId="0" fontId="34" fillId="0" borderId="51" xfId="1" applyNumberFormat="1" applyFont="1" applyBorder="1" applyAlignment="1">
      <alignment horizontal="left" vertical="top" wrapText="1"/>
    </xf>
    <xf numFmtId="0" fontId="34" fillId="10" borderId="55" xfId="1" applyNumberFormat="1" applyFont="1" applyFill="1" applyBorder="1" applyAlignment="1">
      <alignment horizontal="center" vertical="center"/>
    </xf>
    <xf numFmtId="0" fontId="34" fillId="10" borderId="56" xfId="1" applyNumberFormat="1" applyFont="1" applyFill="1" applyBorder="1" applyAlignment="1">
      <alignment horizontal="left" vertical="top" wrapText="1"/>
    </xf>
    <xf numFmtId="0" fontId="34" fillId="0" borderId="52" xfId="1" applyNumberFormat="1" applyFont="1" applyBorder="1" applyAlignment="1">
      <alignment horizontal="center" vertical="center"/>
    </xf>
    <xf numFmtId="0" fontId="34" fillId="0" borderId="53" xfId="1" applyNumberFormat="1" applyFont="1" applyBorder="1" applyAlignment="1">
      <alignment horizontal="center" vertical="center"/>
    </xf>
    <xf numFmtId="3" fontId="35" fillId="0" borderId="53" xfId="1" applyNumberFormat="1" applyFont="1" applyBorder="1" applyAlignment="1">
      <alignment horizontal="center" vertical="center" shrinkToFit="1"/>
    </xf>
    <xf numFmtId="0" fontId="31" fillId="0" borderId="53" xfId="1" applyNumberFormat="1" applyFont="1" applyBorder="1" applyAlignment="1">
      <alignment horizontal="center" vertical="center" wrapText="1"/>
    </xf>
    <xf numFmtId="166" fontId="35" fillId="0" borderId="53" xfId="1" applyNumberFormat="1" applyFont="1" applyBorder="1" applyAlignment="1">
      <alignment horizontal="center" vertical="center" shrinkToFit="1"/>
    </xf>
    <xf numFmtId="0" fontId="34" fillId="0" borderId="54" xfId="1" applyNumberFormat="1" applyFont="1" applyBorder="1" applyAlignment="1">
      <alignment horizontal="left" vertical="top" wrapText="1"/>
    </xf>
    <xf numFmtId="0" fontId="34" fillId="10" borderId="52" xfId="1" applyNumberFormat="1" applyFont="1" applyFill="1" applyBorder="1" applyAlignment="1">
      <alignment horizontal="center" vertical="center"/>
    </xf>
    <xf numFmtId="0" fontId="34" fillId="10" borderId="53" xfId="1" applyNumberFormat="1" applyFont="1" applyFill="1" applyBorder="1" applyAlignment="1">
      <alignment horizontal="center" vertical="center"/>
    </xf>
    <xf numFmtId="3" fontId="31" fillId="10" borderId="53" xfId="1" applyNumberFormat="1" applyFont="1" applyFill="1" applyBorder="1" applyAlignment="1">
      <alignment horizontal="center" vertical="center" shrinkToFit="1"/>
    </xf>
    <xf numFmtId="0" fontId="31" fillId="10" borderId="53" xfId="1" applyNumberFormat="1" applyFont="1" applyFill="1" applyBorder="1" applyAlignment="1">
      <alignment horizontal="center" vertical="center" wrapText="1"/>
    </xf>
    <xf numFmtId="166" fontId="35" fillId="10" borderId="53" xfId="1" applyNumberFormat="1" applyFont="1" applyFill="1" applyBorder="1" applyAlignment="1">
      <alignment horizontal="center" vertical="center" shrinkToFit="1"/>
    </xf>
    <xf numFmtId="0" fontId="34" fillId="10" borderId="54" xfId="1" applyNumberFormat="1" applyFont="1" applyFill="1" applyBorder="1" applyAlignment="1">
      <alignment horizontal="left" vertical="top" wrapText="1"/>
    </xf>
    <xf numFmtId="3" fontId="35" fillId="10" borderId="53" xfId="1" applyNumberFormat="1" applyFont="1" applyFill="1" applyBorder="1" applyAlignment="1">
      <alignment horizontal="center" vertical="center" shrinkToFit="1"/>
    </xf>
    <xf numFmtId="3" fontId="31" fillId="0" borderId="53" xfId="1" applyNumberFormat="1" applyFont="1" applyBorder="1" applyAlignment="1">
      <alignment horizontal="center" vertical="center" shrinkToFit="1"/>
    </xf>
    <xf numFmtId="0" fontId="8" fillId="10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2" fillId="9" borderId="9" xfId="1" applyNumberFormat="1" applyFont="1" applyFill="1" applyBorder="1" applyAlignment="1">
      <alignment horizontal="left" vertical="top" wrapText="1"/>
    </xf>
    <xf numFmtId="0" fontId="32" fillId="0" borderId="9" xfId="1" applyFont="1" applyFill="1" applyBorder="1" applyAlignment="1">
      <alignment horizontal="left" vertical="top" wrapText="1"/>
    </xf>
    <xf numFmtId="0" fontId="32" fillId="0" borderId="9" xfId="1" applyNumberFormat="1" applyFont="1" applyBorder="1" applyAlignment="1">
      <alignment horizontal="left" vertical="top" wrapText="1"/>
    </xf>
    <xf numFmtId="0" fontId="37" fillId="0" borderId="9" xfId="1" applyNumberFormat="1" applyFont="1" applyFill="1" applyBorder="1" applyAlignment="1">
      <alignment horizontal="left" vertical="top" wrapText="1"/>
    </xf>
    <xf numFmtId="0" fontId="34" fillId="11" borderId="51" xfId="0" applyFont="1" applyFill="1" applyBorder="1" applyAlignment="1">
      <alignment horizontal="left" vertical="top" wrapText="1"/>
    </xf>
    <xf numFmtId="0" fontId="32" fillId="11" borderId="51" xfId="0" applyFont="1" applyFill="1" applyBorder="1" applyAlignment="1">
      <alignment horizontal="left" vertical="top" wrapText="1"/>
    </xf>
    <xf numFmtId="2" fontId="13" fillId="0" borderId="4" xfId="0" applyNumberFormat="1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 wrapText="1"/>
    </xf>
    <xf numFmtId="2" fontId="11" fillId="0" borderId="3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43" fillId="0" borderId="9" xfId="1" applyNumberFormat="1" applyFont="1" applyFill="1" applyBorder="1" applyAlignment="1">
      <alignment horizontal="left" vertical="top" wrapText="1"/>
    </xf>
    <xf numFmtId="0" fontId="43" fillId="0" borderId="37" xfId="1" applyNumberFormat="1" applyFont="1" applyFill="1" applyBorder="1" applyAlignment="1">
      <alignment horizontal="left" vertical="top" wrapText="1"/>
    </xf>
    <xf numFmtId="0" fontId="46" fillId="0" borderId="7" xfId="1" applyNumberFormat="1" applyFont="1" applyBorder="1" applyAlignment="1">
      <alignment horizontal="center" vertical="center"/>
    </xf>
    <xf numFmtId="0" fontId="46" fillId="0" borderId="8" xfId="1" applyNumberFormat="1" applyFont="1" applyBorder="1" applyAlignment="1">
      <alignment horizontal="center" vertical="center"/>
    </xf>
    <xf numFmtId="0" fontId="43" fillId="0" borderId="6" xfId="1" applyNumberFormat="1" applyFont="1" applyFill="1" applyBorder="1" applyAlignment="1">
      <alignment horizontal="center" vertical="center"/>
    </xf>
    <xf numFmtId="0" fontId="43" fillId="0" borderId="4" xfId="1" applyNumberFormat="1" applyFont="1" applyFill="1" applyBorder="1" applyAlignment="1">
      <alignment horizontal="center" vertical="center"/>
    </xf>
    <xf numFmtId="0" fontId="45" fillId="0" borderId="4" xfId="1" applyNumberFormat="1" applyFont="1" applyFill="1" applyBorder="1" applyAlignment="1">
      <alignment horizontal="left" vertical="center" wrapText="1"/>
    </xf>
    <xf numFmtId="0" fontId="6" fillId="0" borderId="6" xfId="1" applyFont="1" applyFill="1" applyBorder="1" applyAlignment="1">
      <alignment horizontal="center" vertical="center"/>
    </xf>
    <xf numFmtId="0" fontId="6" fillId="0" borderId="4" xfId="1" applyFont="1" applyFill="1" applyBorder="1" applyAlignment="1">
      <alignment horizontal="center" vertical="center"/>
    </xf>
    <xf numFmtId="0" fontId="23" fillId="0" borderId="4" xfId="1" applyFont="1" applyFill="1" applyBorder="1" applyAlignment="1">
      <alignment horizontal="left" vertical="center" wrapText="1"/>
    </xf>
    <xf numFmtId="0" fontId="43" fillId="0" borderId="35" xfId="1" applyNumberFormat="1" applyFont="1" applyFill="1" applyBorder="1" applyAlignment="1">
      <alignment horizontal="center" vertical="center"/>
    </xf>
    <xf numFmtId="0" fontId="43" fillId="0" borderId="36" xfId="1" applyNumberFormat="1" applyFont="1" applyFill="1" applyBorder="1" applyAlignment="1">
      <alignment horizontal="center" vertical="center"/>
    </xf>
    <xf numFmtId="0" fontId="45" fillId="0" borderId="36" xfId="1" applyNumberFormat="1" applyFont="1" applyFill="1" applyBorder="1" applyAlignment="1">
      <alignment horizontal="left" vertical="center" wrapText="1"/>
    </xf>
    <xf numFmtId="3" fontId="44" fillId="0" borderId="4" xfId="1" applyNumberFormat="1" applyFont="1" applyFill="1" applyBorder="1" applyAlignment="1">
      <alignment horizontal="center" vertical="center" shrinkToFit="1"/>
    </xf>
    <xf numFmtId="166" fontId="44" fillId="0" borderId="4" xfId="1" applyNumberFormat="1" applyFont="1" applyFill="1" applyBorder="1" applyAlignment="1">
      <alignment horizontal="center" vertical="center" shrinkToFit="1"/>
    </xf>
    <xf numFmtId="3" fontId="25" fillId="0" borderId="4" xfId="1" applyNumberFormat="1" applyFont="1" applyFill="1" applyBorder="1" applyAlignment="1">
      <alignment horizontal="center" vertical="center" shrinkToFit="1"/>
    </xf>
    <xf numFmtId="166" fontId="25" fillId="0" borderId="4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Fill="1" applyBorder="1" applyAlignment="1">
      <alignment horizontal="center" vertical="center" shrinkToFit="1"/>
    </xf>
    <xf numFmtId="166" fontId="44" fillId="0" borderId="36" xfId="1" applyNumberFormat="1" applyFont="1" applyFill="1" applyBorder="1" applyAlignment="1">
      <alignment horizontal="center" vertical="center" shrinkToFit="1"/>
    </xf>
    <xf numFmtId="0" fontId="6" fillId="0" borderId="9" xfId="1" applyNumberFormat="1" applyFont="1" applyFill="1" applyBorder="1" applyAlignment="1">
      <alignment horizontal="left" vertical="top" wrapText="1"/>
    </xf>
    <xf numFmtId="0" fontId="33" fillId="0" borderId="8" xfId="1" applyNumberFormat="1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0" fontId="24" fillId="0" borderId="9" xfId="1" applyFont="1" applyFill="1" applyBorder="1" applyAlignment="1">
      <alignment horizontal="left" vertical="top" wrapText="1"/>
    </xf>
    <xf numFmtId="0" fontId="43" fillId="10" borderId="4" xfId="1" applyNumberFormat="1" applyFont="1" applyFill="1" applyBorder="1" applyAlignment="1">
      <alignment horizontal="center" vertical="center"/>
    </xf>
    <xf numFmtId="3" fontId="44" fillId="10" borderId="4" xfId="1" applyNumberFormat="1" applyFont="1" applyFill="1" applyBorder="1" applyAlignment="1">
      <alignment horizontal="center" vertical="center" shrinkToFit="1"/>
    </xf>
    <xf numFmtId="0" fontId="45" fillId="10" borderId="4" xfId="1" applyNumberFormat="1" applyFont="1" applyFill="1" applyBorder="1" applyAlignment="1">
      <alignment horizontal="left" vertical="center" wrapText="1"/>
    </xf>
    <xf numFmtId="166" fontId="44" fillId="10" borderId="4" xfId="1" applyNumberFormat="1" applyFont="1" applyFill="1" applyBorder="1" applyAlignment="1">
      <alignment horizontal="center" vertical="center" shrinkToFit="1"/>
    </xf>
    <xf numFmtId="0" fontId="43" fillId="0" borderId="4" xfId="1" applyNumberFormat="1" applyFont="1" applyBorder="1" applyAlignment="1">
      <alignment horizontal="center" vertical="center"/>
    </xf>
    <xf numFmtId="3" fontId="44" fillId="0" borderId="4" xfId="1" applyNumberFormat="1" applyFont="1" applyBorder="1" applyAlignment="1">
      <alignment horizontal="center" vertical="center" shrinkToFit="1"/>
    </xf>
    <xf numFmtId="0" fontId="45" fillId="0" borderId="4" xfId="1" applyNumberFormat="1" applyFont="1" applyBorder="1" applyAlignment="1">
      <alignment horizontal="left" vertical="center" wrapText="1"/>
    </xf>
    <xf numFmtId="166" fontId="44" fillId="0" borderId="4" xfId="1" applyNumberFormat="1" applyFont="1" applyBorder="1" applyAlignment="1">
      <alignment horizontal="center" vertical="center" shrinkToFit="1"/>
    </xf>
    <xf numFmtId="0" fontId="6" fillId="0" borderId="4" xfId="1" applyNumberFormat="1" applyFont="1" applyBorder="1" applyAlignment="1">
      <alignment horizontal="center" vertical="center"/>
    </xf>
    <xf numFmtId="3" fontId="25" fillId="0" borderId="4" xfId="1" applyNumberFormat="1" applyFont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left" vertical="center" wrapText="1"/>
    </xf>
    <xf numFmtId="166" fontId="25" fillId="0" borderId="4" xfId="1" applyNumberFormat="1" applyFont="1" applyBorder="1" applyAlignment="1">
      <alignment horizontal="center" vertical="center" shrinkToFit="1"/>
    </xf>
    <xf numFmtId="0" fontId="6" fillId="10" borderId="4" xfId="1" applyNumberFormat="1" applyFont="1" applyFill="1" applyBorder="1" applyAlignment="1">
      <alignment horizontal="center" vertical="center"/>
    </xf>
    <xf numFmtId="3" fontId="25" fillId="10" borderId="4" xfId="1" applyNumberFormat="1" applyFont="1" applyFill="1" applyBorder="1" applyAlignment="1">
      <alignment horizontal="center" vertical="center" shrinkToFit="1"/>
    </xf>
    <xf numFmtId="0" fontId="23" fillId="10" borderId="4" xfId="1" applyNumberFormat="1" applyFont="1" applyFill="1" applyBorder="1" applyAlignment="1">
      <alignment horizontal="left" vertical="center" wrapText="1"/>
    </xf>
    <xf numFmtId="166" fontId="25" fillId="10" borderId="4" xfId="1" applyNumberFormat="1" applyFont="1" applyFill="1" applyBorder="1" applyAlignment="1">
      <alignment horizontal="center" vertical="center" shrinkToFit="1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/>
    <xf numFmtId="0" fontId="19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43" fillId="10" borderId="50" xfId="1" applyNumberFormat="1" applyFont="1" applyFill="1" applyBorder="1" applyAlignment="1">
      <alignment horizontal="center" vertical="center"/>
    </xf>
    <xf numFmtId="0" fontId="43" fillId="0" borderId="50" xfId="1" applyNumberFormat="1" applyFont="1" applyBorder="1" applyAlignment="1">
      <alignment horizontal="center" vertical="center"/>
    </xf>
    <xf numFmtId="0" fontId="6" fillId="0" borderId="50" xfId="1" applyNumberFormat="1" applyFont="1" applyBorder="1" applyAlignment="1">
      <alignment horizontal="center" vertical="center"/>
    </xf>
    <xf numFmtId="0" fontId="6" fillId="10" borderId="50" xfId="1" applyNumberFormat="1" applyFont="1" applyFill="1" applyBorder="1" applyAlignment="1">
      <alignment horizontal="center" vertical="center"/>
    </xf>
    <xf numFmtId="0" fontId="6" fillId="10" borderId="52" xfId="1" applyNumberFormat="1" applyFont="1" applyFill="1" applyBorder="1" applyAlignment="1">
      <alignment horizontal="center" vertical="center"/>
    </xf>
    <xf numFmtId="0" fontId="6" fillId="10" borderId="53" xfId="1" applyNumberFormat="1" applyFont="1" applyFill="1" applyBorder="1" applyAlignment="1">
      <alignment horizontal="center" vertical="center"/>
    </xf>
    <xf numFmtId="3" fontId="25" fillId="10" borderId="53" xfId="1" applyNumberFormat="1" applyFont="1" applyFill="1" applyBorder="1" applyAlignment="1">
      <alignment horizontal="center" vertical="center" shrinkToFit="1"/>
    </xf>
    <xf numFmtId="0" fontId="23" fillId="10" borderId="53" xfId="1" applyNumberFormat="1" applyFont="1" applyFill="1" applyBorder="1" applyAlignment="1">
      <alignment horizontal="left" vertical="center" wrapText="1"/>
    </xf>
    <xf numFmtId="166" fontId="25" fillId="10" borderId="53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Border="1" applyAlignment="1">
      <alignment horizontal="center" vertical="center" shrinkToFit="1"/>
    </xf>
    <xf numFmtId="0" fontId="45" fillId="0" borderId="36" xfId="1" applyNumberFormat="1" applyFont="1" applyBorder="1" applyAlignment="1">
      <alignment horizontal="left" vertical="center" wrapText="1"/>
    </xf>
    <xf numFmtId="166" fontId="44" fillId="0" borderId="36" xfId="1" applyNumberFormat="1" applyFont="1" applyBorder="1" applyAlignment="1">
      <alignment horizontal="center" vertical="center" shrinkToFit="1"/>
    </xf>
    <xf numFmtId="3" fontId="44" fillId="10" borderId="53" xfId="1" applyNumberFormat="1" applyFont="1" applyFill="1" applyBorder="1" applyAlignment="1">
      <alignment horizontal="center" vertical="center" shrinkToFit="1"/>
    </xf>
    <xf numFmtId="0" fontId="45" fillId="10" borderId="53" xfId="1" applyNumberFormat="1" applyFont="1" applyFill="1" applyBorder="1" applyAlignment="1">
      <alignment horizontal="left" vertical="center" wrapText="1"/>
    </xf>
    <xf numFmtId="166" fontId="44" fillId="10" borderId="53" xfId="1" applyNumberFormat="1" applyFont="1" applyFill="1" applyBorder="1" applyAlignment="1">
      <alignment horizontal="center" vertical="center" shrinkToFit="1"/>
    </xf>
    <xf numFmtId="0" fontId="6" fillId="0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right"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6" fillId="0" borderId="4" xfId="0" applyNumberFormat="1" applyFont="1" applyFill="1" applyBorder="1" applyAlignment="1">
      <alignment horizontal="center" vertical="center"/>
    </xf>
    <xf numFmtId="0" fontId="25" fillId="13" borderId="3" xfId="0" applyFont="1" applyFill="1" applyBorder="1" applyAlignment="1">
      <alignment vertical="center" wrapText="1"/>
    </xf>
    <xf numFmtId="0" fontId="6" fillId="13" borderId="3" xfId="0" applyFont="1" applyFill="1" applyBorder="1" applyAlignment="1">
      <alignment horizontal="center" vertical="center" wrapText="1"/>
    </xf>
    <xf numFmtId="167" fontId="6" fillId="13" borderId="4" xfId="0" applyNumberFormat="1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vertical="center" wrapText="1"/>
    </xf>
    <xf numFmtId="167" fontId="6" fillId="0" borderId="4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7" fillId="0" borderId="0" xfId="0" applyFont="1"/>
    <xf numFmtId="164" fontId="6" fillId="0" borderId="3" xfId="0" applyNumberFormat="1" applyFont="1" applyBorder="1" applyAlignment="1">
      <alignment horizontal="center" vertical="center"/>
    </xf>
    <xf numFmtId="167" fontId="6" fillId="0" borderId="4" xfId="0" applyNumberFormat="1" applyFont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5" borderId="3" xfId="0" applyNumberFormat="1" applyFont="1" applyFill="1" applyBorder="1" applyAlignment="1">
      <alignment horizontal="center" vertical="center" wrapText="1"/>
    </xf>
    <xf numFmtId="0" fontId="30" fillId="0" borderId="4" xfId="1" applyNumberFormat="1" applyFont="1" applyBorder="1" applyAlignment="1">
      <alignment horizontal="left" vertical="top"/>
    </xf>
    <xf numFmtId="0" fontId="30" fillId="0" borderId="4" xfId="1" applyNumberFormat="1" applyFont="1" applyBorder="1" applyAlignment="1">
      <alignment horizontal="left" vertical="top" wrapText="1"/>
    </xf>
    <xf numFmtId="0" fontId="33" fillId="0" borderId="4" xfId="1" applyNumberFormat="1" applyFont="1" applyBorder="1" applyAlignment="1">
      <alignment horizontal="left" vertical="center" wrapText="1" indent="2"/>
    </xf>
    <xf numFmtId="0" fontId="33" fillId="0" borderId="4" xfId="1" applyNumberFormat="1" applyFont="1" applyBorder="1" applyAlignment="1">
      <alignment horizontal="left" vertical="center" wrapText="1" indent="1"/>
    </xf>
    <xf numFmtId="0" fontId="6" fillId="9" borderId="4" xfId="1" applyNumberFormat="1" applyFont="1" applyFill="1" applyBorder="1" applyAlignment="1">
      <alignment horizontal="center" vertical="center"/>
    </xf>
    <xf numFmtId="3" fontId="25" fillId="9" borderId="4" xfId="1" applyNumberFormat="1" applyFont="1" applyFill="1" applyBorder="1" applyAlignment="1">
      <alignment horizontal="center" vertical="center" shrinkToFit="1"/>
    </xf>
    <xf numFmtId="0" fontId="23" fillId="9" borderId="4" xfId="1" applyNumberFormat="1" applyFont="1" applyFill="1" applyBorder="1" applyAlignment="1">
      <alignment horizontal="center" vertical="center" wrapText="1"/>
    </xf>
    <xf numFmtId="166" fontId="25" fillId="9" borderId="4" xfId="1" applyNumberFormat="1" applyFont="1" applyFill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7" fontId="6" fillId="13" borderId="36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66" fontId="37" fillId="0" borderId="4" xfId="0" applyNumberFormat="1" applyFont="1" applyBorder="1"/>
    <xf numFmtId="0" fontId="37" fillId="0" borderId="58" xfId="0" applyFont="1" applyBorder="1" applyAlignment="1"/>
    <xf numFmtId="0" fontId="37" fillId="0" borderId="0" xfId="0" applyFont="1" applyAlignment="1"/>
    <xf numFmtId="0" fontId="11" fillId="0" borderId="3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0" borderId="4" xfId="0" applyFont="1" applyBorder="1"/>
    <xf numFmtId="0" fontId="6" fillId="0" borderId="30" xfId="0" applyFont="1" applyFill="1" applyBorder="1" applyAlignment="1">
      <alignment horizontal="center" vertical="center"/>
    </xf>
    <xf numFmtId="0" fontId="6" fillId="13" borderId="30" xfId="0" applyFont="1" applyFill="1" applyBorder="1" applyAlignment="1">
      <alignment horizontal="center" vertical="center"/>
    </xf>
    <xf numFmtId="167" fontId="6" fillId="0" borderId="8" xfId="0" applyNumberFormat="1" applyFont="1" applyFill="1" applyBorder="1" applyAlignment="1">
      <alignment horizontal="center" vertical="center"/>
    </xf>
    <xf numFmtId="167" fontId="6" fillId="0" borderId="40" xfId="0" applyNumberFormat="1" applyFont="1" applyFill="1" applyBorder="1" applyAlignment="1">
      <alignment horizontal="center" vertical="center"/>
    </xf>
    <xf numFmtId="167" fontId="6" fillId="13" borderId="48" xfId="0" applyNumberFormat="1" applyFont="1" applyFill="1" applyBorder="1" applyAlignment="1">
      <alignment horizontal="center" vertical="center"/>
    </xf>
    <xf numFmtId="167" fontId="6" fillId="0" borderId="48" xfId="0" applyNumberFormat="1" applyFont="1" applyFill="1" applyBorder="1" applyAlignment="1">
      <alignment horizontal="center" vertical="center"/>
    </xf>
    <xf numFmtId="167" fontId="6" fillId="13" borderId="49" xfId="0" applyNumberFormat="1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67" fontId="6" fillId="14" borderId="36" xfId="0" applyNumberFormat="1" applyFont="1" applyFill="1" applyBorder="1" applyAlignment="1">
      <alignment horizontal="center" vertical="center"/>
    </xf>
    <xf numFmtId="0" fontId="48" fillId="0" borderId="7" xfId="1" applyNumberFormat="1" applyFont="1" applyBorder="1" applyAlignment="1">
      <alignment horizontal="center" vertical="center" wrapText="1"/>
    </xf>
    <xf numFmtId="0" fontId="48" fillId="0" borderId="8" xfId="1" applyNumberFormat="1" applyFont="1" applyBorder="1" applyAlignment="1">
      <alignment horizontal="center" vertical="center" wrapText="1"/>
    </xf>
    <xf numFmtId="0" fontId="48" fillId="0" borderId="34" xfId="1" applyNumberFormat="1" applyFont="1" applyBorder="1" applyAlignment="1">
      <alignment horizontal="center" vertical="center" wrapText="1"/>
    </xf>
    <xf numFmtId="0" fontId="6" fillId="0" borderId="6" xfId="1" applyNumberFormat="1" applyFont="1" applyFill="1" applyBorder="1" applyAlignment="1">
      <alignment horizontal="center" vertical="center"/>
    </xf>
    <xf numFmtId="0" fontId="6" fillId="0" borderId="4" xfId="1" applyNumberFormat="1" applyFont="1" applyFill="1" applyBorder="1" applyAlignment="1">
      <alignment horizontal="center" vertical="center"/>
    </xf>
    <xf numFmtId="0" fontId="23" fillId="0" borderId="4" xfId="1" applyNumberFormat="1" applyFont="1" applyFill="1" applyBorder="1" applyAlignment="1">
      <alignment horizontal="center" vertical="center" wrapText="1"/>
    </xf>
    <xf numFmtId="166" fontId="25" fillId="0" borderId="9" xfId="1" applyNumberFormat="1" applyFont="1" applyFill="1" applyBorder="1" applyAlignment="1">
      <alignment horizontal="center" vertical="center" shrinkToFit="1"/>
    </xf>
    <xf numFmtId="0" fontId="6" fillId="0" borderId="35" xfId="1" applyNumberFormat="1" applyFont="1" applyFill="1" applyBorder="1" applyAlignment="1">
      <alignment horizontal="center" vertical="center"/>
    </xf>
    <xf numFmtId="0" fontId="23" fillId="0" borderId="36" xfId="1" applyNumberFormat="1" applyFont="1" applyFill="1" applyBorder="1" applyAlignment="1">
      <alignment horizontal="center" vertical="center" wrapText="1"/>
    </xf>
    <xf numFmtId="166" fontId="25" fillId="0" borderId="37" xfId="1" applyNumberFormat="1" applyFont="1" applyFill="1" applyBorder="1" applyAlignment="1">
      <alignment horizontal="center" vertical="center" shrinkToFit="1"/>
    </xf>
    <xf numFmtId="167" fontId="11" fillId="0" borderId="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1" fillId="0" borderId="3" xfId="0" applyNumberFormat="1" applyFont="1" applyBorder="1" applyAlignment="1">
      <alignment horizontal="center" vertical="center" wrapText="1"/>
    </xf>
    <xf numFmtId="167" fontId="6" fillId="14" borderId="4" xfId="0" applyNumberFormat="1" applyFont="1" applyFill="1" applyBorder="1" applyAlignment="1">
      <alignment horizontal="center" vertical="center"/>
    </xf>
    <xf numFmtId="164" fontId="25" fillId="0" borderId="4" xfId="1" applyNumberFormat="1" applyFont="1" applyFill="1" applyBorder="1" applyAlignment="1">
      <alignment horizontal="center" vertical="center" shrinkToFit="1"/>
    </xf>
    <xf numFmtId="166" fontId="0" fillId="0" borderId="4" xfId="1" applyNumberFormat="1" applyFont="1" applyBorder="1" applyAlignment="1">
      <alignment horizontal="center" vertical="center" shrinkToFit="1"/>
    </xf>
    <xf numFmtId="0" fontId="49" fillId="0" borderId="6" xfId="1" applyNumberFormat="1" applyFont="1" applyFill="1" applyBorder="1" applyAlignment="1">
      <alignment horizontal="center" vertical="center"/>
    </xf>
    <xf numFmtId="0" fontId="49" fillId="0" borderId="4" xfId="1" applyNumberFormat="1" applyFont="1" applyFill="1" applyBorder="1" applyAlignment="1">
      <alignment horizontal="center" vertical="center"/>
    </xf>
    <xf numFmtId="3" fontId="50" fillId="0" borderId="4" xfId="1" applyNumberFormat="1" applyFont="1" applyFill="1" applyBorder="1" applyAlignment="1">
      <alignment horizontal="center" vertical="center" shrinkToFit="1"/>
    </xf>
    <xf numFmtId="0" fontId="51" fillId="0" borderId="4" xfId="1" applyNumberFormat="1" applyFont="1" applyFill="1" applyBorder="1" applyAlignment="1">
      <alignment horizontal="center" vertical="center" wrapText="1"/>
    </xf>
    <xf numFmtId="166" fontId="50" fillId="0" borderId="9" xfId="1" applyNumberFormat="1" applyFont="1" applyFill="1" applyBorder="1" applyAlignment="1">
      <alignment horizontal="center" vertical="center" shrinkToFit="1"/>
    </xf>
    <xf numFmtId="3" fontId="52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Border="1" applyAlignment="1"/>
    <xf numFmtId="0" fontId="33" fillId="0" borderId="67" xfId="1" applyNumberFormat="1" applyFont="1" applyBorder="1" applyAlignment="1">
      <alignment horizontal="center" vertical="center" wrapText="1"/>
    </xf>
    <xf numFmtId="0" fontId="33" fillId="0" borderId="68" xfId="1" applyNumberFormat="1" applyFont="1" applyBorder="1" applyAlignment="1">
      <alignment horizontal="center" vertical="center" wrapText="1"/>
    </xf>
    <xf numFmtId="0" fontId="37" fillId="0" borderId="8" xfId="0" applyFont="1" applyBorder="1" applyAlignment="1">
      <alignment horizontal="right"/>
    </xf>
    <xf numFmtId="166" fontId="37" fillId="0" borderId="8" xfId="0" applyNumberFormat="1" applyFont="1" applyBorder="1"/>
    <xf numFmtId="0" fontId="37" fillId="0" borderId="4" xfId="0" applyFont="1" applyFill="1" applyBorder="1"/>
    <xf numFmtId="166" fontId="37" fillId="0" borderId="4" xfId="0" applyNumberFormat="1" applyFont="1" applyFill="1" applyBorder="1"/>
    <xf numFmtId="0" fontId="48" fillId="0" borderId="67" xfId="1" applyNumberFormat="1" applyFont="1" applyBorder="1" applyAlignment="1">
      <alignment horizontal="center" vertical="center" wrapText="1"/>
    </xf>
    <xf numFmtId="0" fontId="48" fillId="0" borderId="68" xfId="1" applyNumberFormat="1" applyFont="1" applyBorder="1" applyAlignment="1">
      <alignment horizontal="center" vertical="center" wrapText="1"/>
    </xf>
    <xf numFmtId="0" fontId="53" fillId="0" borderId="0" xfId="0" applyFont="1" applyAlignment="1">
      <alignment horizontal="left" vertical="center" indent="1"/>
    </xf>
    <xf numFmtId="0" fontId="37" fillId="0" borderId="4" xfId="0" applyFont="1" applyBorder="1"/>
    <xf numFmtId="0" fontId="54" fillId="15" borderId="4" xfId="0" applyFont="1" applyFill="1" applyBorder="1" applyAlignment="1">
      <alignment horizontal="left" vertical="center" wrapText="1" indent="1"/>
    </xf>
    <xf numFmtId="0" fontId="55" fillId="15" borderId="4" xfId="0" applyFont="1" applyFill="1" applyBorder="1" applyAlignment="1">
      <alignment horizontal="left" vertical="center" wrapText="1" indent="1"/>
    </xf>
    <xf numFmtId="0" fontId="6" fillId="0" borderId="4" xfId="1" applyNumberFormat="1" applyFont="1" applyFill="1" applyBorder="1" applyAlignment="1">
      <alignment horizontal="left" vertical="top"/>
    </xf>
    <xf numFmtId="0" fontId="23" fillId="0" borderId="4" xfId="1" applyNumberFormat="1" applyFont="1" applyFill="1" applyBorder="1" applyAlignment="1">
      <alignment horizontal="left" vertical="top" wrapText="1"/>
    </xf>
    <xf numFmtId="166" fontId="25" fillId="0" borderId="9" xfId="1" applyNumberFormat="1" applyFont="1" applyFill="1" applyBorder="1" applyAlignment="1">
      <alignment horizontal="left" vertical="top" shrinkToFit="1"/>
    </xf>
    <xf numFmtId="0" fontId="24" fillId="0" borderId="4" xfId="0" applyFont="1" applyFill="1" applyBorder="1"/>
    <xf numFmtId="166" fontId="24" fillId="0" borderId="4" xfId="0" applyNumberFormat="1" applyFont="1" applyFill="1" applyBorder="1"/>
    <xf numFmtId="0" fontId="25" fillId="0" borderId="30" xfId="0" applyFont="1" applyFill="1" applyBorder="1" applyAlignment="1">
      <alignment horizontal="right" vertical="center" wrapText="1"/>
    </xf>
    <xf numFmtId="0" fontId="25" fillId="0" borderId="2" xfId="0" applyFont="1" applyFill="1" applyBorder="1" applyAlignment="1">
      <alignment horizontal="right" vertical="center" wrapText="1"/>
    </xf>
    <xf numFmtId="0" fontId="25" fillId="0" borderId="30" xfId="0" applyFont="1" applyFill="1" applyBorder="1" applyAlignment="1">
      <alignment vertical="center" wrapText="1"/>
    </xf>
    <xf numFmtId="0" fontId="25" fillId="0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61" xfId="0" applyFont="1" applyFill="1" applyBorder="1" applyAlignment="1">
      <alignment vertical="center" wrapText="1"/>
    </xf>
    <xf numFmtId="0" fontId="25" fillId="0" borderId="63" xfId="0" applyFont="1" applyFill="1" applyBorder="1" applyAlignment="1">
      <alignment vertical="center" wrapText="1"/>
    </xf>
    <xf numFmtId="0" fontId="25" fillId="0" borderId="62" xfId="0" applyFont="1" applyFill="1" applyBorder="1" applyAlignment="1">
      <alignment vertical="center" wrapText="1"/>
    </xf>
    <xf numFmtId="0" fontId="6" fillId="0" borderId="61" xfId="0" applyFont="1" applyFill="1" applyBorder="1" applyAlignment="1">
      <alignment horizontal="center" vertical="center" wrapText="1"/>
    </xf>
    <xf numFmtId="0" fontId="6" fillId="0" borderId="62" xfId="0" applyFont="1" applyFill="1" applyBorder="1" applyAlignment="1">
      <alignment horizontal="center" vertical="center" wrapText="1"/>
    </xf>
    <xf numFmtId="0" fontId="25" fillId="14" borderId="30" xfId="0" applyFont="1" applyFill="1" applyBorder="1" applyAlignment="1">
      <alignment vertical="center" wrapText="1"/>
    </xf>
    <xf numFmtId="0" fontId="25" fillId="14" borderId="64" xfId="0" applyFont="1" applyFill="1" applyBorder="1" applyAlignment="1">
      <alignment vertical="center" wrapText="1"/>
    </xf>
    <xf numFmtId="0" fontId="25" fillId="14" borderId="2" xfId="0" applyFont="1" applyFill="1" applyBorder="1" applyAlignment="1">
      <alignment vertical="center" wrapText="1"/>
    </xf>
    <xf numFmtId="0" fontId="6" fillId="14" borderId="30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25" fillId="0" borderId="64" xfId="0" applyFont="1" applyFill="1" applyBorder="1" applyAlignment="1">
      <alignment vertical="center" wrapText="1"/>
    </xf>
    <xf numFmtId="0" fontId="6" fillId="0" borderId="3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57" xfId="0" applyFont="1" applyFill="1" applyBorder="1" applyAlignment="1">
      <alignment horizontal="right" vertical="center"/>
    </xf>
    <xf numFmtId="0" fontId="6" fillId="0" borderId="66" xfId="0" applyFont="1" applyFill="1" applyBorder="1" applyAlignment="1">
      <alignment horizontal="right" vertical="center"/>
    </xf>
    <xf numFmtId="0" fontId="37" fillId="0" borderId="0" xfId="0" applyFont="1" applyAlignment="1">
      <alignment horizontal="center"/>
    </xf>
    <xf numFmtId="0" fontId="25" fillId="13" borderId="30" xfId="0" applyFont="1" applyFill="1" applyBorder="1" applyAlignment="1">
      <alignment vertical="center" wrapText="1"/>
    </xf>
    <xf numFmtId="0" fontId="25" fillId="13" borderId="64" xfId="0" applyFont="1" applyFill="1" applyBorder="1" applyAlignment="1">
      <alignment vertical="center" wrapText="1"/>
    </xf>
    <xf numFmtId="0" fontId="25" fillId="13" borderId="2" xfId="0" applyFont="1" applyFill="1" applyBorder="1" applyAlignment="1">
      <alignment vertical="center" wrapText="1"/>
    </xf>
    <xf numFmtId="0" fontId="6" fillId="13" borderId="30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37" fillId="0" borderId="65" xfId="0" applyFont="1" applyBorder="1" applyAlignment="1">
      <alignment horizontal="center"/>
    </xf>
    <xf numFmtId="0" fontId="37" fillId="0" borderId="35" xfId="0" applyFont="1" applyBorder="1" applyAlignment="1">
      <alignment horizontal="center"/>
    </xf>
    <xf numFmtId="0" fontId="6" fillId="0" borderId="57" xfId="0" applyFont="1" applyFill="1" applyBorder="1" applyAlignment="1">
      <alignment horizontal="center" vertical="center"/>
    </xf>
    <xf numFmtId="0" fontId="37" fillId="0" borderId="58" xfId="0" applyFont="1" applyBorder="1" applyAlignment="1">
      <alignment horizontal="center"/>
    </xf>
    <xf numFmtId="0" fontId="37" fillId="0" borderId="0" xfId="0" applyFont="1" applyBorder="1" applyAlignment="1">
      <alignment horizontal="center"/>
    </xf>
    <xf numFmtId="0" fontId="12" fillId="4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12" borderId="4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12" fillId="4" borderId="4" xfId="0" applyFont="1" applyFill="1" applyBorder="1" applyAlignment="1">
      <alignment horizontal="center" wrapText="1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top style="thin">
          <color rgb="FF000000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166" formatCode="0.0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theme="6" tint="0.79998168889431442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1" name="Таблица1" displayName="Таблица1" ref="A5:S282" totalsRowShown="0" headerRowDxfId="213" dataDxfId="212" tableBorderDxfId="211">
  <autoFilter ref="A5:S282"/>
  <tableColumns count="19">
    <tableColumn id="1" name="Номер п/п" dataDxfId="210"/>
    <tableColumn id="2" name="Код узла ИСР" dataDxfId="209"/>
    <tableColumn id="3" name="Наименование затрат" dataDxfId="208"/>
    <tableColumn id="4" name="Комментарий по ИСР" dataDxfId="207"/>
    <tableColumn id="5" name="Комментарий подрядчика" dataDxfId="206"/>
    <tableColumn id="6" name="Ед. изм." dataDxfId="205"/>
    <tableColumn id="7" name="Коэф.расхода" dataDxfId="204"/>
    <tableColumn id="8" name="Общее кол-во" dataDxfId="203"/>
    <tableColumn id="19" name="Сумма" dataDxfId="202"/>
    <tableColumn id="9" name="1.1-Ст" dataDxfId="201"/>
    <tableColumn id="10" name="1.2-Ст" dataDxfId="200"/>
    <tableColumn id="11" name="1.3-Ст" dataDxfId="199"/>
    <tableColumn id="12" name="1.4-Ст" dataDxfId="198"/>
    <tableColumn id="13" name="1.5-Ст" dataDxfId="197"/>
    <tableColumn id="14" name="2.1-Ст2" dataDxfId="196"/>
    <tableColumn id="15" name="2.2-Ст" dataDxfId="195"/>
    <tableColumn id="16" name="2.3-Ст" dataDxfId="194"/>
    <tableColumn id="17" name="2.4-Ст" dataDxfId="193"/>
    <tableColumn id="18" name="2.5-Ст" dataDxfId="19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1:G899" totalsRowShown="0" headerRowDxfId="191" dataDxfId="189" headerRowBorderDxfId="190" tableBorderDxfId="188" totalsRowBorderDxfId="187">
  <autoFilter ref="A1:G899">
    <filterColumn colId="2">
      <filters>
        <filter val="1 023"/>
      </filters>
    </filterColumn>
    <filterColumn colId="5">
      <filters blank="1">
        <filter val="Отделка перегородок и стен из газобетона"/>
        <filter val="Отделка перегородок и стен из Газобетона, Кирпича"/>
        <filter val="Отделка перегородок и стен из Газобетона, Кирпича. Мокрые помещения"/>
        <filter val="Отделка перегородок и стен из Газобетона, Кирпича._x000a_Мокрые помещения"/>
        <filter val="Отделка перегородок и стен из кирпича"/>
        <filter val="Отделка перегородок и стен из кирпича. Выше уровня плитки"/>
        <filter val="Отделка стен из железобетона"/>
      </filters>
    </filterColumn>
  </autoFilter>
  <tableColumns count="7">
    <tableColumn id="1" name="Этаж" dataDxfId="186" dataCellStyle="Обычный 2"/>
    <tableColumn id="2" name="Секция" dataDxfId="185" dataCellStyle="Обычный 2"/>
    <tableColumn id="3" name="№ помеще_x000a_ния" dataDxfId="184" dataCellStyle="Обычный 2"/>
    <tableColumn id="4" name="Марка" dataDxfId="183" dataCellStyle="Обычный 2"/>
    <tableColumn id="5" name="Площадь" dataDxfId="182" dataCellStyle="Обычный 2"/>
    <tableColumn id="6" name="Примечание" dataDxfId="181" dataCellStyle="Обычный 2"/>
    <tableColumn id="7" name="Состав  отделки" dataDxfId="180" dataCellStyle="Обычный 2"/>
  </tableColumns>
  <tableStyleInfo name="TableStyleLight4" showFirstColumn="0" showLastColumn="0" showRowStripes="1" showColumnStripes="0"/>
</table>
</file>

<file path=xl/tables/table3.xml><?xml version="1.0" encoding="utf-8"?>
<table xmlns="http://schemas.openxmlformats.org/spreadsheetml/2006/main" id="20" name="Таблица182021" displayName="Таблица182021" ref="A8:D70" totalsRowShown="0" headerRowDxfId="179" dataDxfId="177" headerRowBorderDxfId="178" tableBorderDxfId="176" headerRowCellStyle="Обычный 2">
  <autoFilter ref="A8:D70"/>
  <tableColumns count="4">
    <tableColumn id="1" name="Этаж" dataDxfId="175"/>
    <tableColumn id="2" name="Секция" dataDxfId="174"/>
    <tableColumn id="4" name="Марка" dataDxfId="173" dataCellStyle="Обычный 2"/>
    <tableColumn id="5" name="Площадь" dataDxfId="17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15" name="Таблица1416" displayName="Таблица1416" ref="A8:E60" totalsRowShown="0" headerRowDxfId="171" dataDxfId="169" headerRowBorderDxfId="170" tableBorderDxfId="168" totalsRowBorderDxfId="167" headerRowCellStyle="Обычный 2">
  <autoFilter ref="A8:E60"/>
  <sortState ref="A9:E59">
    <sortCondition ref="C8:C59"/>
  </sortState>
  <tableColumns count="5">
    <tableColumn id="1" name="Этаж" dataDxfId="166" dataCellStyle="Обычный 2"/>
    <tableColumn id="2" name="Секция" dataDxfId="165" dataCellStyle="Обычный 2"/>
    <tableColumn id="3" name="№ помеще_x000a_ния" dataDxfId="164" dataCellStyle="Обычный 2"/>
    <tableColumn id="4" name="Марка" dataDxfId="163" dataCellStyle="Обычный 2"/>
    <tableColumn id="5" name="Площадь" dataDxfId="162" dataCellStyle="Обычный 2">
      <calculatedColumnFormula>SUM(SUMIF(Таблица17[№ помеще
ния],Таблица1416[[#This Row],[№ помеще
ния]],Таблица17[Площадь]))</calculatedColumnFormula>
    </tableColumn>
  </tableColumns>
  <tableStyleInfo name="TableStyleLight4" showFirstColumn="0" showLastColumn="0" showRowStripes="1" showColumnStripes="0"/>
</table>
</file>

<file path=xl/tables/table5.xml><?xml version="1.0" encoding="utf-8"?>
<table xmlns="http://schemas.openxmlformats.org/spreadsheetml/2006/main" id="17" name="Таблица17" displayName="Таблица17" ref="A64:E199" totalsRowShown="0" headerRowDxfId="161" dataDxfId="159" headerRowBorderDxfId="160" tableBorderDxfId="158" totalsRowBorderDxfId="157" headerRowCellStyle="Обычный 2">
  <autoFilter ref="A64:E199">
    <filterColumn colId="3">
      <filters>
        <filter val="ЧН-11"/>
      </filters>
    </filterColumn>
  </autoFilter>
  <sortState ref="A64:E208">
    <sortCondition ref="C63:C208"/>
  </sortState>
  <tableColumns count="5">
    <tableColumn id="1" name="Этаж" dataDxfId="156" dataCellStyle="Обычный 2"/>
    <tableColumn id="2" name="Секция" dataDxfId="155" dataCellStyle="Обычный 2"/>
    <tableColumn id="3" name="№ помеще_x000a_ния" dataDxfId="154" dataCellStyle="Обычный 2"/>
    <tableColumn id="4" name="Марка" dataDxfId="153" dataCellStyle="Обычный 2"/>
    <tableColumn id="5" name="Площадь" dataDxfId="152" dataCellStyle="Обычный 2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19" name="Таблица1820" displayName="Таблица1820" ref="A203:D265" totalsRowShown="0" headerRowDxfId="151" dataDxfId="149" headerRowBorderDxfId="150" tableBorderDxfId="148" headerRowCellStyle="Обычный 2">
  <autoFilter ref="A203:D265"/>
  <tableColumns count="4">
    <tableColumn id="1" name="Этаж" dataDxfId="147"/>
    <tableColumn id="2" name="Секция" dataDxfId="146"/>
    <tableColumn id="4" name="Марка" dataDxfId="145" dataCellStyle="Обычный 2"/>
    <tableColumn id="5" name="Площадь" dataDxfId="144">
      <calculatedColumnFormula>SUM(SUMIFS(Таблица17[Площадь],Таблица17[Этаж],Таблица1820[[#This Row],[Этаж]],Таблица17[Секция],Таблица1820[[#This Row],[Секция]],Таблица17[Марка],Таблица1820[[#This Row],[Марка]]))</calculatedColumnFormula>
    </tableColumn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4" name="Таблица14" displayName="Таблица14" ref="A8:E280" totalsRowShown="0" headerRowDxfId="143" dataDxfId="141" headerRowBorderDxfId="142" tableBorderDxfId="140" totalsRowBorderDxfId="139" headerRowCellStyle="Обычный 2">
  <autoFilter ref="A8:E280">
    <filterColumn colId="2">
      <customFilters>
        <customFilter operator="notEqual" val=" "/>
      </customFilters>
    </filterColumn>
  </autoFilter>
  <tableColumns count="5">
    <tableColumn id="1" name="Этаж" dataDxfId="138" dataCellStyle="Обычный 2"/>
    <tableColumn id="2" name="Секция" dataDxfId="137" dataCellStyle="Обычный 2"/>
    <tableColumn id="3" name="№ помеще_x000a_ния" dataDxfId="136" dataCellStyle="Обычный 2"/>
    <tableColumn id="4" name="Марка" dataDxfId="135" dataCellStyle="Обычный 2"/>
    <tableColumn id="5" name="Площадь" dataDxfId="134" dataCellStyle="Обычный 2"/>
  </tableColumns>
  <tableStyleInfo name="TableStyleLight4" showFirstColumn="0" showLastColumn="0" showRowStripes="1" showColumnStripes="0"/>
</table>
</file>

<file path=xl/tables/table8.xml><?xml version="1.0" encoding="utf-8"?>
<table xmlns="http://schemas.openxmlformats.org/spreadsheetml/2006/main" id="16" name="Таблица1417" displayName="Таблица1417" ref="A4:E9" totalsRowShown="0" headerRowDxfId="133" dataDxfId="131" headerRowBorderDxfId="132" tableBorderDxfId="130" totalsRowBorderDxfId="129" headerRowCellStyle="Обычный 2">
  <autoFilter ref="A4:E9"/>
  <tableColumns count="5">
    <tableColumn id="1" name="Этаж" dataDxfId="128" dataCellStyle="Обычный 2"/>
    <tableColumn id="2" name="Секция" dataDxfId="127" dataCellStyle="Обычный 2"/>
    <tableColumn id="3" name="№ помеще_x000a_ния" dataDxfId="126" dataCellStyle="Обычный 2"/>
    <tableColumn id="4" name="Марка" dataDxfId="125" dataCellStyle="Обычный 2"/>
    <tableColumn id="5" name="Площадь" dataDxfId="124" dataCellStyle="Обычный 2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id="13" name="Таблица414" displayName="Таблица414" ref="A1:F125" totalsRowShown="0" headerRowDxfId="123" headerRowBorderDxfId="122" tableBorderDxfId="121" totalsRowBorderDxfId="120">
  <autoFilter ref="A1:F125">
    <filterColumn colId="0">
      <filters>
        <filter val="1"/>
      </filters>
    </filterColumn>
    <filterColumn colId="1">
      <filters>
        <filter val="3"/>
      </filters>
    </filterColumn>
  </autoFilter>
  <sortState ref="A2:F46">
    <sortCondition ref="C1:C46"/>
  </sortState>
  <tableColumns count="6">
    <tableColumn id="1" name="Этаж" dataDxfId="119" dataCellStyle="Обычный 2"/>
    <tableColumn id="2" name="Секция" dataDxfId="118" dataCellStyle="Обычный 2"/>
    <tableColumn id="3" name="№ помеще_x000a_ния" dataDxfId="117" dataCellStyle="Обычный 2"/>
    <tableColumn id="4" name="Марка" dataDxfId="116" dataCellStyle="Обычный 2"/>
    <tableColumn id="5" name="Площадь" dataDxfId="115" dataCellStyle="Обычный 2"/>
    <tableColumn id="6" name="Примечание" dataDxfId="114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2" name="Таблица2" displayName="Таблица2" ref="A2:H25" totalsRowShown="0" headerRowDxfId="113" dataDxfId="111" headerRowBorderDxfId="112" tableBorderDxfId="110">
  <autoFilter ref="A2:H25"/>
  <sortState ref="A3:H25">
    <sortCondition ref="B2:B25"/>
  </sortState>
  <tableColumns count="8">
    <tableColumn id="1" name="Номер п/п" dataDxfId="109"/>
    <tableColumn id="3" name="Секция" dataDxfId="108"/>
    <tableColumn id="2" name="Этаж" dataDxfId="107"/>
    <tableColumn id="4" name="Тип" dataDxfId="106"/>
    <tableColumn id="5" name="шт." dataDxfId="105"/>
    <tableColumn id="6" name="кг/1шт" dataDxfId="104"/>
    <tableColumn id="7" name="Ед. изм." dataDxfId="103"/>
    <tableColumn id="8" name="Общее кол-во" dataDxfId="102">
      <calculatedColumnFormula>E3*F3/1000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1" name="Таблица11" displayName="Таблица11" ref="A2:I16" totalsRowShown="0" headerRowDxfId="101" dataDxfId="100" tableBorderDxfId="99">
  <tableColumns count="9">
    <tableColumn id="1" name="Секция" dataDxfId="98"/>
    <tableColumn id="2" name="1" dataDxfId="97">
      <calculatedColumnFormula>SUMIF(Таблица4[Марка],A3,Таблица4[Площадь])</calculatedColumnFormula>
    </tableColumn>
    <tableColumn id="3" name="3" dataDxfId="96">
      <calculatedColumnFormula>SUMIF(Таблица46[Марка],A3,Таблица46[Площадь])</calculatedColumnFormula>
    </tableColumn>
    <tableColumn id="4" name="1с " dataDxfId="95">
      <calculatedColumnFormula>SUMIF(Таблица467[Марка],A3,Таблица467[Площадь])</calculatedColumnFormula>
    </tableColumn>
    <tableColumn id="5" name="3с" dataDxfId="94">
      <calculatedColumnFormula>SUMIF(Таблица4678[Марка],A3,Таблица4678[Площадь])</calculatedColumnFormula>
    </tableColumn>
    <tableColumn id="6" name="1 с " dataDxfId="93">
      <calculatedColumnFormula>SUMIF(Таблица46789[Марка],A3,Таблица46789[Площадь])</calculatedColumnFormula>
    </tableColumn>
    <tableColumn id="7" name="3 с" dataDxfId="92">
      <calculatedColumnFormula>SUMIF(Таблица4678910[Марка],A3,Таблица4678910[Площадь])</calculatedColumnFormula>
    </tableColumn>
    <tableColumn id="8" name="3  с" dataDxfId="91">
      <calculatedColumnFormula>SUMIF(Таблица467891011[Марка],A3,Таблица467891011[Площадь])</calculatedColumnFormula>
    </tableColumn>
    <tableColumn id="9" name="Итог:" dataDxfId="90">
      <calculatedColumnFormula>SUM(B3:H3)</calculatedColumnFormula>
    </tableColumn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Таблица1113" displayName="Таблица1113" ref="A2:I19" totalsRowShown="0" headerRowDxfId="89" dataDxfId="88" tableBorderDxfId="87">
  <autoFilter ref="A2:I19"/>
  <tableColumns count="9">
    <tableColumn id="1" name="Секция" dataDxfId="86"/>
    <tableColumn id="2" name="1" dataDxfId="85">
      <calculatedColumnFormula>SUMIF(Таблица4[Марка],A3,Таблица4[Площадь])</calculatedColumnFormula>
    </tableColumn>
    <tableColumn id="3" name="3" dataDxfId="84">
      <calculatedColumnFormula>SUMIF(Таблица46[Марка],A3,Таблица46[Площадь])</calculatedColumnFormula>
    </tableColumn>
    <tableColumn id="4" name="12" dataDxfId="83">
      <calculatedColumnFormula>SUMIF(Таблица467[Марка],A3,Таблица467[Площадь])</calculatedColumnFormula>
    </tableColumn>
    <tableColumn id="5" name="33" dataDxfId="82">
      <calculatedColumnFormula>SUMIF(Таблица4678[Марка],A3,Таблица4678[Площадь])</calculatedColumnFormula>
    </tableColumn>
    <tableColumn id="6" name="14" dataDxfId="81">
      <calculatedColumnFormula>SUMIF(Таблица46789[Марка],A3,Таблица46789[Площадь])</calculatedColumnFormula>
    </tableColumn>
    <tableColumn id="7" name="35" dataDxfId="80">
      <calculatedColumnFormula>SUMIF(Таблица4678910[Марка],A3,Таблица4678910[Площадь])</calculatedColumnFormula>
    </tableColumn>
    <tableColumn id="8" name="36" dataDxfId="79">
      <calculatedColumnFormula>SUMIF(Таблица467891011[Марка],A3,Таблица467891011[Площадь])</calculatedColumnFormula>
    </tableColumn>
    <tableColumn id="9" name="Итог:" dataDxfId="78">
      <calculatedColumnFormula>SUM(B3:H3)</calculatedColumnFormula>
    </tableColumn>
  </tableColumns>
  <tableStyleInfo name="TableStyleLight6" showFirstColumn="0" showLastColumn="0" showRowStripes="1" showColumnStripes="0"/>
</table>
</file>

<file path=xl/tables/table13.xml><?xml version="1.0" encoding="utf-8"?>
<table xmlns="http://schemas.openxmlformats.org/spreadsheetml/2006/main" id="4" name="Таблица4" displayName="Таблица4" ref="A1:F37" totalsRowShown="0" dataDxfId="76" headerRowBorderDxfId="77" tableBorderDxfId="75" totalsRowBorderDxfId="74">
  <autoFilter ref="A1:F37"/>
  <sortState ref="A2:F46">
    <sortCondition ref="C1:C46"/>
  </sortState>
  <tableColumns count="6">
    <tableColumn id="1" name="Этаж" dataDxfId="73" dataCellStyle="Обычный 2"/>
    <tableColumn id="2" name="Секция" dataDxfId="72" dataCellStyle="Обычный 2"/>
    <tableColumn id="3" name="№ помеще_x000a_ния" dataDxfId="71" dataCellStyle="Обычный 2"/>
    <tableColumn id="4" name="Марка" dataDxfId="70" dataCellStyle="Обычный 2"/>
    <tableColumn id="5" name="Площадь" dataDxfId="69" dataCellStyle="Обычный 2"/>
    <tableColumn id="6" name="Примечание" dataDxfId="68" dataCellStyle="Обычный 2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5" name="Таблица46" displayName="Таблица46" ref="A1:F29" totalsRowShown="0" headerRowDxfId="67" dataDxfId="65" headerRowBorderDxfId="66" tableBorderDxfId="64" totalsRowBorderDxfId="63">
  <autoFilter ref="A1:F29"/>
  <tableColumns count="6">
    <tableColumn id="1" name="Этаж" dataDxfId="62" dataCellStyle="Обычный 2"/>
    <tableColumn id="2" name="Секция" dataDxfId="61" dataCellStyle="Обычный 2"/>
    <tableColumn id="3" name="№ помеще_x000a_ния" dataDxfId="60" dataCellStyle="Обычный 2"/>
    <tableColumn id="4" name="Марка" dataDxfId="59" dataCellStyle="Обычный 2"/>
    <tableColumn id="5" name="Площадь" dataDxfId="58" dataCellStyle="Обычный 2"/>
    <tableColumn id="6" name="Примечание" dataDxfId="57" dataCellStyle="Обычный 2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6" name="Таблица467" displayName="Таблица467" ref="A1:F31" totalsRowShown="0" headerRowDxfId="56" dataDxfId="54" headerRowBorderDxfId="55" tableBorderDxfId="53" totalsRowBorderDxfId="52">
  <autoFilter ref="A1:F31"/>
  <sortState ref="A2:F39">
    <sortCondition ref="C1:C39"/>
  </sortState>
  <tableColumns count="6">
    <tableColumn id="1" name="Этаж" dataDxfId="51" dataCellStyle="Обычный 2"/>
    <tableColumn id="2" name="Секция" dataDxfId="50" dataCellStyle="Обычный 2"/>
    <tableColumn id="3" name="№ помеще_x000a_ния" dataDxfId="49" dataCellStyle="Обычный 2"/>
    <tableColumn id="4" name="Марка" dataDxfId="48" dataCellStyle="Обычный 2"/>
    <tableColumn id="5" name="Площадь" dataDxfId="47" dataCellStyle="Обычный 2"/>
    <tableColumn id="6" name="Примечание" dataDxfId="46" dataCellStyle="Обычный 2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id="7" name="Таблица4678" displayName="Таблица4678" ref="A1:F31" totalsRowShown="0" headerRowDxfId="45" dataDxfId="43" headerRowBorderDxfId="44" tableBorderDxfId="42" totalsRowBorderDxfId="41">
  <autoFilter ref="A1:F31"/>
  <sortState ref="A2:F38">
    <sortCondition ref="C1:C38"/>
  </sortState>
  <tableColumns count="6">
    <tableColumn id="1" name="Этаж" dataDxfId="40" dataCellStyle="Обычный 2"/>
    <tableColumn id="2" name="Секция" dataDxfId="39" dataCellStyle="Обычный 2"/>
    <tableColumn id="3" name="№ помеще_x000a_ния" dataDxfId="38" dataCellStyle="Обычный"/>
    <tableColumn id="4" name="Марка" dataDxfId="37" dataCellStyle="Обычный 2"/>
    <tableColumn id="5" name="Площадь" dataDxfId="36" dataCellStyle="Обычный 2"/>
    <tableColumn id="6" name="Примечание" dataDxfId="35" dataCellStyle="Обычный 2"/>
  </tableColumns>
  <tableStyleInfo name="TableStyleLight2" showFirstColumn="0" showLastColumn="0" showRowStripes="1" showColumnStripes="0"/>
</table>
</file>

<file path=xl/tables/table17.xml><?xml version="1.0" encoding="utf-8"?>
<table xmlns="http://schemas.openxmlformats.org/spreadsheetml/2006/main" id="8" name="Таблица46789" displayName="Таблица46789" ref="A1:F9" totalsRowShown="0" headerRowDxfId="34" dataDxfId="32" headerRowBorderDxfId="33" tableBorderDxfId="31" totalsRowBorderDxfId="30">
  <autoFilter ref="A1:F9"/>
  <tableColumns count="6">
    <tableColumn id="1" name="Этаж" dataDxfId="29" dataCellStyle="Обычный 2"/>
    <tableColumn id="2" name="Секция" dataDxfId="28" dataCellStyle="Обычный 2"/>
    <tableColumn id="3" name="№ помеще_x000a_ния" dataDxfId="27" dataCellStyle="Обычный 2"/>
    <tableColumn id="4" name="Марка" dataDxfId="26" dataCellStyle="Обычный 2"/>
    <tableColumn id="5" name="Площадь" dataDxfId="25" dataCellStyle="Обычный 2"/>
    <tableColumn id="6" name="Примечание" dataDxfId="24" dataCellStyle="Обычный 2"/>
  </tableColumns>
  <tableStyleInfo name="TableStyleLight2" showFirstColumn="0" showLastColumn="0" showRowStripes="1" showColumnStripes="0"/>
</table>
</file>

<file path=xl/tables/table18.xml><?xml version="1.0" encoding="utf-8"?>
<table xmlns="http://schemas.openxmlformats.org/spreadsheetml/2006/main" id="9" name="Таблица4678910" displayName="Таблица4678910" ref="A1:F25" totalsRowShown="0" headerRowDxfId="23" dataDxfId="21" headerRowBorderDxfId="22" tableBorderDxfId="20" totalsRowBorderDxfId="19">
  <autoFilter ref="A1:F25"/>
  <sortState ref="A2:F29">
    <sortCondition ref="C1:C29"/>
  </sortState>
  <tableColumns count="6">
    <tableColumn id="1" name="Этаж" dataDxfId="18" dataCellStyle="Обычный 2"/>
    <tableColumn id="2" name="Секция" dataDxfId="17" dataCellStyle="Обычный 2"/>
    <tableColumn id="3" name="№ помеще_x000a_ния" dataDxfId="16" dataCellStyle="Обычный 2"/>
    <tableColumn id="4" name="Марка" dataDxfId="15" dataCellStyle="Обычный 2"/>
    <tableColumn id="5" name="Площадь" dataDxfId="14" dataCellStyle="Обычный 2"/>
    <tableColumn id="6" name="Примечание" dataDxfId="13" dataCellStyle="Обычный 2"/>
  </tableColumns>
  <tableStyleInfo name="TableStyleLight2" showFirstColumn="0" showLastColumn="0" showRowStripes="1" showColumnStripes="0"/>
</table>
</file>

<file path=xl/tables/table19.xml><?xml version="1.0" encoding="utf-8"?>
<table xmlns="http://schemas.openxmlformats.org/spreadsheetml/2006/main" id="10" name="Таблица467891011" displayName="Таблица467891011" ref="A1:F35" totalsRowShown="0" headerRowDxfId="12" dataDxfId="10" headerRowBorderDxfId="11" tableBorderDxfId="9" totalsRowBorderDxfId="8">
  <autoFilter ref="A1:F35"/>
  <sortState ref="A2:F41">
    <sortCondition ref="C1:C41"/>
  </sortState>
  <tableColumns count="6">
    <tableColumn id="1" name="Этаж" dataDxfId="7" dataCellStyle="Обычный 2"/>
    <tableColumn id="2" name="Секция" dataDxfId="6" dataCellStyle="Обычный 2"/>
    <tableColumn id="3" name="№ помеще_x000a_ния" dataDxfId="5" dataCellStyle="Обычный 2"/>
    <tableColumn id="4" name="Марка" dataDxfId="4" dataCellStyle="Обычный 2"/>
    <tableColumn id="5" name="Площадь" dataDxfId="3" dataCellStyle="Обычный 2"/>
    <tableColumn id="6" name="Примечание" dataDxfId="2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>
      <selection activeCell="C17" sqref="C17:C18"/>
    </sheetView>
  </sheetViews>
  <sheetFormatPr defaultRowHeight="14.4" x14ac:dyDescent="0.3"/>
  <cols>
    <col min="1" max="1" width="6.33203125" customWidth="1"/>
    <col min="2" max="2" width="15.88671875" customWidth="1"/>
    <col min="3" max="3" width="18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6" t="s">
        <v>728</v>
      </c>
      <c r="B1" s="430" t="s">
        <v>729</v>
      </c>
      <c r="C1" s="431"/>
      <c r="D1" s="349" t="s">
        <v>228</v>
      </c>
      <c r="E1" s="346" t="s">
        <v>14</v>
      </c>
      <c r="F1" s="350" t="s">
        <v>730</v>
      </c>
    </row>
    <row r="2" spans="1:6" ht="64.2" customHeight="1" x14ac:dyDescent="0.3">
      <c r="A2" s="346">
        <v>1</v>
      </c>
      <c r="B2" s="432" t="s">
        <v>119</v>
      </c>
      <c r="C2" s="433"/>
      <c r="D2" s="349" t="s">
        <v>797</v>
      </c>
      <c r="E2" s="346" t="s">
        <v>23</v>
      </c>
      <c r="F2" s="355">
        <f>C5</f>
        <v>227.9</v>
      </c>
    </row>
    <row r="3" spans="1:6" x14ac:dyDescent="0.3">
      <c r="A3" s="434"/>
      <c r="B3" s="434"/>
      <c r="C3" s="434"/>
      <c r="D3" s="434"/>
      <c r="E3" s="434"/>
      <c r="F3" s="434"/>
    </row>
    <row r="4" spans="1:6" ht="15.6" x14ac:dyDescent="0.3">
      <c r="A4" s="346" t="s">
        <v>728</v>
      </c>
      <c r="B4" s="346" t="s">
        <v>798</v>
      </c>
      <c r="C4" s="346" t="s">
        <v>799</v>
      </c>
      <c r="D4" s="435"/>
      <c r="E4" s="434"/>
      <c r="F4" s="434"/>
    </row>
    <row r="5" spans="1:6" ht="15.6" x14ac:dyDescent="0.3">
      <c r="A5" s="346">
        <v>1</v>
      </c>
      <c r="B5" s="346" t="s">
        <v>815</v>
      </c>
      <c r="C5" s="360">
        <v>227.9</v>
      </c>
      <c r="D5" s="435"/>
      <c r="E5" s="434"/>
      <c r="F5" s="434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6"/>
  <sheetViews>
    <sheetView workbookViewId="0">
      <selection activeCell="D16" sqref="D16"/>
    </sheetView>
  </sheetViews>
  <sheetFormatPr defaultRowHeight="14.4" x14ac:dyDescent="0.3"/>
  <cols>
    <col min="1" max="1" width="8" customWidth="1"/>
    <col min="2" max="2" width="15.88671875" customWidth="1"/>
    <col min="3" max="3" width="20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46" t="s">
        <v>728</v>
      </c>
      <c r="B1" s="430" t="s">
        <v>729</v>
      </c>
      <c r="C1" s="431"/>
      <c r="D1" s="349" t="s">
        <v>228</v>
      </c>
      <c r="E1" s="346" t="s">
        <v>14</v>
      </c>
      <c r="F1" s="350" t="s">
        <v>730</v>
      </c>
    </row>
    <row r="2" spans="1:6" ht="64.2" customHeight="1" x14ac:dyDescent="0.3">
      <c r="A2" s="346">
        <v>2</v>
      </c>
      <c r="B2" s="432" t="s">
        <v>119</v>
      </c>
      <c r="C2" s="433"/>
      <c r="D2" s="349" t="s">
        <v>797</v>
      </c>
      <c r="E2" s="346" t="s">
        <v>23</v>
      </c>
      <c r="F2" s="355">
        <f>C5+C6</f>
        <v>383.86699999999996</v>
      </c>
    </row>
    <row r="3" spans="1:6" x14ac:dyDescent="0.3">
      <c r="A3" s="434"/>
      <c r="B3" s="434"/>
      <c r="C3" s="434"/>
      <c r="D3" s="434"/>
      <c r="E3" s="434"/>
      <c r="F3" s="434"/>
    </row>
    <row r="4" spans="1:6" ht="15.6" x14ac:dyDescent="0.3">
      <c r="A4" s="346" t="s">
        <v>728</v>
      </c>
      <c r="B4" s="346" t="s">
        <v>798</v>
      </c>
      <c r="C4" s="346" t="s">
        <v>799</v>
      </c>
      <c r="D4" s="435"/>
      <c r="E4" s="434"/>
      <c r="F4" s="434"/>
    </row>
    <row r="5" spans="1:6" ht="15.6" x14ac:dyDescent="0.3">
      <c r="A5" s="346">
        <v>1</v>
      </c>
      <c r="B5" s="346" t="s">
        <v>801</v>
      </c>
      <c r="C5" s="360">
        <f>43.18*3.15-2.1*1.6-1</f>
        <v>131.65699999999998</v>
      </c>
      <c r="D5" s="435"/>
      <c r="E5" s="434"/>
      <c r="F5" s="434"/>
    </row>
    <row r="6" spans="1:6" ht="15.6" x14ac:dyDescent="0.3">
      <c r="A6" s="346">
        <v>2</v>
      </c>
      <c r="B6" s="346" t="s">
        <v>800</v>
      </c>
      <c r="C6" s="360">
        <f>81.9*3.15-1.2*2.1-2.1*1.55</f>
        <v>252.21</v>
      </c>
      <c r="D6" s="435"/>
      <c r="E6" s="434"/>
      <c r="F6" s="434"/>
    </row>
  </sheetData>
  <mergeCells count="4">
    <mergeCell ref="B1:C1"/>
    <mergeCell ref="B2:C2"/>
    <mergeCell ref="A3:F3"/>
    <mergeCell ref="D4:F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topLeftCell="A118" zoomScale="55" zoomScaleNormal="55" workbookViewId="0">
      <selection activeCell="E121" sqref="E121"/>
    </sheetView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1.3320312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436" t="s">
        <v>6</v>
      </c>
      <c r="B2" s="436"/>
      <c r="C2" s="436"/>
      <c r="D2" s="436"/>
      <c r="E2" s="436"/>
      <c r="F2" s="436"/>
      <c r="G2" s="436"/>
      <c r="H2" s="436"/>
      <c r="I2" s="47"/>
    </row>
    <row r="3" spans="1:19" ht="15" customHeight="1" x14ac:dyDescent="0.3">
      <c r="A3" s="437" t="s">
        <v>7</v>
      </c>
      <c r="B3" s="437"/>
      <c r="C3" s="437"/>
      <c r="D3" s="437"/>
      <c r="E3" s="437"/>
      <c r="F3" s="437"/>
      <c r="G3" s="437"/>
      <c r="H3" s="437"/>
      <c r="I3" s="48"/>
    </row>
    <row r="4" spans="1:19" ht="15" customHeight="1" thickBot="1" x14ac:dyDescent="0.35">
      <c r="A4" s="438" t="s">
        <v>8</v>
      </c>
      <c r="B4" s="438"/>
      <c r="C4" s="438"/>
      <c r="D4" s="438"/>
      <c r="E4" s="438"/>
      <c r="F4" s="438"/>
      <c r="G4" s="438"/>
      <c r="H4" s="438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727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21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22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22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22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23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" x14ac:dyDescent="0.3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" x14ac:dyDescent="0.3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x14ac:dyDescent="0.3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24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23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x14ac:dyDescent="0.3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" x14ac:dyDescent="0.3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" x14ac:dyDescent="0.3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x14ac:dyDescent="0.3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24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25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25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23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" x14ac:dyDescent="0.3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" x14ac:dyDescent="0.3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x14ac:dyDescent="0.3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26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x14ac:dyDescent="0.3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24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25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23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x14ac:dyDescent="0.3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" x14ac:dyDescent="0.3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" x14ac:dyDescent="0.3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x14ac:dyDescent="0.3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21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27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" x14ac:dyDescent="0.3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" x14ac:dyDescent="0.3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" x14ac:dyDescent="0.3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" x14ac:dyDescent="0.3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x14ac:dyDescent="0.3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x14ac:dyDescent="0.3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x14ac:dyDescent="0.3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36.6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" x14ac:dyDescent="0.3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x14ac:dyDescent="0.3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x14ac:dyDescent="0.3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36.6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ht="36" x14ac:dyDescent="0.3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x14ac:dyDescent="0.3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x14ac:dyDescent="0.3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" x14ac:dyDescent="0.3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x14ac:dyDescent="0.3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customHeight="1" x14ac:dyDescent="0.3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'2.6-Пер -1'!H29</f>
        <v>0.33792519999999993</v>
      </c>
    </row>
    <row r="73" spans="1:19" ht="36" x14ac:dyDescent="0.3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x14ac:dyDescent="0.3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x14ac:dyDescent="0.3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x14ac:dyDescent="0.3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" x14ac:dyDescent="0.3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72.599999999999994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329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8" t="s">
        <v>323</v>
      </c>
      <c r="D102" s="117"/>
      <c r="E102" s="330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t="36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8" t="s">
        <v>396</v>
      </c>
      <c r="D142" s="117"/>
      <c r="E142" s="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330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330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8" t="s">
        <v>406</v>
      </c>
      <c r="D154" s="117"/>
      <c r="E154" s="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108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108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8" t="s">
        <v>445</v>
      </c>
      <c r="D170" s="117"/>
      <c r="E170" s="330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329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8" t="s">
        <v>453</v>
      </c>
      <c r="D178" s="117"/>
      <c r="E178" s="329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899"/>
  <sheetViews>
    <sheetView workbookViewId="0">
      <selection activeCell="F285" sqref="F285"/>
    </sheetView>
  </sheetViews>
  <sheetFormatPr defaultRowHeight="13.2" x14ac:dyDescent="0.3"/>
  <cols>
    <col min="1" max="1" width="8.88671875" style="161"/>
    <col min="2" max="2" width="8.77734375" style="161" customWidth="1"/>
    <col min="3" max="3" width="10.33203125" style="161" customWidth="1"/>
    <col min="4" max="4" width="10.5546875" style="161" customWidth="1"/>
    <col min="5" max="5" width="11.6640625" style="161" customWidth="1"/>
    <col min="6" max="6" width="47.5546875" style="161" customWidth="1"/>
    <col min="7" max="7" width="60.21875" style="143" hidden="1" customWidth="1"/>
    <col min="8" max="16384" width="8.88671875" style="136"/>
  </cols>
  <sheetData>
    <row r="1" spans="1:7" ht="26.4" x14ac:dyDescent="0.3">
      <c r="A1" s="149" t="s">
        <v>252</v>
      </c>
      <c r="B1" s="150" t="s">
        <v>251</v>
      </c>
      <c r="C1" s="151" t="s">
        <v>716</v>
      </c>
      <c r="D1" s="152" t="s">
        <v>634</v>
      </c>
      <c r="E1" s="153" t="s">
        <v>635</v>
      </c>
      <c r="F1" s="154" t="s">
        <v>636</v>
      </c>
      <c r="G1" s="144" t="s">
        <v>683</v>
      </c>
    </row>
    <row r="2" spans="1:7" hidden="1" x14ac:dyDescent="0.3">
      <c r="A2" s="155">
        <v>1</v>
      </c>
      <c r="B2" s="156">
        <v>1</v>
      </c>
      <c r="C2" s="157">
        <v>1001</v>
      </c>
      <c r="D2" s="158" t="s">
        <v>637</v>
      </c>
      <c r="E2" s="159">
        <v>12.6</v>
      </c>
      <c r="F2" s="160" t="s">
        <v>717</v>
      </c>
      <c r="G2" s="145" t="s">
        <v>684</v>
      </c>
    </row>
    <row r="3" spans="1:7" hidden="1" x14ac:dyDescent="0.3">
      <c r="A3" s="155">
        <v>1</v>
      </c>
      <c r="B3" s="156">
        <v>1</v>
      </c>
      <c r="C3" s="157">
        <v>1001</v>
      </c>
      <c r="D3" s="158" t="s">
        <v>638</v>
      </c>
      <c r="E3" s="159">
        <v>55.1</v>
      </c>
      <c r="F3" s="160" t="s">
        <v>718</v>
      </c>
      <c r="G3" s="145" t="s">
        <v>685</v>
      </c>
    </row>
    <row r="4" spans="1:7" hidden="1" x14ac:dyDescent="0.3">
      <c r="A4" s="155">
        <v>1</v>
      </c>
      <c r="B4" s="156">
        <v>1</v>
      </c>
      <c r="C4" s="157">
        <v>1001</v>
      </c>
      <c r="D4" s="158" t="s">
        <v>639</v>
      </c>
      <c r="E4" s="159">
        <v>5.7</v>
      </c>
      <c r="F4" s="160" t="s">
        <v>719</v>
      </c>
      <c r="G4" s="145" t="s">
        <v>686</v>
      </c>
    </row>
    <row r="5" spans="1:7" hidden="1" x14ac:dyDescent="0.3">
      <c r="A5" s="155">
        <v>1</v>
      </c>
      <c r="B5" s="156">
        <v>1</v>
      </c>
      <c r="C5" s="157">
        <v>1001</v>
      </c>
      <c r="D5" s="158" t="s">
        <v>640</v>
      </c>
      <c r="E5" s="159">
        <v>40.4</v>
      </c>
      <c r="F5" s="160" t="s">
        <v>720</v>
      </c>
      <c r="G5" s="145" t="s">
        <v>687</v>
      </c>
    </row>
    <row r="6" spans="1:7" hidden="1" x14ac:dyDescent="0.3">
      <c r="A6" s="155">
        <v>1</v>
      </c>
      <c r="B6" s="156">
        <v>1</v>
      </c>
      <c r="C6" s="157">
        <v>1001</v>
      </c>
      <c r="D6" s="158" t="s">
        <v>641</v>
      </c>
      <c r="E6" s="159">
        <v>15</v>
      </c>
      <c r="F6" s="160" t="s">
        <v>721</v>
      </c>
      <c r="G6" s="145" t="s">
        <v>688</v>
      </c>
    </row>
    <row r="7" spans="1:7" hidden="1" x14ac:dyDescent="0.3">
      <c r="A7" s="155">
        <v>1</v>
      </c>
      <c r="B7" s="156">
        <v>1</v>
      </c>
      <c r="C7" s="157">
        <v>1002</v>
      </c>
      <c r="D7" s="158" t="s">
        <v>637</v>
      </c>
      <c r="E7" s="159">
        <v>6.2</v>
      </c>
      <c r="F7" s="160" t="s">
        <v>717</v>
      </c>
      <c r="G7" s="145" t="s">
        <v>684</v>
      </c>
    </row>
    <row r="8" spans="1:7" hidden="1" x14ac:dyDescent="0.3">
      <c r="A8" s="155">
        <v>1</v>
      </c>
      <c r="B8" s="156">
        <v>1</v>
      </c>
      <c r="C8" s="157">
        <v>1002</v>
      </c>
      <c r="D8" s="158" t="s">
        <v>638</v>
      </c>
      <c r="E8" s="159">
        <v>81.3</v>
      </c>
      <c r="F8" s="160" t="s">
        <v>718</v>
      </c>
      <c r="G8" s="145" t="s">
        <v>685</v>
      </c>
    </row>
    <row r="9" spans="1:7" hidden="1" x14ac:dyDescent="0.3">
      <c r="A9" s="155">
        <v>1</v>
      </c>
      <c r="B9" s="156">
        <v>1</v>
      </c>
      <c r="C9" s="157">
        <v>1002</v>
      </c>
      <c r="D9" s="158" t="s">
        <v>639</v>
      </c>
      <c r="E9" s="159">
        <v>2.9</v>
      </c>
      <c r="F9" s="160" t="s">
        <v>719</v>
      </c>
      <c r="G9" s="145" t="s">
        <v>686</v>
      </c>
    </row>
    <row r="10" spans="1:7" hidden="1" x14ac:dyDescent="0.3">
      <c r="A10" s="155">
        <v>1</v>
      </c>
      <c r="B10" s="156">
        <v>1</v>
      </c>
      <c r="C10" s="157">
        <v>1002</v>
      </c>
      <c r="D10" s="158" t="s">
        <v>640</v>
      </c>
      <c r="E10" s="159">
        <v>10</v>
      </c>
      <c r="F10" s="160" t="s">
        <v>720</v>
      </c>
      <c r="G10" s="145" t="s">
        <v>687</v>
      </c>
    </row>
    <row r="11" spans="1:7" hidden="1" x14ac:dyDescent="0.3">
      <c r="A11" s="155">
        <v>1</v>
      </c>
      <c r="B11" s="156">
        <v>1</v>
      </c>
      <c r="C11" s="157">
        <v>1002</v>
      </c>
      <c r="D11" s="158" t="s">
        <v>641</v>
      </c>
      <c r="E11" s="159">
        <v>3.8</v>
      </c>
      <c r="F11" s="160" t="s">
        <v>721</v>
      </c>
      <c r="G11" s="145" t="s">
        <v>688</v>
      </c>
    </row>
    <row r="12" spans="1:7" hidden="1" x14ac:dyDescent="0.3">
      <c r="A12" s="155">
        <v>1</v>
      </c>
      <c r="B12" s="156">
        <v>1</v>
      </c>
      <c r="C12" s="157">
        <v>1003</v>
      </c>
      <c r="D12" s="158" t="s">
        <v>637</v>
      </c>
      <c r="E12" s="159">
        <v>7.8</v>
      </c>
      <c r="F12" s="160" t="s">
        <v>717</v>
      </c>
      <c r="G12" s="145" t="s">
        <v>684</v>
      </c>
    </row>
    <row r="13" spans="1:7" hidden="1" x14ac:dyDescent="0.3">
      <c r="A13" s="155">
        <v>1</v>
      </c>
      <c r="B13" s="156">
        <v>1</v>
      </c>
      <c r="C13" s="157">
        <v>1003</v>
      </c>
      <c r="D13" s="158" t="s">
        <v>638</v>
      </c>
      <c r="E13" s="159">
        <v>59.9</v>
      </c>
      <c r="F13" s="160" t="s">
        <v>718</v>
      </c>
      <c r="G13" s="145" t="s">
        <v>685</v>
      </c>
    </row>
    <row r="14" spans="1:7" hidden="1" x14ac:dyDescent="0.3">
      <c r="A14" s="155">
        <v>1</v>
      </c>
      <c r="B14" s="156">
        <v>1</v>
      </c>
      <c r="C14" s="157">
        <v>1003</v>
      </c>
      <c r="D14" s="158" t="s">
        <v>639</v>
      </c>
      <c r="E14" s="159">
        <v>5</v>
      </c>
      <c r="F14" s="160" t="s">
        <v>719</v>
      </c>
      <c r="G14" s="145" t="s">
        <v>686</v>
      </c>
    </row>
    <row r="15" spans="1:7" hidden="1" x14ac:dyDescent="0.3">
      <c r="A15" s="155">
        <v>1</v>
      </c>
      <c r="B15" s="156">
        <v>1</v>
      </c>
      <c r="C15" s="157">
        <v>1003</v>
      </c>
      <c r="D15" s="158" t="s">
        <v>640</v>
      </c>
      <c r="E15" s="159">
        <v>31.7</v>
      </c>
      <c r="F15" s="160" t="s">
        <v>720</v>
      </c>
      <c r="G15" s="145" t="s">
        <v>687</v>
      </c>
    </row>
    <row r="16" spans="1:7" hidden="1" x14ac:dyDescent="0.3">
      <c r="A16" s="155">
        <v>1</v>
      </c>
      <c r="B16" s="156">
        <v>1</v>
      </c>
      <c r="C16" s="157">
        <v>1003</v>
      </c>
      <c r="D16" s="158" t="s">
        <v>641</v>
      </c>
      <c r="E16" s="159">
        <v>3.8</v>
      </c>
      <c r="F16" s="160" t="s">
        <v>721</v>
      </c>
      <c r="G16" s="145" t="s">
        <v>688</v>
      </c>
    </row>
    <row r="17" spans="1:7" hidden="1" x14ac:dyDescent="0.3">
      <c r="A17" s="155">
        <v>1</v>
      </c>
      <c r="B17" s="156">
        <v>1</v>
      </c>
      <c r="C17" s="157">
        <v>1004</v>
      </c>
      <c r="D17" s="158" t="s">
        <v>637</v>
      </c>
      <c r="E17" s="159">
        <v>6.4</v>
      </c>
      <c r="F17" s="160" t="s">
        <v>717</v>
      </c>
      <c r="G17" s="145" t="s">
        <v>684</v>
      </c>
    </row>
    <row r="18" spans="1:7" hidden="1" x14ac:dyDescent="0.3">
      <c r="A18" s="155">
        <v>1</v>
      </c>
      <c r="B18" s="156">
        <v>1</v>
      </c>
      <c r="C18" s="157">
        <v>1004</v>
      </c>
      <c r="D18" s="158" t="s">
        <v>638</v>
      </c>
      <c r="E18" s="159">
        <v>58.3</v>
      </c>
      <c r="F18" s="160" t="s">
        <v>718</v>
      </c>
      <c r="G18" s="145" t="s">
        <v>685</v>
      </c>
    </row>
    <row r="19" spans="1:7" hidden="1" x14ac:dyDescent="0.3">
      <c r="A19" s="155">
        <v>1</v>
      </c>
      <c r="B19" s="156">
        <v>1</v>
      </c>
      <c r="C19" s="157">
        <v>1004</v>
      </c>
      <c r="D19" s="158" t="s">
        <v>639</v>
      </c>
      <c r="E19" s="159">
        <v>5.0999999999999996</v>
      </c>
      <c r="F19" s="160" t="s">
        <v>719</v>
      </c>
      <c r="G19" s="145" t="s">
        <v>686</v>
      </c>
    </row>
    <row r="20" spans="1:7" hidden="1" x14ac:dyDescent="0.3">
      <c r="A20" s="155">
        <v>1</v>
      </c>
      <c r="B20" s="156">
        <v>1</v>
      </c>
      <c r="C20" s="157">
        <v>1004</v>
      </c>
      <c r="D20" s="158" t="s">
        <v>640</v>
      </c>
      <c r="E20" s="159">
        <v>32.799999999999997</v>
      </c>
      <c r="F20" s="160" t="s">
        <v>720</v>
      </c>
      <c r="G20" s="145" t="s">
        <v>687</v>
      </c>
    </row>
    <row r="21" spans="1:7" hidden="1" x14ac:dyDescent="0.3">
      <c r="A21" s="155">
        <v>1</v>
      </c>
      <c r="B21" s="156">
        <v>1</v>
      </c>
      <c r="C21" s="157">
        <v>1004</v>
      </c>
      <c r="D21" s="158" t="s">
        <v>641</v>
      </c>
      <c r="E21" s="159">
        <v>3.9</v>
      </c>
      <c r="F21" s="160" t="s">
        <v>721</v>
      </c>
      <c r="G21" s="145" t="s">
        <v>688</v>
      </c>
    </row>
    <row r="22" spans="1:7" hidden="1" x14ac:dyDescent="0.3">
      <c r="A22" s="155">
        <v>1</v>
      </c>
      <c r="B22" s="156">
        <v>1</v>
      </c>
      <c r="C22" s="157">
        <v>1005</v>
      </c>
      <c r="D22" s="158" t="s">
        <v>637</v>
      </c>
      <c r="E22" s="159">
        <v>3.4</v>
      </c>
      <c r="F22" s="160" t="s">
        <v>717</v>
      </c>
      <c r="G22" s="145" t="s">
        <v>684</v>
      </c>
    </row>
    <row r="23" spans="1:7" hidden="1" x14ac:dyDescent="0.3">
      <c r="A23" s="155">
        <v>1</v>
      </c>
      <c r="B23" s="156">
        <v>1</v>
      </c>
      <c r="C23" s="157">
        <v>1005</v>
      </c>
      <c r="D23" s="158" t="s">
        <v>638</v>
      </c>
      <c r="E23" s="159">
        <v>73</v>
      </c>
      <c r="F23" s="160" t="s">
        <v>718</v>
      </c>
      <c r="G23" s="145" t="s">
        <v>685</v>
      </c>
    </row>
    <row r="24" spans="1:7" hidden="1" x14ac:dyDescent="0.3">
      <c r="A24" s="155">
        <v>1</v>
      </c>
      <c r="B24" s="156">
        <v>1</v>
      </c>
      <c r="C24" s="157">
        <v>1005</v>
      </c>
      <c r="D24" s="158" t="s">
        <v>639</v>
      </c>
      <c r="E24" s="159">
        <v>2.2000000000000002</v>
      </c>
      <c r="F24" s="160" t="s">
        <v>719</v>
      </c>
      <c r="G24" s="145" t="s">
        <v>686</v>
      </c>
    </row>
    <row r="25" spans="1:7" hidden="1" x14ac:dyDescent="0.3">
      <c r="A25" s="155">
        <v>1</v>
      </c>
      <c r="B25" s="156">
        <v>1</v>
      </c>
      <c r="C25" s="157">
        <v>1005</v>
      </c>
      <c r="D25" s="158" t="s">
        <v>640</v>
      </c>
      <c r="E25" s="159">
        <v>8.5</v>
      </c>
      <c r="F25" s="160" t="s">
        <v>720</v>
      </c>
      <c r="G25" s="145" t="s">
        <v>687</v>
      </c>
    </row>
    <row r="26" spans="1:7" hidden="1" x14ac:dyDescent="0.3">
      <c r="A26" s="155">
        <v>1</v>
      </c>
      <c r="B26" s="156">
        <v>1</v>
      </c>
      <c r="C26" s="157">
        <v>1005</v>
      </c>
      <c r="D26" s="158" t="s">
        <v>641</v>
      </c>
      <c r="E26" s="159">
        <v>3.6</v>
      </c>
      <c r="F26" s="160" t="s">
        <v>721</v>
      </c>
      <c r="G26" s="145" t="s">
        <v>688</v>
      </c>
    </row>
    <row r="27" spans="1:7" hidden="1" x14ac:dyDescent="0.3">
      <c r="A27" s="155">
        <v>1</v>
      </c>
      <c r="B27" s="156">
        <v>1</v>
      </c>
      <c r="C27" s="157">
        <v>1006</v>
      </c>
      <c r="D27" s="158" t="s">
        <v>637</v>
      </c>
      <c r="E27" s="159">
        <v>3</v>
      </c>
      <c r="F27" s="160" t="s">
        <v>717</v>
      </c>
      <c r="G27" s="145" t="s">
        <v>684</v>
      </c>
    </row>
    <row r="28" spans="1:7" hidden="1" x14ac:dyDescent="0.3">
      <c r="A28" s="155">
        <v>1</v>
      </c>
      <c r="B28" s="156">
        <v>1</v>
      </c>
      <c r="C28" s="157">
        <v>1006</v>
      </c>
      <c r="D28" s="158" t="s">
        <v>638</v>
      </c>
      <c r="E28" s="159">
        <v>42</v>
      </c>
      <c r="F28" s="160" t="s">
        <v>718</v>
      </c>
      <c r="G28" s="145" t="s">
        <v>685</v>
      </c>
    </row>
    <row r="29" spans="1:7" hidden="1" x14ac:dyDescent="0.3">
      <c r="A29" s="155">
        <v>1</v>
      </c>
      <c r="B29" s="156">
        <v>1</v>
      </c>
      <c r="C29" s="157">
        <v>1006</v>
      </c>
      <c r="D29" s="158" t="s">
        <v>639</v>
      </c>
      <c r="E29" s="159">
        <v>2.9</v>
      </c>
      <c r="F29" s="160" t="s">
        <v>719</v>
      </c>
      <c r="G29" s="145" t="s">
        <v>686</v>
      </c>
    </row>
    <row r="30" spans="1:7" hidden="1" x14ac:dyDescent="0.3">
      <c r="A30" s="155">
        <v>1</v>
      </c>
      <c r="B30" s="156">
        <v>1</v>
      </c>
      <c r="C30" s="157">
        <v>1006</v>
      </c>
      <c r="D30" s="158" t="s">
        <v>640</v>
      </c>
      <c r="E30" s="159">
        <v>29.8</v>
      </c>
      <c r="F30" s="160" t="s">
        <v>720</v>
      </c>
      <c r="G30" s="145" t="s">
        <v>687</v>
      </c>
    </row>
    <row r="31" spans="1:7" hidden="1" x14ac:dyDescent="0.3">
      <c r="A31" s="155">
        <v>1</v>
      </c>
      <c r="B31" s="156">
        <v>1</v>
      </c>
      <c r="C31" s="157">
        <v>1007</v>
      </c>
      <c r="D31" s="158" t="s">
        <v>637</v>
      </c>
      <c r="E31" s="159">
        <v>7.8</v>
      </c>
      <c r="F31" s="160" t="s">
        <v>717</v>
      </c>
      <c r="G31" s="145" t="s">
        <v>684</v>
      </c>
    </row>
    <row r="32" spans="1:7" hidden="1" x14ac:dyDescent="0.3">
      <c r="A32" s="155">
        <v>1</v>
      </c>
      <c r="B32" s="156">
        <v>1</v>
      </c>
      <c r="C32" s="157">
        <v>1007</v>
      </c>
      <c r="D32" s="158" t="s">
        <v>638</v>
      </c>
      <c r="E32" s="159">
        <v>74</v>
      </c>
      <c r="F32" s="160" t="s">
        <v>718</v>
      </c>
      <c r="G32" s="145" t="s">
        <v>685</v>
      </c>
    </row>
    <row r="33" spans="1:7" hidden="1" x14ac:dyDescent="0.3">
      <c r="A33" s="155">
        <v>1</v>
      </c>
      <c r="B33" s="156">
        <v>1</v>
      </c>
      <c r="C33" s="157">
        <v>1007</v>
      </c>
      <c r="D33" s="158" t="s">
        <v>639</v>
      </c>
      <c r="E33" s="159">
        <v>7.5</v>
      </c>
      <c r="F33" s="160" t="s">
        <v>719</v>
      </c>
      <c r="G33" s="145" t="s">
        <v>686</v>
      </c>
    </row>
    <row r="34" spans="1:7" hidden="1" x14ac:dyDescent="0.3">
      <c r="A34" s="155">
        <v>1</v>
      </c>
      <c r="B34" s="156">
        <v>1</v>
      </c>
      <c r="C34" s="157">
        <v>1007</v>
      </c>
      <c r="D34" s="158" t="s">
        <v>640</v>
      </c>
      <c r="E34" s="159">
        <v>56</v>
      </c>
      <c r="F34" s="160" t="s">
        <v>720</v>
      </c>
      <c r="G34" s="145" t="s">
        <v>687</v>
      </c>
    </row>
    <row r="35" spans="1:7" hidden="1" x14ac:dyDescent="0.3">
      <c r="A35" s="155">
        <v>1</v>
      </c>
      <c r="B35" s="156">
        <v>1</v>
      </c>
      <c r="C35" s="157">
        <v>1007</v>
      </c>
      <c r="D35" s="158" t="s">
        <v>641</v>
      </c>
      <c r="E35" s="159">
        <v>7.3</v>
      </c>
      <c r="F35" s="160" t="s">
        <v>721</v>
      </c>
      <c r="G35" s="145" t="s">
        <v>688</v>
      </c>
    </row>
    <row r="36" spans="1:7" hidden="1" x14ac:dyDescent="0.3">
      <c r="A36" s="155">
        <v>1</v>
      </c>
      <c r="B36" s="156">
        <v>1</v>
      </c>
      <c r="C36" s="157">
        <v>1008</v>
      </c>
      <c r="D36" s="158" t="s">
        <v>639</v>
      </c>
      <c r="E36" s="159">
        <v>2.8</v>
      </c>
      <c r="F36" s="160" t="s">
        <v>719</v>
      </c>
      <c r="G36" s="145" t="s">
        <v>686</v>
      </c>
    </row>
    <row r="37" spans="1:7" hidden="1" x14ac:dyDescent="0.3">
      <c r="A37" s="155">
        <v>1</v>
      </c>
      <c r="B37" s="156">
        <v>1</v>
      </c>
      <c r="C37" s="157">
        <v>1008</v>
      </c>
      <c r="D37" s="158" t="s">
        <v>642</v>
      </c>
      <c r="E37" s="159">
        <v>55.6</v>
      </c>
      <c r="F37" s="160" t="s">
        <v>720</v>
      </c>
      <c r="G37" s="145" t="s">
        <v>689</v>
      </c>
    </row>
    <row r="38" spans="1:7" hidden="1" x14ac:dyDescent="0.3">
      <c r="A38" s="155">
        <v>1</v>
      </c>
      <c r="B38" s="156">
        <v>1</v>
      </c>
      <c r="C38" s="157">
        <v>1008</v>
      </c>
      <c r="D38" s="158" t="s">
        <v>643</v>
      </c>
      <c r="E38" s="159">
        <v>19.899999999999999</v>
      </c>
      <c r="F38" s="160" t="s">
        <v>717</v>
      </c>
      <c r="G38" s="145" t="s">
        <v>689</v>
      </c>
    </row>
    <row r="39" spans="1:7" hidden="1" x14ac:dyDescent="0.3">
      <c r="A39" s="155">
        <v>1</v>
      </c>
      <c r="B39" s="156">
        <v>1</v>
      </c>
      <c r="C39" s="157">
        <v>1009</v>
      </c>
      <c r="D39" s="158" t="s">
        <v>644</v>
      </c>
      <c r="E39" s="159">
        <v>3.4</v>
      </c>
      <c r="F39" s="160" t="s">
        <v>717</v>
      </c>
      <c r="G39" s="145" t="s">
        <v>690</v>
      </c>
    </row>
    <row r="40" spans="1:7" hidden="1" x14ac:dyDescent="0.3">
      <c r="A40" s="155">
        <v>1</v>
      </c>
      <c r="B40" s="156">
        <v>1</v>
      </c>
      <c r="C40" s="157">
        <v>1009</v>
      </c>
      <c r="D40" s="158" t="s">
        <v>645</v>
      </c>
      <c r="E40" s="159">
        <v>2.4</v>
      </c>
      <c r="F40" s="160" t="s">
        <v>717</v>
      </c>
      <c r="G40" s="145" t="s">
        <v>691</v>
      </c>
    </row>
    <row r="41" spans="1:7" ht="26.4" hidden="1" x14ac:dyDescent="0.3">
      <c r="A41" s="155">
        <v>1</v>
      </c>
      <c r="B41" s="156">
        <v>1</v>
      </c>
      <c r="C41" s="157">
        <v>1009</v>
      </c>
      <c r="D41" s="158" t="s">
        <v>646</v>
      </c>
      <c r="E41" s="159">
        <v>1.3</v>
      </c>
      <c r="F41" s="160" t="s">
        <v>722</v>
      </c>
      <c r="G41" s="145" t="s">
        <v>692</v>
      </c>
    </row>
    <row r="42" spans="1:7" hidden="1" x14ac:dyDescent="0.3">
      <c r="A42" s="155">
        <v>1</v>
      </c>
      <c r="B42" s="156">
        <v>1</v>
      </c>
      <c r="C42" s="157">
        <v>1009</v>
      </c>
      <c r="D42" s="158" t="s">
        <v>647</v>
      </c>
      <c r="E42" s="159">
        <v>2.1</v>
      </c>
      <c r="F42" s="160" t="s">
        <v>724</v>
      </c>
      <c r="G42" s="145" t="s">
        <v>693</v>
      </c>
    </row>
    <row r="43" spans="1:7" hidden="1" x14ac:dyDescent="0.3">
      <c r="A43" s="155">
        <v>1</v>
      </c>
      <c r="B43" s="156">
        <v>1</v>
      </c>
      <c r="C43" s="157">
        <v>1009</v>
      </c>
      <c r="D43" s="158" t="s">
        <v>648</v>
      </c>
      <c r="E43" s="159">
        <v>19.600000000000001</v>
      </c>
      <c r="F43" s="160" t="s">
        <v>720</v>
      </c>
      <c r="G43" s="145" t="s">
        <v>694</v>
      </c>
    </row>
    <row r="44" spans="1:7" hidden="1" x14ac:dyDescent="0.3">
      <c r="A44" s="155">
        <v>1</v>
      </c>
      <c r="B44" s="156">
        <v>1</v>
      </c>
      <c r="C44" s="157">
        <v>1009</v>
      </c>
      <c r="D44" s="158" t="s">
        <v>649</v>
      </c>
      <c r="E44" s="159">
        <v>42.3</v>
      </c>
      <c r="F44" s="160" t="s">
        <v>721</v>
      </c>
      <c r="G44" s="145" t="s">
        <v>695</v>
      </c>
    </row>
    <row r="45" spans="1:7" hidden="1" x14ac:dyDescent="0.3">
      <c r="A45" s="155">
        <v>1</v>
      </c>
      <c r="B45" s="156">
        <v>1</v>
      </c>
      <c r="C45" s="157">
        <v>1010</v>
      </c>
      <c r="D45" s="158" t="s">
        <v>645</v>
      </c>
      <c r="E45" s="159">
        <v>14.4</v>
      </c>
      <c r="F45" s="160" t="s">
        <v>717</v>
      </c>
      <c r="G45" s="145" t="s">
        <v>691</v>
      </c>
    </row>
    <row r="46" spans="1:7" hidden="1" x14ac:dyDescent="0.3">
      <c r="A46" s="155">
        <v>1</v>
      </c>
      <c r="B46" s="156">
        <v>1</v>
      </c>
      <c r="C46" s="157">
        <v>1010</v>
      </c>
      <c r="D46" s="158" t="s">
        <v>650</v>
      </c>
      <c r="E46" s="159">
        <v>2.2999999999999998</v>
      </c>
      <c r="F46" s="160" t="s">
        <v>719</v>
      </c>
      <c r="G46" s="145" t="s">
        <v>696</v>
      </c>
    </row>
    <row r="47" spans="1:7" hidden="1" x14ac:dyDescent="0.3">
      <c r="A47" s="155">
        <v>1</v>
      </c>
      <c r="B47" s="156">
        <v>1</v>
      </c>
      <c r="C47" s="157">
        <v>1010</v>
      </c>
      <c r="D47" s="158" t="s">
        <v>651</v>
      </c>
      <c r="E47" s="159">
        <v>15</v>
      </c>
      <c r="F47" s="160" t="s">
        <v>720</v>
      </c>
      <c r="G47" s="145" t="s">
        <v>690</v>
      </c>
    </row>
    <row r="48" spans="1:7" hidden="1" x14ac:dyDescent="0.3">
      <c r="A48" s="155">
        <v>1</v>
      </c>
      <c r="B48" s="156">
        <v>1</v>
      </c>
      <c r="C48" s="157">
        <v>1010</v>
      </c>
      <c r="D48" s="158" t="s">
        <v>649</v>
      </c>
      <c r="E48" s="159">
        <v>7.9</v>
      </c>
      <c r="F48" s="160" t="s">
        <v>721</v>
      </c>
      <c r="G48" s="145" t="s">
        <v>695</v>
      </c>
    </row>
    <row r="49" spans="1:7" hidden="1" x14ac:dyDescent="0.3">
      <c r="A49" s="155">
        <v>1</v>
      </c>
      <c r="B49" s="156">
        <v>1</v>
      </c>
      <c r="C49" s="157">
        <v>1011</v>
      </c>
      <c r="D49" s="158" t="s">
        <v>639</v>
      </c>
      <c r="E49" s="159">
        <v>2.2000000000000002</v>
      </c>
      <c r="F49" s="160" t="s">
        <v>719</v>
      </c>
      <c r="G49" s="145" t="s">
        <v>686</v>
      </c>
    </row>
    <row r="50" spans="1:7" hidden="1" x14ac:dyDescent="0.3">
      <c r="A50" s="155">
        <v>1</v>
      </c>
      <c r="B50" s="156">
        <v>1</v>
      </c>
      <c r="C50" s="157">
        <v>1011</v>
      </c>
      <c r="D50" s="158" t="s">
        <v>642</v>
      </c>
      <c r="E50" s="159">
        <v>46.7</v>
      </c>
      <c r="F50" s="160" t="s">
        <v>720</v>
      </c>
      <c r="G50" s="145" t="s">
        <v>689</v>
      </c>
    </row>
    <row r="51" spans="1:7" hidden="1" x14ac:dyDescent="0.3">
      <c r="A51" s="155">
        <v>1</v>
      </c>
      <c r="B51" s="156">
        <v>1</v>
      </c>
      <c r="C51" s="157">
        <v>1012</v>
      </c>
      <c r="D51" s="158" t="s">
        <v>644</v>
      </c>
      <c r="E51" s="159">
        <v>6.1</v>
      </c>
      <c r="F51" s="160" t="s">
        <v>717</v>
      </c>
      <c r="G51" s="145" t="s">
        <v>690</v>
      </c>
    </row>
    <row r="52" spans="1:7" hidden="1" x14ac:dyDescent="0.3">
      <c r="A52" s="155">
        <v>1</v>
      </c>
      <c r="B52" s="156">
        <v>1</v>
      </c>
      <c r="C52" s="157">
        <v>1012</v>
      </c>
      <c r="D52" s="158" t="s">
        <v>645</v>
      </c>
      <c r="E52" s="159">
        <v>2.5</v>
      </c>
      <c r="F52" s="160" t="s">
        <v>717</v>
      </c>
      <c r="G52" s="145" t="s">
        <v>691</v>
      </c>
    </row>
    <row r="53" spans="1:7" ht="26.4" hidden="1" x14ac:dyDescent="0.3">
      <c r="A53" s="155">
        <v>1</v>
      </c>
      <c r="B53" s="156">
        <v>1</v>
      </c>
      <c r="C53" s="157">
        <v>1012</v>
      </c>
      <c r="D53" s="158" t="s">
        <v>646</v>
      </c>
      <c r="E53" s="159">
        <v>1.3</v>
      </c>
      <c r="F53" s="160" t="s">
        <v>722</v>
      </c>
      <c r="G53" s="145" t="s">
        <v>692</v>
      </c>
    </row>
    <row r="54" spans="1:7" hidden="1" x14ac:dyDescent="0.3">
      <c r="A54" s="155">
        <v>1</v>
      </c>
      <c r="B54" s="156">
        <v>1</v>
      </c>
      <c r="C54" s="157">
        <v>1012</v>
      </c>
      <c r="D54" s="158" t="s">
        <v>652</v>
      </c>
      <c r="E54" s="159">
        <v>19.5</v>
      </c>
      <c r="F54" s="160" t="s">
        <v>718</v>
      </c>
      <c r="G54" s="145" t="s">
        <v>691</v>
      </c>
    </row>
    <row r="55" spans="1:7" hidden="1" x14ac:dyDescent="0.3">
      <c r="A55" s="155">
        <v>1</v>
      </c>
      <c r="B55" s="156">
        <v>1</v>
      </c>
      <c r="C55" s="157">
        <v>1012</v>
      </c>
      <c r="D55" s="158" t="s">
        <v>650</v>
      </c>
      <c r="E55" s="159">
        <v>2.1</v>
      </c>
      <c r="F55" s="160" t="s">
        <v>719</v>
      </c>
      <c r="G55" s="145" t="s">
        <v>696</v>
      </c>
    </row>
    <row r="56" spans="1:7" hidden="1" x14ac:dyDescent="0.3">
      <c r="A56" s="155">
        <v>1</v>
      </c>
      <c r="B56" s="156">
        <v>1</v>
      </c>
      <c r="C56" s="157">
        <v>1012</v>
      </c>
      <c r="D56" s="158" t="s">
        <v>648</v>
      </c>
      <c r="E56" s="159">
        <v>3.1</v>
      </c>
      <c r="F56" s="160" t="s">
        <v>720</v>
      </c>
      <c r="G56" s="145" t="s">
        <v>694</v>
      </c>
    </row>
    <row r="57" spans="1:7" hidden="1" x14ac:dyDescent="0.3">
      <c r="A57" s="155">
        <v>1</v>
      </c>
      <c r="B57" s="156">
        <v>1</v>
      </c>
      <c r="C57" s="157">
        <v>1012</v>
      </c>
      <c r="D57" s="158" t="s">
        <v>649</v>
      </c>
      <c r="E57" s="159">
        <v>39.799999999999997</v>
      </c>
      <c r="F57" s="160" t="s">
        <v>721</v>
      </c>
      <c r="G57" s="145" t="s">
        <v>695</v>
      </c>
    </row>
    <row r="58" spans="1:7" hidden="1" x14ac:dyDescent="0.3">
      <c r="A58" s="155">
        <v>1</v>
      </c>
      <c r="B58" s="156">
        <v>1</v>
      </c>
      <c r="C58" s="157">
        <v>1013</v>
      </c>
      <c r="D58" s="158" t="s">
        <v>645</v>
      </c>
      <c r="E58" s="159">
        <v>22.8</v>
      </c>
      <c r="F58" s="160" t="s">
        <v>717</v>
      </c>
      <c r="G58" s="145" t="s">
        <v>691</v>
      </c>
    </row>
    <row r="59" spans="1:7" ht="26.4" hidden="1" x14ac:dyDescent="0.3">
      <c r="A59" s="155">
        <v>1</v>
      </c>
      <c r="B59" s="156">
        <v>1</v>
      </c>
      <c r="C59" s="157">
        <v>1013</v>
      </c>
      <c r="D59" s="158" t="s">
        <v>653</v>
      </c>
      <c r="E59" s="159">
        <v>4.5999999999999996</v>
      </c>
      <c r="F59" s="160" t="s">
        <v>723</v>
      </c>
      <c r="G59" s="145" t="s">
        <v>689</v>
      </c>
    </row>
    <row r="60" spans="1:7" ht="26.4" hidden="1" x14ac:dyDescent="0.3">
      <c r="A60" s="155">
        <v>1</v>
      </c>
      <c r="B60" s="156">
        <v>1</v>
      </c>
      <c r="C60" s="157">
        <v>1013</v>
      </c>
      <c r="D60" s="158" t="s">
        <v>646</v>
      </c>
      <c r="E60" s="159">
        <v>1.1000000000000001</v>
      </c>
      <c r="F60" s="160" t="s">
        <v>722</v>
      </c>
      <c r="G60" s="145" t="s">
        <v>692</v>
      </c>
    </row>
    <row r="61" spans="1:7" hidden="1" x14ac:dyDescent="0.3">
      <c r="A61" s="155">
        <v>1</v>
      </c>
      <c r="B61" s="156">
        <v>1</v>
      </c>
      <c r="C61" s="157">
        <v>1013</v>
      </c>
      <c r="D61" s="158" t="s">
        <v>647</v>
      </c>
      <c r="E61" s="159">
        <v>1.6</v>
      </c>
      <c r="F61" s="160" t="s">
        <v>724</v>
      </c>
      <c r="G61" s="145" t="s">
        <v>693</v>
      </c>
    </row>
    <row r="62" spans="1:7" hidden="1" x14ac:dyDescent="0.3">
      <c r="A62" s="155">
        <v>1</v>
      </c>
      <c r="B62" s="156">
        <v>1</v>
      </c>
      <c r="C62" s="157">
        <v>1013</v>
      </c>
      <c r="D62" s="158" t="s">
        <v>654</v>
      </c>
      <c r="E62" s="159">
        <v>0.3</v>
      </c>
      <c r="F62" s="160" t="s">
        <v>725</v>
      </c>
      <c r="G62" s="145" t="s">
        <v>686</v>
      </c>
    </row>
    <row r="63" spans="1:7" hidden="1" x14ac:dyDescent="0.3">
      <c r="A63" s="155">
        <v>1</v>
      </c>
      <c r="B63" s="156">
        <v>1</v>
      </c>
      <c r="C63" s="157">
        <v>1013</v>
      </c>
      <c r="D63" s="158" t="s">
        <v>655</v>
      </c>
      <c r="E63" s="159">
        <v>5.9</v>
      </c>
      <c r="F63" s="160" t="s">
        <v>721</v>
      </c>
      <c r="G63" s="145" t="s">
        <v>697</v>
      </c>
    </row>
    <row r="64" spans="1:7" hidden="1" x14ac:dyDescent="0.3">
      <c r="A64" s="155">
        <v>1</v>
      </c>
      <c r="B64" s="156">
        <v>1</v>
      </c>
      <c r="C64" s="157">
        <v>1014</v>
      </c>
      <c r="D64" s="158" t="s">
        <v>645</v>
      </c>
      <c r="E64" s="159">
        <v>14</v>
      </c>
      <c r="F64" s="160" t="s">
        <v>717</v>
      </c>
      <c r="G64" s="145" t="s">
        <v>691</v>
      </c>
    </row>
    <row r="65" spans="1:7" ht="26.4" hidden="1" x14ac:dyDescent="0.3">
      <c r="A65" s="155">
        <v>1</v>
      </c>
      <c r="B65" s="156">
        <v>1</v>
      </c>
      <c r="C65" s="157">
        <v>1014</v>
      </c>
      <c r="D65" s="158" t="s">
        <v>653</v>
      </c>
      <c r="E65" s="159">
        <v>3</v>
      </c>
      <c r="F65" s="160" t="s">
        <v>723</v>
      </c>
      <c r="G65" s="145" t="s">
        <v>689</v>
      </c>
    </row>
    <row r="66" spans="1:7" ht="26.4" hidden="1" x14ac:dyDescent="0.3">
      <c r="A66" s="155">
        <v>1</v>
      </c>
      <c r="B66" s="156">
        <v>1</v>
      </c>
      <c r="C66" s="157">
        <v>1014</v>
      </c>
      <c r="D66" s="158" t="s">
        <v>646</v>
      </c>
      <c r="E66" s="159">
        <v>3.3</v>
      </c>
      <c r="F66" s="160" t="s">
        <v>722</v>
      </c>
      <c r="G66" s="145" t="s">
        <v>692</v>
      </c>
    </row>
    <row r="67" spans="1:7" hidden="1" x14ac:dyDescent="0.3">
      <c r="A67" s="155">
        <v>1</v>
      </c>
      <c r="B67" s="156">
        <v>1</v>
      </c>
      <c r="C67" s="157">
        <v>1014</v>
      </c>
      <c r="D67" s="158" t="s">
        <v>647</v>
      </c>
      <c r="E67" s="159">
        <v>1.6</v>
      </c>
      <c r="F67" s="160" t="s">
        <v>724</v>
      </c>
      <c r="G67" s="145" t="s">
        <v>693</v>
      </c>
    </row>
    <row r="68" spans="1:7" hidden="1" x14ac:dyDescent="0.3">
      <c r="A68" s="155">
        <v>1</v>
      </c>
      <c r="B68" s="156">
        <v>1</v>
      </c>
      <c r="C68" s="157">
        <v>1014</v>
      </c>
      <c r="D68" s="158" t="s">
        <v>654</v>
      </c>
      <c r="E68" s="159">
        <v>0.3</v>
      </c>
      <c r="F68" s="160" t="s">
        <v>725</v>
      </c>
      <c r="G68" s="145" t="s">
        <v>686</v>
      </c>
    </row>
    <row r="69" spans="1:7" hidden="1" x14ac:dyDescent="0.3">
      <c r="A69" s="155">
        <v>1</v>
      </c>
      <c r="B69" s="156">
        <v>1</v>
      </c>
      <c r="C69" s="157">
        <v>1014</v>
      </c>
      <c r="D69" s="158" t="s">
        <v>649</v>
      </c>
      <c r="E69" s="159">
        <v>18</v>
      </c>
      <c r="F69" s="160" t="s">
        <v>721</v>
      </c>
      <c r="G69" s="145" t="s">
        <v>695</v>
      </c>
    </row>
    <row r="70" spans="1:7" hidden="1" x14ac:dyDescent="0.3">
      <c r="A70" s="155">
        <v>1</v>
      </c>
      <c r="B70" s="156">
        <v>1</v>
      </c>
      <c r="C70" s="157">
        <v>1015</v>
      </c>
      <c r="D70" s="158" t="s">
        <v>637</v>
      </c>
      <c r="E70" s="159">
        <v>51.4</v>
      </c>
      <c r="F70" s="160" t="s">
        <v>717</v>
      </c>
      <c r="G70" s="145" t="s">
        <v>684</v>
      </c>
    </row>
    <row r="71" spans="1:7" hidden="1" x14ac:dyDescent="0.3">
      <c r="A71" s="155">
        <v>1</v>
      </c>
      <c r="B71" s="156">
        <v>1</v>
      </c>
      <c r="C71" s="157">
        <v>1015</v>
      </c>
      <c r="D71" s="158" t="s">
        <v>638</v>
      </c>
      <c r="E71" s="159">
        <v>115.8</v>
      </c>
      <c r="F71" s="160" t="s">
        <v>718</v>
      </c>
      <c r="G71" s="145" t="s">
        <v>685</v>
      </c>
    </row>
    <row r="72" spans="1:7" hidden="1" x14ac:dyDescent="0.3">
      <c r="A72" s="155">
        <v>1</v>
      </c>
      <c r="B72" s="156">
        <v>1</v>
      </c>
      <c r="C72" s="157">
        <v>1015</v>
      </c>
      <c r="D72" s="158" t="s">
        <v>639</v>
      </c>
      <c r="E72" s="159">
        <v>10.8</v>
      </c>
      <c r="F72" s="160" t="s">
        <v>719</v>
      </c>
      <c r="G72" s="145" t="s">
        <v>686</v>
      </c>
    </row>
    <row r="73" spans="1:7" hidden="1" x14ac:dyDescent="0.3">
      <c r="A73" s="155">
        <v>1</v>
      </c>
      <c r="B73" s="156">
        <v>1</v>
      </c>
      <c r="C73" s="157">
        <v>1015</v>
      </c>
      <c r="D73" s="158" t="s">
        <v>640</v>
      </c>
      <c r="E73" s="159">
        <v>69.2</v>
      </c>
      <c r="F73" s="160" t="s">
        <v>720</v>
      </c>
      <c r="G73" s="145" t="s">
        <v>687</v>
      </c>
    </row>
    <row r="74" spans="1:7" hidden="1" x14ac:dyDescent="0.3">
      <c r="A74" s="155">
        <v>1</v>
      </c>
      <c r="B74" s="156">
        <v>1</v>
      </c>
      <c r="C74" s="157">
        <v>1016</v>
      </c>
      <c r="D74" s="158" t="s">
        <v>637</v>
      </c>
      <c r="E74" s="159">
        <v>100.7</v>
      </c>
      <c r="F74" s="160" t="s">
        <v>717</v>
      </c>
      <c r="G74" s="145" t="s">
        <v>684</v>
      </c>
    </row>
    <row r="75" spans="1:7" hidden="1" x14ac:dyDescent="0.3">
      <c r="A75" s="155">
        <v>1</v>
      </c>
      <c r="B75" s="156">
        <v>1</v>
      </c>
      <c r="C75" s="157">
        <v>1016</v>
      </c>
      <c r="D75" s="158" t="s">
        <v>638</v>
      </c>
      <c r="E75" s="159">
        <v>163.30000000000001</v>
      </c>
      <c r="F75" s="160" t="s">
        <v>718</v>
      </c>
      <c r="G75" s="145" t="s">
        <v>685</v>
      </c>
    </row>
    <row r="76" spans="1:7" hidden="1" x14ac:dyDescent="0.3">
      <c r="A76" s="155">
        <v>1</v>
      </c>
      <c r="B76" s="156">
        <v>1</v>
      </c>
      <c r="C76" s="157">
        <v>1016</v>
      </c>
      <c r="D76" s="158" t="s">
        <v>639</v>
      </c>
      <c r="E76" s="159">
        <v>17.100000000000001</v>
      </c>
      <c r="F76" s="160" t="s">
        <v>719</v>
      </c>
      <c r="G76" s="145" t="s">
        <v>686</v>
      </c>
    </row>
    <row r="77" spans="1:7" hidden="1" x14ac:dyDescent="0.3">
      <c r="A77" s="155">
        <v>1</v>
      </c>
      <c r="B77" s="156">
        <v>1</v>
      </c>
      <c r="C77" s="157">
        <v>1016</v>
      </c>
      <c r="D77" s="158" t="s">
        <v>640</v>
      </c>
      <c r="E77" s="159">
        <v>45.5</v>
      </c>
      <c r="F77" s="160" t="s">
        <v>720</v>
      </c>
      <c r="G77" s="145" t="s">
        <v>687</v>
      </c>
    </row>
    <row r="78" spans="1:7" ht="15.6" hidden="1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672</v>
      </c>
      <c r="G78" s="145" t="s">
        <v>685</v>
      </c>
    </row>
    <row r="79" spans="1:7" ht="15.6" hidden="1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673</v>
      </c>
      <c r="G79" s="145" t="s">
        <v>686</v>
      </c>
    </row>
    <row r="80" spans="1:7" ht="15.6" hidden="1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674</v>
      </c>
      <c r="G80" s="145" t="s">
        <v>687</v>
      </c>
    </row>
    <row r="81" spans="1:7" ht="15.6" hidden="1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674</v>
      </c>
      <c r="G81" s="145" t="s">
        <v>689</v>
      </c>
    </row>
    <row r="82" spans="1:7" ht="15.6" hidden="1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671</v>
      </c>
      <c r="G82" s="145" t="s">
        <v>689</v>
      </c>
    </row>
    <row r="83" spans="1:7" ht="15.6" hidden="1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672</v>
      </c>
      <c r="G83" s="145" t="s">
        <v>685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673</v>
      </c>
      <c r="G84" s="145" t="s">
        <v>698</v>
      </c>
    </row>
    <row r="85" spans="1:7" ht="15.6" hidden="1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674</v>
      </c>
      <c r="G85" s="145" t="s">
        <v>687</v>
      </c>
    </row>
    <row r="86" spans="1:7" ht="15.6" hidden="1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671</v>
      </c>
      <c r="G86" s="145" t="s">
        <v>684</v>
      </c>
    </row>
    <row r="87" spans="1:7" ht="15.6" hidden="1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672</v>
      </c>
      <c r="G87" s="145" t="s">
        <v>685</v>
      </c>
    </row>
    <row r="88" spans="1:7" ht="15.6" hidden="1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673</v>
      </c>
      <c r="G88" s="145" t="s">
        <v>686</v>
      </c>
    </row>
    <row r="89" spans="1:7" ht="15.6" hidden="1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674</v>
      </c>
      <c r="G89" s="145" t="s">
        <v>687</v>
      </c>
    </row>
    <row r="90" spans="1:7" ht="15.6" hidden="1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671</v>
      </c>
      <c r="G90" s="145" t="s">
        <v>684</v>
      </c>
    </row>
    <row r="91" spans="1:7" ht="15.6" hidden="1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672</v>
      </c>
      <c r="G91" s="145" t="s">
        <v>685</v>
      </c>
    </row>
    <row r="92" spans="1:7" ht="15.6" hidden="1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673</v>
      </c>
      <c r="G92" s="145" t="s">
        <v>686</v>
      </c>
    </row>
    <row r="93" spans="1:7" ht="15.6" hidden="1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672</v>
      </c>
      <c r="G93" s="145" t="s">
        <v>685</v>
      </c>
    </row>
    <row r="94" spans="1:7" ht="15.6" hidden="1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673</v>
      </c>
      <c r="G94" s="145" t="s">
        <v>686</v>
      </c>
    </row>
    <row r="95" spans="1:7" ht="15.6" hidden="1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674</v>
      </c>
      <c r="G95" s="145" t="s">
        <v>687</v>
      </c>
    </row>
    <row r="96" spans="1:7" ht="15.6" hidden="1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671</v>
      </c>
      <c r="G96" s="145" t="s">
        <v>691</v>
      </c>
    </row>
    <row r="97" spans="1:7" ht="15.6" hidden="1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672</v>
      </c>
      <c r="G97" s="145" t="s">
        <v>691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675</v>
      </c>
      <c r="G98" s="145" t="s">
        <v>695</v>
      </c>
    </row>
    <row r="99" spans="1:7" ht="15.6" hidden="1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673</v>
      </c>
      <c r="G99" s="145" t="s">
        <v>686</v>
      </c>
    </row>
    <row r="100" spans="1:7" ht="15.6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674</v>
      </c>
      <c r="G100" s="145" t="s">
        <v>689</v>
      </c>
    </row>
    <row r="101" spans="1:7" ht="15.6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671</v>
      </c>
      <c r="G101" s="145" t="s">
        <v>689</v>
      </c>
    </row>
    <row r="102" spans="1:7" ht="15.6" hidden="1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674</v>
      </c>
      <c r="G102" s="145" t="s">
        <v>689</v>
      </c>
    </row>
    <row r="103" spans="1:7" ht="15.6" hidden="1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672</v>
      </c>
      <c r="G103" s="145" t="s">
        <v>685</v>
      </c>
    </row>
    <row r="104" spans="1:7" ht="15.6" hidden="1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673</v>
      </c>
      <c r="G104" s="145" t="s">
        <v>686</v>
      </c>
    </row>
    <row r="105" spans="1:7" ht="15.6" hidden="1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674</v>
      </c>
      <c r="G105" s="145" t="s">
        <v>699</v>
      </c>
    </row>
    <row r="106" spans="1:7" ht="15.6" hidden="1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671</v>
      </c>
      <c r="G106" s="145" t="s">
        <v>700</v>
      </c>
    </row>
    <row r="107" spans="1:7" ht="15.6" hidden="1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672</v>
      </c>
      <c r="G107" s="145" t="s">
        <v>701</v>
      </c>
    </row>
    <row r="108" spans="1:7" ht="15.6" hidden="1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673</v>
      </c>
      <c r="G108" s="145" t="s">
        <v>686</v>
      </c>
    </row>
    <row r="109" spans="1:7" ht="15.6" hidden="1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674</v>
      </c>
      <c r="G109" s="145" t="s">
        <v>699</v>
      </c>
    </row>
    <row r="110" spans="1:7" ht="15.6" hidden="1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671</v>
      </c>
      <c r="G110" s="145" t="s">
        <v>691</v>
      </c>
    </row>
    <row r="111" spans="1:7" ht="15.6" hidden="1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672</v>
      </c>
      <c r="G111" s="145" t="s">
        <v>691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675</v>
      </c>
      <c r="G112" s="145" t="s">
        <v>697</v>
      </c>
    </row>
    <row r="113" spans="1:7" ht="15.6" hidden="1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671</v>
      </c>
      <c r="G113" s="145" t="s">
        <v>700</v>
      </c>
    </row>
    <row r="114" spans="1:7" ht="15.6" hidden="1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671</v>
      </c>
      <c r="G114" s="145" t="s">
        <v>691</v>
      </c>
    </row>
    <row r="115" spans="1:7" ht="31.2" hidden="1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678</v>
      </c>
      <c r="G115" s="145" t="s">
        <v>689</v>
      </c>
    </row>
    <row r="116" spans="1:7" ht="31.2" hidden="1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676</v>
      </c>
      <c r="G116" s="145" t="s">
        <v>692</v>
      </c>
    </row>
    <row r="117" spans="1:7" ht="31.2" hidden="1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676</v>
      </c>
      <c r="G117" s="145" t="s">
        <v>690</v>
      </c>
    </row>
    <row r="118" spans="1:7" ht="46.8" hidden="1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680</v>
      </c>
      <c r="G118" s="145" t="s">
        <v>702</v>
      </c>
    </row>
    <row r="119" spans="1:7" ht="15.6" hidden="1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674</v>
      </c>
      <c r="G119" s="145" t="s">
        <v>689</v>
      </c>
    </row>
    <row r="120" spans="1:7" ht="15.6" hidden="1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674</v>
      </c>
      <c r="G120" s="145" t="s">
        <v>690</v>
      </c>
    </row>
    <row r="121" spans="1:7" ht="15.6" hidden="1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675</v>
      </c>
      <c r="G121" s="145" t="s">
        <v>703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675</v>
      </c>
      <c r="G122" s="145" t="s">
        <v>695</v>
      </c>
    </row>
    <row r="123" spans="1:7" ht="15.6" hidden="1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673</v>
      </c>
      <c r="G123" s="145" t="s">
        <v>686</v>
      </c>
    </row>
    <row r="124" spans="1:7" ht="15.6" hidden="1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674</v>
      </c>
      <c r="G124" s="145" t="s">
        <v>689</v>
      </c>
    </row>
    <row r="125" spans="1:7" ht="15.6" hidden="1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671</v>
      </c>
      <c r="G125" s="145" t="s">
        <v>689</v>
      </c>
    </row>
    <row r="126" spans="1:7" ht="15.6" hidden="1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671</v>
      </c>
      <c r="G126" s="145" t="s">
        <v>700</v>
      </c>
    </row>
    <row r="127" spans="1:7" ht="15.6" hidden="1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672</v>
      </c>
      <c r="G127" s="145" t="s">
        <v>701</v>
      </c>
    </row>
    <row r="128" spans="1:7" ht="15.6" hidden="1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674</v>
      </c>
      <c r="G128" s="145" t="s">
        <v>699</v>
      </c>
    </row>
    <row r="129" spans="1:7" ht="15.6" hidden="1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671</v>
      </c>
      <c r="G129" s="145" t="s">
        <v>690</v>
      </c>
    </row>
    <row r="130" spans="1:7" ht="31.2" hidden="1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678</v>
      </c>
      <c r="G130" s="145" t="s">
        <v>689</v>
      </c>
    </row>
    <row r="131" spans="1:7" ht="15.6" hidden="1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672</v>
      </c>
      <c r="G131" s="145" t="s">
        <v>691</v>
      </c>
    </row>
    <row r="132" spans="1:7" ht="46.8" hidden="1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680</v>
      </c>
      <c r="G132" s="145" t="s">
        <v>704</v>
      </c>
    </row>
    <row r="133" spans="1:7" ht="15.6" hidden="1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671</v>
      </c>
      <c r="G133" s="145" t="s">
        <v>691</v>
      </c>
    </row>
    <row r="134" spans="1:7" ht="31.2" hidden="1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678</v>
      </c>
      <c r="G134" s="145" t="s">
        <v>689</v>
      </c>
    </row>
    <row r="135" spans="1:7" ht="15.6" hidden="1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671</v>
      </c>
      <c r="G135" s="145" t="s">
        <v>691</v>
      </c>
    </row>
    <row r="136" spans="1:7" ht="31.2" hidden="1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678</v>
      </c>
      <c r="G136" s="145" t="s">
        <v>689</v>
      </c>
    </row>
    <row r="137" spans="1:7" ht="15.6" hidden="1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671</v>
      </c>
      <c r="G137" s="145" t="s">
        <v>690</v>
      </c>
    </row>
    <row r="138" spans="1:7" ht="31.2" hidden="1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678</v>
      </c>
      <c r="G138" s="145" t="s">
        <v>689</v>
      </c>
    </row>
    <row r="139" spans="1:7" ht="31.2" hidden="1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676</v>
      </c>
      <c r="G139" s="145" t="s">
        <v>690</v>
      </c>
    </row>
    <row r="140" spans="1:7" ht="15.6" hidden="1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671</v>
      </c>
      <c r="G140" s="145" t="s">
        <v>690</v>
      </c>
    </row>
    <row r="141" spans="1:7" ht="31.2" hidden="1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678</v>
      </c>
      <c r="G141" s="145" t="s">
        <v>689</v>
      </c>
    </row>
    <row r="142" spans="1:7" ht="15.6" hidden="1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671</v>
      </c>
      <c r="G142" s="145" t="s">
        <v>700</v>
      </c>
    </row>
    <row r="143" spans="1:7" ht="15.6" hidden="1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672</v>
      </c>
      <c r="G143" s="145" t="s">
        <v>701</v>
      </c>
    </row>
    <row r="144" spans="1:7" ht="15.6" hidden="1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673</v>
      </c>
      <c r="G144" s="145" t="s">
        <v>686</v>
      </c>
    </row>
    <row r="145" spans="1:7" ht="15.6" hidden="1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674</v>
      </c>
      <c r="G145" s="145" t="s">
        <v>699</v>
      </c>
    </row>
    <row r="146" spans="1:7" ht="15.6" hidden="1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671</v>
      </c>
      <c r="G146" s="145" t="s">
        <v>684</v>
      </c>
    </row>
    <row r="147" spans="1:7" ht="15.6" hidden="1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671</v>
      </c>
      <c r="G147" s="145" t="s">
        <v>684</v>
      </c>
    </row>
    <row r="148" spans="1:7" ht="15.6" hidden="1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672</v>
      </c>
      <c r="G148" s="145" t="s">
        <v>701</v>
      </c>
    </row>
    <row r="149" spans="1:7" ht="15.6" hidden="1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673</v>
      </c>
      <c r="G149" s="145" t="s">
        <v>686</v>
      </c>
    </row>
    <row r="150" spans="1:7" ht="15.6" hidden="1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674</v>
      </c>
      <c r="G150" s="145" t="s">
        <v>699</v>
      </c>
    </row>
    <row r="151" spans="1:7" ht="15.6" hidden="1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671</v>
      </c>
      <c r="G151" s="145" t="s">
        <v>684</v>
      </c>
    </row>
    <row r="152" spans="1:7" ht="15.6" hidden="1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671</v>
      </c>
      <c r="G152" s="145" t="s">
        <v>691</v>
      </c>
    </row>
    <row r="153" spans="1:7" ht="15.6" hidden="1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672</v>
      </c>
      <c r="G153" s="145" t="s">
        <v>701</v>
      </c>
    </row>
    <row r="154" spans="1:7" ht="15.6" hidden="1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672</v>
      </c>
      <c r="G154" s="145" t="s">
        <v>691</v>
      </c>
    </row>
    <row r="155" spans="1:7" ht="15.6" hidden="1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674</v>
      </c>
      <c r="G155" s="145" t="s">
        <v>687</v>
      </c>
    </row>
    <row r="156" spans="1:7" ht="15.6" hidden="1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674</v>
      </c>
      <c r="G156" s="145" t="s">
        <v>694</v>
      </c>
    </row>
    <row r="157" spans="1:7" ht="15.6" hidden="1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672</v>
      </c>
      <c r="G157" s="145" t="s">
        <v>685</v>
      </c>
    </row>
    <row r="158" spans="1:7" ht="15.6" hidden="1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674</v>
      </c>
      <c r="G158" s="145" t="s">
        <v>687</v>
      </c>
    </row>
    <row r="159" spans="1:7" ht="15.6" hidden="1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674</v>
      </c>
      <c r="G159" s="145" t="s">
        <v>694</v>
      </c>
    </row>
    <row r="160" spans="1:7" ht="15.6" hidden="1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675</v>
      </c>
      <c r="G160" s="145" t="s">
        <v>688</v>
      </c>
    </row>
    <row r="161" spans="1:7" ht="15.6" hidden="1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671</v>
      </c>
      <c r="G161" s="145" t="s">
        <v>684</v>
      </c>
    </row>
    <row r="162" spans="1:7" ht="15.6" hidden="1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672</v>
      </c>
      <c r="G162" s="145" t="s">
        <v>685</v>
      </c>
    </row>
    <row r="163" spans="1:7" ht="15.6" hidden="1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674</v>
      </c>
      <c r="G163" s="145" t="s">
        <v>687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675</v>
      </c>
      <c r="G164" s="145" t="s">
        <v>695</v>
      </c>
    </row>
    <row r="165" spans="1:7" ht="15.6" hidden="1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672</v>
      </c>
      <c r="G165" s="145" t="s">
        <v>691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675</v>
      </c>
      <c r="G166" s="145" t="s">
        <v>697</v>
      </c>
    </row>
    <row r="167" spans="1:7" ht="15.6" hidden="1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671</v>
      </c>
      <c r="G167" s="145" t="s">
        <v>691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677</v>
      </c>
      <c r="G168" s="145" t="s">
        <v>693</v>
      </c>
    </row>
    <row r="169" spans="1:7" ht="15.6" hidden="1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674</v>
      </c>
      <c r="G169" s="145" t="s">
        <v>694</v>
      </c>
    </row>
    <row r="170" spans="1:7" ht="15.6" hidden="1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671</v>
      </c>
      <c r="G170" s="145" t="s">
        <v>691</v>
      </c>
    </row>
    <row r="171" spans="1:7" ht="15.6" hidden="1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672</v>
      </c>
      <c r="G171" s="145" t="s">
        <v>691</v>
      </c>
    </row>
    <row r="172" spans="1:7" ht="15.6" hidden="1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671</v>
      </c>
      <c r="G172" s="145" t="s">
        <v>691</v>
      </c>
    </row>
    <row r="173" spans="1:7" ht="15.6" hidden="1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672</v>
      </c>
      <c r="G173" s="145" t="s">
        <v>691</v>
      </c>
    </row>
    <row r="174" spans="1:7" ht="15.6" hidden="1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674</v>
      </c>
      <c r="G174" s="145" t="s">
        <v>694</v>
      </c>
    </row>
    <row r="175" spans="1:7" ht="15.6" hidden="1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671</v>
      </c>
      <c r="G175" s="145" t="s">
        <v>691</v>
      </c>
    </row>
    <row r="176" spans="1:7" ht="15.6" hidden="1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672</v>
      </c>
      <c r="G176" s="145" t="s">
        <v>691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677</v>
      </c>
      <c r="G177" s="145" t="s">
        <v>693</v>
      </c>
    </row>
    <row r="178" spans="1:7" ht="15.6" hidden="1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674</v>
      </c>
      <c r="G178" s="145" t="s">
        <v>694</v>
      </c>
    </row>
    <row r="179" spans="1:7" ht="15.6" hidden="1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671</v>
      </c>
      <c r="G179" s="145" t="s">
        <v>691</v>
      </c>
    </row>
    <row r="180" spans="1:7" ht="15.6" hidden="1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672</v>
      </c>
      <c r="G180" s="145" t="s">
        <v>691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677</v>
      </c>
      <c r="G181" s="145" t="s">
        <v>693</v>
      </c>
    </row>
    <row r="182" spans="1:7" ht="15.6" hidden="1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671</v>
      </c>
      <c r="G182" s="145" t="s">
        <v>691</v>
      </c>
    </row>
    <row r="183" spans="1:7" ht="15.6" hidden="1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672</v>
      </c>
      <c r="G183" s="145" t="s">
        <v>691</v>
      </c>
    </row>
    <row r="184" spans="1:7" ht="15.6" hidden="1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671</v>
      </c>
      <c r="G184" s="145" t="s">
        <v>691</v>
      </c>
    </row>
    <row r="185" spans="1:7" ht="15.6" hidden="1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671</v>
      </c>
      <c r="G185" s="145" t="s">
        <v>691</v>
      </c>
    </row>
    <row r="186" spans="1:7" ht="15.6" hidden="1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672</v>
      </c>
      <c r="G186" s="145" t="s">
        <v>691</v>
      </c>
    </row>
    <row r="187" spans="1:7" ht="15.6" hidden="1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674</v>
      </c>
      <c r="G187" s="145" t="s">
        <v>694</v>
      </c>
    </row>
    <row r="188" spans="1:7" ht="15.6" hidden="1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671</v>
      </c>
      <c r="G188" s="145" t="s">
        <v>691</v>
      </c>
    </row>
    <row r="189" spans="1:7" ht="15.6" hidden="1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672</v>
      </c>
      <c r="G189" s="145" t="s">
        <v>691</v>
      </c>
    </row>
    <row r="190" spans="1:7" ht="15.6" hidden="1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674</v>
      </c>
      <c r="G190" s="145" t="s">
        <v>694</v>
      </c>
    </row>
    <row r="191" spans="1:7" ht="15.6" hidden="1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671</v>
      </c>
      <c r="G191" s="145" t="s">
        <v>691</v>
      </c>
    </row>
    <row r="192" spans="1:7" ht="15.6" hidden="1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672</v>
      </c>
      <c r="G192" s="145" t="s">
        <v>691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677</v>
      </c>
      <c r="G193" s="145" t="s">
        <v>693</v>
      </c>
    </row>
    <row r="194" spans="1:7" ht="15.6" hidden="1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674</v>
      </c>
      <c r="G194" s="145" t="s">
        <v>694</v>
      </c>
    </row>
    <row r="195" spans="1:7" ht="15.6" hidden="1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671</v>
      </c>
      <c r="G195" s="145" t="s">
        <v>691</v>
      </c>
    </row>
    <row r="196" spans="1:7" ht="15.6" hidden="1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672</v>
      </c>
      <c r="G196" s="145" t="s">
        <v>691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677</v>
      </c>
      <c r="G197" s="145" t="s">
        <v>693</v>
      </c>
    </row>
    <row r="198" spans="1:7" ht="15.6" hidden="1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674</v>
      </c>
      <c r="G198" s="145" t="s">
        <v>694</v>
      </c>
    </row>
    <row r="199" spans="1:7" ht="15.6" hidden="1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671</v>
      </c>
      <c r="G199" s="145" t="s">
        <v>691</v>
      </c>
    </row>
    <row r="200" spans="1:7" ht="15.6" hidden="1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671</v>
      </c>
      <c r="G200" s="145" t="s">
        <v>691</v>
      </c>
    </row>
    <row r="201" spans="1:7" ht="15.6" hidden="1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672</v>
      </c>
      <c r="G201" s="145" t="s">
        <v>691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675</v>
      </c>
      <c r="G202" s="145" t="s">
        <v>697</v>
      </c>
    </row>
    <row r="203" spans="1:7" ht="15.6" hidden="1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671</v>
      </c>
      <c r="G203" s="145" t="s">
        <v>691</v>
      </c>
    </row>
    <row r="204" spans="1:7" ht="15.6" hidden="1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674</v>
      </c>
      <c r="G204" s="145" t="s">
        <v>694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675</v>
      </c>
      <c r="G205" s="145" t="s">
        <v>697</v>
      </c>
    </row>
    <row r="206" spans="1:7" ht="15.6" hidden="1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671</v>
      </c>
      <c r="G206" s="145" t="s">
        <v>691</v>
      </c>
    </row>
    <row r="207" spans="1:7" ht="15.6" hidden="1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672</v>
      </c>
      <c r="G207" s="145" t="s">
        <v>691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675</v>
      </c>
      <c r="G208" s="145" t="s">
        <v>697</v>
      </c>
    </row>
    <row r="209" spans="1:7" ht="15.6" hidden="1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671</v>
      </c>
      <c r="G209" s="145" t="s">
        <v>691</v>
      </c>
    </row>
    <row r="210" spans="1:7" ht="15.6" hidden="1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672</v>
      </c>
      <c r="G210" s="145" t="s">
        <v>691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677</v>
      </c>
      <c r="G211" s="145" t="s">
        <v>693</v>
      </c>
    </row>
    <row r="212" spans="1:7" ht="15.6" hidden="1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674</v>
      </c>
      <c r="G212" s="145" t="s">
        <v>694</v>
      </c>
    </row>
    <row r="213" spans="1:7" ht="15.6" hidden="1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671</v>
      </c>
      <c r="G213" s="145" t="s">
        <v>684</v>
      </c>
    </row>
    <row r="214" spans="1:7" ht="15.6" hidden="1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672</v>
      </c>
      <c r="G214" s="145" t="s">
        <v>685</v>
      </c>
    </row>
    <row r="215" spans="1:7" ht="15.6" hidden="1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674</v>
      </c>
      <c r="G215" s="145" t="s">
        <v>687</v>
      </c>
    </row>
    <row r="216" spans="1:7" ht="15.6" hidden="1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671</v>
      </c>
      <c r="G216" s="145" t="s">
        <v>684</v>
      </c>
    </row>
    <row r="217" spans="1:7" ht="15.6" hidden="1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672</v>
      </c>
      <c r="G217" s="145" t="s">
        <v>685</v>
      </c>
    </row>
    <row r="218" spans="1:7" ht="15.6" hidden="1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671</v>
      </c>
      <c r="G218" s="145" t="s">
        <v>684</v>
      </c>
    </row>
    <row r="219" spans="1:7" ht="15.6" hidden="1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672</v>
      </c>
      <c r="G219" s="145" t="s">
        <v>685</v>
      </c>
    </row>
    <row r="220" spans="1:7" ht="15.6" hidden="1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674</v>
      </c>
      <c r="G220" s="145" t="s">
        <v>687</v>
      </c>
    </row>
    <row r="221" spans="1:7" ht="15.6" hidden="1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675</v>
      </c>
      <c r="G221" s="145" t="s">
        <v>688</v>
      </c>
    </row>
    <row r="222" spans="1:7" ht="15.6" hidden="1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671</v>
      </c>
      <c r="G222" s="145" t="s">
        <v>691</v>
      </c>
    </row>
    <row r="223" spans="1:7" ht="15.6" hidden="1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672</v>
      </c>
      <c r="G223" s="145" t="s">
        <v>691</v>
      </c>
    </row>
    <row r="224" spans="1:7" ht="15.6" hidden="1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674</v>
      </c>
      <c r="G224" s="145" t="s">
        <v>694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675</v>
      </c>
      <c r="G225" s="145" t="s">
        <v>697</v>
      </c>
    </row>
    <row r="226" spans="1:7" ht="15.6" hidden="1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671</v>
      </c>
      <c r="G226" s="145" t="s">
        <v>691</v>
      </c>
    </row>
    <row r="227" spans="1:7" ht="15.6" hidden="1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672</v>
      </c>
      <c r="G227" s="145" t="s">
        <v>691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675</v>
      </c>
      <c r="G228" s="145" t="s">
        <v>697</v>
      </c>
    </row>
    <row r="229" spans="1:7" ht="15.6" hidden="1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671</v>
      </c>
      <c r="G229" s="145" t="s">
        <v>691</v>
      </c>
    </row>
    <row r="230" spans="1:7" ht="15.6" hidden="1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674</v>
      </c>
      <c r="G230" s="145" t="s">
        <v>694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675</v>
      </c>
      <c r="G231" s="145" t="s">
        <v>697</v>
      </c>
    </row>
    <row r="232" spans="1:7" ht="15.6" hidden="1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671</v>
      </c>
      <c r="G232" s="145" t="s">
        <v>690</v>
      </c>
    </row>
    <row r="233" spans="1:7" ht="31.2" hidden="1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676</v>
      </c>
      <c r="G233" s="145" t="s">
        <v>690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675</v>
      </c>
      <c r="G234" s="145" t="s">
        <v>695</v>
      </c>
    </row>
    <row r="235" spans="1:7" ht="15.6" hidden="1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671</v>
      </c>
      <c r="G235" s="145" t="s">
        <v>691</v>
      </c>
    </row>
    <row r="236" spans="1:7" ht="31.2" hidden="1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678</v>
      </c>
      <c r="G236" s="145" t="s">
        <v>689</v>
      </c>
    </row>
    <row r="237" spans="1:7" ht="31.2" hidden="1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676</v>
      </c>
      <c r="G237" s="145" t="s">
        <v>692</v>
      </c>
    </row>
    <row r="238" spans="1:7" ht="15.6" hidden="1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672</v>
      </c>
      <c r="G238" s="145" t="s">
        <v>691</v>
      </c>
    </row>
    <row r="239" spans="1:7" ht="46.8" hidden="1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680</v>
      </c>
      <c r="G239" s="145" t="s">
        <v>704</v>
      </c>
    </row>
    <row r="240" spans="1:7" ht="15.6" hidden="1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674</v>
      </c>
      <c r="G240" s="145" t="s">
        <v>689</v>
      </c>
    </row>
    <row r="241" spans="1:7" ht="15.6" hidden="1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674</v>
      </c>
      <c r="G241" s="145" t="s">
        <v>694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675</v>
      </c>
      <c r="G242" s="145" t="s">
        <v>697</v>
      </c>
    </row>
    <row r="243" spans="1:7" ht="15.6" hidden="1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671</v>
      </c>
      <c r="G243" s="145" t="s">
        <v>684</v>
      </c>
    </row>
    <row r="244" spans="1:7" ht="15.6" hidden="1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672</v>
      </c>
      <c r="G244" s="145" t="s">
        <v>685</v>
      </c>
    </row>
    <row r="245" spans="1:7" ht="15.6" hidden="1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674</v>
      </c>
      <c r="G245" s="145" t="s">
        <v>687</v>
      </c>
    </row>
    <row r="246" spans="1:7" ht="15.6" hidden="1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674</v>
      </c>
      <c r="G246" s="145" t="s">
        <v>687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681</v>
      </c>
      <c r="G247" s="145" t="s">
        <v>705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681</v>
      </c>
      <c r="G248" s="145" t="s">
        <v>706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681</v>
      </c>
      <c r="G249" s="145" t="s">
        <v>706</v>
      </c>
    </row>
    <row r="250" spans="1:7" ht="15.6" hidden="1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671</v>
      </c>
      <c r="G250" s="145" t="s">
        <v>691</v>
      </c>
    </row>
    <row r="251" spans="1:7" ht="15.6" hidden="1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672</v>
      </c>
      <c r="G251" s="145" t="s">
        <v>685</v>
      </c>
    </row>
    <row r="252" spans="1:7" ht="15.6" hidden="1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671</v>
      </c>
      <c r="G252" s="145" t="s">
        <v>684</v>
      </c>
    </row>
    <row r="253" spans="1:7" ht="15.6" hidden="1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672</v>
      </c>
      <c r="G253" s="145" t="s">
        <v>685</v>
      </c>
    </row>
    <row r="254" spans="1:7" ht="15.6" hidden="1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674</v>
      </c>
      <c r="G254" s="145" t="s">
        <v>687</v>
      </c>
    </row>
    <row r="255" spans="1:7" ht="15.6" hidden="1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671</v>
      </c>
      <c r="G255" s="145" t="s">
        <v>684</v>
      </c>
    </row>
    <row r="256" spans="1:7" ht="15.6" hidden="1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672</v>
      </c>
      <c r="G256" s="145" t="s">
        <v>685</v>
      </c>
    </row>
    <row r="257" spans="1:7" ht="15.6" hidden="1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674</v>
      </c>
      <c r="G257" s="145" t="s">
        <v>687</v>
      </c>
    </row>
    <row r="258" spans="1:7" ht="15.6" hidden="1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675</v>
      </c>
      <c r="G258" s="145" t="s">
        <v>688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673</v>
      </c>
      <c r="G259" s="145" t="s">
        <v>698</v>
      </c>
    </row>
    <row r="260" spans="1:7" ht="15.6" hidden="1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672</v>
      </c>
      <c r="G260" s="145" t="s">
        <v>685</v>
      </c>
    </row>
    <row r="261" spans="1:7" ht="15.6" hidden="1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674</v>
      </c>
      <c r="G261" s="145" t="s">
        <v>687</v>
      </c>
    </row>
    <row r="262" spans="1:7" ht="15.6" hidden="1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672</v>
      </c>
      <c r="G262" s="145" t="s">
        <v>685</v>
      </c>
    </row>
    <row r="263" spans="1:7" ht="15.6" hidden="1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674</v>
      </c>
      <c r="G263" s="145" t="s">
        <v>687</v>
      </c>
    </row>
    <row r="264" spans="1:7" ht="15.6" hidden="1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674</v>
      </c>
      <c r="G264" s="145" t="s">
        <v>694</v>
      </c>
    </row>
    <row r="265" spans="1:7" ht="15.6" hidden="1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672</v>
      </c>
      <c r="G265" s="145" t="s">
        <v>685</v>
      </c>
    </row>
    <row r="266" spans="1:7" ht="15.6" hidden="1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673</v>
      </c>
      <c r="G266" s="145" t="s">
        <v>686</v>
      </c>
    </row>
    <row r="267" spans="1:7" ht="15.6" hidden="1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674</v>
      </c>
      <c r="G267" s="145" t="s">
        <v>687</v>
      </c>
    </row>
    <row r="268" spans="1:7" ht="15.6" hidden="1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671</v>
      </c>
      <c r="G268" s="145" t="s">
        <v>684</v>
      </c>
    </row>
    <row r="269" spans="1:7" ht="15.6" hidden="1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672</v>
      </c>
      <c r="G269" s="145" t="s">
        <v>685</v>
      </c>
    </row>
    <row r="270" spans="1:7" ht="15.6" hidden="1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674</v>
      </c>
      <c r="G270" s="145" t="s">
        <v>687</v>
      </c>
    </row>
    <row r="271" spans="1:7" ht="15.6" hidden="1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671</v>
      </c>
      <c r="G271" s="145" t="s">
        <v>684</v>
      </c>
    </row>
    <row r="272" spans="1:7" ht="15.6" hidden="1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672</v>
      </c>
      <c r="G272" s="145" t="s">
        <v>685</v>
      </c>
    </row>
    <row r="273" spans="1:7" ht="15.6" hidden="1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674</v>
      </c>
      <c r="G273" s="145" t="s">
        <v>687</v>
      </c>
    </row>
    <row r="274" spans="1:7" ht="15.6" hidden="1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671</v>
      </c>
      <c r="G274" s="145" t="s">
        <v>684</v>
      </c>
    </row>
    <row r="275" spans="1:7" ht="15.6" hidden="1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672</v>
      </c>
      <c r="G275" s="145" t="s">
        <v>685</v>
      </c>
    </row>
    <row r="276" spans="1:7" ht="15.6" hidden="1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674</v>
      </c>
      <c r="G276" s="145" t="s">
        <v>687</v>
      </c>
    </row>
    <row r="277" spans="1:7" ht="15.6" hidden="1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675</v>
      </c>
      <c r="G277" s="145" t="s">
        <v>688</v>
      </c>
    </row>
    <row r="278" spans="1:7" ht="15.6" hidden="1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671</v>
      </c>
      <c r="G278" s="145" t="s">
        <v>684</v>
      </c>
    </row>
    <row r="279" spans="1:7" ht="15.6" hidden="1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672</v>
      </c>
      <c r="G279" s="145" t="s">
        <v>685</v>
      </c>
    </row>
    <row r="280" spans="1:7" ht="15.6" hidden="1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673</v>
      </c>
      <c r="G280" s="145" t="s">
        <v>686</v>
      </c>
    </row>
    <row r="281" spans="1:7" ht="15.6" hidden="1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674</v>
      </c>
      <c r="G281" s="145" t="s">
        <v>687</v>
      </c>
    </row>
    <row r="282" spans="1:7" ht="15.6" hidden="1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675</v>
      </c>
      <c r="G282" s="145" t="s">
        <v>688</v>
      </c>
    </row>
    <row r="283" spans="1:7" ht="15.6" hidden="1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671</v>
      </c>
      <c r="G283" s="145" t="s">
        <v>684</v>
      </c>
    </row>
    <row r="284" spans="1:7" ht="15.6" hidden="1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672</v>
      </c>
      <c r="G284" s="145" t="s">
        <v>685</v>
      </c>
    </row>
    <row r="285" spans="1:7" ht="15.6" hidden="1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673</v>
      </c>
      <c r="G285" s="145" t="s">
        <v>686</v>
      </c>
    </row>
    <row r="286" spans="1:7" ht="15.6" hidden="1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674</v>
      </c>
      <c r="G286" s="145" t="s">
        <v>687</v>
      </c>
    </row>
    <row r="287" spans="1:7" ht="15.6" hidden="1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675</v>
      </c>
      <c r="G287" s="145" t="s">
        <v>688</v>
      </c>
    </row>
    <row r="288" spans="1:7" ht="15.6" hidden="1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671</v>
      </c>
      <c r="G288" s="145" t="s">
        <v>684</v>
      </c>
    </row>
    <row r="289" spans="1:7" ht="15.6" hidden="1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672</v>
      </c>
      <c r="G289" s="145" t="s">
        <v>685</v>
      </c>
    </row>
    <row r="290" spans="1:7" ht="15.6" hidden="1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673</v>
      </c>
      <c r="G290" s="145" t="s">
        <v>686</v>
      </c>
    </row>
    <row r="291" spans="1:7" ht="15.6" hidden="1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674</v>
      </c>
      <c r="G291" s="145" t="s">
        <v>687</v>
      </c>
    </row>
    <row r="292" spans="1:7" ht="15.6" hidden="1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675</v>
      </c>
      <c r="G292" s="145" t="s">
        <v>688</v>
      </c>
    </row>
    <row r="293" spans="1:7" ht="15.6" hidden="1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671</v>
      </c>
      <c r="G293" s="145" t="s">
        <v>684</v>
      </c>
    </row>
    <row r="294" spans="1:7" ht="15.6" hidden="1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672</v>
      </c>
      <c r="G294" s="145" t="s">
        <v>685</v>
      </c>
    </row>
    <row r="295" spans="1:7" ht="15.6" hidden="1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673</v>
      </c>
      <c r="G295" s="145" t="s">
        <v>686</v>
      </c>
    </row>
    <row r="296" spans="1:7" ht="15.6" hidden="1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674</v>
      </c>
      <c r="G296" s="145" t="s">
        <v>687</v>
      </c>
    </row>
    <row r="297" spans="1:7" ht="15.6" hidden="1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675</v>
      </c>
      <c r="G297" s="145" t="s">
        <v>688</v>
      </c>
    </row>
    <row r="298" spans="1:7" ht="15.6" hidden="1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671</v>
      </c>
      <c r="G298" s="145" t="s">
        <v>684</v>
      </c>
    </row>
    <row r="299" spans="1:7" ht="15.6" hidden="1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672</v>
      </c>
      <c r="G299" s="145" t="s">
        <v>685</v>
      </c>
    </row>
    <row r="300" spans="1:7" ht="15.6" hidden="1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673</v>
      </c>
      <c r="G300" s="145" t="s">
        <v>686</v>
      </c>
    </row>
    <row r="301" spans="1:7" ht="15.6" hidden="1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674</v>
      </c>
      <c r="G301" s="145" t="s">
        <v>687</v>
      </c>
    </row>
    <row r="302" spans="1:7" ht="15.6" hidden="1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675</v>
      </c>
      <c r="G302" s="145" t="s">
        <v>688</v>
      </c>
    </row>
    <row r="303" spans="1:7" ht="15.6" hidden="1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671</v>
      </c>
      <c r="G303" s="145" t="s">
        <v>684</v>
      </c>
    </row>
    <row r="304" spans="1:7" ht="15.6" hidden="1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672</v>
      </c>
      <c r="G304" s="145" t="s">
        <v>685</v>
      </c>
    </row>
    <row r="305" spans="1:7" ht="15.6" hidden="1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673</v>
      </c>
      <c r="G305" s="145" t="s">
        <v>686</v>
      </c>
    </row>
    <row r="306" spans="1:7" ht="15.6" hidden="1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674</v>
      </c>
      <c r="G306" s="145" t="s">
        <v>687</v>
      </c>
    </row>
    <row r="307" spans="1:7" ht="15.6" hidden="1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675</v>
      </c>
      <c r="G307" s="145" t="s">
        <v>688</v>
      </c>
    </row>
    <row r="308" spans="1:7" ht="15.6" hidden="1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671</v>
      </c>
      <c r="G308" s="145" t="s">
        <v>684</v>
      </c>
    </row>
    <row r="309" spans="1:7" ht="15.6" hidden="1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672</v>
      </c>
      <c r="G309" s="145" t="s">
        <v>685</v>
      </c>
    </row>
    <row r="310" spans="1:7" ht="15.6" hidden="1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673</v>
      </c>
      <c r="G310" s="145" t="s">
        <v>686</v>
      </c>
    </row>
    <row r="311" spans="1:7" ht="15.6" hidden="1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674</v>
      </c>
      <c r="G311" s="145" t="s">
        <v>687</v>
      </c>
    </row>
    <row r="312" spans="1:7" ht="15.6" hidden="1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673</v>
      </c>
      <c r="G312" s="145" t="s">
        <v>686</v>
      </c>
    </row>
    <row r="313" spans="1:7" ht="15.6" hidden="1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674</v>
      </c>
      <c r="G313" s="145" t="s">
        <v>689</v>
      </c>
    </row>
    <row r="314" spans="1:7" ht="15.6" hidden="1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671</v>
      </c>
      <c r="G314" s="145" t="s">
        <v>689</v>
      </c>
    </row>
    <row r="315" spans="1:7" ht="31.2" hidden="1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676</v>
      </c>
      <c r="G315" s="145" t="s">
        <v>692</v>
      </c>
    </row>
    <row r="316" spans="1:7" ht="15.6" hidden="1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672</v>
      </c>
      <c r="G316" s="145" t="s">
        <v>691</v>
      </c>
    </row>
    <row r="317" spans="1:7" ht="31.2" hidden="1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676</v>
      </c>
      <c r="G317" s="145" t="s">
        <v>690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673</v>
      </c>
      <c r="G318" s="145" t="s">
        <v>696</v>
      </c>
    </row>
    <row r="319" spans="1:7" ht="15.6" hidden="1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674</v>
      </c>
      <c r="G319" s="145" t="s">
        <v>690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675</v>
      </c>
      <c r="G320" s="145" t="s">
        <v>695</v>
      </c>
    </row>
    <row r="321" spans="1:7" ht="15.6" hidden="1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672</v>
      </c>
      <c r="G321" s="145" t="s">
        <v>691</v>
      </c>
    </row>
    <row r="322" spans="1:7" ht="46.8" hidden="1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680</v>
      </c>
      <c r="G322" s="145" t="s">
        <v>704</v>
      </c>
    </row>
    <row r="323" spans="1:7" ht="15.6" hidden="1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674</v>
      </c>
      <c r="G323" s="145" t="s">
        <v>689</v>
      </c>
    </row>
    <row r="324" spans="1:7" ht="15.6" hidden="1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674</v>
      </c>
      <c r="G324" s="145" t="s">
        <v>694</v>
      </c>
    </row>
    <row r="325" spans="1:7" ht="15.6" hidden="1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671</v>
      </c>
      <c r="G325" s="145" t="s">
        <v>691</v>
      </c>
    </row>
    <row r="326" spans="1:7" ht="31.2" hidden="1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678</v>
      </c>
      <c r="G326" s="145" t="s">
        <v>689</v>
      </c>
    </row>
    <row r="327" spans="1:7" ht="31.2" hidden="1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676</v>
      </c>
      <c r="G327" s="145" t="s">
        <v>692</v>
      </c>
    </row>
    <row r="328" spans="1:7" ht="15.6" hidden="1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672</v>
      </c>
      <c r="G328" s="145" t="s">
        <v>691</v>
      </c>
    </row>
    <row r="329" spans="1:7" ht="46.8" hidden="1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680</v>
      </c>
      <c r="G329" s="145" t="s">
        <v>704</v>
      </c>
    </row>
    <row r="330" spans="1:7" ht="15.6" hidden="1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673</v>
      </c>
      <c r="G330" s="145" t="s">
        <v>686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673</v>
      </c>
      <c r="G331" s="145" t="s">
        <v>696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675</v>
      </c>
      <c r="G332" s="145" t="s">
        <v>697</v>
      </c>
    </row>
    <row r="333" spans="1:7" ht="15.6" hidden="1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672</v>
      </c>
      <c r="G333" s="145" t="s">
        <v>691</v>
      </c>
    </row>
    <row r="334" spans="1:7" ht="31.2" hidden="1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676</v>
      </c>
      <c r="G334" s="145" t="s">
        <v>690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673</v>
      </c>
      <c r="G335" s="145" t="s">
        <v>696</v>
      </c>
    </row>
    <row r="336" spans="1:7" ht="15.6" hidden="1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674</v>
      </c>
      <c r="G336" s="145" t="s">
        <v>689</v>
      </c>
    </row>
    <row r="337" spans="1:7" ht="15.6" hidden="1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674</v>
      </c>
      <c r="G337" s="145" t="s">
        <v>690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675</v>
      </c>
      <c r="G338" s="145" t="s">
        <v>695</v>
      </c>
    </row>
    <row r="339" spans="1:7" ht="15.6" hidden="1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671</v>
      </c>
      <c r="G339" s="145" t="s">
        <v>684</v>
      </c>
    </row>
    <row r="340" spans="1:7" ht="15.6" hidden="1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672</v>
      </c>
      <c r="G340" s="145" t="s">
        <v>685</v>
      </c>
    </row>
    <row r="341" spans="1:7" ht="15.6" hidden="1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672</v>
      </c>
      <c r="G341" s="145" t="s">
        <v>691</v>
      </c>
    </row>
    <row r="342" spans="1:7" ht="15.6" hidden="1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673</v>
      </c>
      <c r="G342" s="145" t="s">
        <v>686</v>
      </c>
    </row>
    <row r="343" spans="1:7" ht="15.6" hidden="1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674</v>
      </c>
      <c r="G343" s="145" t="s">
        <v>689</v>
      </c>
    </row>
    <row r="344" spans="1:7" ht="15.6" hidden="1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671</v>
      </c>
      <c r="G344" s="145" t="s">
        <v>691</v>
      </c>
    </row>
    <row r="345" spans="1:7" ht="31.2" hidden="1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678</v>
      </c>
      <c r="G345" s="145" t="s">
        <v>689</v>
      </c>
    </row>
    <row r="346" spans="1:7" ht="31.2" hidden="1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676</v>
      </c>
      <c r="G346" s="145" t="s">
        <v>692</v>
      </c>
    </row>
    <row r="347" spans="1:7" ht="31.2" hidden="1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676</v>
      </c>
      <c r="G347" s="145" t="s">
        <v>690</v>
      </c>
    </row>
    <row r="348" spans="1:7" ht="46.8" hidden="1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680</v>
      </c>
      <c r="G348" s="145" t="s">
        <v>704</v>
      </c>
    </row>
    <row r="349" spans="1:7" ht="15.6" hidden="1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674</v>
      </c>
      <c r="G349" s="145" t="s">
        <v>689</v>
      </c>
    </row>
    <row r="350" spans="1:7" ht="15.6" hidden="1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674</v>
      </c>
      <c r="G350" s="145" t="s">
        <v>694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675</v>
      </c>
      <c r="G351" s="145" t="s">
        <v>697</v>
      </c>
    </row>
    <row r="352" spans="1:7" ht="15.6" hidden="1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672</v>
      </c>
      <c r="G352" s="145" t="s">
        <v>691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677</v>
      </c>
      <c r="G353" s="145" t="s">
        <v>693</v>
      </c>
    </row>
    <row r="354" spans="1:7" ht="15.6" hidden="1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674</v>
      </c>
      <c r="G354" s="145" t="s">
        <v>694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675</v>
      </c>
      <c r="G355" s="145" t="s">
        <v>697</v>
      </c>
    </row>
    <row r="356" spans="1:7" ht="15.6" hidden="1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671</v>
      </c>
      <c r="G356" s="145" t="s">
        <v>684</v>
      </c>
    </row>
    <row r="357" spans="1:7" ht="15.6" hidden="1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672</v>
      </c>
      <c r="G357" s="145" t="s">
        <v>685</v>
      </c>
    </row>
    <row r="358" spans="1:7" ht="15.6" hidden="1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673</v>
      </c>
      <c r="G358" s="145" t="s">
        <v>686</v>
      </c>
    </row>
    <row r="359" spans="1:7" ht="15.6" hidden="1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674</v>
      </c>
      <c r="G359" s="145" t="s">
        <v>687</v>
      </c>
    </row>
    <row r="360" spans="1:7" ht="15.6" hidden="1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671</v>
      </c>
      <c r="G360" s="145" t="s">
        <v>684</v>
      </c>
    </row>
    <row r="361" spans="1:7" ht="15.6" hidden="1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672</v>
      </c>
      <c r="G361" s="145" t="s">
        <v>685</v>
      </c>
    </row>
    <row r="362" spans="1:7" ht="15.6" hidden="1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673</v>
      </c>
      <c r="G362" s="145" t="s">
        <v>686</v>
      </c>
    </row>
    <row r="363" spans="1:7" ht="15.6" hidden="1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674</v>
      </c>
      <c r="G363" s="145" t="s">
        <v>687</v>
      </c>
    </row>
    <row r="364" spans="1:7" ht="15.6" hidden="1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673</v>
      </c>
      <c r="G364" s="145" t="s">
        <v>686</v>
      </c>
    </row>
    <row r="365" spans="1:7" ht="15.6" hidden="1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674</v>
      </c>
      <c r="G365" s="145" t="s">
        <v>689</v>
      </c>
    </row>
    <row r="366" spans="1:7" ht="15.6" hidden="1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671</v>
      </c>
      <c r="G366" s="145" t="s">
        <v>689</v>
      </c>
    </row>
    <row r="367" spans="1:7" ht="15.6" hidden="1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671</v>
      </c>
      <c r="G367" s="145" t="s">
        <v>684</v>
      </c>
    </row>
    <row r="368" spans="1:7" ht="15.6" hidden="1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671</v>
      </c>
      <c r="G368" s="145" t="s">
        <v>691</v>
      </c>
    </row>
    <row r="369" spans="1:7" ht="31.2" hidden="1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676</v>
      </c>
      <c r="G369" s="145" t="s">
        <v>692</v>
      </c>
    </row>
    <row r="370" spans="1:7" ht="15.6" hidden="1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672</v>
      </c>
      <c r="G370" s="145" t="s">
        <v>685</v>
      </c>
    </row>
    <row r="371" spans="1:7" ht="31.2" hidden="1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676</v>
      </c>
      <c r="G371" s="145" t="s">
        <v>690</v>
      </c>
    </row>
    <row r="372" spans="1:7" ht="46.8" hidden="1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680</v>
      </c>
      <c r="G372" s="145" t="s">
        <v>704</v>
      </c>
    </row>
    <row r="373" spans="1:7" ht="15.6" hidden="1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675</v>
      </c>
      <c r="G373" s="145" t="s">
        <v>688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675</v>
      </c>
      <c r="G374" s="145" t="s">
        <v>695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675</v>
      </c>
      <c r="G375" s="145" t="s">
        <v>697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673</v>
      </c>
      <c r="G376" s="145" t="s">
        <v>707</v>
      </c>
    </row>
    <row r="377" spans="1:7" ht="15.6" hidden="1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671</v>
      </c>
      <c r="G377" s="145" t="s">
        <v>691</v>
      </c>
    </row>
    <row r="378" spans="1:7" ht="15.6" hidden="1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672</v>
      </c>
      <c r="G378" s="145" t="s">
        <v>691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675</v>
      </c>
      <c r="G379" s="145" t="s">
        <v>697</v>
      </c>
    </row>
    <row r="380" spans="1:7" ht="15.6" hidden="1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671</v>
      </c>
      <c r="G380" s="145" t="s">
        <v>708</v>
      </c>
    </row>
    <row r="381" spans="1:7" ht="15.6" hidden="1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672</v>
      </c>
      <c r="G381" s="145" t="s">
        <v>709</v>
      </c>
    </row>
    <row r="382" spans="1:7" ht="15.6" hidden="1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673</v>
      </c>
      <c r="G382" s="145" t="s">
        <v>710</v>
      </c>
    </row>
    <row r="383" spans="1:7" ht="15.6" hidden="1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674</v>
      </c>
      <c r="G383" s="145" t="s">
        <v>711</v>
      </c>
    </row>
    <row r="384" spans="1:7" ht="15.6" hidden="1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675</v>
      </c>
      <c r="G384" s="145" t="s">
        <v>712</v>
      </c>
    </row>
    <row r="385" spans="1:7" ht="15.6" hidden="1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671</v>
      </c>
      <c r="G385" s="145" t="s">
        <v>708</v>
      </c>
    </row>
    <row r="386" spans="1:7" ht="15.6" hidden="1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672</v>
      </c>
      <c r="G386" s="145" t="s">
        <v>709</v>
      </c>
    </row>
    <row r="387" spans="1:7" ht="15.6" hidden="1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673</v>
      </c>
      <c r="G387" s="145" t="s">
        <v>710</v>
      </c>
    </row>
    <row r="388" spans="1:7" ht="15.6" hidden="1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674</v>
      </c>
      <c r="G388" s="145" t="s">
        <v>711</v>
      </c>
    </row>
    <row r="389" spans="1:7" ht="15.6" hidden="1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675</v>
      </c>
      <c r="G389" s="145" t="s">
        <v>712</v>
      </c>
    </row>
    <row r="390" spans="1:7" ht="15.6" hidden="1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671</v>
      </c>
      <c r="G390" s="145" t="s">
        <v>708</v>
      </c>
    </row>
    <row r="391" spans="1:7" ht="15.6" hidden="1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672</v>
      </c>
      <c r="G391" s="145" t="s">
        <v>709</v>
      </c>
    </row>
    <row r="392" spans="1:7" ht="15.6" hidden="1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673</v>
      </c>
      <c r="G392" s="145" t="s">
        <v>710</v>
      </c>
    </row>
    <row r="393" spans="1:7" ht="15.6" hidden="1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674</v>
      </c>
      <c r="G393" s="145" t="s">
        <v>711</v>
      </c>
    </row>
    <row r="394" spans="1:7" ht="15.6" hidden="1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675</v>
      </c>
      <c r="G394" s="145" t="s">
        <v>712</v>
      </c>
    </row>
    <row r="395" spans="1:7" ht="15.6" hidden="1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671</v>
      </c>
      <c r="G395" s="145" t="s">
        <v>708</v>
      </c>
    </row>
    <row r="396" spans="1:7" ht="15.6" hidden="1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672</v>
      </c>
      <c r="G396" s="145" t="s">
        <v>709</v>
      </c>
    </row>
    <row r="397" spans="1:7" ht="15.6" hidden="1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673</v>
      </c>
      <c r="G397" s="145" t="s">
        <v>710</v>
      </c>
    </row>
    <row r="398" spans="1:7" ht="15.6" hidden="1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674</v>
      </c>
      <c r="G398" s="145" t="s">
        <v>711</v>
      </c>
    </row>
    <row r="399" spans="1:7" ht="15.6" hidden="1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675</v>
      </c>
      <c r="G399" s="145" t="s">
        <v>712</v>
      </c>
    </row>
    <row r="400" spans="1:7" ht="15.6" hidden="1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671</v>
      </c>
      <c r="G400" s="145" t="s">
        <v>708</v>
      </c>
    </row>
    <row r="401" spans="1:7" ht="15.6" hidden="1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672</v>
      </c>
      <c r="G401" s="145" t="s">
        <v>709</v>
      </c>
    </row>
    <row r="402" spans="1:7" ht="15.6" hidden="1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673</v>
      </c>
      <c r="G402" s="145" t="s">
        <v>710</v>
      </c>
    </row>
    <row r="403" spans="1:7" ht="15.6" hidden="1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674</v>
      </c>
      <c r="G403" s="145" t="s">
        <v>711</v>
      </c>
    </row>
    <row r="404" spans="1:7" ht="15.6" hidden="1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675</v>
      </c>
      <c r="G404" s="145" t="s">
        <v>712</v>
      </c>
    </row>
    <row r="405" spans="1:7" ht="15.6" hidden="1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671</v>
      </c>
      <c r="G405" s="145" t="s">
        <v>708</v>
      </c>
    </row>
    <row r="406" spans="1:7" ht="15.6" hidden="1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672</v>
      </c>
      <c r="G406" s="145" t="s">
        <v>709</v>
      </c>
    </row>
    <row r="407" spans="1:7" ht="15.6" hidden="1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673</v>
      </c>
      <c r="G407" s="145" t="s">
        <v>710</v>
      </c>
    </row>
    <row r="408" spans="1:7" ht="15.6" hidden="1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674</v>
      </c>
      <c r="G408" s="145" t="s">
        <v>711</v>
      </c>
    </row>
    <row r="409" spans="1:7" ht="15.6" hidden="1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675</v>
      </c>
      <c r="G409" s="145" t="s">
        <v>712</v>
      </c>
    </row>
    <row r="410" spans="1:7" ht="15.6" hidden="1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674</v>
      </c>
      <c r="G410" s="145" t="s">
        <v>711</v>
      </c>
    </row>
    <row r="411" spans="1:7" ht="15.6" hidden="1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671</v>
      </c>
      <c r="G411" s="145" t="s">
        <v>708</v>
      </c>
    </row>
    <row r="412" spans="1:7" ht="15.6" hidden="1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671</v>
      </c>
      <c r="G412" s="145" t="s">
        <v>708</v>
      </c>
    </row>
    <row r="413" spans="1:7" ht="31.2" hidden="1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676</v>
      </c>
      <c r="G413" s="145" t="s">
        <v>708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677</v>
      </c>
      <c r="G414" s="145" t="s">
        <v>713</v>
      </c>
    </row>
    <row r="415" spans="1:7" ht="15.6" hidden="1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674</v>
      </c>
      <c r="G415" s="145" t="s">
        <v>714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675</v>
      </c>
      <c r="G416" s="145" t="s">
        <v>713</v>
      </c>
    </row>
    <row r="417" spans="1:7" ht="15.6" hidden="1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671</v>
      </c>
      <c r="G417" s="145" t="s">
        <v>708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673</v>
      </c>
      <c r="G418" s="145" t="s">
        <v>713</v>
      </c>
    </row>
    <row r="419" spans="1:7" ht="15.6" hidden="1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674</v>
      </c>
      <c r="G419" s="145" t="s">
        <v>715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675</v>
      </c>
      <c r="G420" s="145" t="s">
        <v>713</v>
      </c>
    </row>
    <row r="421" spans="1:7" ht="15.6" hidden="1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673</v>
      </c>
      <c r="G421" s="145" t="s">
        <v>710</v>
      </c>
    </row>
    <row r="422" spans="1:7" ht="15.6" hidden="1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674</v>
      </c>
      <c r="G422" s="145" t="s">
        <v>711</v>
      </c>
    </row>
    <row r="423" spans="1:7" ht="15.6" hidden="1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671</v>
      </c>
      <c r="G423" s="145" t="s">
        <v>708</v>
      </c>
    </row>
    <row r="424" spans="1:7" ht="15.6" hidden="1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671</v>
      </c>
      <c r="G424" s="145" t="s">
        <v>708</v>
      </c>
    </row>
    <row r="425" spans="1:7" ht="15.6" hidden="1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672</v>
      </c>
      <c r="G425" s="145" t="s">
        <v>708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677</v>
      </c>
      <c r="G426" s="145" t="s">
        <v>713</v>
      </c>
    </row>
    <row r="427" spans="1:7" ht="15.6" hidden="1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674</v>
      </c>
      <c r="G427" s="145" t="s">
        <v>714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675</v>
      </c>
      <c r="G428" s="145" t="s">
        <v>713</v>
      </c>
    </row>
    <row r="429" spans="1:7" ht="15.6" hidden="1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671</v>
      </c>
      <c r="G429" s="145" t="s">
        <v>708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677</v>
      </c>
      <c r="G430" s="145" t="s">
        <v>713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675</v>
      </c>
      <c r="G431" s="145" t="s">
        <v>713</v>
      </c>
    </row>
    <row r="432" spans="1:7" ht="15.6" hidden="1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671</v>
      </c>
      <c r="G432" s="145" t="s">
        <v>708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677</v>
      </c>
      <c r="G433" s="145" t="s">
        <v>713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675</v>
      </c>
      <c r="G434" s="145" t="s">
        <v>713</v>
      </c>
    </row>
    <row r="435" spans="1:7" ht="15.6" hidden="1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671</v>
      </c>
      <c r="G435" s="145" t="s">
        <v>708</v>
      </c>
    </row>
    <row r="436" spans="1:7" ht="15.6" hidden="1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672</v>
      </c>
      <c r="G436" s="145" t="s">
        <v>709</v>
      </c>
    </row>
    <row r="437" spans="1:7" ht="15.6" hidden="1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673</v>
      </c>
      <c r="G437" s="145" t="s">
        <v>710</v>
      </c>
    </row>
    <row r="438" spans="1:7" ht="15.6" hidden="1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674</v>
      </c>
      <c r="G438" s="145" t="s">
        <v>711</v>
      </c>
    </row>
    <row r="439" spans="1:7" ht="15.6" hidden="1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671</v>
      </c>
      <c r="G439" s="145" t="s">
        <v>708</v>
      </c>
    </row>
    <row r="440" spans="1:7" ht="15.6" hidden="1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672</v>
      </c>
      <c r="G440" s="145" t="s">
        <v>709</v>
      </c>
    </row>
    <row r="441" spans="1:7" ht="15.6" hidden="1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673</v>
      </c>
      <c r="G441" s="145" t="s">
        <v>710</v>
      </c>
    </row>
    <row r="442" spans="1:7" ht="15.6" hidden="1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674</v>
      </c>
      <c r="G442" s="145" t="s">
        <v>711</v>
      </c>
    </row>
    <row r="443" spans="1:7" ht="15.6" hidden="1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672</v>
      </c>
      <c r="G443" s="145" t="s">
        <v>709</v>
      </c>
    </row>
    <row r="444" spans="1:7" ht="15.6" hidden="1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673</v>
      </c>
      <c r="G444" s="145" t="s">
        <v>710</v>
      </c>
    </row>
    <row r="445" spans="1:7" ht="15.6" hidden="1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674</v>
      </c>
      <c r="G445" s="145" t="s">
        <v>711</v>
      </c>
    </row>
    <row r="446" spans="1:7" ht="15.6" hidden="1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671</v>
      </c>
      <c r="G446" s="145" t="s">
        <v>708</v>
      </c>
    </row>
    <row r="447" spans="1:7" ht="15.6" hidden="1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672</v>
      </c>
      <c r="G447" s="145" t="s">
        <v>709</v>
      </c>
    </row>
    <row r="448" spans="1:7" ht="15.6" hidden="1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673</v>
      </c>
      <c r="G448" s="145" t="s">
        <v>710</v>
      </c>
    </row>
    <row r="449" spans="1:7" ht="15.6" hidden="1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674</v>
      </c>
      <c r="G449" s="145" t="s">
        <v>711</v>
      </c>
    </row>
    <row r="450" spans="1:7" ht="15.6" hidden="1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674</v>
      </c>
      <c r="G450" s="145" t="s">
        <v>711</v>
      </c>
    </row>
    <row r="451" spans="1:7" ht="15.6" hidden="1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674</v>
      </c>
      <c r="G451" s="145" t="s">
        <v>711</v>
      </c>
    </row>
    <row r="452" spans="1:7" ht="15.6" hidden="1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672</v>
      </c>
      <c r="G452" s="145" t="s">
        <v>709</v>
      </c>
    </row>
    <row r="453" spans="1:7" ht="15.6" hidden="1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674</v>
      </c>
      <c r="G453" s="145" t="s">
        <v>711</v>
      </c>
    </row>
    <row r="454" spans="1:7" ht="15.6" hidden="1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671</v>
      </c>
      <c r="G454" s="145" t="s">
        <v>708</v>
      </c>
    </row>
    <row r="455" spans="1:7" ht="15.6" hidden="1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672</v>
      </c>
      <c r="G455" s="145" t="s">
        <v>708</v>
      </c>
    </row>
    <row r="456" spans="1:7" ht="15.6" hidden="1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674</v>
      </c>
      <c r="G456" s="145" t="s">
        <v>714</v>
      </c>
    </row>
    <row r="457" spans="1:7" ht="15.6" hidden="1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671</v>
      </c>
      <c r="G457" s="145" t="s">
        <v>708</v>
      </c>
    </row>
    <row r="458" spans="1:7" ht="15.6" hidden="1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671</v>
      </c>
      <c r="G458" s="145" t="s">
        <v>708</v>
      </c>
    </row>
    <row r="459" spans="1:7" ht="15.6" hidden="1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672</v>
      </c>
      <c r="G459" s="145" t="s">
        <v>709</v>
      </c>
    </row>
    <row r="460" spans="1:7" ht="31.2" hidden="1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676</v>
      </c>
      <c r="G460" s="145" t="s">
        <v>708</v>
      </c>
    </row>
    <row r="461" spans="1:7" ht="46.8" hidden="1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680</v>
      </c>
      <c r="G461" s="145" t="s">
        <v>709</v>
      </c>
    </row>
    <row r="462" spans="1:7" ht="15.6" hidden="1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674</v>
      </c>
      <c r="G462" s="145" t="s">
        <v>711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675</v>
      </c>
      <c r="G463" s="145" t="s">
        <v>713</v>
      </c>
    </row>
    <row r="464" spans="1:7" ht="15.6" hidden="1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671</v>
      </c>
      <c r="G464" s="145" t="s">
        <v>708</v>
      </c>
    </row>
    <row r="465" spans="1:7" ht="15.6" hidden="1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672</v>
      </c>
      <c r="G465" s="145" t="s">
        <v>709</v>
      </c>
    </row>
    <row r="466" spans="1:7" ht="15.6" hidden="1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673</v>
      </c>
      <c r="G466" s="145" t="s">
        <v>710</v>
      </c>
    </row>
    <row r="467" spans="1:7" ht="15.6" hidden="1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674</v>
      </c>
      <c r="G467" s="145" t="s">
        <v>711</v>
      </c>
    </row>
    <row r="468" spans="1:7" ht="15.6" hidden="1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671</v>
      </c>
      <c r="G468" s="145" t="s">
        <v>708</v>
      </c>
    </row>
    <row r="469" spans="1:7" ht="15.6" hidden="1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672</v>
      </c>
      <c r="G469" s="145" t="s">
        <v>708</v>
      </c>
    </row>
    <row r="470" spans="1:7" ht="46.8" hidden="1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680</v>
      </c>
      <c r="G470" s="145" t="s">
        <v>709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677</v>
      </c>
      <c r="G471" s="145" t="s">
        <v>713</v>
      </c>
    </row>
    <row r="472" spans="1:7" ht="15.6" hidden="1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674</v>
      </c>
      <c r="G472" s="145" t="s">
        <v>711</v>
      </c>
    </row>
    <row r="473" spans="1:7" ht="15.6" hidden="1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674</v>
      </c>
      <c r="G473" s="145" t="s">
        <v>714</v>
      </c>
    </row>
    <row r="474" spans="1:7" ht="15.6" hidden="1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671</v>
      </c>
      <c r="G474" s="145" t="s">
        <v>708</v>
      </c>
    </row>
    <row r="475" spans="1:7" ht="31.2" hidden="1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676</v>
      </c>
      <c r="G475" s="145" t="s">
        <v>708</v>
      </c>
    </row>
    <row r="476" spans="1:7" ht="46.8" hidden="1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680</v>
      </c>
      <c r="G476" s="145" t="s">
        <v>709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675</v>
      </c>
      <c r="G477" s="145" t="s">
        <v>713</v>
      </c>
    </row>
    <row r="478" spans="1:7" ht="15.6" hidden="1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671</v>
      </c>
      <c r="G478" s="145" t="s">
        <v>708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675</v>
      </c>
      <c r="G479" s="145" t="s">
        <v>713</v>
      </c>
    </row>
    <row r="480" spans="1:7" ht="15.6" hidden="1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671</v>
      </c>
      <c r="G480" s="145" t="s">
        <v>708</v>
      </c>
    </row>
    <row r="481" spans="1:7" ht="15.6" hidden="1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672</v>
      </c>
      <c r="G481" s="145" t="s">
        <v>708</v>
      </c>
    </row>
    <row r="482" spans="1:7" ht="46.8" hidden="1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680</v>
      </c>
      <c r="G482" s="145" t="s">
        <v>709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677</v>
      </c>
      <c r="G483" s="145" t="s">
        <v>713</v>
      </c>
    </row>
    <row r="484" spans="1:7" ht="15.6" hidden="1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674</v>
      </c>
      <c r="G484" s="145" t="s">
        <v>711</v>
      </c>
    </row>
    <row r="485" spans="1:7" ht="15.6" hidden="1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674</v>
      </c>
      <c r="G485" s="145" t="s">
        <v>714</v>
      </c>
    </row>
    <row r="486" spans="1:7" ht="15.6" hidden="1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671</v>
      </c>
      <c r="G486" s="145" t="s">
        <v>708</v>
      </c>
    </row>
    <row r="487" spans="1:7" ht="31.2" hidden="1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676</v>
      </c>
      <c r="G487" s="145" t="s">
        <v>708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675</v>
      </c>
      <c r="G488" s="145" t="s">
        <v>713</v>
      </c>
    </row>
    <row r="489" spans="1:7" ht="15.6" hidden="1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671</v>
      </c>
      <c r="G489" s="145" t="s">
        <v>708</v>
      </c>
    </row>
    <row r="490" spans="1:7" ht="15.6" hidden="1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674</v>
      </c>
      <c r="G490" s="145" t="s">
        <v>714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675</v>
      </c>
      <c r="G491" s="145" t="s">
        <v>713</v>
      </c>
    </row>
    <row r="492" spans="1:7" ht="15.6" hidden="1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671</v>
      </c>
      <c r="G492" s="145" t="s">
        <v>708</v>
      </c>
    </row>
    <row r="493" spans="1:7" ht="15.6" hidden="1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672</v>
      </c>
      <c r="G493" s="145" t="s">
        <v>708</v>
      </c>
    </row>
    <row r="494" spans="1:7" ht="15.6" hidden="1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674</v>
      </c>
      <c r="G494" s="145" t="s">
        <v>714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675</v>
      </c>
      <c r="G495" s="145" t="s">
        <v>713</v>
      </c>
    </row>
    <row r="496" spans="1:7" ht="15.6" hidden="1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671</v>
      </c>
      <c r="G496" s="145" t="s">
        <v>708</v>
      </c>
    </row>
    <row r="497" spans="1:7" ht="31.2" hidden="1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678</v>
      </c>
      <c r="G497" s="145" t="s">
        <v>708</v>
      </c>
    </row>
    <row r="498" spans="1:7" ht="31.2" hidden="1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676</v>
      </c>
      <c r="G498" s="145" t="s">
        <v>708</v>
      </c>
    </row>
    <row r="499" spans="1:7" ht="46.8" hidden="1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680</v>
      </c>
      <c r="G499" s="145" t="s">
        <v>709</v>
      </c>
    </row>
    <row r="500" spans="1:7" ht="15.6" hidden="1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674</v>
      </c>
      <c r="G500" s="145" t="s">
        <v>715</v>
      </c>
    </row>
    <row r="501" spans="1:7" ht="15.6" hidden="1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673</v>
      </c>
      <c r="G501" s="145" t="s">
        <v>710</v>
      </c>
    </row>
    <row r="502" spans="1:7" ht="15.6" hidden="1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674</v>
      </c>
      <c r="G502" s="145" t="s">
        <v>711</v>
      </c>
    </row>
    <row r="503" spans="1:7" ht="15.6" hidden="1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671</v>
      </c>
      <c r="G503" s="145" t="s">
        <v>708</v>
      </c>
    </row>
    <row r="504" spans="1:7" ht="15.6" hidden="1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672</v>
      </c>
      <c r="G504" s="145" t="s">
        <v>709</v>
      </c>
    </row>
    <row r="505" spans="1:7" ht="15.6" hidden="1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673</v>
      </c>
      <c r="G505" s="145" t="s">
        <v>710</v>
      </c>
    </row>
    <row r="506" spans="1:7" ht="15.6" hidden="1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674</v>
      </c>
      <c r="G506" s="145" t="s">
        <v>711</v>
      </c>
    </row>
    <row r="507" spans="1:7" ht="15.6" hidden="1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675</v>
      </c>
      <c r="G507" s="145" t="s">
        <v>712</v>
      </c>
    </row>
    <row r="508" spans="1:7" ht="15.6" hidden="1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671</v>
      </c>
      <c r="G508" s="145" t="s">
        <v>708</v>
      </c>
    </row>
    <row r="509" spans="1:7" ht="15.6" hidden="1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672</v>
      </c>
      <c r="G509" s="145" t="s">
        <v>709</v>
      </c>
    </row>
    <row r="510" spans="1:7" ht="15.6" hidden="1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673</v>
      </c>
      <c r="G510" s="145" t="s">
        <v>710</v>
      </c>
    </row>
    <row r="511" spans="1:7" ht="15.6" hidden="1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674</v>
      </c>
      <c r="G511" s="145" t="s">
        <v>711</v>
      </c>
    </row>
    <row r="512" spans="1:7" ht="15.6" hidden="1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675</v>
      </c>
      <c r="G512" s="145" t="s">
        <v>712</v>
      </c>
    </row>
    <row r="513" spans="1:7" ht="15.6" hidden="1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671</v>
      </c>
      <c r="G513" s="145" t="s">
        <v>708</v>
      </c>
    </row>
    <row r="514" spans="1:7" ht="15.6" hidden="1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672</v>
      </c>
      <c r="G514" s="145" t="s">
        <v>709</v>
      </c>
    </row>
    <row r="515" spans="1:7" ht="15.6" hidden="1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673</v>
      </c>
      <c r="G515" s="145" t="s">
        <v>710</v>
      </c>
    </row>
    <row r="516" spans="1:7" ht="15.6" hidden="1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674</v>
      </c>
      <c r="G516" s="145" t="s">
        <v>711</v>
      </c>
    </row>
    <row r="517" spans="1:7" ht="15.6" hidden="1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675</v>
      </c>
      <c r="G517" s="145" t="s">
        <v>712</v>
      </c>
    </row>
    <row r="518" spans="1:7" ht="15.6" hidden="1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671</v>
      </c>
      <c r="G518" s="145" t="s">
        <v>708</v>
      </c>
    </row>
    <row r="519" spans="1:7" ht="15.6" hidden="1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672</v>
      </c>
      <c r="G519" s="145" t="s">
        <v>709</v>
      </c>
    </row>
    <row r="520" spans="1:7" ht="15.6" hidden="1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673</v>
      </c>
      <c r="G520" s="145" t="s">
        <v>710</v>
      </c>
    </row>
    <row r="521" spans="1:7" ht="15.6" hidden="1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674</v>
      </c>
      <c r="G521" s="145" t="s">
        <v>711</v>
      </c>
    </row>
    <row r="522" spans="1:7" ht="15.6" hidden="1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675</v>
      </c>
      <c r="G522" s="145" t="s">
        <v>712</v>
      </c>
    </row>
    <row r="523" spans="1:7" ht="15.6" hidden="1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671</v>
      </c>
      <c r="G523" s="145" t="s">
        <v>708</v>
      </c>
    </row>
    <row r="524" spans="1:7" ht="15.6" hidden="1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672</v>
      </c>
      <c r="G524" s="145" t="s">
        <v>709</v>
      </c>
    </row>
    <row r="525" spans="1:7" ht="15.6" hidden="1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673</v>
      </c>
      <c r="G525" s="145" t="s">
        <v>710</v>
      </c>
    </row>
    <row r="526" spans="1:7" ht="15.6" hidden="1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672</v>
      </c>
      <c r="G526" s="145" t="s">
        <v>709</v>
      </c>
    </row>
    <row r="527" spans="1:7" ht="15.6" hidden="1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674</v>
      </c>
      <c r="G527" s="145" t="s">
        <v>711</v>
      </c>
    </row>
    <row r="528" spans="1:7" ht="15.6" hidden="1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675</v>
      </c>
      <c r="G528" s="145" t="s">
        <v>712</v>
      </c>
    </row>
    <row r="529" spans="1:7" ht="15.6" hidden="1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671</v>
      </c>
      <c r="G529" s="145" t="s">
        <v>708</v>
      </c>
    </row>
    <row r="530" spans="1:7" ht="15.6" hidden="1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672</v>
      </c>
      <c r="G530" s="145" t="s">
        <v>709</v>
      </c>
    </row>
    <row r="531" spans="1:7" ht="15.6" hidden="1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673</v>
      </c>
      <c r="G531" s="145" t="s">
        <v>710</v>
      </c>
    </row>
    <row r="532" spans="1:7" ht="15.6" hidden="1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674</v>
      </c>
      <c r="G532" s="145" t="s">
        <v>711</v>
      </c>
    </row>
    <row r="533" spans="1:7" ht="15.6" hidden="1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675</v>
      </c>
      <c r="G533" s="145" t="s">
        <v>712</v>
      </c>
    </row>
    <row r="534" spans="1:7" ht="15.6" hidden="1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671</v>
      </c>
      <c r="G534" s="145" t="s">
        <v>708</v>
      </c>
    </row>
    <row r="535" spans="1:7" ht="15.6" hidden="1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672</v>
      </c>
      <c r="G535" s="145" t="s">
        <v>709</v>
      </c>
    </row>
    <row r="536" spans="1:7" ht="15.6" hidden="1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673</v>
      </c>
      <c r="G536" s="145" t="s">
        <v>710</v>
      </c>
    </row>
    <row r="537" spans="1:7" ht="15.6" hidden="1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674</v>
      </c>
      <c r="G537" s="145" t="s">
        <v>711</v>
      </c>
    </row>
    <row r="538" spans="1:7" ht="15.6" hidden="1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674</v>
      </c>
      <c r="G538" s="145" t="s">
        <v>711</v>
      </c>
    </row>
    <row r="539" spans="1:7" ht="31.2" hidden="1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676</v>
      </c>
      <c r="G539" s="145" t="s">
        <v>708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677</v>
      </c>
      <c r="G540" s="145" t="s">
        <v>713</v>
      </c>
    </row>
    <row r="541" spans="1:7" ht="15.6" hidden="1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674</v>
      </c>
      <c r="G541" s="145" t="s">
        <v>711</v>
      </c>
    </row>
    <row r="542" spans="1:7" ht="15.6" hidden="1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674</v>
      </c>
      <c r="G542" s="145" t="s">
        <v>715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675</v>
      </c>
      <c r="G543" s="145" t="s">
        <v>713</v>
      </c>
    </row>
    <row r="544" spans="1:7" ht="15.6" hidden="1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672</v>
      </c>
      <c r="G544" s="145" t="s">
        <v>709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677</v>
      </c>
      <c r="G545" s="145" t="s">
        <v>713</v>
      </c>
    </row>
    <row r="546" spans="1:7" ht="15.6" hidden="1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674</v>
      </c>
      <c r="G546" s="145" t="s">
        <v>714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675</v>
      </c>
      <c r="G547" s="145" t="s">
        <v>713</v>
      </c>
    </row>
    <row r="548" spans="1:7" ht="15.6" hidden="1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672</v>
      </c>
      <c r="G548" s="145" t="s">
        <v>709</v>
      </c>
    </row>
    <row r="549" spans="1:7" ht="15.6" hidden="1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674</v>
      </c>
      <c r="G549" s="145" t="s">
        <v>711</v>
      </c>
    </row>
    <row r="550" spans="1:7" ht="15.6" hidden="1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671</v>
      </c>
      <c r="G550" s="145" t="s">
        <v>708</v>
      </c>
    </row>
    <row r="551" spans="1:7" ht="15.6" hidden="1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672</v>
      </c>
      <c r="G551" s="145" t="s">
        <v>708</v>
      </c>
    </row>
    <row r="552" spans="1:7" ht="31.2" hidden="1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310" t="s">
        <v>788</v>
      </c>
      <c r="G552" s="145" t="s">
        <v>709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677</v>
      </c>
      <c r="G553" s="145" t="s">
        <v>713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679</v>
      </c>
      <c r="G554" s="145" t="s">
        <v>710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675</v>
      </c>
      <c r="G555" s="145" t="s">
        <v>713</v>
      </c>
    </row>
    <row r="556" spans="1:7" ht="15.6" hidden="1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671</v>
      </c>
      <c r="G556" s="145" t="s">
        <v>708</v>
      </c>
    </row>
    <row r="557" spans="1:7" ht="15.6" hidden="1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672</v>
      </c>
      <c r="G557" s="145" t="s">
        <v>709</v>
      </c>
    </row>
    <row r="558" spans="1:7" ht="15.6" hidden="1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673</v>
      </c>
      <c r="G558" s="145" t="s">
        <v>710</v>
      </c>
    </row>
    <row r="559" spans="1:7" ht="15.6" hidden="1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674</v>
      </c>
      <c r="G559" s="145" t="s">
        <v>711</v>
      </c>
    </row>
    <row r="560" spans="1:7" ht="15.6" hidden="1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672</v>
      </c>
      <c r="G560" s="145" t="s">
        <v>709</v>
      </c>
    </row>
    <row r="561" spans="1:7" ht="15.6" hidden="1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671</v>
      </c>
      <c r="G561" s="145" t="s">
        <v>708</v>
      </c>
    </row>
    <row r="562" spans="1:7" ht="15.6" hidden="1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672</v>
      </c>
      <c r="G562" s="145" t="s">
        <v>709</v>
      </c>
    </row>
    <row r="563" spans="1:7" ht="15.6" hidden="1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673</v>
      </c>
      <c r="G563" s="145" t="s">
        <v>710</v>
      </c>
    </row>
    <row r="564" spans="1:7" ht="15.6" hidden="1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674</v>
      </c>
      <c r="G564" s="145" t="s">
        <v>711</v>
      </c>
    </row>
    <row r="565" spans="1:7" ht="15.6" hidden="1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671</v>
      </c>
      <c r="G565" s="145" t="s">
        <v>708</v>
      </c>
    </row>
    <row r="566" spans="1:7" ht="15.6" hidden="1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672</v>
      </c>
      <c r="G566" s="145" t="s">
        <v>709</v>
      </c>
    </row>
    <row r="567" spans="1:7" ht="15.6" hidden="1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673</v>
      </c>
      <c r="G567" s="145" t="s">
        <v>710</v>
      </c>
    </row>
    <row r="568" spans="1:7" ht="15.6" hidden="1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674</v>
      </c>
      <c r="G568" s="145" t="s">
        <v>711</v>
      </c>
    </row>
    <row r="569" spans="1:7" ht="15.6" hidden="1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672</v>
      </c>
      <c r="G569" s="145" t="s">
        <v>708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677</v>
      </c>
      <c r="G570" s="145" t="s">
        <v>713</v>
      </c>
    </row>
    <row r="571" spans="1:7" ht="15.6" hidden="1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674</v>
      </c>
      <c r="G571" s="145" t="s">
        <v>714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675</v>
      </c>
      <c r="G572" s="145" t="s">
        <v>713</v>
      </c>
    </row>
    <row r="573" spans="1:7" ht="15.6" hidden="1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671</v>
      </c>
      <c r="G573" s="145" t="s">
        <v>708</v>
      </c>
    </row>
    <row r="574" spans="1:7" ht="15.6" hidden="1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672</v>
      </c>
      <c r="G574" s="145" t="s">
        <v>709</v>
      </c>
    </row>
    <row r="575" spans="1:7" ht="15.6" hidden="1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674</v>
      </c>
      <c r="G575" s="145" t="s">
        <v>711</v>
      </c>
    </row>
    <row r="576" spans="1:7" ht="15.6" hidden="1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674</v>
      </c>
      <c r="G576" s="145" t="s">
        <v>714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675</v>
      </c>
      <c r="G577" s="145" t="s">
        <v>713</v>
      </c>
    </row>
    <row r="578" spans="1:7" ht="15.6" hidden="1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673</v>
      </c>
      <c r="G578" s="145" t="s">
        <v>710</v>
      </c>
    </row>
    <row r="579" spans="1:7" ht="15.6" hidden="1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674</v>
      </c>
      <c r="G579" s="145" t="s">
        <v>711</v>
      </c>
    </row>
    <row r="580" spans="1:7" ht="15.6" hidden="1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671</v>
      </c>
      <c r="G580" s="145" t="s">
        <v>708</v>
      </c>
    </row>
    <row r="581" spans="1:7" ht="15.6" hidden="1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672</v>
      </c>
      <c r="G581" s="145" t="s">
        <v>709</v>
      </c>
    </row>
    <row r="582" spans="1:7" ht="15.6" hidden="1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673</v>
      </c>
      <c r="G582" s="145" t="s">
        <v>710</v>
      </c>
    </row>
    <row r="583" spans="1:7" ht="15.6" hidden="1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674</v>
      </c>
      <c r="G583" s="145" t="s">
        <v>711</v>
      </c>
    </row>
    <row r="584" spans="1:7" ht="15.6" hidden="1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671</v>
      </c>
      <c r="G584" s="145" t="s">
        <v>708</v>
      </c>
    </row>
    <row r="585" spans="1:7" ht="15.6" hidden="1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672</v>
      </c>
      <c r="G585" s="145" t="s">
        <v>709</v>
      </c>
    </row>
    <row r="586" spans="1:7" ht="15.6" hidden="1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673</v>
      </c>
      <c r="G586" s="145" t="s">
        <v>710</v>
      </c>
    </row>
    <row r="587" spans="1:7" ht="15.6" hidden="1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674</v>
      </c>
      <c r="G587" s="145" t="s">
        <v>711</v>
      </c>
    </row>
    <row r="588" spans="1:7" ht="15.6" hidden="1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671</v>
      </c>
      <c r="G588" s="145" t="s">
        <v>708</v>
      </c>
    </row>
    <row r="589" spans="1:7" ht="15.6" hidden="1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672</v>
      </c>
      <c r="G589" s="145" t="s">
        <v>709</v>
      </c>
    </row>
    <row r="590" spans="1:7" ht="15.6" hidden="1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674</v>
      </c>
      <c r="G590" s="145" t="s">
        <v>711</v>
      </c>
    </row>
    <row r="591" spans="1:7" ht="15.6" hidden="1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675</v>
      </c>
      <c r="G591" s="145" t="s">
        <v>712</v>
      </c>
    </row>
    <row r="592" spans="1:7" ht="15.6" hidden="1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671</v>
      </c>
      <c r="G592" s="145" t="s">
        <v>708</v>
      </c>
    </row>
    <row r="593" spans="1:7" ht="31.2" hidden="1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678</v>
      </c>
      <c r="G593" s="145" t="s">
        <v>708</v>
      </c>
    </row>
    <row r="594" spans="1:7" ht="31.2" hidden="1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676</v>
      </c>
      <c r="G594" s="145" t="s">
        <v>708</v>
      </c>
    </row>
    <row r="595" spans="1:7" ht="15.6" hidden="1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672</v>
      </c>
      <c r="G595" s="145" t="s">
        <v>708</v>
      </c>
    </row>
    <row r="596" spans="1:7" ht="46.8" hidden="1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680</v>
      </c>
      <c r="G596" s="145" t="s">
        <v>709</v>
      </c>
    </row>
    <row r="597" spans="1:7" ht="15.6" hidden="1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674</v>
      </c>
      <c r="G597" s="145" t="s">
        <v>714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675</v>
      </c>
      <c r="G598" s="145" t="s">
        <v>713</v>
      </c>
    </row>
    <row r="599" spans="1:7" ht="15.6" hidden="1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671</v>
      </c>
      <c r="G599" s="145" t="s">
        <v>708</v>
      </c>
    </row>
    <row r="600" spans="1:7" ht="15.6" hidden="1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672</v>
      </c>
      <c r="G600" s="145" t="s">
        <v>709</v>
      </c>
    </row>
    <row r="601" spans="1:7" ht="15.6" hidden="1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673</v>
      </c>
      <c r="G601" s="145" t="s">
        <v>710</v>
      </c>
    </row>
    <row r="602" spans="1:7" ht="15.6" hidden="1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674</v>
      </c>
      <c r="G602" s="145" t="s">
        <v>711</v>
      </c>
    </row>
    <row r="603" spans="1:7" ht="15.6" hidden="1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675</v>
      </c>
      <c r="G603" s="145" t="s">
        <v>712</v>
      </c>
    </row>
    <row r="604" spans="1:7" ht="15.6" hidden="1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671</v>
      </c>
      <c r="G604" s="145" t="s">
        <v>708</v>
      </c>
    </row>
    <row r="605" spans="1:7" ht="15.6" hidden="1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672</v>
      </c>
      <c r="G605" s="145" t="s">
        <v>709</v>
      </c>
    </row>
    <row r="606" spans="1:7" ht="15.6" hidden="1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673</v>
      </c>
      <c r="G606" s="145" t="s">
        <v>710</v>
      </c>
    </row>
    <row r="607" spans="1:7" ht="15.6" hidden="1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674</v>
      </c>
      <c r="G607" s="145" t="s">
        <v>711</v>
      </c>
    </row>
    <row r="608" spans="1:7" ht="15.6" hidden="1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675</v>
      </c>
      <c r="G608" s="145" t="s">
        <v>712</v>
      </c>
    </row>
    <row r="609" spans="1:7" ht="15.6" hidden="1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671</v>
      </c>
      <c r="G609" s="145" t="s">
        <v>708</v>
      </c>
    </row>
    <row r="610" spans="1:7" ht="15.6" hidden="1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672</v>
      </c>
      <c r="G610" s="145" t="s">
        <v>709</v>
      </c>
    </row>
    <row r="611" spans="1:7" ht="15.6" hidden="1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673</v>
      </c>
      <c r="G611" s="145" t="s">
        <v>710</v>
      </c>
    </row>
    <row r="612" spans="1:7" ht="15.6" hidden="1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674</v>
      </c>
      <c r="G612" s="145" t="s">
        <v>711</v>
      </c>
    </row>
    <row r="613" spans="1:7" ht="15.6" hidden="1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675</v>
      </c>
      <c r="G613" s="145" t="s">
        <v>712</v>
      </c>
    </row>
    <row r="614" spans="1:7" ht="15.6" hidden="1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671</v>
      </c>
      <c r="G614" s="145" t="s">
        <v>708</v>
      </c>
    </row>
    <row r="615" spans="1:7" ht="15.6" hidden="1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672</v>
      </c>
      <c r="G615" s="145" t="s">
        <v>709</v>
      </c>
    </row>
    <row r="616" spans="1:7" ht="15.6" hidden="1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673</v>
      </c>
      <c r="G616" s="145" t="s">
        <v>710</v>
      </c>
    </row>
    <row r="617" spans="1:7" ht="15.6" hidden="1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674</v>
      </c>
      <c r="G617" s="145" t="s">
        <v>711</v>
      </c>
    </row>
    <row r="618" spans="1:7" ht="15.6" hidden="1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675</v>
      </c>
      <c r="G618" s="145" t="s">
        <v>712</v>
      </c>
    </row>
    <row r="619" spans="1:7" ht="15.6" hidden="1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671</v>
      </c>
      <c r="G619" s="145" t="s">
        <v>708</v>
      </c>
    </row>
    <row r="620" spans="1:7" ht="15.6" hidden="1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672</v>
      </c>
      <c r="G620" s="145" t="s">
        <v>709</v>
      </c>
    </row>
    <row r="621" spans="1:7" ht="15.6" hidden="1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673</v>
      </c>
      <c r="G621" s="145" t="s">
        <v>710</v>
      </c>
    </row>
    <row r="622" spans="1:7" ht="15.6" hidden="1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674</v>
      </c>
      <c r="G622" s="145" t="s">
        <v>711</v>
      </c>
    </row>
    <row r="623" spans="1:7" ht="15.6" hidden="1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675</v>
      </c>
      <c r="G623" s="145" t="s">
        <v>712</v>
      </c>
    </row>
    <row r="624" spans="1:7" ht="15.6" hidden="1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671</v>
      </c>
      <c r="G624" s="145" t="s">
        <v>708</v>
      </c>
    </row>
    <row r="625" spans="1:7" ht="15.6" hidden="1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672</v>
      </c>
      <c r="G625" s="145" t="s">
        <v>709</v>
      </c>
    </row>
    <row r="626" spans="1:7" ht="15.6" hidden="1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673</v>
      </c>
      <c r="G626" s="145" t="s">
        <v>710</v>
      </c>
    </row>
    <row r="627" spans="1:7" ht="15.6" hidden="1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674</v>
      </c>
      <c r="G627" s="145" t="s">
        <v>711</v>
      </c>
    </row>
    <row r="628" spans="1:7" ht="15.6" hidden="1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675</v>
      </c>
      <c r="G628" s="145" t="s">
        <v>712</v>
      </c>
    </row>
    <row r="629" spans="1:7" ht="15.6" hidden="1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671</v>
      </c>
      <c r="G629" s="145" t="s">
        <v>708</v>
      </c>
    </row>
    <row r="630" spans="1:7" ht="15.6" hidden="1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672</v>
      </c>
      <c r="G630" s="145" t="s">
        <v>709</v>
      </c>
    </row>
    <row r="631" spans="1:7" ht="15.6" hidden="1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673</v>
      </c>
      <c r="G631" s="145" t="s">
        <v>710</v>
      </c>
    </row>
    <row r="632" spans="1:7" ht="15.6" hidden="1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674</v>
      </c>
      <c r="G632" s="145" t="s">
        <v>711</v>
      </c>
    </row>
    <row r="633" spans="1:7" ht="15.6" hidden="1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675</v>
      </c>
      <c r="G633" s="145" t="s">
        <v>712</v>
      </c>
    </row>
    <row r="634" spans="1:7" ht="15.6" hidden="1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671</v>
      </c>
      <c r="G634" s="145" t="s">
        <v>708</v>
      </c>
    </row>
    <row r="635" spans="1:7" ht="15.6" hidden="1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672</v>
      </c>
      <c r="G635" s="145" t="s">
        <v>709</v>
      </c>
    </row>
    <row r="636" spans="1:7" ht="15.6" hidden="1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674</v>
      </c>
      <c r="G636" s="145" t="s">
        <v>711</v>
      </c>
    </row>
    <row r="637" spans="1:7" ht="15.6" hidden="1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675</v>
      </c>
      <c r="G637" s="145" t="s">
        <v>712</v>
      </c>
    </row>
    <row r="638" spans="1:7" ht="15.6" hidden="1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674</v>
      </c>
      <c r="G638" s="145" t="s">
        <v>711</v>
      </c>
    </row>
    <row r="639" spans="1:7" ht="15.6" hidden="1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671</v>
      </c>
      <c r="G639" s="145" t="s">
        <v>708</v>
      </c>
    </row>
    <row r="640" spans="1:7" ht="15.6" hidden="1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671</v>
      </c>
      <c r="G640" s="145" t="s">
        <v>708</v>
      </c>
    </row>
    <row r="641" spans="1:7" ht="31.2" hidden="1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676</v>
      </c>
      <c r="G641" s="145" t="s">
        <v>708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677</v>
      </c>
      <c r="G642" s="145" t="s">
        <v>713</v>
      </c>
    </row>
    <row r="643" spans="1:7" ht="15.6" hidden="1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674</v>
      </c>
      <c r="G643" s="145" t="s">
        <v>714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675</v>
      </c>
      <c r="G644" s="145" t="s">
        <v>713</v>
      </c>
    </row>
    <row r="645" spans="1:7" ht="15.6" hidden="1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671</v>
      </c>
      <c r="G645" s="145" t="s">
        <v>708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673</v>
      </c>
      <c r="G646" s="145" t="s">
        <v>713</v>
      </c>
    </row>
    <row r="647" spans="1:7" ht="15.6" hidden="1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674</v>
      </c>
      <c r="G647" s="145" t="s">
        <v>715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675</v>
      </c>
      <c r="G648" s="145" t="s">
        <v>713</v>
      </c>
    </row>
    <row r="649" spans="1:7" ht="15.6" hidden="1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671</v>
      </c>
      <c r="G649" s="145" t="s">
        <v>708</v>
      </c>
    </row>
    <row r="650" spans="1:7" ht="15.6" hidden="1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673</v>
      </c>
      <c r="G650" s="145" t="s">
        <v>710</v>
      </c>
    </row>
    <row r="651" spans="1:7" ht="15.6" hidden="1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674</v>
      </c>
      <c r="G651" s="145" t="s">
        <v>711</v>
      </c>
    </row>
    <row r="652" spans="1:7" ht="15.6" hidden="1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671</v>
      </c>
      <c r="G652" s="145" t="s">
        <v>708</v>
      </c>
    </row>
    <row r="653" spans="1:7" ht="15.6" hidden="1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671</v>
      </c>
      <c r="G653" s="145" t="s">
        <v>708</v>
      </c>
    </row>
    <row r="654" spans="1:7" ht="15.6" hidden="1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672</v>
      </c>
      <c r="G654" s="145" t="s">
        <v>708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677</v>
      </c>
      <c r="G655" s="145" t="s">
        <v>713</v>
      </c>
    </row>
    <row r="656" spans="1:7" ht="15.6" hidden="1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674</v>
      </c>
      <c r="G656" s="145" t="s">
        <v>714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675</v>
      </c>
      <c r="G657" s="145" t="s">
        <v>713</v>
      </c>
    </row>
    <row r="658" spans="1:7" ht="15.6" hidden="1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671</v>
      </c>
      <c r="G658" s="145" t="s">
        <v>708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677</v>
      </c>
      <c r="G659" s="145" t="s">
        <v>713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675</v>
      </c>
      <c r="G660" s="145" t="s">
        <v>713</v>
      </c>
    </row>
    <row r="661" spans="1:7" ht="15.6" hidden="1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671</v>
      </c>
      <c r="G661" s="145" t="s">
        <v>708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677</v>
      </c>
      <c r="G662" s="145" t="s">
        <v>713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675</v>
      </c>
      <c r="G663" s="145" t="s">
        <v>713</v>
      </c>
    </row>
    <row r="664" spans="1:7" ht="15.6" hidden="1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671</v>
      </c>
      <c r="G664" s="145" t="s">
        <v>708</v>
      </c>
    </row>
    <row r="665" spans="1:7" ht="15.6" hidden="1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672</v>
      </c>
      <c r="G665" s="145" t="s">
        <v>709</v>
      </c>
    </row>
    <row r="666" spans="1:7" ht="15.6" hidden="1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673</v>
      </c>
      <c r="G666" s="145" t="s">
        <v>710</v>
      </c>
    </row>
    <row r="667" spans="1:7" ht="15.6" hidden="1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674</v>
      </c>
      <c r="G667" s="145" t="s">
        <v>711</v>
      </c>
    </row>
    <row r="668" spans="1:7" ht="15.6" hidden="1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671</v>
      </c>
      <c r="G668" s="145" t="s">
        <v>708</v>
      </c>
    </row>
    <row r="669" spans="1:7" ht="15.6" hidden="1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672</v>
      </c>
      <c r="G669" s="145" t="s">
        <v>709</v>
      </c>
    </row>
    <row r="670" spans="1:7" ht="15.6" hidden="1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674</v>
      </c>
      <c r="G670" s="145" t="s">
        <v>711</v>
      </c>
    </row>
    <row r="671" spans="1:7" ht="15.6" hidden="1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672</v>
      </c>
      <c r="G671" s="145" t="s">
        <v>709</v>
      </c>
    </row>
    <row r="672" spans="1:7" ht="15.6" hidden="1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673</v>
      </c>
      <c r="G672" s="145" t="s">
        <v>710</v>
      </c>
    </row>
    <row r="673" spans="1:7" ht="15.6" hidden="1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674</v>
      </c>
      <c r="G673" s="145" t="s">
        <v>711</v>
      </c>
    </row>
    <row r="674" spans="1:7" ht="15.6" hidden="1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674</v>
      </c>
      <c r="G674" s="145" t="s">
        <v>711</v>
      </c>
    </row>
    <row r="675" spans="1:7" ht="15.6" hidden="1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672</v>
      </c>
      <c r="G675" s="145" t="s">
        <v>709</v>
      </c>
    </row>
    <row r="676" spans="1:7" ht="15.6" hidden="1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674</v>
      </c>
      <c r="G676" s="145" t="s">
        <v>711</v>
      </c>
    </row>
    <row r="677" spans="1:7" ht="15.6" hidden="1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675</v>
      </c>
      <c r="G677" s="145" t="s">
        <v>712</v>
      </c>
    </row>
    <row r="678" spans="1:7" ht="15.6" hidden="1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671</v>
      </c>
      <c r="G678" s="145" t="s">
        <v>708</v>
      </c>
    </row>
    <row r="679" spans="1:7" ht="15.6" hidden="1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674</v>
      </c>
      <c r="G679" s="145" t="s">
        <v>711</v>
      </c>
    </row>
    <row r="680" spans="1:7" ht="15.6" hidden="1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671</v>
      </c>
      <c r="G680" s="145" t="s">
        <v>708</v>
      </c>
    </row>
    <row r="681" spans="1:7" ht="15.6" hidden="1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672</v>
      </c>
      <c r="G681" s="145" t="s">
        <v>709</v>
      </c>
    </row>
    <row r="682" spans="1:7" ht="15.6" hidden="1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673</v>
      </c>
      <c r="G682" s="145" t="s">
        <v>710</v>
      </c>
    </row>
    <row r="683" spans="1:7" ht="15.6" hidden="1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674</v>
      </c>
      <c r="G683" s="145" t="s">
        <v>711</v>
      </c>
    </row>
    <row r="684" spans="1:7" ht="15.6" hidden="1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675</v>
      </c>
      <c r="G684" s="145" t="s">
        <v>712</v>
      </c>
    </row>
    <row r="685" spans="1:7" ht="15.6" hidden="1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671</v>
      </c>
      <c r="G685" s="145" t="s">
        <v>708</v>
      </c>
    </row>
    <row r="686" spans="1:7" ht="15.6" hidden="1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672</v>
      </c>
      <c r="G686" s="145" t="s">
        <v>709</v>
      </c>
    </row>
    <row r="687" spans="1:7" ht="15.6" hidden="1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673</v>
      </c>
      <c r="G687" s="145" t="s">
        <v>710</v>
      </c>
    </row>
    <row r="688" spans="1:7" ht="15.6" hidden="1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674</v>
      </c>
      <c r="G688" s="145" t="s">
        <v>711</v>
      </c>
    </row>
    <row r="689" spans="1:7" ht="15.6" hidden="1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672</v>
      </c>
      <c r="G689" s="145" t="s">
        <v>709</v>
      </c>
    </row>
    <row r="690" spans="1:7" ht="15.6" hidden="1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673</v>
      </c>
      <c r="G690" s="145" t="s">
        <v>710</v>
      </c>
    </row>
    <row r="691" spans="1:7" ht="15.6" hidden="1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674</v>
      </c>
      <c r="G691" s="145" t="s">
        <v>711</v>
      </c>
    </row>
    <row r="692" spans="1:7" ht="15.6" hidden="1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672</v>
      </c>
      <c r="G692" s="145" t="s">
        <v>709</v>
      </c>
    </row>
    <row r="693" spans="1:7" ht="15.6" hidden="1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673</v>
      </c>
      <c r="G693" s="145" t="s">
        <v>710</v>
      </c>
    </row>
    <row r="694" spans="1:7" ht="15.6" hidden="1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674</v>
      </c>
      <c r="G694" s="145" t="s">
        <v>711</v>
      </c>
    </row>
    <row r="695" spans="1:7" ht="15.6" hidden="1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671</v>
      </c>
      <c r="G695" s="145" t="s">
        <v>708</v>
      </c>
    </row>
    <row r="696" spans="1:7" ht="15.6" hidden="1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672</v>
      </c>
      <c r="G696" s="145" t="s">
        <v>709</v>
      </c>
    </row>
    <row r="697" spans="1:7" ht="15.6" hidden="1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673</v>
      </c>
      <c r="G697" s="145" t="s">
        <v>710</v>
      </c>
    </row>
    <row r="698" spans="1:7" ht="15.6" hidden="1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674</v>
      </c>
      <c r="G698" s="145" t="s">
        <v>711</v>
      </c>
    </row>
    <row r="699" spans="1:7" ht="15.6" hidden="1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671</v>
      </c>
      <c r="G699" s="145" t="s">
        <v>708</v>
      </c>
    </row>
    <row r="700" spans="1:7" ht="15.6" hidden="1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672</v>
      </c>
      <c r="G700" s="145" t="s">
        <v>709</v>
      </c>
    </row>
    <row r="701" spans="1:7" ht="15.6" hidden="1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674</v>
      </c>
      <c r="G701" s="145" t="s">
        <v>711</v>
      </c>
    </row>
    <row r="702" spans="1:7" ht="15.6" hidden="1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671</v>
      </c>
      <c r="G702" s="145" t="s">
        <v>708</v>
      </c>
    </row>
    <row r="703" spans="1:7" ht="15.6" hidden="1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672</v>
      </c>
      <c r="G703" s="145" t="s">
        <v>709</v>
      </c>
    </row>
    <row r="704" spans="1:7" ht="15.6" hidden="1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674</v>
      </c>
      <c r="G704" s="145" t="s">
        <v>711</v>
      </c>
    </row>
    <row r="705" spans="1:7" ht="15.6" hidden="1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672</v>
      </c>
      <c r="G705" s="145" t="s">
        <v>709</v>
      </c>
    </row>
    <row r="706" spans="1:7" ht="15.6" hidden="1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674</v>
      </c>
      <c r="G706" s="145" t="s">
        <v>711</v>
      </c>
    </row>
    <row r="707" spans="1:7" ht="15.6" hidden="1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671</v>
      </c>
      <c r="G707" s="145" t="s">
        <v>708</v>
      </c>
    </row>
    <row r="708" spans="1:7" ht="15.6" hidden="1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672</v>
      </c>
      <c r="G708" s="145" t="s">
        <v>709</v>
      </c>
    </row>
    <row r="709" spans="1:7" ht="15.6" hidden="1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673</v>
      </c>
      <c r="G709" s="145" t="s">
        <v>710</v>
      </c>
    </row>
    <row r="710" spans="1:7" ht="15.6" hidden="1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674</v>
      </c>
      <c r="G710" s="145" t="s">
        <v>711</v>
      </c>
    </row>
    <row r="711" spans="1:7" ht="15.6" hidden="1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675</v>
      </c>
      <c r="G711" s="145" t="s">
        <v>712</v>
      </c>
    </row>
    <row r="712" spans="1:7" ht="15.6" hidden="1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671</v>
      </c>
      <c r="G712" s="145" t="s">
        <v>708</v>
      </c>
    </row>
    <row r="713" spans="1:7" ht="15.6" hidden="1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672</v>
      </c>
      <c r="G713" s="145" t="s">
        <v>709</v>
      </c>
    </row>
    <row r="714" spans="1:7" ht="15.6" hidden="1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674</v>
      </c>
      <c r="G714" s="145" t="s">
        <v>711</v>
      </c>
    </row>
    <row r="715" spans="1:7" ht="15.6" hidden="1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675</v>
      </c>
      <c r="G715" s="145" t="s">
        <v>712</v>
      </c>
    </row>
    <row r="716" spans="1:7" ht="15.6" hidden="1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671</v>
      </c>
      <c r="G716" s="145" t="s">
        <v>708</v>
      </c>
    </row>
    <row r="717" spans="1:7" ht="15.6" hidden="1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672</v>
      </c>
      <c r="G717" s="145" t="s">
        <v>709</v>
      </c>
    </row>
    <row r="718" spans="1:7" ht="15.6" hidden="1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674</v>
      </c>
      <c r="G718" s="145" t="s">
        <v>711</v>
      </c>
    </row>
    <row r="719" spans="1:7" ht="15.6" hidden="1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675</v>
      </c>
      <c r="G719" s="145" t="s">
        <v>712</v>
      </c>
    </row>
    <row r="720" spans="1:7" ht="15.6" hidden="1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674</v>
      </c>
      <c r="G720" s="145" t="s">
        <v>711</v>
      </c>
    </row>
    <row r="721" spans="1:7" ht="15.6" hidden="1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672</v>
      </c>
      <c r="G721" s="145" t="s">
        <v>709</v>
      </c>
    </row>
    <row r="722" spans="1:7" ht="15.6" hidden="1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674</v>
      </c>
      <c r="G722" s="145" t="s">
        <v>711</v>
      </c>
    </row>
    <row r="723" spans="1:7" ht="15.6" hidden="1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675</v>
      </c>
      <c r="G723" s="145" t="s">
        <v>712</v>
      </c>
    </row>
    <row r="724" spans="1:7" ht="15.6" hidden="1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672</v>
      </c>
      <c r="G724" s="145" t="s">
        <v>709</v>
      </c>
    </row>
    <row r="725" spans="1:7" ht="15.6" hidden="1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674</v>
      </c>
      <c r="G725" s="145" t="s">
        <v>711</v>
      </c>
    </row>
    <row r="726" spans="1:7" ht="15.6" hidden="1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675</v>
      </c>
      <c r="G726" s="145" t="s">
        <v>712</v>
      </c>
    </row>
    <row r="727" spans="1:7" ht="15.6" hidden="1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672</v>
      </c>
      <c r="G727" s="145" t="s">
        <v>709</v>
      </c>
    </row>
    <row r="728" spans="1:7" ht="15.6" hidden="1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674</v>
      </c>
      <c r="G728" s="145" t="s">
        <v>711</v>
      </c>
    </row>
    <row r="729" spans="1:7" ht="15.6" hidden="1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671</v>
      </c>
      <c r="G729" s="145" t="s">
        <v>708</v>
      </c>
    </row>
    <row r="730" spans="1:7" ht="15.6" hidden="1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672</v>
      </c>
      <c r="G730" s="145" t="s">
        <v>708</v>
      </c>
    </row>
    <row r="731" spans="1:7" ht="31.2" hidden="1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682</v>
      </c>
      <c r="G731" s="145" t="s">
        <v>709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675</v>
      </c>
      <c r="G732" s="145" t="s">
        <v>713</v>
      </c>
    </row>
    <row r="733" spans="1:7" ht="15.6" hidden="1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672</v>
      </c>
      <c r="G733" s="145" t="s">
        <v>708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675</v>
      </c>
      <c r="G734" s="145" t="s">
        <v>713</v>
      </c>
    </row>
    <row r="735" spans="1:7" ht="15.6" hidden="1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671</v>
      </c>
      <c r="G735" s="145" t="s">
        <v>708</v>
      </c>
    </row>
    <row r="736" spans="1:7" ht="15.6" hidden="1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672</v>
      </c>
      <c r="G736" s="145" t="s">
        <v>709</v>
      </c>
    </row>
    <row r="737" spans="1:7" ht="15.6" hidden="1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673</v>
      </c>
      <c r="G737" s="145" t="s">
        <v>710</v>
      </c>
    </row>
    <row r="738" spans="1:7" ht="15.6" hidden="1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674</v>
      </c>
      <c r="G738" s="145" t="s">
        <v>711</v>
      </c>
    </row>
    <row r="739" spans="1:7" ht="15.6" hidden="1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675</v>
      </c>
      <c r="G739" s="145" t="s">
        <v>712</v>
      </c>
    </row>
    <row r="740" spans="1:7" ht="15.6" hidden="1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671</v>
      </c>
      <c r="G740" s="145" t="s">
        <v>708</v>
      </c>
    </row>
    <row r="741" spans="1:7" ht="15.6" hidden="1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672</v>
      </c>
      <c r="G741" s="145" t="s">
        <v>709</v>
      </c>
    </row>
    <row r="742" spans="1:7" ht="15.6" hidden="1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673</v>
      </c>
      <c r="G742" s="145" t="s">
        <v>710</v>
      </c>
    </row>
    <row r="743" spans="1:7" ht="15.6" hidden="1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674</v>
      </c>
      <c r="G743" s="145" t="s">
        <v>711</v>
      </c>
    </row>
    <row r="744" spans="1:7" ht="15.6" hidden="1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675</v>
      </c>
      <c r="G744" s="145" t="s">
        <v>712</v>
      </c>
    </row>
    <row r="745" spans="1:7" ht="15.6" hidden="1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672</v>
      </c>
      <c r="G745" s="145" t="s">
        <v>709</v>
      </c>
    </row>
    <row r="746" spans="1:7" ht="15.6" hidden="1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675</v>
      </c>
      <c r="G746" s="145" t="s">
        <v>712</v>
      </c>
    </row>
    <row r="747" spans="1:7" ht="15.6" hidden="1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671</v>
      </c>
      <c r="G747" s="145" t="s">
        <v>708</v>
      </c>
    </row>
    <row r="748" spans="1:7" ht="15.6" hidden="1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672</v>
      </c>
      <c r="G748" s="145" t="s">
        <v>709</v>
      </c>
    </row>
    <row r="749" spans="1:7" ht="15.6" hidden="1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673</v>
      </c>
      <c r="G749" s="145" t="s">
        <v>710</v>
      </c>
    </row>
    <row r="750" spans="1:7" ht="15.6" hidden="1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674</v>
      </c>
      <c r="G750" s="145" t="s">
        <v>711</v>
      </c>
    </row>
    <row r="751" spans="1:7" ht="15.6" hidden="1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671</v>
      </c>
      <c r="G751" s="145" t="s">
        <v>708</v>
      </c>
    </row>
    <row r="752" spans="1:7" ht="15.6" hidden="1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672</v>
      </c>
      <c r="G752" s="145" t="s">
        <v>709</v>
      </c>
    </row>
    <row r="753" spans="1:7" ht="15.6" hidden="1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673</v>
      </c>
      <c r="G753" s="145" t="s">
        <v>710</v>
      </c>
    </row>
    <row r="754" spans="1:7" ht="15.6" hidden="1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674</v>
      </c>
      <c r="G754" s="145" t="s">
        <v>711</v>
      </c>
    </row>
    <row r="755" spans="1:7" ht="15.6" hidden="1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671</v>
      </c>
      <c r="G755" s="145" t="s">
        <v>708</v>
      </c>
    </row>
    <row r="756" spans="1:7" ht="15.6" hidden="1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672</v>
      </c>
      <c r="G756" s="145" t="s">
        <v>709</v>
      </c>
    </row>
    <row r="757" spans="1:7" ht="15.6" hidden="1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673</v>
      </c>
      <c r="G757" s="145" t="s">
        <v>710</v>
      </c>
    </row>
    <row r="758" spans="1:7" ht="15.6" hidden="1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674</v>
      </c>
      <c r="G758" s="145" t="s">
        <v>711</v>
      </c>
    </row>
    <row r="759" spans="1:7" ht="15.6" hidden="1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675</v>
      </c>
      <c r="G759" s="145" t="s">
        <v>712</v>
      </c>
    </row>
    <row r="760" spans="1:7" ht="15.6" hidden="1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671</v>
      </c>
      <c r="G760" s="145" t="s">
        <v>708</v>
      </c>
    </row>
    <row r="761" spans="1:7" ht="15.6" hidden="1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672</v>
      </c>
      <c r="G761" s="145" t="s">
        <v>709</v>
      </c>
    </row>
    <row r="762" spans="1:7" ht="15.6" hidden="1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673</v>
      </c>
      <c r="G762" s="145" t="s">
        <v>710</v>
      </c>
    </row>
    <row r="763" spans="1:7" ht="15.6" hidden="1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674</v>
      </c>
      <c r="G763" s="145" t="s">
        <v>711</v>
      </c>
    </row>
    <row r="764" spans="1:7" ht="15.6" hidden="1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671</v>
      </c>
      <c r="G764" s="145" t="s">
        <v>708</v>
      </c>
    </row>
    <row r="765" spans="1:7" ht="15.6" hidden="1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672</v>
      </c>
      <c r="G765" s="145" t="s">
        <v>709</v>
      </c>
    </row>
    <row r="766" spans="1:7" ht="15.6" hidden="1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673</v>
      </c>
      <c r="G766" s="145" t="s">
        <v>710</v>
      </c>
    </row>
    <row r="767" spans="1:7" ht="15.6" hidden="1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674</v>
      </c>
      <c r="G767" s="145" t="s">
        <v>711</v>
      </c>
    </row>
    <row r="768" spans="1:7" ht="15.6" hidden="1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671</v>
      </c>
      <c r="G768" s="145" t="s">
        <v>708</v>
      </c>
    </row>
    <row r="769" spans="1:7" ht="15.6" hidden="1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672</v>
      </c>
      <c r="G769" s="145" t="s">
        <v>709</v>
      </c>
    </row>
    <row r="770" spans="1:7" ht="15.6" hidden="1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673</v>
      </c>
      <c r="G770" s="145" t="s">
        <v>710</v>
      </c>
    </row>
    <row r="771" spans="1:7" ht="15.6" hidden="1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674</v>
      </c>
      <c r="G771" s="145" t="s">
        <v>711</v>
      </c>
    </row>
    <row r="772" spans="1:7" ht="15.6" hidden="1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671</v>
      </c>
      <c r="G772" s="145" t="s">
        <v>708</v>
      </c>
    </row>
    <row r="773" spans="1:7" ht="15.6" hidden="1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672</v>
      </c>
      <c r="G773" s="145" t="s">
        <v>709</v>
      </c>
    </row>
    <row r="774" spans="1:7" ht="15.6" hidden="1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673</v>
      </c>
      <c r="G774" s="145" t="s">
        <v>710</v>
      </c>
    </row>
    <row r="775" spans="1:7" ht="15.6" hidden="1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674</v>
      </c>
      <c r="G775" s="145" t="s">
        <v>711</v>
      </c>
    </row>
    <row r="776" spans="1:7" ht="15.6" hidden="1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674</v>
      </c>
      <c r="G776" s="145" t="s">
        <v>711</v>
      </c>
    </row>
    <row r="777" spans="1:7" ht="15.6" hidden="1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671</v>
      </c>
      <c r="G777" s="145" t="s">
        <v>708</v>
      </c>
    </row>
    <row r="778" spans="1:7" ht="15.6" hidden="1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672</v>
      </c>
      <c r="G778" s="145" t="s">
        <v>709</v>
      </c>
    </row>
    <row r="779" spans="1:7" ht="15.6" hidden="1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673</v>
      </c>
      <c r="G779" s="145" t="s">
        <v>710</v>
      </c>
    </row>
    <row r="780" spans="1:7" ht="15.6" hidden="1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674</v>
      </c>
      <c r="G780" s="145" t="s">
        <v>711</v>
      </c>
    </row>
    <row r="781" spans="1:7" ht="15.6" hidden="1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675</v>
      </c>
      <c r="G781" s="145" t="s">
        <v>712</v>
      </c>
    </row>
    <row r="782" spans="1:7" ht="15.6" hidden="1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672</v>
      </c>
      <c r="G782" s="145" t="s">
        <v>708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677</v>
      </c>
      <c r="G783" s="145" t="s">
        <v>713</v>
      </c>
    </row>
    <row r="784" spans="1:7" ht="15.6" hidden="1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674</v>
      </c>
      <c r="G784" s="145" t="s">
        <v>714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675</v>
      </c>
      <c r="G785" s="145" t="s">
        <v>713</v>
      </c>
    </row>
    <row r="786" spans="1:7" ht="15.6" hidden="1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671</v>
      </c>
      <c r="G786" s="145" t="s">
        <v>708</v>
      </c>
    </row>
    <row r="787" spans="1:7" ht="15.6" hidden="1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672</v>
      </c>
      <c r="G787" s="145" t="s">
        <v>708</v>
      </c>
    </row>
    <row r="788" spans="1:7" ht="15.6" hidden="1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674</v>
      </c>
      <c r="G788" s="145" t="s">
        <v>711</v>
      </c>
    </row>
    <row r="789" spans="1:7" ht="15.6" hidden="1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674</v>
      </c>
      <c r="G789" s="145" t="s">
        <v>714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675</v>
      </c>
      <c r="G790" s="145" t="s">
        <v>713</v>
      </c>
    </row>
    <row r="791" spans="1:7" ht="15.6" hidden="1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671</v>
      </c>
      <c r="G791" s="145" t="s">
        <v>708</v>
      </c>
    </row>
    <row r="792" spans="1:7" ht="15.6" hidden="1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672</v>
      </c>
      <c r="G792" s="145" t="s">
        <v>708</v>
      </c>
    </row>
    <row r="793" spans="1:7" ht="31.2" hidden="1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682</v>
      </c>
      <c r="G793" s="145" t="s">
        <v>709</v>
      </c>
    </row>
    <row r="794" spans="1:7" ht="15.6" hidden="1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674</v>
      </c>
      <c r="G794" s="145" t="s">
        <v>711</v>
      </c>
    </row>
    <row r="795" spans="1:7" ht="15.6" hidden="1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674</v>
      </c>
      <c r="G795" s="145" t="s">
        <v>714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675</v>
      </c>
      <c r="G796" s="145" t="s">
        <v>713</v>
      </c>
    </row>
    <row r="797" spans="1:7" ht="15.6" hidden="1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671</v>
      </c>
      <c r="G797" s="145" t="s">
        <v>708</v>
      </c>
    </row>
    <row r="798" spans="1:7" ht="15.6" hidden="1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672</v>
      </c>
      <c r="G798" s="145" t="s">
        <v>708</v>
      </c>
    </row>
    <row r="799" spans="1:7" ht="31.2" hidden="1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682</v>
      </c>
      <c r="G799" s="145" t="s">
        <v>709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677</v>
      </c>
      <c r="G800" s="145" t="s">
        <v>713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679</v>
      </c>
      <c r="G801" s="145" t="s">
        <v>710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675</v>
      </c>
      <c r="G802" s="145" t="s">
        <v>713</v>
      </c>
    </row>
    <row r="803" spans="1:7" ht="15.6" hidden="1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671</v>
      </c>
      <c r="G803" s="145" t="s">
        <v>708</v>
      </c>
    </row>
    <row r="804" spans="1:7" ht="15.6" hidden="1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672</v>
      </c>
      <c r="G804" s="145" t="s">
        <v>709</v>
      </c>
    </row>
    <row r="805" spans="1:7" ht="15.6" hidden="1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673</v>
      </c>
      <c r="G805" s="145" t="s">
        <v>710</v>
      </c>
    </row>
    <row r="806" spans="1:7" ht="15.6" hidden="1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674</v>
      </c>
      <c r="G806" s="145" t="s">
        <v>711</v>
      </c>
    </row>
    <row r="807" spans="1:7" ht="15.6" hidden="1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672</v>
      </c>
      <c r="G807" s="145" t="s">
        <v>708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677</v>
      </c>
      <c r="G808" s="145" t="s">
        <v>713</v>
      </c>
    </row>
    <row r="809" spans="1:7" ht="15.6" hidden="1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674</v>
      </c>
      <c r="G809" s="145" t="s">
        <v>714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675</v>
      </c>
      <c r="G810" s="145" t="s">
        <v>713</v>
      </c>
    </row>
    <row r="811" spans="1:7" ht="15.6" hidden="1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672</v>
      </c>
      <c r="G811" s="145" t="s">
        <v>708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673</v>
      </c>
      <c r="G812" s="145" t="s">
        <v>713</v>
      </c>
    </row>
    <row r="813" spans="1:7" ht="15.6" hidden="1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674</v>
      </c>
      <c r="G813" s="145" t="s">
        <v>711</v>
      </c>
    </row>
    <row r="814" spans="1:7" ht="15.6" hidden="1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674</v>
      </c>
      <c r="G814" s="145" t="s">
        <v>715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675</v>
      </c>
      <c r="G815" s="145" t="s">
        <v>713</v>
      </c>
    </row>
    <row r="816" spans="1:7" ht="15.6" hidden="1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674</v>
      </c>
      <c r="G816" s="145" t="s">
        <v>711</v>
      </c>
    </row>
    <row r="817" spans="1:7" ht="15.6" hidden="1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671</v>
      </c>
      <c r="G817" s="145" t="s">
        <v>708</v>
      </c>
    </row>
    <row r="818" spans="1:7" ht="15.6" hidden="1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672</v>
      </c>
      <c r="G818" s="145" t="s">
        <v>709</v>
      </c>
    </row>
    <row r="819" spans="1:7" ht="15.6" hidden="1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674</v>
      </c>
      <c r="G819" s="145" t="s">
        <v>711</v>
      </c>
    </row>
    <row r="820" spans="1:7" ht="15.6" hidden="1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675</v>
      </c>
      <c r="G820" s="145" t="s">
        <v>712</v>
      </c>
    </row>
    <row r="821" spans="1:7" ht="15.6" hidden="1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671</v>
      </c>
      <c r="G821" s="145" t="s">
        <v>708</v>
      </c>
    </row>
    <row r="822" spans="1:7" ht="15.6" hidden="1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672</v>
      </c>
      <c r="G822" s="145" t="s">
        <v>709</v>
      </c>
    </row>
    <row r="823" spans="1:7" ht="15.6" hidden="1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674</v>
      </c>
      <c r="G823" s="145" t="s">
        <v>711</v>
      </c>
    </row>
    <row r="824" spans="1:7" ht="15.6" hidden="1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671</v>
      </c>
      <c r="G824" s="145" t="s">
        <v>708</v>
      </c>
    </row>
    <row r="825" spans="1:7" ht="15.6" hidden="1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672</v>
      </c>
      <c r="G825" s="145" t="s">
        <v>709</v>
      </c>
    </row>
    <row r="826" spans="1:7" ht="15.6" hidden="1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674</v>
      </c>
      <c r="G826" s="145" t="s">
        <v>711</v>
      </c>
    </row>
    <row r="827" spans="1:7" ht="15.6" hidden="1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675</v>
      </c>
      <c r="G827" s="145" t="s">
        <v>712</v>
      </c>
    </row>
    <row r="828" spans="1:7" ht="15.6" hidden="1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671</v>
      </c>
      <c r="G828" s="145" t="s">
        <v>708</v>
      </c>
    </row>
    <row r="829" spans="1:7" ht="15.6" hidden="1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672</v>
      </c>
      <c r="G829" s="145" t="s">
        <v>709</v>
      </c>
    </row>
    <row r="830" spans="1:7" ht="15.6" hidden="1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674</v>
      </c>
      <c r="G830" s="145" t="s">
        <v>711</v>
      </c>
    </row>
    <row r="831" spans="1:7" ht="15.6" hidden="1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675</v>
      </c>
      <c r="G831" s="145" t="s">
        <v>712</v>
      </c>
    </row>
    <row r="832" spans="1:7" ht="15.6" hidden="1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671</v>
      </c>
      <c r="G832" s="145" t="s">
        <v>708</v>
      </c>
    </row>
    <row r="833" spans="1:7" ht="15.6" hidden="1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672</v>
      </c>
      <c r="G833" s="145" t="s">
        <v>709</v>
      </c>
    </row>
    <row r="834" spans="1:7" ht="15.6" hidden="1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674</v>
      </c>
      <c r="G834" s="145" t="s">
        <v>711</v>
      </c>
    </row>
    <row r="835" spans="1:7" ht="15.6" hidden="1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671</v>
      </c>
      <c r="G835" s="145" t="s">
        <v>708</v>
      </c>
    </row>
    <row r="836" spans="1:7" ht="15.6" hidden="1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672</v>
      </c>
      <c r="G836" s="145" t="s">
        <v>709</v>
      </c>
    </row>
    <row r="837" spans="1:7" ht="15.6" hidden="1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674</v>
      </c>
      <c r="G837" s="145" t="s">
        <v>711</v>
      </c>
    </row>
    <row r="838" spans="1:7" ht="15.6" hidden="1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671</v>
      </c>
      <c r="G838" s="145" t="s">
        <v>708</v>
      </c>
    </row>
    <row r="839" spans="1:7" ht="15.6" hidden="1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672</v>
      </c>
      <c r="G839" s="145" t="s">
        <v>709</v>
      </c>
    </row>
    <row r="840" spans="1:7" ht="15.6" hidden="1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674</v>
      </c>
      <c r="G840" s="145" t="s">
        <v>711</v>
      </c>
    </row>
    <row r="841" spans="1:7" ht="15.6" hidden="1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671</v>
      </c>
      <c r="G841" s="145" t="s">
        <v>708</v>
      </c>
    </row>
    <row r="842" spans="1:7" ht="15.6" hidden="1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672</v>
      </c>
      <c r="G842" s="145" t="s">
        <v>709</v>
      </c>
    </row>
    <row r="843" spans="1:7" ht="15.6" hidden="1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675</v>
      </c>
      <c r="G843" s="145" t="s">
        <v>712</v>
      </c>
    </row>
    <row r="844" spans="1:7" ht="15.6" hidden="1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671</v>
      </c>
      <c r="G844" s="145" t="s">
        <v>708</v>
      </c>
    </row>
    <row r="845" spans="1:7" ht="15.6" hidden="1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672</v>
      </c>
      <c r="G845" s="145" t="s">
        <v>709</v>
      </c>
    </row>
    <row r="846" spans="1:7" ht="15.6" hidden="1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674</v>
      </c>
      <c r="G846" s="145" t="s">
        <v>711</v>
      </c>
    </row>
    <row r="847" spans="1:7" ht="15.6" hidden="1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674</v>
      </c>
      <c r="G847" s="145" t="s">
        <v>711</v>
      </c>
    </row>
    <row r="848" spans="1:7" ht="15.6" hidden="1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671</v>
      </c>
      <c r="G848" s="145" t="s">
        <v>708</v>
      </c>
    </row>
    <row r="849" spans="1:7" ht="15.6" hidden="1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672</v>
      </c>
      <c r="G849" s="145" t="s">
        <v>709</v>
      </c>
    </row>
    <row r="850" spans="1:7" ht="15.6" hidden="1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674</v>
      </c>
      <c r="G850" s="145" t="s">
        <v>711</v>
      </c>
    </row>
    <row r="851" spans="1:7" ht="15.6" hidden="1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671</v>
      </c>
      <c r="G851" s="145" t="s">
        <v>708</v>
      </c>
    </row>
    <row r="852" spans="1:7" ht="15.6" hidden="1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672</v>
      </c>
      <c r="G852" s="145" t="s">
        <v>709</v>
      </c>
    </row>
    <row r="853" spans="1:7" ht="15.6" hidden="1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674</v>
      </c>
      <c r="G853" s="145" t="s">
        <v>711</v>
      </c>
    </row>
    <row r="854" spans="1:7" ht="31.2" hidden="1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676</v>
      </c>
      <c r="G854" s="145" t="s">
        <v>708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671</v>
      </c>
      <c r="G855" s="145" t="s">
        <v>708</v>
      </c>
    </row>
    <row r="856" spans="1:7" ht="15.6" hidden="1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672</v>
      </c>
      <c r="G856" s="145" t="s">
        <v>708</v>
      </c>
    </row>
    <row r="857" spans="1:7" ht="15.6" hidden="1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674</v>
      </c>
      <c r="G857" s="145" t="s">
        <v>714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675</v>
      </c>
      <c r="G858" s="145" t="s">
        <v>713</v>
      </c>
    </row>
    <row r="859" spans="1:7" ht="15.6" hidden="1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671</v>
      </c>
      <c r="G859" s="145" t="s">
        <v>708</v>
      </c>
    </row>
    <row r="860" spans="1:7" ht="31.2" hidden="1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678</v>
      </c>
      <c r="G860" s="145" t="s">
        <v>708</v>
      </c>
    </row>
    <row r="861" spans="1:7" ht="31.2" hidden="1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676</v>
      </c>
      <c r="G861" s="145" t="s">
        <v>708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671</v>
      </c>
      <c r="G862" s="145" t="s">
        <v>708</v>
      </c>
    </row>
    <row r="863" spans="1:7" ht="15.6" hidden="1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672</v>
      </c>
      <c r="G863" s="145" t="s">
        <v>708</v>
      </c>
    </row>
    <row r="864" spans="1:7" ht="46.8" hidden="1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680</v>
      </c>
      <c r="G864" s="145" t="s">
        <v>709</v>
      </c>
    </row>
    <row r="865" spans="1:7" ht="15.6" hidden="1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674</v>
      </c>
      <c r="G865" s="145" t="s">
        <v>711</v>
      </c>
    </row>
    <row r="866" spans="1:7" ht="15.6" hidden="1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674</v>
      </c>
      <c r="G866" s="145" t="s">
        <v>714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675</v>
      </c>
      <c r="G867" s="145" t="s">
        <v>713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675</v>
      </c>
      <c r="G868" s="145" t="s">
        <v>713</v>
      </c>
    </row>
    <row r="869" spans="1:7" ht="15.6" hidden="1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671</v>
      </c>
      <c r="G869" s="145" t="s">
        <v>708</v>
      </c>
    </row>
    <row r="870" spans="1:7" ht="31.2" hidden="1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678</v>
      </c>
      <c r="G870" s="145" t="s">
        <v>708</v>
      </c>
    </row>
    <row r="871" spans="1:7" ht="31.2" hidden="1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676</v>
      </c>
      <c r="G871" s="145" t="s">
        <v>708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671</v>
      </c>
      <c r="G872" s="145" t="s">
        <v>708</v>
      </c>
    </row>
    <row r="873" spans="1:7" ht="15.6" hidden="1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672</v>
      </c>
      <c r="G873" s="145" t="s">
        <v>708</v>
      </c>
    </row>
    <row r="874" spans="1:7" ht="46.8" hidden="1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680</v>
      </c>
      <c r="G874" s="145" t="s">
        <v>709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675</v>
      </c>
      <c r="G875" s="145" t="s">
        <v>713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675</v>
      </c>
      <c r="G876" s="145" t="s">
        <v>713</v>
      </c>
    </row>
    <row r="877" spans="1:7" ht="15.6" hidden="1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671</v>
      </c>
      <c r="G877" s="145" t="s">
        <v>708</v>
      </c>
    </row>
    <row r="878" spans="1:7" ht="15.6" hidden="1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672</v>
      </c>
      <c r="G878" s="145" t="s">
        <v>709</v>
      </c>
    </row>
    <row r="879" spans="1:7" ht="15.6" hidden="1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674</v>
      </c>
      <c r="G879" s="145" t="s">
        <v>711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671</v>
      </c>
      <c r="G880" s="145" t="s">
        <v>708</v>
      </c>
    </row>
    <row r="881" spans="1:7" ht="15.6" hidden="1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672</v>
      </c>
      <c r="G881" s="145" t="s">
        <v>708</v>
      </c>
    </row>
    <row r="882" spans="1:7" ht="15.6" hidden="1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674</v>
      </c>
      <c r="G882" s="145" t="s">
        <v>711</v>
      </c>
    </row>
    <row r="883" spans="1:7" ht="15.6" hidden="1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674</v>
      </c>
      <c r="G883" s="145" t="s">
        <v>715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675</v>
      </c>
      <c r="G884" s="145" t="s">
        <v>713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675</v>
      </c>
      <c r="G885" s="145" t="s">
        <v>713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671</v>
      </c>
      <c r="G886" s="145" t="s">
        <v>708</v>
      </c>
    </row>
    <row r="887" spans="1:7" ht="15.6" hidden="1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672</v>
      </c>
      <c r="G887" s="145" t="s">
        <v>708</v>
      </c>
    </row>
    <row r="888" spans="1:7" ht="15.6" hidden="1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674</v>
      </c>
      <c r="G888" s="145" t="s">
        <v>714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675</v>
      </c>
      <c r="G889" s="145" t="s">
        <v>713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675</v>
      </c>
      <c r="G890" s="145" t="s">
        <v>713</v>
      </c>
    </row>
    <row r="891" spans="1:7" ht="15.6" hidden="1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671</v>
      </c>
      <c r="G891" s="145" t="s">
        <v>708</v>
      </c>
    </row>
    <row r="892" spans="1:7" ht="31.2" hidden="1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678</v>
      </c>
      <c r="G892" s="145" t="s">
        <v>708</v>
      </c>
    </row>
    <row r="893" spans="1:7" ht="31.2" hidden="1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676</v>
      </c>
      <c r="G893" s="145" t="s">
        <v>708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671</v>
      </c>
      <c r="G894" s="145" t="s">
        <v>708</v>
      </c>
    </row>
    <row r="895" spans="1:7" ht="15.6" hidden="1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674</v>
      </c>
      <c r="G895" s="145" t="s">
        <v>711</v>
      </c>
    </row>
    <row r="896" spans="1:7" ht="15.6" hidden="1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674</v>
      </c>
      <c r="G896" s="145" t="s">
        <v>714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675</v>
      </c>
      <c r="G897" s="145" t="s">
        <v>713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675</v>
      </c>
      <c r="G898" s="145" t="s">
        <v>713</v>
      </c>
    </row>
    <row r="899" spans="1:7" ht="15.6" hidden="1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674</v>
      </c>
      <c r="G899" s="145" t="s">
        <v>711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71"/>
  <sheetViews>
    <sheetView zoomScale="70" zoomScaleNormal="70" workbookViewId="0">
      <selection activeCell="D67" sqref="D67"/>
    </sheetView>
  </sheetViews>
  <sheetFormatPr defaultRowHeight="13.2" x14ac:dyDescent="0.25"/>
  <cols>
    <col min="1" max="1" width="8.77734375" style="189" customWidth="1"/>
    <col min="2" max="2" width="11.5546875" style="189" customWidth="1"/>
    <col min="3" max="3" width="20.109375" style="189" customWidth="1"/>
    <col min="4" max="4" width="17.5546875" style="189" customWidth="1"/>
    <col min="5" max="5" width="25.109375" style="189" customWidth="1"/>
    <col min="6" max="6" width="11.5546875" style="189" customWidth="1"/>
    <col min="7" max="7" width="9.21875" style="189" customWidth="1"/>
    <col min="8" max="8" width="7.6640625" style="189" customWidth="1"/>
    <col min="9" max="16384" width="8.88671875" style="189"/>
  </cols>
  <sheetData>
    <row r="1" spans="1:8" customFormat="1" ht="15.6" customHeight="1" x14ac:dyDescent="0.3">
      <c r="A1" s="346" t="s">
        <v>728</v>
      </c>
      <c r="B1" s="439" t="s">
        <v>729</v>
      </c>
      <c r="C1" s="440"/>
      <c r="D1" s="441"/>
      <c r="E1" s="442" t="s">
        <v>228</v>
      </c>
      <c r="F1" s="443"/>
      <c r="G1" s="346" t="s">
        <v>14</v>
      </c>
      <c r="H1" s="350" t="s">
        <v>730</v>
      </c>
    </row>
    <row r="2" spans="1:8" customFormat="1" ht="51" customHeight="1" thickBot="1" x14ac:dyDescent="0.35">
      <c r="A2" s="388">
        <v>1</v>
      </c>
      <c r="B2" s="444" t="s">
        <v>313</v>
      </c>
      <c r="C2" s="445"/>
      <c r="D2" s="446"/>
      <c r="E2" s="447" t="s">
        <v>814</v>
      </c>
      <c r="F2" s="448"/>
      <c r="G2" s="388" t="s">
        <v>128</v>
      </c>
      <c r="H2" s="389">
        <f>SUM(H3:H6)/7.61406957765593</f>
        <v>459.59036285524883</v>
      </c>
    </row>
    <row r="3" spans="1:8" customFormat="1" ht="48.6" customHeight="1" x14ac:dyDescent="0.3">
      <c r="A3" s="346">
        <v>2</v>
      </c>
      <c r="B3" s="432" t="s">
        <v>406</v>
      </c>
      <c r="C3" s="449"/>
      <c r="D3" s="433"/>
      <c r="E3" s="450" t="s">
        <v>796</v>
      </c>
      <c r="F3" s="451"/>
      <c r="G3" s="381" t="s">
        <v>23</v>
      </c>
      <c r="H3" s="384">
        <f>SUM(SUMIF($C$9:$C$71, {"ЧН-1","ЧН-7","ЧН-10"}, $D$9:$D$71))</f>
        <v>135.333</v>
      </c>
    </row>
    <row r="4" spans="1:8" customFormat="1" ht="48.6" customHeight="1" x14ac:dyDescent="0.3">
      <c r="A4" s="347">
        <v>3</v>
      </c>
      <c r="B4" s="455" t="s">
        <v>406</v>
      </c>
      <c r="C4" s="456"/>
      <c r="D4" s="457"/>
      <c r="E4" s="458" t="s">
        <v>886</v>
      </c>
      <c r="F4" s="459"/>
      <c r="G4" s="382" t="s">
        <v>23</v>
      </c>
      <c r="H4" s="385">
        <f>SUM(SUMIF($C$9:$C$71, {"ЧН-4","ЧН-12","ЧН-13","ЧН-15","ЧН-16","ЧН-20","ЧН-21","ЧН-23"}, $D$9:$D$71))</f>
        <v>819.22499999999991</v>
      </c>
    </row>
    <row r="5" spans="1:8" customFormat="1" ht="48.6" customHeight="1" x14ac:dyDescent="0.3">
      <c r="A5" s="346">
        <v>4</v>
      </c>
      <c r="B5" s="432" t="s">
        <v>453</v>
      </c>
      <c r="C5" s="449"/>
      <c r="D5" s="433"/>
      <c r="E5" s="450" t="s">
        <v>885</v>
      </c>
      <c r="F5" s="451"/>
      <c r="G5" s="381" t="s">
        <v>23</v>
      </c>
      <c r="H5" s="386">
        <f>SUM(SUMIF($C$9:$C$71, {"ЧН-6","ЧН-11"}, $D$9:$D$71))</f>
        <v>2191.1670000000004</v>
      </c>
    </row>
    <row r="6" spans="1:8" customFormat="1" ht="48.6" customHeight="1" thickBot="1" x14ac:dyDescent="0.35">
      <c r="A6" s="347">
        <v>5</v>
      </c>
      <c r="B6" s="455" t="s">
        <v>453</v>
      </c>
      <c r="C6" s="456"/>
      <c r="D6" s="457"/>
      <c r="E6" s="458" t="s">
        <v>900</v>
      </c>
      <c r="F6" s="459"/>
      <c r="G6" s="382" t="s">
        <v>23</v>
      </c>
      <c r="H6" s="387">
        <f>SUM(SUMIF($C$9:$C$71, {"ЧН-5"}, $D$9:$D$71))</f>
        <v>353.62799999999993</v>
      </c>
    </row>
    <row r="7" spans="1:8" customFormat="1" ht="19.8" customHeight="1" x14ac:dyDescent="0.3">
      <c r="A7" s="452" t="s">
        <v>822</v>
      </c>
      <c r="B7" s="452"/>
      <c r="C7" s="452"/>
      <c r="D7" s="452"/>
      <c r="E7" s="452"/>
      <c r="F7" s="452"/>
      <c r="G7" s="453"/>
      <c r="H7" s="383">
        <f>SUM(H3:H6)</f>
        <v>3499.3530000000001</v>
      </c>
    </row>
    <row r="8" spans="1:8" ht="15.6" x14ac:dyDescent="0.25">
      <c r="A8" s="419" t="s">
        <v>252</v>
      </c>
      <c r="B8" s="391" t="s">
        <v>251</v>
      </c>
      <c r="C8" s="391" t="s">
        <v>634</v>
      </c>
      <c r="D8" s="420" t="s">
        <v>635</v>
      </c>
      <c r="E8" s="454"/>
      <c r="F8" s="454"/>
      <c r="G8" s="454"/>
      <c r="H8" s="454"/>
    </row>
    <row r="9" spans="1:8" ht="15.6" x14ac:dyDescent="0.3">
      <c r="A9" s="428">
        <v>1</v>
      </c>
      <c r="B9" s="428">
        <v>2</v>
      </c>
      <c r="C9" s="395" t="s">
        <v>642</v>
      </c>
      <c r="D9" s="429">
        <v>50.390999999999998</v>
      </c>
      <c r="E9" s="454"/>
      <c r="F9" s="454"/>
      <c r="G9" s="454"/>
      <c r="H9" s="454"/>
    </row>
    <row r="10" spans="1:8" ht="15.6" x14ac:dyDescent="0.3">
      <c r="A10" s="428"/>
      <c r="B10" s="428"/>
      <c r="C10" s="428"/>
      <c r="D10" s="429"/>
      <c r="E10" s="454"/>
      <c r="F10" s="454"/>
      <c r="G10" s="454"/>
      <c r="H10" s="454"/>
    </row>
    <row r="11" spans="1:8" ht="15.6" x14ac:dyDescent="0.3">
      <c r="A11" s="428">
        <v>1</v>
      </c>
      <c r="B11" s="428">
        <v>2</v>
      </c>
      <c r="C11" s="395" t="s">
        <v>644</v>
      </c>
      <c r="D11" s="429">
        <v>127.71</v>
      </c>
      <c r="E11" s="454"/>
      <c r="F11" s="454"/>
      <c r="G11" s="454"/>
      <c r="H11" s="454"/>
    </row>
    <row r="12" spans="1:8" ht="15.6" x14ac:dyDescent="0.3">
      <c r="A12" s="428">
        <v>1</v>
      </c>
      <c r="B12" s="428">
        <v>2</v>
      </c>
      <c r="C12" s="395" t="s">
        <v>645</v>
      </c>
      <c r="D12" s="429">
        <v>125.13600000000001</v>
      </c>
      <c r="E12" s="454"/>
      <c r="F12" s="454"/>
      <c r="G12" s="454"/>
      <c r="H12" s="454"/>
    </row>
    <row r="13" spans="1:8" ht="15.6" x14ac:dyDescent="0.3">
      <c r="A13" s="428">
        <v>1</v>
      </c>
      <c r="B13" s="428">
        <v>2</v>
      </c>
      <c r="C13" s="395" t="s">
        <v>652</v>
      </c>
      <c r="D13" s="429">
        <v>31.878000000000004</v>
      </c>
      <c r="E13" s="454"/>
      <c r="F13" s="454"/>
      <c r="G13" s="454"/>
      <c r="H13" s="454"/>
    </row>
    <row r="14" spans="1:8" ht="15.6" x14ac:dyDescent="0.3">
      <c r="A14" s="428">
        <v>1</v>
      </c>
      <c r="B14" s="428">
        <v>2</v>
      </c>
      <c r="C14" s="395" t="s">
        <v>657</v>
      </c>
      <c r="D14" s="429">
        <v>15.84</v>
      </c>
      <c r="E14" s="454"/>
      <c r="F14" s="454"/>
      <c r="G14" s="454"/>
      <c r="H14" s="454"/>
    </row>
    <row r="15" spans="1:8" ht="15.6" x14ac:dyDescent="0.3">
      <c r="A15" s="428">
        <v>1</v>
      </c>
      <c r="B15" s="428">
        <v>2</v>
      </c>
      <c r="C15" s="395" t="s">
        <v>643</v>
      </c>
      <c r="D15" s="429">
        <v>20.690999999999999</v>
      </c>
      <c r="E15" s="454"/>
      <c r="F15" s="454"/>
      <c r="G15" s="454"/>
      <c r="H15" s="454"/>
    </row>
    <row r="16" spans="1:8" ht="15.6" x14ac:dyDescent="0.3">
      <c r="A16" s="428">
        <v>1</v>
      </c>
      <c r="B16" s="428">
        <v>2</v>
      </c>
      <c r="C16" s="395" t="s">
        <v>646</v>
      </c>
      <c r="D16" s="429">
        <v>3.8609999999999998</v>
      </c>
      <c r="E16" s="454"/>
      <c r="F16" s="454"/>
      <c r="G16" s="454"/>
      <c r="H16" s="454"/>
    </row>
    <row r="17" spans="1:8" ht="15.6" x14ac:dyDescent="0.3">
      <c r="A17" s="428">
        <v>1</v>
      </c>
      <c r="B17" s="428">
        <v>2</v>
      </c>
      <c r="C17" s="395" t="s">
        <v>653</v>
      </c>
      <c r="D17" s="429">
        <v>15.740999999999998</v>
      </c>
      <c r="E17" s="454"/>
      <c r="F17" s="454"/>
      <c r="G17" s="454"/>
      <c r="H17" s="454"/>
    </row>
    <row r="18" spans="1:8" ht="15.6" x14ac:dyDescent="0.3">
      <c r="A18" s="428">
        <v>1</v>
      </c>
      <c r="B18" s="428">
        <v>2</v>
      </c>
      <c r="C18" s="395" t="s">
        <v>658</v>
      </c>
      <c r="D18" s="429">
        <v>4.2569999999999997</v>
      </c>
      <c r="E18" s="454"/>
      <c r="F18" s="454"/>
      <c r="G18" s="454"/>
      <c r="H18" s="454"/>
    </row>
    <row r="19" spans="1:8" ht="15.6" x14ac:dyDescent="0.3">
      <c r="A19" s="428"/>
      <c r="B19" s="428"/>
      <c r="C19" s="428"/>
      <c r="D19" s="429"/>
      <c r="E19" s="454"/>
      <c r="F19" s="454"/>
      <c r="G19" s="454"/>
      <c r="H19" s="454"/>
    </row>
    <row r="20" spans="1:8" ht="15.6" x14ac:dyDescent="0.3">
      <c r="A20" s="428">
        <v>1</v>
      </c>
      <c r="B20" s="428">
        <v>2</v>
      </c>
      <c r="C20" s="395" t="s">
        <v>638</v>
      </c>
      <c r="D20" s="429">
        <v>150.28200000000004</v>
      </c>
      <c r="E20" s="454"/>
      <c r="F20" s="454"/>
      <c r="G20" s="454"/>
      <c r="H20" s="454"/>
    </row>
    <row r="21" spans="1:8" ht="15.6" x14ac:dyDescent="0.3">
      <c r="A21" s="428">
        <v>1</v>
      </c>
      <c r="B21" s="428">
        <v>2</v>
      </c>
      <c r="C21" s="395" t="s">
        <v>637</v>
      </c>
      <c r="D21" s="429">
        <v>257.59800000000001</v>
      </c>
      <c r="E21" s="454"/>
      <c r="F21" s="454"/>
      <c r="G21" s="454"/>
      <c r="H21" s="454"/>
    </row>
    <row r="22" spans="1:8" ht="15.6" x14ac:dyDescent="0.3">
      <c r="A22" s="428"/>
      <c r="B22" s="428"/>
      <c r="C22" s="428"/>
      <c r="D22" s="429"/>
      <c r="E22" s="454"/>
      <c r="F22" s="454"/>
      <c r="G22" s="454"/>
      <c r="H22" s="454"/>
    </row>
    <row r="23" spans="1:8" ht="15.6" x14ac:dyDescent="0.3">
      <c r="A23" s="428">
        <v>1</v>
      </c>
      <c r="B23" s="428">
        <v>2</v>
      </c>
      <c r="C23" s="395" t="s">
        <v>640</v>
      </c>
      <c r="D23" s="429">
        <v>120.97799999999999</v>
      </c>
      <c r="E23" s="454"/>
      <c r="F23" s="454"/>
      <c r="G23" s="454"/>
      <c r="H23" s="454"/>
    </row>
    <row r="24" spans="1:8" ht="15.6" x14ac:dyDescent="0.3">
      <c r="A24" s="428"/>
      <c r="B24" s="428"/>
      <c r="C24" s="428"/>
      <c r="D24" s="429"/>
      <c r="E24" s="454"/>
      <c r="F24" s="454"/>
      <c r="G24" s="454"/>
      <c r="H24" s="454"/>
    </row>
    <row r="25" spans="1:8" ht="15.6" x14ac:dyDescent="0.3">
      <c r="A25" s="428">
        <v>1</v>
      </c>
      <c r="B25" s="428">
        <v>3</v>
      </c>
      <c r="C25" s="395" t="s">
        <v>645</v>
      </c>
      <c r="D25" s="429">
        <v>18.117000000000001</v>
      </c>
      <c r="E25" s="454"/>
      <c r="F25" s="454"/>
      <c r="G25" s="454"/>
      <c r="H25" s="454"/>
    </row>
    <row r="26" spans="1:8" ht="15.6" x14ac:dyDescent="0.3">
      <c r="A26" s="428">
        <v>1</v>
      </c>
      <c r="B26" s="428">
        <v>3</v>
      </c>
      <c r="C26" s="395" t="s">
        <v>652</v>
      </c>
      <c r="D26" s="429">
        <v>7.0289999999999999</v>
      </c>
      <c r="E26" s="454"/>
      <c r="F26" s="454"/>
      <c r="G26" s="454"/>
      <c r="H26" s="454"/>
    </row>
    <row r="27" spans="1:8" ht="15.6" x14ac:dyDescent="0.3">
      <c r="A27" s="428">
        <v>1</v>
      </c>
      <c r="B27" s="428">
        <v>3</v>
      </c>
      <c r="C27" s="395" t="s">
        <v>643</v>
      </c>
      <c r="D27" s="429">
        <v>63.063000000000002</v>
      </c>
      <c r="E27" s="454"/>
      <c r="F27" s="454"/>
      <c r="G27" s="454"/>
      <c r="H27" s="454"/>
    </row>
    <row r="28" spans="1:8" ht="15.6" x14ac:dyDescent="0.3">
      <c r="A28" s="428"/>
      <c r="B28" s="428"/>
      <c r="C28" s="428"/>
      <c r="D28" s="429"/>
      <c r="E28" s="454"/>
      <c r="F28" s="454"/>
      <c r="G28" s="454"/>
      <c r="H28" s="454"/>
    </row>
    <row r="29" spans="1:8" ht="15.6" x14ac:dyDescent="0.3">
      <c r="A29" s="428">
        <v>1</v>
      </c>
      <c r="B29" s="428">
        <v>3</v>
      </c>
      <c r="C29" s="395" t="s">
        <v>638</v>
      </c>
      <c r="D29" s="429">
        <v>83.259</v>
      </c>
      <c r="E29" s="454"/>
      <c r="F29" s="454"/>
      <c r="G29" s="454"/>
      <c r="H29" s="454"/>
    </row>
    <row r="30" spans="1:8" ht="15.6" x14ac:dyDescent="0.3">
      <c r="A30" s="428">
        <v>1</v>
      </c>
      <c r="B30" s="428">
        <v>3</v>
      </c>
      <c r="C30" s="395" t="s">
        <v>637</v>
      </c>
      <c r="D30" s="429">
        <v>94.347000000000008</v>
      </c>
      <c r="E30" s="454"/>
      <c r="F30" s="454"/>
      <c r="G30" s="454"/>
      <c r="H30" s="454"/>
    </row>
    <row r="31" spans="1:8" ht="15.6" x14ac:dyDescent="0.3">
      <c r="A31" s="428"/>
      <c r="B31" s="428"/>
      <c r="C31" s="428"/>
      <c r="D31" s="429"/>
      <c r="E31" s="454"/>
      <c r="F31" s="454"/>
      <c r="G31" s="454"/>
      <c r="H31" s="454"/>
    </row>
    <row r="32" spans="1:8" ht="15.6" x14ac:dyDescent="0.3">
      <c r="A32" s="428">
        <v>1</v>
      </c>
      <c r="B32" s="428">
        <v>3</v>
      </c>
      <c r="C32" s="395" t="s">
        <v>640</v>
      </c>
      <c r="D32" s="429">
        <v>39.995999999999995</v>
      </c>
      <c r="E32" s="454"/>
      <c r="F32" s="454"/>
      <c r="G32" s="454"/>
      <c r="H32" s="454"/>
    </row>
    <row r="33" spans="1:8" ht="15.6" x14ac:dyDescent="0.3">
      <c r="A33" s="428"/>
      <c r="B33" s="428"/>
      <c r="C33" s="428"/>
      <c r="D33" s="429"/>
      <c r="E33" s="454"/>
      <c r="F33" s="454"/>
      <c r="G33" s="454"/>
      <c r="H33" s="454"/>
    </row>
    <row r="34" spans="1:8" ht="15.6" x14ac:dyDescent="0.3">
      <c r="A34" s="428">
        <v>2</v>
      </c>
      <c r="B34" s="428">
        <v>2</v>
      </c>
      <c r="C34" s="395" t="s">
        <v>642</v>
      </c>
      <c r="D34" s="429">
        <v>52.668000000000006</v>
      </c>
      <c r="E34" s="454"/>
      <c r="F34" s="454"/>
      <c r="G34" s="454"/>
      <c r="H34" s="454"/>
    </row>
    <row r="35" spans="1:8" ht="15.6" x14ac:dyDescent="0.3">
      <c r="A35" s="428"/>
      <c r="B35" s="428"/>
      <c r="C35" s="428"/>
      <c r="D35" s="429"/>
      <c r="E35" s="454"/>
      <c r="F35" s="454"/>
      <c r="G35" s="454"/>
      <c r="H35" s="454"/>
    </row>
    <row r="36" spans="1:8" ht="15.6" x14ac:dyDescent="0.3">
      <c r="A36" s="428">
        <v>2</v>
      </c>
      <c r="B36" s="428">
        <v>2</v>
      </c>
      <c r="C36" s="395" t="s">
        <v>638</v>
      </c>
      <c r="D36" s="429">
        <v>124.34399999999999</v>
      </c>
      <c r="E36" s="454"/>
      <c r="F36" s="454"/>
      <c r="G36" s="454"/>
      <c r="H36" s="454"/>
    </row>
    <row r="37" spans="1:8" ht="15.6" x14ac:dyDescent="0.3">
      <c r="A37" s="428">
        <v>2</v>
      </c>
      <c r="B37" s="428">
        <v>2</v>
      </c>
      <c r="C37" s="395" t="s">
        <v>637</v>
      </c>
      <c r="D37" s="429">
        <v>25.839000000000002</v>
      </c>
      <c r="E37" s="454"/>
      <c r="F37" s="454"/>
      <c r="G37" s="454"/>
      <c r="H37" s="454"/>
    </row>
    <row r="38" spans="1:8" ht="15.6" x14ac:dyDescent="0.3">
      <c r="A38" s="428"/>
      <c r="B38" s="428"/>
      <c r="C38" s="428"/>
      <c r="D38" s="429"/>
      <c r="E38" s="454"/>
      <c r="F38" s="454"/>
      <c r="G38" s="454"/>
      <c r="H38" s="454"/>
    </row>
    <row r="39" spans="1:8" ht="15.6" x14ac:dyDescent="0.3">
      <c r="A39" s="428">
        <v>2</v>
      </c>
      <c r="B39" s="428">
        <v>2</v>
      </c>
      <c r="C39" s="395" t="s">
        <v>640</v>
      </c>
      <c r="D39" s="429">
        <v>83.16</v>
      </c>
      <c r="E39" s="454"/>
      <c r="F39" s="454"/>
      <c r="G39" s="454"/>
      <c r="H39" s="454"/>
    </row>
    <row r="40" spans="1:8" ht="15.6" x14ac:dyDescent="0.3">
      <c r="A40" s="428"/>
      <c r="B40" s="428"/>
      <c r="C40" s="428"/>
      <c r="D40" s="429"/>
      <c r="E40" s="454"/>
      <c r="F40" s="454"/>
      <c r="G40" s="454"/>
      <c r="H40" s="454"/>
    </row>
    <row r="41" spans="1:8" ht="15.6" x14ac:dyDescent="0.3">
      <c r="A41" s="428">
        <v>2</v>
      </c>
      <c r="B41" s="428">
        <v>3</v>
      </c>
      <c r="C41" s="395" t="s">
        <v>651</v>
      </c>
      <c r="D41" s="429">
        <v>9.9</v>
      </c>
      <c r="E41" s="454"/>
      <c r="F41" s="454"/>
      <c r="G41" s="454"/>
      <c r="H41" s="454"/>
    </row>
    <row r="42" spans="1:8" ht="15.6" x14ac:dyDescent="0.3">
      <c r="A42" s="428">
        <v>2</v>
      </c>
      <c r="B42" s="428">
        <v>3</v>
      </c>
      <c r="C42" s="395" t="s">
        <v>642</v>
      </c>
      <c r="D42" s="429">
        <v>4.1579999999999995</v>
      </c>
      <c r="E42" s="454"/>
      <c r="F42" s="454"/>
      <c r="G42" s="454"/>
      <c r="H42" s="454"/>
    </row>
    <row r="43" spans="1:8" ht="15.6" x14ac:dyDescent="0.3">
      <c r="A43" s="428">
        <v>2</v>
      </c>
      <c r="B43" s="428">
        <v>3</v>
      </c>
      <c r="C43" s="395" t="s">
        <v>648</v>
      </c>
      <c r="D43" s="429">
        <v>18.215999999999998</v>
      </c>
      <c r="E43" s="454"/>
      <c r="F43" s="454"/>
      <c r="G43" s="454"/>
      <c r="H43" s="454"/>
    </row>
    <row r="44" spans="1:8" ht="15.6" x14ac:dyDescent="0.3">
      <c r="A44" s="428"/>
      <c r="B44" s="428"/>
      <c r="C44" s="428"/>
      <c r="D44" s="429"/>
      <c r="E44" s="454"/>
      <c r="F44" s="454"/>
      <c r="G44" s="454"/>
      <c r="H44" s="454"/>
    </row>
    <row r="45" spans="1:8" ht="15.6" x14ac:dyDescent="0.3">
      <c r="A45" s="428">
        <v>2</v>
      </c>
      <c r="B45" s="428">
        <v>3</v>
      </c>
      <c r="C45" s="395" t="s">
        <v>644</v>
      </c>
      <c r="D45" s="429">
        <v>76.328999999999994</v>
      </c>
      <c r="E45" s="454"/>
      <c r="F45" s="454"/>
      <c r="G45" s="454"/>
      <c r="H45" s="454"/>
    </row>
    <row r="46" spans="1:8" ht="15.6" x14ac:dyDescent="0.3">
      <c r="A46" s="428">
        <v>2</v>
      </c>
      <c r="B46" s="428">
        <v>3</v>
      </c>
      <c r="C46" s="395" t="s">
        <v>645</v>
      </c>
      <c r="D46" s="429">
        <v>139.78800000000001</v>
      </c>
      <c r="E46" s="454"/>
      <c r="F46" s="454"/>
      <c r="G46" s="454"/>
      <c r="H46" s="454"/>
    </row>
    <row r="47" spans="1:8" ht="15.6" x14ac:dyDescent="0.3">
      <c r="A47" s="428">
        <v>2</v>
      </c>
      <c r="B47" s="428">
        <v>3</v>
      </c>
      <c r="C47" s="395" t="s">
        <v>652</v>
      </c>
      <c r="D47" s="429">
        <v>88.406999999999996</v>
      </c>
      <c r="E47" s="454"/>
      <c r="F47" s="454"/>
      <c r="G47" s="454"/>
      <c r="H47" s="454"/>
    </row>
    <row r="48" spans="1:8" ht="15.6" x14ac:dyDescent="0.3">
      <c r="A48" s="428">
        <v>2</v>
      </c>
      <c r="B48" s="428">
        <v>3</v>
      </c>
      <c r="C48" s="395" t="s">
        <v>657</v>
      </c>
      <c r="D48" s="429">
        <v>22.175999999999998</v>
      </c>
      <c r="E48" s="454"/>
      <c r="F48" s="454"/>
      <c r="G48" s="454"/>
      <c r="H48" s="454"/>
    </row>
    <row r="49" spans="1:8" ht="15.6" x14ac:dyDescent="0.3">
      <c r="A49" s="428">
        <v>2</v>
      </c>
      <c r="B49" s="428">
        <v>3</v>
      </c>
      <c r="C49" s="395" t="s">
        <v>646</v>
      </c>
      <c r="D49" s="429">
        <v>3.8609999999999998</v>
      </c>
      <c r="E49" s="454"/>
      <c r="F49" s="454"/>
      <c r="G49" s="454"/>
      <c r="H49" s="454"/>
    </row>
    <row r="50" spans="1:8" ht="15.6" x14ac:dyDescent="0.3">
      <c r="A50" s="428">
        <v>2</v>
      </c>
      <c r="B50" s="428">
        <v>3</v>
      </c>
      <c r="C50" s="395" t="s">
        <v>653</v>
      </c>
      <c r="D50" s="429">
        <v>5.7420000000000009</v>
      </c>
      <c r="E50" s="454"/>
      <c r="F50" s="454"/>
      <c r="G50" s="454"/>
      <c r="H50" s="454"/>
    </row>
    <row r="51" spans="1:8" ht="15.6" x14ac:dyDescent="0.3">
      <c r="A51" s="428">
        <v>2</v>
      </c>
      <c r="B51" s="428">
        <v>3</v>
      </c>
      <c r="C51" s="395" t="s">
        <v>658</v>
      </c>
      <c r="D51" s="429">
        <v>25.839000000000002</v>
      </c>
      <c r="E51" s="454"/>
      <c r="F51" s="454"/>
      <c r="G51" s="454"/>
      <c r="H51" s="454"/>
    </row>
    <row r="52" spans="1:8" ht="15.6" x14ac:dyDescent="0.3">
      <c r="A52" s="428"/>
      <c r="B52" s="428"/>
      <c r="C52" s="428"/>
      <c r="D52" s="429"/>
      <c r="E52" s="454"/>
      <c r="F52" s="454"/>
      <c r="G52" s="454"/>
      <c r="H52" s="454"/>
    </row>
    <row r="53" spans="1:8" ht="15.6" x14ac:dyDescent="0.3">
      <c r="A53" s="428">
        <v>3</v>
      </c>
      <c r="B53" s="428">
        <v>2</v>
      </c>
      <c r="C53" s="395" t="s">
        <v>638</v>
      </c>
      <c r="D53" s="429">
        <v>267.399</v>
      </c>
      <c r="E53" s="454"/>
      <c r="F53" s="454"/>
      <c r="G53" s="454"/>
      <c r="H53" s="454"/>
    </row>
    <row r="54" spans="1:8" ht="15.6" x14ac:dyDescent="0.3">
      <c r="A54" s="428">
        <v>3</v>
      </c>
      <c r="B54" s="428">
        <v>2</v>
      </c>
      <c r="C54" s="395" t="s">
        <v>637</v>
      </c>
      <c r="D54" s="429">
        <v>87.021000000000001</v>
      </c>
      <c r="E54" s="454"/>
      <c r="F54" s="454"/>
      <c r="G54" s="454"/>
      <c r="H54" s="454"/>
    </row>
    <row r="55" spans="1:8" ht="15.6" x14ac:dyDescent="0.3">
      <c r="A55" s="428"/>
      <c r="B55" s="428"/>
      <c r="C55" s="428"/>
      <c r="D55" s="429"/>
      <c r="E55" s="454"/>
      <c r="F55" s="454"/>
      <c r="G55" s="454"/>
      <c r="H55" s="454"/>
    </row>
    <row r="56" spans="1:8" ht="15.6" x14ac:dyDescent="0.3">
      <c r="A56" s="428">
        <v>3</v>
      </c>
      <c r="B56" s="428">
        <v>2</v>
      </c>
      <c r="C56" s="395" t="s">
        <v>640</v>
      </c>
      <c r="D56" s="429">
        <v>31.184999999999999</v>
      </c>
      <c r="E56" s="454"/>
      <c r="F56" s="454"/>
      <c r="G56" s="454"/>
      <c r="H56" s="454"/>
    </row>
    <row r="57" spans="1:8" ht="15.6" x14ac:dyDescent="0.3">
      <c r="A57" s="428"/>
      <c r="B57" s="428"/>
      <c r="C57" s="428"/>
      <c r="D57" s="429"/>
      <c r="E57" s="454"/>
      <c r="F57" s="454"/>
      <c r="G57" s="454"/>
      <c r="H57" s="454"/>
    </row>
    <row r="58" spans="1:8" ht="15.6" x14ac:dyDescent="0.3">
      <c r="A58" s="428">
        <v>3</v>
      </c>
      <c r="B58" s="428">
        <v>3</v>
      </c>
      <c r="C58" s="395" t="s">
        <v>645</v>
      </c>
      <c r="D58" s="429">
        <v>2.7719999999999998</v>
      </c>
      <c r="E58" s="454"/>
      <c r="F58" s="454"/>
      <c r="G58" s="454"/>
      <c r="H58" s="454"/>
    </row>
    <row r="59" spans="1:8" ht="15.6" x14ac:dyDescent="0.3">
      <c r="A59" s="428">
        <v>3</v>
      </c>
      <c r="B59" s="428">
        <v>3</v>
      </c>
      <c r="C59" s="395" t="s">
        <v>652</v>
      </c>
      <c r="D59" s="429">
        <v>18.909000000000002</v>
      </c>
      <c r="E59" s="454"/>
      <c r="F59" s="454"/>
      <c r="G59" s="454"/>
      <c r="H59" s="454"/>
    </row>
    <row r="60" spans="1:8" ht="15.6" x14ac:dyDescent="0.3">
      <c r="A60" s="428">
        <v>3</v>
      </c>
      <c r="B60" s="428">
        <v>3</v>
      </c>
      <c r="C60" s="395" t="s">
        <v>658</v>
      </c>
      <c r="D60" s="429">
        <v>2.0790000000000002</v>
      </c>
      <c r="E60" s="454"/>
      <c r="F60" s="454"/>
      <c r="G60" s="454"/>
      <c r="H60" s="454"/>
    </row>
    <row r="61" spans="1:8" ht="15.6" x14ac:dyDescent="0.3">
      <c r="A61" s="428"/>
      <c r="B61" s="428"/>
      <c r="C61" s="428"/>
      <c r="D61" s="429"/>
      <c r="E61" s="454"/>
      <c r="F61" s="454"/>
      <c r="G61" s="454"/>
      <c r="H61" s="454"/>
    </row>
    <row r="62" spans="1:8" ht="15.6" x14ac:dyDescent="0.3">
      <c r="A62" s="428">
        <v>3</v>
      </c>
      <c r="B62" s="428">
        <v>3</v>
      </c>
      <c r="C62" s="395" t="s">
        <v>638</v>
      </c>
      <c r="D62" s="429">
        <v>132.56100000000001</v>
      </c>
      <c r="E62" s="454"/>
      <c r="F62" s="454"/>
      <c r="G62" s="454"/>
      <c r="H62" s="454"/>
    </row>
    <row r="63" spans="1:8" ht="15.6" x14ac:dyDescent="0.3">
      <c r="A63" s="428">
        <v>3</v>
      </c>
      <c r="B63" s="428">
        <v>3</v>
      </c>
      <c r="C63" s="395" t="s">
        <v>637</v>
      </c>
      <c r="D63" s="429">
        <v>17.721</v>
      </c>
      <c r="E63" s="454"/>
      <c r="F63" s="454"/>
      <c r="G63" s="454"/>
      <c r="H63" s="454"/>
    </row>
    <row r="64" spans="1:8" ht="15.6" x14ac:dyDescent="0.3">
      <c r="A64" s="428"/>
      <c r="B64" s="428"/>
      <c r="C64" s="428"/>
      <c r="D64" s="429"/>
      <c r="E64" s="454"/>
      <c r="F64" s="454"/>
      <c r="G64" s="454"/>
      <c r="H64" s="454"/>
    </row>
    <row r="65" spans="1:8" ht="15.6" x14ac:dyDescent="0.3">
      <c r="A65" s="428">
        <v>3</v>
      </c>
      <c r="B65" s="428">
        <v>3</v>
      </c>
      <c r="C65" s="395" t="s">
        <v>640</v>
      </c>
      <c r="D65" s="429">
        <v>20.394000000000002</v>
      </c>
      <c r="E65" s="454"/>
      <c r="F65" s="454"/>
      <c r="G65" s="454"/>
      <c r="H65" s="454"/>
    </row>
    <row r="66" spans="1:8" ht="15.6" x14ac:dyDescent="0.3">
      <c r="A66" s="428"/>
      <c r="B66" s="428"/>
      <c r="C66" s="428"/>
      <c r="D66" s="429"/>
      <c r="E66" s="454"/>
      <c r="F66" s="454"/>
      <c r="G66" s="454"/>
      <c r="H66" s="454"/>
    </row>
    <row r="67" spans="1:8" ht="15.6" x14ac:dyDescent="0.3">
      <c r="A67" s="428">
        <v>4</v>
      </c>
      <c r="B67" s="428">
        <v>3</v>
      </c>
      <c r="C67" s="395" t="s">
        <v>638</v>
      </c>
      <c r="D67" s="429">
        <v>835.46100000000001</v>
      </c>
      <c r="E67" s="454"/>
      <c r="F67" s="454"/>
      <c r="G67" s="454"/>
      <c r="H67" s="454"/>
    </row>
    <row r="68" spans="1:8" ht="15.6" x14ac:dyDescent="0.3">
      <c r="A68" s="428">
        <v>4</v>
      </c>
      <c r="B68" s="428">
        <v>3</v>
      </c>
      <c r="C68" s="395" t="s">
        <v>637</v>
      </c>
      <c r="D68" s="429">
        <v>115.33500000000001</v>
      </c>
      <c r="E68" s="454"/>
      <c r="F68" s="454"/>
      <c r="G68" s="454"/>
      <c r="H68" s="454"/>
    </row>
    <row r="69" spans="1:8" ht="15.6" x14ac:dyDescent="0.3">
      <c r="A69" s="428"/>
      <c r="B69" s="428"/>
      <c r="C69" s="428"/>
      <c r="D69" s="429"/>
      <c r="E69" s="454"/>
      <c r="F69" s="454"/>
      <c r="G69" s="454"/>
      <c r="H69" s="454"/>
    </row>
    <row r="70" spans="1:8" ht="15.6" x14ac:dyDescent="0.3">
      <c r="A70" s="428">
        <v>4</v>
      </c>
      <c r="B70" s="428">
        <v>3</v>
      </c>
      <c r="C70" s="395" t="s">
        <v>640</v>
      </c>
      <c r="D70" s="429">
        <v>57.914999999999992</v>
      </c>
      <c r="E70" s="454"/>
      <c r="F70" s="454"/>
      <c r="G70" s="454"/>
      <c r="H70" s="454"/>
    </row>
    <row r="71" spans="1:8" x14ac:dyDescent="0.25">
      <c r="C71" s="415" t="s">
        <v>231</v>
      </c>
      <c r="D71" s="416">
        <f>SUM(D9:D70)</f>
        <v>3499.3530000000001</v>
      </c>
      <c r="E71" s="454"/>
      <c r="F71" s="454"/>
      <c r="G71" s="454"/>
      <c r="H71" s="454"/>
    </row>
  </sheetData>
  <mergeCells count="14">
    <mergeCell ref="A7:G7"/>
    <mergeCell ref="E8:H71"/>
    <mergeCell ref="B4:D4"/>
    <mergeCell ref="E4:F4"/>
    <mergeCell ref="B5:D5"/>
    <mergeCell ref="E5:F5"/>
    <mergeCell ref="B6:D6"/>
    <mergeCell ref="E6:F6"/>
    <mergeCell ref="B1:D1"/>
    <mergeCell ref="E1:F1"/>
    <mergeCell ref="B2:D2"/>
    <mergeCell ref="E2:F2"/>
    <mergeCell ref="B3:D3"/>
    <mergeCell ref="E3:F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66"/>
  <sheetViews>
    <sheetView tabSelected="1" zoomScale="85" zoomScaleNormal="85" workbookViewId="0">
      <selection activeCell="J1" sqref="J1:T1048576"/>
    </sheetView>
  </sheetViews>
  <sheetFormatPr defaultRowHeight="13.2" x14ac:dyDescent="0.25"/>
  <cols>
    <col min="1" max="1" width="8.77734375" style="189" customWidth="1"/>
    <col min="2" max="2" width="11.5546875" style="189" customWidth="1"/>
    <col min="3" max="3" width="11.88671875" style="189" customWidth="1"/>
    <col min="4" max="4" width="15.44140625" style="189" customWidth="1"/>
    <col min="5" max="5" width="17.5546875" style="189" customWidth="1"/>
    <col min="6" max="6" width="25.109375" style="189" customWidth="1"/>
    <col min="7" max="7" width="15.44140625" style="189" customWidth="1"/>
    <col min="8" max="8" width="9.21875" style="189" customWidth="1"/>
    <col min="9" max="9" width="7.6640625" style="189" customWidth="1"/>
    <col min="10" max="16384" width="8.88671875" style="189"/>
  </cols>
  <sheetData>
    <row r="1" spans="1:9" customFormat="1" ht="15.6" customHeight="1" x14ac:dyDescent="0.3">
      <c r="A1" s="346" t="s">
        <v>728</v>
      </c>
      <c r="B1" s="439" t="s">
        <v>729</v>
      </c>
      <c r="C1" s="440"/>
      <c r="D1" s="440"/>
      <c r="E1" s="441"/>
      <c r="F1" s="442" t="s">
        <v>228</v>
      </c>
      <c r="G1" s="443"/>
      <c r="H1" s="346" t="s">
        <v>14</v>
      </c>
      <c r="I1" s="350" t="s">
        <v>730</v>
      </c>
    </row>
    <row r="2" spans="1:9" customFormat="1" ht="51" customHeight="1" thickBot="1" x14ac:dyDescent="0.35">
      <c r="A2" s="388">
        <v>1</v>
      </c>
      <c r="B2" s="444" t="s">
        <v>313</v>
      </c>
      <c r="C2" s="445"/>
      <c r="D2" s="445"/>
      <c r="E2" s="446"/>
      <c r="F2" s="447" t="s">
        <v>814</v>
      </c>
      <c r="G2" s="448"/>
      <c r="H2" s="388" t="s">
        <v>128</v>
      </c>
      <c r="I2" s="389">
        <f>SUM(I3:I6)/7.61406957765593</f>
        <v>464.23268975277654</v>
      </c>
    </row>
    <row r="3" spans="1:9" customFormat="1" ht="48.6" customHeight="1" x14ac:dyDescent="0.3">
      <c r="A3" s="346">
        <v>2</v>
      </c>
      <c r="B3" s="432" t="s">
        <v>406</v>
      </c>
      <c r="C3" s="449"/>
      <c r="D3" s="449"/>
      <c r="E3" s="433"/>
      <c r="F3" s="450" t="s">
        <v>796</v>
      </c>
      <c r="G3" s="451"/>
      <c r="H3" s="381" t="s">
        <v>23</v>
      </c>
      <c r="I3" s="384">
        <f>SUM(SUMIF(Таблица17[Марка], {"ЧН-1","ЧН-7","ЧН-10"}, Таблица17[Площадь]))</f>
        <v>136.69999999999999</v>
      </c>
    </row>
    <row r="4" spans="1:9" customFormat="1" ht="48.6" customHeight="1" x14ac:dyDescent="0.3">
      <c r="A4" s="347">
        <v>3</v>
      </c>
      <c r="B4" s="455" t="s">
        <v>406</v>
      </c>
      <c r="C4" s="456"/>
      <c r="D4" s="456"/>
      <c r="E4" s="457"/>
      <c r="F4" s="458" t="s">
        <v>886</v>
      </c>
      <c r="G4" s="459"/>
      <c r="H4" s="382" t="s">
        <v>23</v>
      </c>
      <c r="I4" s="385">
        <f>SUM(SUMIF(Таблица17[Марка], {"ЧН-4","ЧН-12","ЧН-13","ЧН-15","ЧН-16","ЧН-20","ЧН-21","ЧН-23"}, Таблица17[Площадь]))</f>
        <v>827.5</v>
      </c>
    </row>
    <row r="5" spans="1:9" customFormat="1" ht="48.6" customHeight="1" x14ac:dyDescent="0.3">
      <c r="A5" s="346">
        <v>4</v>
      </c>
      <c r="B5" s="432" t="s">
        <v>453</v>
      </c>
      <c r="C5" s="449"/>
      <c r="D5" s="449"/>
      <c r="E5" s="433"/>
      <c r="F5" s="450" t="s">
        <v>885</v>
      </c>
      <c r="G5" s="451"/>
      <c r="H5" s="381" t="s">
        <v>23</v>
      </c>
      <c r="I5" s="386">
        <f>SUM(SUMIF(Таблица17[Марка], {"ЧН-6","ЧН-11"}, Таблица17[Площадь]))</f>
        <v>2213.3000000000002</v>
      </c>
    </row>
    <row r="6" spans="1:9" customFormat="1" ht="48.6" customHeight="1" thickBot="1" x14ac:dyDescent="0.35">
      <c r="A6" s="347">
        <v>5</v>
      </c>
      <c r="B6" s="455" t="s">
        <v>453</v>
      </c>
      <c r="C6" s="456"/>
      <c r="D6" s="456"/>
      <c r="E6" s="457"/>
      <c r="F6" s="458" t="s">
        <v>793</v>
      </c>
      <c r="G6" s="459"/>
      <c r="H6" s="382" t="s">
        <v>23</v>
      </c>
      <c r="I6" s="387">
        <f>SUM(SUMIF(Таблица17[Марка], {"ЧН-5"}, Таблица17[Площадь]))</f>
        <v>357.20000000000005</v>
      </c>
    </row>
    <row r="7" spans="1:9" customFormat="1" ht="19.8" customHeight="1" x14ac:dyDescent="0.3">
      <c r="A7" s="452" t="s">
        <v>822</v>
      </c>
      <c r="B7" s="452"/>
      <c r="C7" s="452"/>
      <c r="D7" s="452"/>
      <c r="E7" s="452"/>
      <c r="F7" s="452"/>
      <c r="G7" s="452"/>
      <c r="H7" s="453"/>
      <c r="I7" s="383">
        <f>SUM(I3:I6)</f>
        <v>3534.7</v>
      </c>
    </row>
    <row r="8" spans="1:9" s="188" customFormat="1" ht="26.4" x14ac:dyDescent="0.25">
      <c r="A8" s="390" t="s">
        <v>252</v>
      </c>
      <c r="B8" s="391" t="s">
        <v>251</v>
      </c>
      <c r="C8" s="391" t="s">
        <v>818</v>
      </c>
      <c r="D8" s="391" t="s">
        <v>634</v>
      </c>
      <c r="E8" s="392" t="s">
        <v>635</v>
      </c>
      <c r="F8" s="376"/>
      <c r="G8" s="412"/>
      <c r="H8" s="412"/>
      <c r="I8" s="412"/>
    </row>
    <row r="9" spans="1:9" ht="15.6" x14ac:dyDescent="0.25">
      <c r="A9" s="393">
        <v>1</v>
      </c>
      <c r="B9" s="394">
        <v>2</v>
      </c>
      <c r="C9" s="303">
        <v>1018</v>
      </c>
      <c r="D9" s="409"/>
      <c r="E9" s="396">
        <f>SUM(SUMIF(Таблица17[№ помеще
ния],Таблица1416[[#This Row],[№ помеще
ния]],Таблица17[Площадь]))</f>
        <v>8.1</v>
      </c>
      <c r="F9" s="376"/>
      <c r="G9" s="412"/>
      <c r="H9" s="412"/>
      <c r="I9" s="412"/>
    </row>
    <row r="10" spans="1:9" ht="15" customHeight="1" x14ac:dyDescent="0.25">
      <c r="A10" s="393">
        <v>1</v>
      </c>
      <c r="B10" s="394">
        <v>2</v>
      </c>
      <c r="C10" s="303">
        <v>1019</v>
      </c>
      <c r="D10" s="395"/>
      <c r="E10" s="396">
        <f>SUM(SUMIF(Таблица17[№ помеще
ния],Таблица1416[[#This Row],[№ помеще
ния]],Таблица17[Площадь]))</f>
        <v>144.30000000000001</v>
      </c>
      <c r="F10" s="376"/>
      <c r="G10" s="412"/>
      <c r="H10" s="412"/>
      <c r="I10" s="412"/>
    </row>
    <row r="11" spans="1:9" ht="15.6" x14ac:dyDescent="0.25">
      <c r="A11" s="393">
        <v>1</v>
      </c>
      <c r="B11" s="394">
        <v>2</v>
      </c>
      <c r="C11" s="303">
        <v>1020</v>
      </c>
      <c r="D11" s="409"/>
      <c r="E11" s="396">
        <f>SUM(SUMIF(Таблица17[№ помеще
ния],Таблица1416[[#This Row],[№ помеще
ния]],Таблица17[Площадь]))</f>
        <v>63.7</v>
      </c>
      <c r="F11" s="376"/>
      <c r="G11" s="412"/>
      <c r="H11" s="412"/>
      <c r="I11" s="412"/>
    </row>
    <row r="12" spans="1:9" ht="15.6" x14ac:dyDescent="0.25">
      <c r="A12" s="393">
        <v>1</v>
      </c>
      <c r="B12" s="394">
        <v>2</v>
      </c>
      <c r="C12" s="303">
        <v>1021</v>
      </c>
      <c r="D12" s="409"/>
      <c r="E12" s="396">
        <f>SUM(SUMIF(Таблица17[№ помеще
ния],Таблица1416[[#This Row],[№ помеще
ния]],Таблица17[Площадь]))</f>
        <v>53.699999999999996</v>
      </c>
      <c r="F12" s="376"/>
      <c r="G12" s="412"/>
      <c r="H12" s="412"/>
      <c r="I12" s="412"/>
    </row>
    <row r="13" spans="1:9" ht="15.6" x14ac:dyDescent="0.25">
      <c r="A13" s="393">
        <v>1</v>
      </c>
      <c r="B13" s="394">
        <v>2</v>
      </c>
      <c r="C13" s="303">
        <v>1022</v>
      </c>
      <c r="D13" s="409"/>
      <c r="E13" s="396">
        <f>SUM(SUMIF(Таблица17[№ помеще
ния],Таблица1416[[#This Row],[№ помеще
ния]],Таблица17[Площадь]))</f>
        <v>28.9</v>
      </c>
      <c r="F13" s="376"/>
      <c r="G13" s="412"/>
      <c r="H13" s="412"/>
      <c r="I13" s="412"/>
    </row>
    <row r="14" spans="1:9" ht="15.6" x14ac:dyDescent="0.25">
      <c r="A14" s="393">
        <v>1</v>
      </c>
      <c r="B14" s="394">
        <v>2</v>
      </c>
      <c r="C14" s="411">
        <v>1023</v>
      </c>
      <c r="D14" s="395"/>
      <c r="E14" s="396">
        <f>SUM(SUMIF(Таблица17[№ помеще
ния],Таблица1416[[#This Row],[№ помеще
ния]],Таблица17[Площадь]))</f>
        <v>10.199999999999999</v>
      </c>
      <c r="F14" s="376"/>
      <c r="G14" s="412"/>
      <c r="H14" s="412"/>
      <c r="I14" s="412"/>
    </row>
    <row r="15" spans="1:9" ht="15.6" x14ac:dyDescent="0.25">
      <c r="A15" s="393">
        <v>1</v>
      </c>
      <c r="B15" s="394">
        <v>2</v>
      </c>
      <c r="C15" s="408">
        <v>1024</v>
      </c>
      <c r="D15" s="409"/>
      <c r="E15" s="396">
        <f>SUM(SUMIF(Таблица17[№ помеще
ния],Таблица1416[[#This Row],[№ помеще
ния]],Таблица17[Площадь]))</f>
        <v>50.4</v>
      </c>
      <c r="F15" s="376"/>
      <c r="G15" s="412"/>
      <c r="H15" s="412"/>
      <c r="I15" s="412"/>
    </row>
    <row r="16" spans="1:9" ht="15.6" x14ac:dyDescent="0.25">
      <c r="A16" s="393">
        <v>1</v>
      </c>
      <c r="B16" s="394">
        <v>2</v>
      </c>
      <c r="C16" s="303">
        <v>1026</v>
      </c>
      <c r="D16" s="409"/>
      <c r="E16" s="396">
        <f>SUM(SUMIF(Таблица17[№ помеще
ния],Таблица1416[[#This Row],[№ помеще
ния]],Таблица17[Площадь]))</f>
        <v>60.8</v>
      </c>
      <c r="F16" s="376"/>
      <c r="G16" s="412"/>
      <c r="H16" s="412"/>
      <c r="I16" s="412"/>
    </row>
    <row r="17" spans="1:9" ht="15.6" x14ac:dyDescent="0.25">
      <c r="A17" s="393">
        <v>1</v>
      </c>
      <c r="B17" s="394">
        <v>2</v>
      </c>
      <c r="C17" s="303">
        <v>1027</v>
      </c>
      <c r="D17" s="409"/>
      <c r="E17" s="396">
        <f>SUM(SUMIF(Таблица17[№ помеще
ния],Таблица1416[[#This Row],[№ помеще
ния]],Таблица17[Площадь]))</f>
        <v>22.9</v>
      </c>
      <c r="F17" s="376"/>
      <c r="G17" s="412"/>
      <c r="H17" s="412"/>
      <c r="I17" s="412"/>
    </row>
    <row r="18" spans="1:9" ht="15.6" x14ac:dyDescent="0.25">
      <c r="A18" s="393">
        <v>1</v>
      </c>
      <c r="B18" s="394">
        <v>2</v>
      </c>
      <c r="C18" s="303">
        <v>1028</v>
      </c>
      <c r="D18" s="409"/>
      <c r="E18" s="396">
        <f>SUM(SUMIF(Таблица17[№ помеще
ния],Таблица1416[[#This Row],[№ помеще
ния]],Таблица17[Площадь]))</f>
        <v>15.4</v>
      </c>
      <c r="F18" s="376"/>
      <c r="G18" s="412"/>
      <c r="H18" s="412"/>
      <c r="I18" s="412"/>
    </row>
    <row r="19" spans="1:9" ht="15.6" x14ac:dyDescent="0.25">
      <c r="A19" s="393">
        <v>1</v>
      </c>
      <c r="B19" s="394">
        <v>2</v>
      </c>
      <c r="C19" s="411">
        <v>1029</v>
      </c>
      <c r="D19" s="409"/>
      <c r="E19" s="396">
        <f>SUM(SUMIF(Таблица17[№ помеще
ния],Таблица1416[[#This Row],[№ помеще
ния]],Таблица17[Площадь]))</f>
        <v>10.7</v>
      </c>
      <c r="F19" s="376"/>
      <c r="G19" s="412"/>
      <c r="H19" s="412"/>
      <c r="I19" s="412"/>
    </row>
    <row r="20" spans="1:9" ht="15.6" x14ac:dyDescent="0.25">
      <c r="A20" s="393">
        <v>1</v>
      </c>
      <c r="B20" s="394">
        <v>2</v>
      </c>
      <c r="C20" s="303">
        <v>1030</v>
      </c>
      <c r="D20" s="409"/>
      <c r="E20" s="396">
        <f>SUM(SUMIF(Таблица17[№ помеще
ния],Таблица1416[[#This Row],[№ помеще
ния]],Таблица17[Площадь]))</f>
        <v>87</v>
      </c>
      <c r="F20" s="376"/>
      <c r="G20" s="412"/>
      <c r="H20" s="412"/>
      <c r="I20" s="412"/>
    </row>
    <row r="21" spans="1:9" ht="15.6" x14ac:dyDescent="0.25">
      <c r="A21" s="393">
        <v>1</v>
      </c>
      <c r="B21" s="394">
        <v>2</v>
      </c>
      <c r="C21" s="303">
        <v>1031</v>
      </c>
      <c r="D21" s="409"/>
      <c r="E21" s="396">
        <f>SUM(SUMIF(Таблица17[№ помеще
ния],Таблица1416[[#This Row],[№ помеще
ния]],Таблица17[Площадь]))</f>
        <v>67.7</v>
      </c>
      <c r="F21" s="376"/>
      <c r="G21" s="412"/>
      <c r="H21" s="412"/>
      <c r="I21" s="412"/>
    </row>
    <row r="22" spans="1:9" ht="15.6" x14ac:dyDescent="0.25">
      <c r="A22" s="393">
        <v>1</v>
      </c>
      <c r="B22" s="394">
        <v>2</v>
      </c>
      <c r="C22" s="303">
        <v>1032</v>
      </c>
      <c r="D22" s="409"/>
      <c r="E22" s="396">
        <f>SUM(SUMIF(Таблица17[№ помеще
ния],Таблица1416[[#This Row],[№ помеще
ния]],Таблица17[Площадь]))</f>
        <v>43.300000000000004</v>
      </c>
      <c r="F22" s="376"/>
      <c r="G22" s="412"/>
      <c r="H22" s="412"/>
      <c r="I22" s="412"/>
    </row>
    <row r="23" spans="1:9" ht="15.6" x14ac:dyDescent="0.25">
      <c r="A23" s="393">
        <v>1</v>
      </c>
      <c r="B23" s="394">
        <v>2</v>
      </c>
      <c r="C23" s="303">
        <v>1033</v>
      </c>
      <c r="D23" s="409"/>
      <c r="E23" s="396">
        <f>SUM(SUMIF(Таблица17[№ помеще
ния],Таблица1416[[#This Row],[№ помеще
ния]],Таблица17[Площадь]))</f>
        <v>42.5</v>
      </c>
      <c r="F23" s="376"/>
      <c r="G23" s="412"/>
      <c r="H23" s="412"/>
      <c r="I23" s="412"/>
    </row>
    <row r="24" spans="1:9" ht="15.6" x14ac:dyDescent="0.25">
      <c r="A24" s="393">
        <v>1</v>
      </c>
      <c r="B24" s="394">
        <v>2</v>
      </c>
      <c r="C24" s="303">
        <v>1034</v>
      </c>
      <c r="D24" s="409"/>
      <c r="E24" s="396">
        <f>SUM(SUMIF(Таблица17[№ помеще
ния],Таблица1416[[#This Row],[№ помеще
ния]],Таблица17[Площадь]))</f>
        <v>54.3</v>
      </c>
      <c r="F24" s="376"/>
      <c r="G24" s="412"/>
      <c r="H24" s="412"/>
      <c r="I24" s="412"/>
    </row>
    <row r="25" spans="1:9" ht="18" customHeight="1" x14ac:dyDescent="0.25">
      <c r="A25" s="393">
        <v>1</v>
      </c>
      <c r="B25" s="394">
        <v>2</v>
      </c>
      <c r="C25" s="303">
        <v>1035</v>
      </c>
      <c r="D25" s="409"/>
      <c r="E25" s="396">
        <f>SUM(SUMIF(Таблица17[№ помеще
ния],Таблица1416[[#This Row],[№ помеще
ния]],Таблица17[Площадь]))</f>
        <v>53.199999999999996</v>
      </c>
      <c r="F25" s="376"/>
      <c r="G25" s="412"/>
      <c r="H25" s="412"/>
      <c r="I25" s="412"/>
    </row>
    <row r="26" spans="1:9" ht="15.6" x14ac:dyDescent="0.25">
      <c r="A26" s="393">
        <v>1</v>
      </c>
      <c r="B26" s="394">
        <v>2</v>
      </c>
      <c r="C26" s="303">
        <v>1037</v>
      </c>
      <c r="D26" s="409"/>
      <c r="E26" s="396">
        <f>SUM(SUMIF(Таблица17[№ помеще
ния],Таблица1416[[#This Row],[№ помеще
ния]],Таблица17[Площадь]))</f>
        <v>67</v>
      </c>
      <c r="F26" s="376"/>
      <c r="G26" s="412"/>
      <c r="H26" s="412"/>
      <c r="I26" s="412"/>
    </row>
    <row r="27" spans="1:9" ht="15.6" x14ac:dyDescent="0.25">
      <c r="A27" s="393">
        <v>1</v>
      </c>
      <c r="B27" s="394">
        <v>2</v>
      </c>
      <c r="C27" s="303">
        <v>1070</v>
      </c>
      <c r="D27" s="409"/>
      <c r="E27" s="396">
        <f>SUM(SUMIF(Таблица17[№ помеще
ния],Таблица1416[[#This Row],[№ помеще
ния]],Таблица17[Площадь]))</f>
        <v>49.6</v>
      </c>
      <c r="F27" s="376"/>
      <c r="G27" s="412"/>
      <c r="H27" s="412"/>
      <c r="I27" s="412"/>
    </row>
    <row r="28" spans="1:9" ht="15.6" x14ac:dyDescent="0.25">
      <c r="A28" s="393">
        <v>1</v>
      </c>
      <c r="B28" s="394">
        <v>2</v>
      </c>
      <c r="C28" s="303">
        <v>1071</v>
      </c>
      <c r="D28" s="409"/>
      <c r="E28" s="396">
        <f>SUM(SUMIF(Таблица17[№ помеще
ния],Таблица1416[[#This Row],[№ помеще
ния]],Таблица17[Площадь]))</f>
        <v>45.7</v>
      </c>
      <c r="F28" s="376"/>
      <c r="G28" s="412"/>
      <c r="H28" s="412"/>
      <c r="I28" s="412"/>
    </row>
    <row r="29" spans="1:9" ht="15.6" x14ac:dyDescent="0.25">
      <c r="A29" s="406">
        <v>1</v>
      </c>
      <c r="B29" s="407">
        <v>3</v>
      </c>
      <c r="C29" s="408">
        <v>1077</v>
      </c>
      <c r="D29" s="409"/>
      <c r="E29" s="396">
        <f>SUM(SUMIF(Таблица17[№ помеще
ния],Таблица1416[[#This Row],[№ помеще
ния]],Таблица17[Площадь]))</f>
        <v>80.099999999999994</v>
      </c>
      <c r="F29" s="376"/>
      <c r="G29" s="412"/>
      <c r="H29" s="412"/>
      <c r="I29" s="412"/>
    </row>
    <row r="30" spans="1:9" ht="15.6" x14ac:dyDescent="0.25">
      <c r="A30" s="406">
        <v>1</v>
      </c>
      <c r="B30" s="407">
        <v>3</v>
      </c>
      <c r="C30" s="408">
        <v>1078</v>
      </c>
      <c r="D30" s="409"/>
      <c r="E30" s="396">
        <f>SUM(SUMIF(Таблица17[№ помеще
ния],Таблица1416[[#This Row],[№ помеще
ния]],Таблица17[Площадь]))</f>
        <v>94</v>
      </c>
      <c r="F30" s="376"/>
      <c r="G30" s="412"/>
      <c r="H30" s="412"/>
      <c r="I30" s="412"/>
    </row>
    <row r="31" spans="1:9" ht="15.6" x14ac:dyDescent="0.25">
      <c r="A31" s="406">
        <v>1</v>
      </c>
      <c r="B31" s="407">
        <v>3</v>
      </c>
      <c r="C31" s="411">
        <v>1086</v>
      </c>
      <c r="D31" s="409"/>
      <c r="E31" s="396">
        <f>SUM(SUMIF(Таблица17[№ помеще
ния],Таблица1416[[#This Row],[№ помеще
ния]],Таблица17[Площадь]))</f>
        <v>10.6</v>
      </c>
      <c r="F31" s="376"/>
      <c r="G31" s="412"/>
      <c r="H31" s="412"/>
      <c r="I31" s="412"/>
    </row>
    <row r="32" spans="1:9" ht="15.6" x14ac:dyDescent="0.25">
      <c r="A32" s="406">
        <v>1</v>
      </c>
      <c r="B32" s="407">
        <v>3</v>
      </c>
      <c r="C32" s="411">
        <v>1095</v>
      </c>
      <c r="D32" s="409"/>
      <c r="E32" s="396">
        <f>SUM(SUMIF(Таблица17[№ помеще
ния],Таблица1416[[#This Row],[№ помеще
ния]],Таблица17[Площадь]))</f>
        <v>29.2</v>
      </c>
      <c r="F32" s="376"/>
      <c r="G32" s="412"/>
      <c r="H32" s="412"/>
      <c r="I32" s="412"/>
    </row>
    <row r="33" spans="1:9" ht="15" customHeight="1" x14ac:dyDescent="0.25">
      <c r="A33" s="406">
        <v>1</v>
      </c>
      <c r="B33" s="407">
        <v>3</v>
      </c>
      <c r="C33" s="411">
        <v>1099</v>
      </c>
      <c r="D33" s="409"/>
      <c r="E33" s="396">
        <f>SUM(SUMIF(Таблица17[№ помеще
ния],Таблица1416[[#This Row],[№ помеще
ния]],Таблица17[Площадь]))</f>
        <v>23.9</v>
      </c>
      <c r="F33" s="376"/>
      <c r="G33" s="412"/>
      <c r="H33" s="412"/>
      <c r="I33" s="412"/>
    </row>
    <row r="34" spans="1:9" ht="15.6" x14ac:dyDescent="0.25">
      <c r="A34" s="406">
        <v>1</v>
      </c>
      <c r="B34" s="407">
        <v>3</v>
      </c>
      <c r="C34" s="408">
        <v>1100</v>
      </c>
      <c r="D34" s="409"/>
      <c r="E34" s="396">
        <f>SUM(SUMIF(Таблица17[№ помеще
ния],Таблица1416[[#This Row],[№ помеще
ния]],Таблица17[Площадь]))</f>
        <v>25.4</v>
      </c>
      <c r="F34" s="376"/>
      <c r="G34" s="412"/>
      <c r="H34" s="412"/>
      <c r="I34" s="412"/>
    </row>
    <row r="35" spans="1:9" ht="15.6" x14ac:dyDescent="0.25">
      <c r="A35" s="393">
        <v>2</v>
      </c>
      <c r="B35" s="394">
        <v>2</v>
      </c>
      <c r="C35" s="303">
        <v>2016</v>
      </c>
      <c r="D35" s="395"/>
      <c r="E35" s="396">
        <f>SUM(SUMIF(Таблица17[№ помеще
ния],Таблица1416[[#This Row],[№ помеще
ния]],Таблица17[Площадь]))</f>
        <v>84</v>
      </c>
      <c r="F35" s="376"/>
      <c r="G35" s="412"/>
      <c r="H35" s="412"/>
      <c r="I35" s="412"/>
    </row>
    <row r="36" spans="1:9" ht="15.6" x14ac:dyDescent="0.25">
      <c r="A36" s="393">
        <v>2</v>
      </c>
      <c r="B36" s="394">
        <v>2</v>
      </c>
      <c r="C36" s="303">
        <v>2017</v>
      </c>
      <c r="D36" s="409"/>
      <c r="E36" s="396">
        <f>SUM(SUMIF(Таблица17[№ помеще
ния],Таблица1416[[#This Row],[№ помеще
ния]],Таблица17[Площадь]))</f>
        <v>151.69999999999999</v>
      </c>
      <c r="F36" s="376"/>
      <c r="G36" s="412"/>
      <c r="H36" s="412"/>
      <c r="I36" s="412"/>
    </row>
    <row r="37" spans="1:9" ht="15.6" x14ac:dyDescent="0.25">
      <c r="A37" s="393">
        <v>2</v>
      </c>
      <c r="B37" s="394">
        <v>2</v>
      </c>
      <c r="C37" s="303">
        <v>2019</v>
      </c>
      <c r="D37" s="395"/>
      <c r="E37" s="396">
        <f>SUM(SUMIF(Таблица17[№ помеще
ния],Таблица1416[[#This Row],[№ помеще
ния]],Таблица17[Площадь]))</f>
        <v>53.2</v>
      </c>
      <c r="F37" s="376"/>
      <c r="G37" s="412"/>
      <c r="H37" s="412"/>
      <c r="I37" s="412"/>
    </row>
    <row r="38" spans="1:9" ht="15.6" x14ac:dyDescent="0.25">
      <c r="A38" s="406">
        <v>2</v>
      </c>
      <c r="B38" s="407">
        <v>3</v>
      </c>
      <c r="C38" s="408">
        <v>2024</v>
      </c>
      <c r="D38" s="409"/>
      <c r="E38" s="396">
        <f>SUM(SUMIF(Таблица17[№ помеще
ния],Таблица1416[[#This Row],[№ помеще
ния]],Таблица17[Площадь]))</f>
        <v>74.899999999999991</v>
      </c>
      <c r="F38" s="376"/>
      <c r="G38" s="412"/>
      <c r="H38" s="412"/>
      <c r="I38" s="412"/>
    </row>
    <row r="39" spans="1:9" ht="15.6" x14ac:dyDescent="0.25">
      <c r="A39" s="406">
        <v>2</v>
      </c>
      <c r="B39" s="407">
        <v>3</v>
      </c>
      <c r="C39" s="408">
        <v>2025</v>
      </c>
      <c r="D39" s="409"/>
      <c r="E39" s="396">
        <f>SUM(SUMIF(Таблица17[№ помеще
ния],Таблица1416[[#This Row],[№ помеще
ния]],Таблица17[Площадь]))</f>
        <v>53.2</v>
      </c>
      <c r="F39" s="376"/>
      <c r="G39" s="412"/>
      <c r="H39" s="412"/>
      <c r="I39" s="412"/>
    </row>
    <row r="40" spans="1:9" ht="15.6" x14ac:dyDescent="0.25">
      <c r="A40" s="406">
        <v>2</v>
      </c>
      <c r="B40" s="407">
        <v>3</v>
      </c>
      <c r="C40" s="408">
        <v>2027</v>
      </c>
      <c r="D40" s="409"/>
      <c r="E40" s="396">
        <f>SUM(SUMIF(Таблица17[№ помеще
ния],Таблица1416[[#This Row],[№ помеще
ния]],Таблица17[Площадь]))</f>
        <v>113.8</v>
      </c>
      <c r="F40" s="376"/>
      <c r="G40" s="412"/>
      <c r="H40" s="412"/>
      <c r="I40" s="412"/>
    </row>
    <row r="41" spans="1:9" ht="15.6" x14ac:dyDescent="0.25">
      <c r="A41" s="406">
        <v>2</v>
      </c>
      <c r="B41" s="407">
        <v>3</v>
      </c>
      <c r="C41" s="408">
        <v>2028</v>
      </c>
      <c r="D41" s="409"/>
      <c r="E41" s="396">
        <f>SUM(SUMIF(Таблица17[№ помеще
ния],Таблица1416[[#This Row],[№ помеще
ния]],Таблица17[Площадь]))</f>
        <v>45.199999999999996</v>
      </c>
      <c r="F41" s="376"/>
      <c r="G41" s="412"/>
      <c r="H41" s="412"/>
      <c r="I41" s="412"/>
    </row>
    <row r="42" spans="1:9" ht="15.6" x14ac:dyDescent="0.25">
      <c r="A42" s="406">
        <v>2</v>
      </c>
      <c r="B42" s="407">
        <v>3</v>
      </c>
      <c r="C42" s="408">
        <v>2029</v>
      </c>
      <c r="D42" s="409"/>
      <c r="E42" s="396">
        <f>SUM(SUMIF(Таблица17[№ помеще
ния],Таблица1416[[#This Row],[№ помеще
ния]],Таблица17[Площадь]))</f>
        <v>36.6</v>
      </c>
      <c r="F42" s="376"/>
      <c r="G42" s="412"/>
      <c r="H42" s="412"/>
      <c r="I42" s="412"/>
    </row>
    <row r="43" spans="1:9" ht="15.6" x14ac:dyDescent="0.25">
      <c r="A43" s="406">
        <v>2</v>
      </c>
      <c r="B43" s="407">
        <v>3</v>
      </c>
      <c r="C43" s="408">
        <v>2031</v>
      </c>
      <c r="D43" s="409"/>
      <c r="E43" s="396">
        <f>SUM(SUMIF(Таблица17[№ помеще
ния],Таблица1416[[#This Row],[№ помеще
ния]],Таблица17[Площадь]))</f>
        <v>45.7</v>
      </c>
      <c r="F43" s="376"/>
      <c r="G43" s="412"/>
      <c r="H43" s="412"/>
      <c r="I43" s="412"/>
    </row>
    <row r="44" spans="1:9" ht="15.6" x14ac:dyDescent="0.25">
      <c r="A44" s="406">
        <v>2</v>
      </c>
      <c r="B44" s="407">
        <v>3</v>
      </c>
      <c r="C44" s="408">
        <v>2053</v>
      </c>
      <c r="D44" s="409"/>
      <c r="E44" s="396">
        <f>SUM(SUMIF(Таблица17[№ помеще
ния],Таблица1416[[#This Row],[№ помеще
ния]],Таблица17[Площадь]))</f>
        <v>29</v>
      </c>
      <c r="F44" s="376"/>
      <c r="G44" s="412"/>
      <c r="H44" s="412"/>
      <c r="I44" s="412"/>
    </row>
    <row r="45" spans="1:9" ht="15.6" x14ac:dyDescent="0.25">
      <c r="A45" s="406">
        <v>3</v>
      </c>
      <c r="B45" s="407">
        <v>2</v>
      </c>
      <c r="C45" s="408">
        <v>3027</v>
      </c>
      <c r="D45" s="409"/>
      <c r="E45" s="396">
        <f>SUM(SUMIF(Таблица17[№ помеще
ния],Таблица1416[[#This Row],[№ помеще
ния]],Таблица17[Площадь]))</f>
        <v>58.2</v>
      </c>
      <c r="F45" s="376"/>
      <c r="G45" s="412"/>
      <c r="H45" s="412"/>
      <c r="I45" s="412"/>
    </row>
    <row r="46" spans="1:9" ht="15.6" x14ac:dyDescent="0.25">
      <c r="A46" s="406">
        <v>3</v>
      </c>
      <c r="B46" s="407">
        <v>2</v>
      </c>
      <c r="C46" s="408">
        <v>3028</v>
      </c>
      <c r="D46" s="409"/>
      <c r="E46" s="396">
        <f>SUM(SUMIF(Таблица17[№ помеще
ния],Таблица1416[[#This Row],[№ помеще
ния]],Таблица17[Площадь]))</f>
        <v>35.5</v>
      </c>
      <c r="F46" s="376"/>
      <c r="G46" s="412"/>
      <c r="H46" s="412"/>
      <c r="I46" s="412"/>
    </row>
    <row r="47" spans="1:9" ht="15.6" x14ac:dyDescent="0.25">
      <c r="A47" s="406">
        <v>3</v>
      </c>
      <c r="B47" s="407">
        <v>2</v>
      </c>
      <c r="C47" s="408">
        <v>3029</v>
      </c>
      <c r="D47" s="409"/>
      <c r="E47" s="396">
        <f>SUM(SUMIF(Таблица17[№ помеще
ния],Таблица1416[[#This Row],[№ помеще
ния]],Таблица17[Площадь]))</f>
        <v>55.4</v>
      </c>
      <c r="F47" s="376"/>
      <c r="G47" s="412"/>
      <c r="H47" s="412"/>
      <c r="I47" s="412"/>
    </row>
    <row r="48" spans="1:9" s="136" customFormat="1" ht="15.6" x14ac:dyDescent="0.25">
      <c r="A48" s="406">
        <v>3</v>
      </c>
      <c r="B48" s="407">
        <v>2</v>
      </c>
      <c r="C48" s="408">
        <v>3030</v>
      </c>
      <c r="D48" s="409"/>
      <c r="E48" s="396">
        <f>SUM(SUMIF(Таблица17[№ помеще
ния],Таблица1416[[#This Row],[№ помеще
ния]],Таблица17[Площадь]))</f>
        <v>80.600000000000009</v>
      </c>
      <c r="F48" s="376"/>
      <c r="G48" s="412"/>
      <c r="H48" s="412"/>
      <c r="I48" s="412"/>
    </row>
    <row r="49" spans="1:9" ht="15.6" x14ac:dyDescent="0.25">
      <c r="A49" s="393">
        <v>3</v>
      </c>
      <c r="B49" s="394">
        <v>3</v>
      </c>
      <c r="C49" s="303">
        <v>3035</v>
      </c>
      <c r="D49" s="395"/>
      <c r="E49" s="396">
        <f>SUM(SUMIF(Таблица17[№ помеще
ния],Таблица1416[[#This Row],[№ помеще
ния]],Таблица17[Площадь]))</f>
        <v>159.80000000000001</v>
      </c>
      <c r="F49" s="376"/>
      <c r="G49" s="412"/>
      <c r="H49" s="412"/>
      <c r="I49" s="412"/>
    </row>
    <row r="50" spans="1:9" ht="15.6" x14ac:dyDescent="0.25">
      <c r="A50" s="393">
        <v>3</v>
      </c>
      <c r="B50" s="394">
        <v>3</v>
      </c>
      <c r="C50" s="303">
        <v>3036</v>
      </c>
      <c r="D50" s="395"/>
      <c r="E50" s="396">
        <f>SUM(SUMIF(Таблица17[№ помеще
ния],Таблица1416[[#This Row],[№ помеще
ния]],Таблица17[Площадь]))</f>
        <v>129.4</v>
      </c>
      <c r="F50" s="376"/>
      <c r="G50" s="412"/>
      <c r="H50" s="412"/>
      <c r="I50" s="412"/>
    </row>
    <row r="51" spans="1:9" ht="15.6" x14ac:dyDescent="0.25">
      <c r="A51" s="393">
        <v>3</v>
      </c>
      <c r="B51" s="394">
        <v>3</v>
      </c>
      <c r="C51" s="303">
        <v>3038</v>
      </c>
      <c r="D51" s="395"/>
      <c r="E51" s="396">
        <f>SUM(SUMIF(Таблица17[№ помеще
ния],Таблица1416[[#This Row],[№ помеще
ния]],Таблица17[Площадь]))</f>
        <v>14.1</v>
      </c>
      <c r="F51" s="376"/>
      <c r="G51" s="412"/>
      <c r="H51" s="412"/>
      <c r="I51" s="412"/>
    </row>
    <row r="52" spans="1:9" ht="15.6" x14ac:dyDescent="0.25">
      <c r="A52" s="393">
        <v>3</v>
      </c>
      <c r="B52" s="394">
        <v>3</v>
      </c>
      <c r="C52" s="303">
        <v>3039</v>
      </c>
      <c r="D52" s="395"/>
      <c r="E52" s="396">
        <f>SUM(SUMIF(Таблица17[№ помеще
ния],Таблица1416[[#This Row],[№ помеще
ния]],Таблица17[Площадь]))</f>
        <v>9.9</v>
      </c>
      <c r="F52" s="376"/>
      <c r="G52" s="412"/>
      <c r="H52" s="412"/>
      <c r="I52" s="412"/>
    </row>
    <row r="53" spans="1:9" ht="15.6" x14ac:dyDescent="0.25">
      <c r="A53" s="393">
        <v>3</v>
      </c>
      <c r="B53" s="394">
        <v>3</v>
      </c>
      <c r="C53" s="303">
        <v>3058</v>
      </c>
      <c r="D53" s="409"/>
      <c r="E53" s="396">
        <f>SUM(SUMIF(Таблица17[№ помеще
ния],Таблица1416[[#This Row],[№ помеще
ния]],Таблица17[Площадь]))</f>
        <v>43</v>
      </c>
      <c r="F53" s="376"/>
      <c r="G53" s="412"/>
      <c r="H53" s="412"/>
      <c r="I53" s="412"/>
    </row>
    <row r="54" spans="1:9" ht="15.6" x14ac:dyDescent="0.25">
      <c r="A54" s="397">
        <v>4</v>
      </c>
      <c r="B54" s="394">
        <v>3</v>
      </c>
      <c r="C54" s="397">
        <v>4001</v>
      </c>
      <c r="D54" s="395"/>
      <c r="E54" s="396">
        <f>SUM(SUMIF(Таблица17[№ помеще
ния],Таблица1416[[#This Row],[№ помеще
ния]],Таблица17[Площадь]))</f>
        <v>246.20000000000002</v>
      </c>
      <c r="F54" s="376"/>
      <c r="G54" s="412"/>
      <c r="H54" s="412"/>
      <c r="I54" s="412"/>
    </row>
    <row r="55" spans="1:9" ht="15.6" x14ac:dyDescent="0.25">
      <c r="A55" s="397">
        <v>4</v>
      </c>
      <c r="B55" s="394">
        <v>3</v>
      </c>
      <c r="C55" s="397">
        <v>4002</v>
      </c>
      <c r="D55" s="395"/>
      <c r="E55" s="396">
        <f>SUM(SUMIF(Таблица17[№ помеще
ния],Таблица1416[[#This Row],[№ помеще
ния]],Таблица17[Площадь]))</f>
        <v>158.29999999999998</v>
      </c>
      <c r="F55" s="376"/>
      <c r="G55" s="412"/>
      <c r="H55" s="412"/>
      <c r="I55" s="412"/>
    </row>
    <row r="56" spans="1:9" ht="15.6" x14ac:dyDescent="0.25">
      <c r="A56" s="397">
        <v>4</v>
      </c>
      <c r="B56" s="394">
        <v>3</v>
      </c>
      <c r="C56" s="397">
        <v>4003</v>
      </c>
      <c r="D56" s="395"/>
      <c r="E56" s="396">
        <f>SUM(SUMIF(Таблица17[№ помеще
ния],Таблица1416[[#This Row],[№ помеще
ния]],Таблица17[Площадь]))</f>
        <v>78.600000000000009</v>
      </c>
      <c r="F56" s="376"/>
      <c r="G56" s="412"/>
      <c r="H56" s="412"/>
      <c r="I56" s="412"/>
    </row>
    <row r="57" spans="1:9" ht="15.6" x14ac:dyDescent="0.25">
      <c r="A57" s="397">
        <v>4</v>
      </c>
      <c r="B57" s="394">
        <v>3</v>
      </c>
      <c r="C57" s="397">
        <v>4004</v>
      </c>
      <c r="D57" s="395"/>
      <c r="E57" s="396">
        <f>SUM(SUMIF(Таблица17[№ помеще
ния],Таблица1416[[#This Row],[№ помеще
ния]],Таблица17[Площадь]))</f>
        <v>127.89999999999999</v>
      </c>
      <c r="F57" s="376"/>
      <c r="G57" s="412"/>
      <c r="H57" s="412"/>
      <c r="I57" s="412"/>
    </row>
    <row r="58" spans="1:9" ht="15.6" x14ac:dyDescent="0.25">
      <c r="A58" s="397">
        <v>4</v>
      </c>
      <c r="B58" s="394">
        <v>3</v>
      </c>
      <c r="C58" s="397">
        <v>4005</v>
      </c>
      <c r="D58" s="395"/>
      <c r="E58" s="396">
        <f>SUM(SUMIF(Таблица17[№ помеще
ния],Таблица1416[[#This Row],[№ помеще
ния]],Таблица17[Площадь]))</f>
        <v>88.999999999999986</v>
      </c>
      <c r="F58" s="376"/>
      <c r="G58" s="412"/>
      <c r="H58" s="412"/>
      <c r="I58" s="412"/>
    </row>
    <row r="59" spans="1:9" ht="15.6" x14ac:dyDescent="0.25">
      <c r="A59" s="397">
        <v>4</v>
      </c>
      <c r="B59" s="394">
        <v>3</v>
      </c>
      <c r="C59" s="397">
        <v>4006</v>
      </c>
      <c r="D59" s="395"/>
      <c r="E59" s="396">
        <f>SUM(SUMIF(Таблица17[№ помеще
ния],Таблица1416[[#This Row],[№ помеще
ния]],Таблица17[Площадь]))</f>
        <v>172.60000000000002</v>
      </c>
      <c r="F59" s="412"/>
      <c r="G59" s="412"/>
      <c r="H59" s="412"/>
      <c r="I59" s="412"/>
    </row>
    <row r="60" spans="1:9" ht="15.6" x14ac:dyDescent="0.25">
      <c r="A60" s="397">
        <v>4</v>
      </c>
      <c r="B60" s="394">
        <v>3</v>
      </c>
      <c r="C60" s="397">
        <v>4007</v>
      </c>
      <c r="D60" s="395"/>
      <c r="E60" s="396">
        <f>SUM(SUMIF(Таблица17[№ помеще
ния],Таблица1416[[#This Row],[№ помеще
ния]],Таблица17[Площадь]))</f>
        <v>146.29999999999998</v>
      </c>
    </row>
    <row r="61" spans="1:9" ht="15.6" x14ac:dyDescent="0.25">
      <c r="A61" s="460"/>
      <c r="B61" s="460"/>
      <c r="C61" s="461"/>
      <c r="D61" s="374" t="s">
        <v>231</v>
      </c>
      <c r="E61" s="322">
        <f>SUM(Таблица1416[Площадь])</f>
        <v>3534.7000000000007</v>
      </c>
    </row>
    <row r="64" spans="1:9" ht="26.4" x14ac:dyDescent="0.25">
      <c r="A64" s="419" t="s">
        <v>252</v>
      </c>
      <c r="B64" s="391" t="s">
        <v>251</v>
      </c>
      <c r="C64" s="391" t="s">
        <v>818</v>
      </c>
      <c r="D64" s="391" t="s">
        <v>634</v>
      </c>
      <c r="E64" s="420" t="s">
        <v>635</v>
      </c>
    </row>
    <row r="65" spans="1:5" ht="15.6" hidden="1" x14ac:dyDescent="0.25">
      <c r="A65" s="425">
        <v>1</v>
      </c>
      <c r="B65" s="425">
        <v>2</v>
      </c>
      <c r="C65" s="139">
        <v>1018</v>
      </c>
      <c r="D65" s="426" t="s">
        <v>638</v>
      </c>
      <c r="E65" s="141">
        <v>1.7</v>
      </c>
    </row>
    <row r="66" spans="1:5" ht="15.6" hidden="1" x14ac:dyDescent="0.25">
      <c r="A66" s="425">
        <v>1</v>
      </c>
      <c r="B66" s="425">
        <v>2</v>
      </c>
      <c r="C66" s="139">
        <v>1018</v>
      </c>
      <c r="D66" s="426" t="s">
        <v>640</v>
      </c>
      <c r="E66" s="141">
        <v>6.4</v>
      </c>
    </row>
    <row r="67" spans="1:5" ht="15.6" x14ac:dyDescent="0.25">
      <c r="A67" s="425">
        <v>1</v>
      </c>
      <c r="B67" s="425">
        <v>2</v>
      </c>
      <c r="C67" s="139">
        <v>1019</v>
      </c>
      <c r="D67" s="426" t="s">
        <v>637</v>
      </c>
      <c r="E67" s="141">
        <v>37.5</v>
      </c>
    </row>
    <row r="68" spans="1:5" ht="15.6" hidden="1" x14ac:dyDescent="0.25">
      <c r="A68" s="425">
        <v>1</v>
      </c>
      <c r="B68" s="425">
        <v>2</v>
      </c>
      <c r="C68" s="139">
        <v>1019</v>
      </c>
      <c r="D68" s="426" t="s">
        <v>638</v>
      </c>
      <c r="E68" s="141">
        <v>37.5</v>
      </c>
    </row>
    <row r="69" spans="1:5" ht="15.6" hidden="1" x14ac:dyDescent="0.25">
      <c r="A69" s="425">
        <v>1</v>
      </c>
      <c r="B69" s="425">
        <v>2</v>
      </c>
      <c r="C69" s="139">
        <v>1019</v>
      </c>
      <c r="D69" s="426" t="s">
        <v>640</v>
      </c>
      <c r="E69" s="141">
        <v>69.3</v>
      </c>
    </row>
    <row r="70" spans="1:5" ht="15.6" x14ac:dyDescent="0.25">
      <c r="A70" s="425">
        <v>1</v>
      </c>
      <c r="B70" s="425">
        <v>2</v>
      </c>
      <c r="C70" s="139">
        <v>1020</v>
      </c>
      <c r="D70" s="426" t="s">
        <v>637</v>
      </c>
      <c r="E70" s="141">
        <v>36.1</v>
      </c>
    </row>
    <row r="71" spans="1:5" ht="15.6" hidden="1" x14ac:dyDescent="0.25">
      <c r="A71" s="425">
        <v>1</v>
      </c>
      <c r="B71" s="425">
        <v>2</v>
      </c>
      <c r="C71" s="139">
        <v>1020</v>
      </c>
      <c r="D71" s="426" t="s">
        <v>638</v>
      </c>
      <c r="E71" s="141">
        <v>27.6</v>
      </c>
    </row>
    <row r="72" spans="1:5" ht="15.6" hidden="1" x14ac:dyDescent="0.25">
      <c r="A72" s="425">
        <v>1</v>
      </c>
      <c r="B72" s="425">
        <v>2</v>
      </c>
      <c r="C72" s="139">
        <v>1021</v>
      </c>
      <c r="D72" s="426" t="s">
        <v>638</v>
      </c>
      <c r="E72" s="141">
        <v>48.4</v>
      </c>
    </row>
    <row r="73" spans="1:5" ht="15.6" hidden="1" x14ac:dyDescent="0.25">
      <c r="A73" s="425">
        <v>1</v>
      </c>
      <c r="B73" s="425">
        <v>2</v>
      </c>
      <c r="C73" s="139">
        <v>1021</v>
      </c>
      <c r="D73" s="426" t="s">
        <v>640</v>
      </c>
      <c r="E73" s="141">
        <v>5.3</v>
      </c>
    </row>
    <row r="74" spans="1:5" ht="15.6" hidden="1" x14ac:dyDescent="0.25">
      <c r="A74" s="425">
        <v>1</v>
      </c>
      <c r="B74" s="425">
        <v>2</v>
      </c>
      <c r="C74" s="139">
        <v>1022</v>
      </c>
      <c r="D74" s="426" t="s">
        <v>645</v>
      </c>
      <c r="E74" s="141">
        <v>18.899999999999999</v>
      </c>
    </row>
    <row r="75" spans="1:5" ht="15.6" hidden="1" x14ac:dyDescent="0.25">
      <c r="A75" s="425">
        <v>1</v>
      </c>
      <c r="B75" s="425">
        <v>2</v>
      </c>
      <c r="C75" s="139">
        <v>1022</v>
      </c>
      <c r="D75" s="426" t="s">
        <v>652</v>
      </c>
      <c r="E75" s="141">
        <v>10</v>
      </c>
    </row>
    <row r="76" spans="1:5" ht="15.6" hidden="1" x14ac:dyDescent="0.25">
      <c r="A76" s="425">
        <v>1</v>
      </c>
      <c r="B76" s="425">
        <v>2</v>
      </c>
      <c r="C76" s="139">
        <v>1023</v>
      </c>
      <c r="D76" s="426" t="s">
        <v>643</v>
      </c>
      <c r="E76" s="141">
        <v>10.199999999999999</v>
      </c>
    </row>
    <row r="77" spans="1:5" ht="15.6" hidden="1" x14ac:dyDescent="0.25">
      <c r="A77" s="425">
        <v>1</v>
      </c>
      <c r="B77" s="425">
        <v>2</v>
      </c>
      <c r="C77" s="139">
        <v>1024</v>
      </c>
      <c r="D77" s="426" t="s">
        <v>642</v>
      </c>
      <c r="E77" s="141">
        <v>50.4</v>
      </c>
    </row>
    <row r="78" spans="1:5" ht="15.6" x14ac:dyDescent="0.25">
      <c r="A78" s="425">
        <v>1</v>
      </c>
      <c r="B78" s="425">
        <v>2</v>
      </c>
      <c r="C78" s="139">
        <v>1026</v>
      </c>
      <c r="D78" s="426" t="s">
        <v>637</v>
      </c>
      <c r="E78" s="141">
        <v>32.5</v>
      </c>
    </row>
    <row r="79" spans="1:5" ht="15.6" hidden="1" x14ac:dyDescent="0.25">
      <c r="A79" s="425">
        <v>1</v>
      </c>
      <c r="B79" s="425">
        <v>2</v>
      </c>
      <c r="C79" s="139">
        <v>1026</v>
      </c>
      <c r="D79" s="426" t="s">
        <v>638</v>
      </c>
      <c r="E79" s="141">
        <v>24.8</v>
      </c>
    </row>
    <row r="80" spans="1:5" ht="15.6" hidden="1" x14ac:dyDescent="0.25">
      <c r="A80" s="425">
        <v>1</v>
      </c>
      <c r="B80" s="425">
        <v>2</v>
      </c>
      <c r="C80" s="139">
        <v>1026</v>
      </c>
      <c r="D80" s="426" t="s">
        <v>640</v>
      </c>
      <c r="E80" s="141">
        <v>3.5</v>
      </c>
    </row>
    <row r="81" spans="1:5" ht="15.6" hidden="1" x14ac:dyDescent="0.25">
      <c r="A81" s="425">
        <v>1</v>
      </c>
      <c r="B81" s="425">
        <v>2</v>
      </c>
      <c r="C81" s="139">
        <v>1027</v>
      </c>
      <c r="D81" s="426" t="s">
        <v>645</v>
      </c>
      <c r="E81" s="141">
        <v>19</v>
      </c>
    </row>
    <row r="82" spans="1:5" ht="15.6" hidden="1" x14ac:dyDescent="0.25">
      <c r="A82" s="425">
        <v>1</v>
      </c>
      <c r="B82" s="425">
        <v>2</v>
      </c>
      <c r="C82" s="139">
        <v>1027</v>
      </c>
      <c r="D82" s="426" t="s">
        <v>652</v>
      </c>
      <c r="E82" s="141">
        <v>3.9</v>
      </c>
    </row>
    <row r="83" spans="1:5" ht="15.6" hidden="1" x14ac:dyDescent="0.25">
      <c r="A83" s="425">
        <v>1</v>
      </c>
      <c r="B83" s="425">
        <v>2</v>
      </c>
      <c r="C83" s="139">
        <v>1028</v>
      </c>
      <c r="D83" s="426" t="s">
        <v>645</v>
      </c>
      <c r="E83" s="141">
        <v>5.8</v>
      </c>
    </row>
    <row r="84" spans="1:5" ht="15.6" hidden="1" x14ac:dyDescent="0.25">
      <c r="A84" s="425">
        <v>1</v>
      </c>
      <c r="B84" s="425">
        <v>2</v>
      </c>
      <c r="C84" s="139">
        <v>1028</v>
      </c>
      <c r="D84" s="426" t="s">
        <v>653</v>
      </c>
      <c r="E84" s="141">
        <v>1.1000000000000001</v>
      </c>
    </row>
    <row r="85" spans="1:5" ht="15.6" hidden="1" x14ac:dyDescent="0.25">
      <c r="A85" s="425">
        <v>1</v>
      </c>
      <c r="B85" s="425">
        <v>2</v>
      </c>
      <c r="C85" s="139">
        <v>1028</v>
      </c>
      <c r="D85" s="426" t="s">
        <v>646</v>
      </c>
      <c r="E85" s="141">
        <v>3.9</v>
      </c>
    </row>
    <row r="86" spans="1:5" ht="15.6" hidden="1" x14ac:dyDescent="0.25">
      <c r="A86" s="425">
        <v>1</v>
      </c>
      <c r="B86" s="425">
        <v>2</v>
      </c>
      <c r="C86" s="139">
        <v>1028</v>
      </c>
      <c r="D86" s="426" t="s">
        <v>657</v>
      </c>
      <c r="E86" s="141">
        <v>3.5</v>
      </c>
    </row>
    <row r="87" spans="1:5" ht="15.6" hidden="1" x14ac:dyDescent="0.25">
      <c r="A87" s="425">
        <v>1</v>
      </c>
      <c r="B87" s="425">
        <v>2</v>
      </c>
      <c r="C87" s="139">
        <v>1028</v>
      </c>
      <c r="D87" s="426" t="s">
        <v>658</v>
      </c>
      <c r="E87" s="141">
        <v>0.6</v>
      </c>
    </row>
    <row r="88" spans="1:5" ht="15.6" hidden="1" x14ac:dyDescent="0.25">
      <c r="A88" s="425">
        <v>1</v>
      </c>
      <c r="B88" s="425">
        <v>2</v>
      </c>
      <c r="C88" s="139">
        <v>1028</v>
      </c>
      <c r="D88" s="426" t="s">
        <v>642</v>
      </c>
      <c r="E88" s="141">
        <v>0.5</v>
      </c>
    </row>
    <row r="89" spans="1:5" ht="15.6" hidden="1" x14ac:dyDescent="0.25">
      <c r="A89" s="425">
        <v>1</v>
      </c>
      <c r="B89" s="425">
        <v>2</v>
      </c>
      <c r="C89" s="139">
        <v>1029</v>
      </c>
      <c r="D89" s="426" t="s">
        <v>643</v>
      </c>
      <c r="E89" s="141">
        <v>10.7</v>
      </c>
    </row>
    <row r="90" spans="1:5" ht="15.6" x14ac:dyDescent="0.25">
      <c r="A90" s="425">
        <v>1</v>
      </c>
      <c r="B90" s="425">
        <v>2</v>
      </c>
      <c r="C90" s="139">
        <v>1030</v>
      </c>
      <c r="D90" s="426" t="s">
        <v>637</v>
      </c>
      <c r="E90" s="141">
        <v>49.4</v>
      </c>
    </row>
    <row r="91" spans="1:5" ht="15.6" hidden="1" x14ac:dyDescent="0.25">
      <c r="A91" s="425">
        <v>1</v>
      </c>
      <c r="B91" s="425">
        <v>2</v>
      </c>
      <c r="C91" s="139">
        <v>1030</v>
      </c>
      <c r="D91" s="426" t="s">
        <v>638</v>
      </c>
      <c r="E91" s="141">
        <v>3</v>
      </c>
    </row>
    <row r="92" spans="1:5" ht="15.6" hidden="1" x14ac:dyDescent="0.25">
      <c r="A92" s="425">
        <v>1</v>
      </c>
      <c r="B92" s="425">
        <v>2</v>
      </c>
      <c r="C92" s="139">
        <v>1030</v>
      </c>
      <c r="D92" s="426" t="s">
        <v>640</v>
      </c>
      <c r="E92" s="141">
        <v>34.6</v>
      </c>
    </row>
    <row r="93" spans="1:5" ht="15.6" hidden="1" x14ac:dyDescent="0.25">
      <c r="A93" s="425">
        <v>1</v>
      </c>
      <c r="B93" s="425">
        <v>2</v>
      </c>
      <c r="C93" s="139">
        <v>1031</v>
      </c>
      <c r="D93" s="426" t="s">
        <v>644</v>
      </c>
      <c r="E93" s="141">
        <v>38.700000000000003</v>
      </c>
    </row>
    <row r="94" spans="1:5" ht="15.6" hidden="1" x14ac:dyDescent="0.25">
      <c r="A94" s="425">
        <v>1</v>
      </c>
      <c r="B94" s="425">
        <v>2</v>
      </c>
      <c r="C94" s="139">
        <v>1031</v>
      </c>
      <c r="D94" s="426" t="s">
        <v>653</v>
      </c>
      <c r="E94" s="141">
        <v>7</v>
      </c>
    </row>
    <row r="95" spans="1:5" ht="15.6" hidden="1" x14ac:dyDescent="0.25">
      <c r="A95" s="425">
        <v>1</v>
      </c>
      <c r="B95" s="425">
        <v>2</v>
      </c>
      <c r="C95" s="139">
        <v>1031</v>
      </c>
      <c r="D95" s="426" t="s">
        <v>652</v>
      </c>
      <c r="E95" s="141">
        <v>18.3</v>
      </c>
    </row>
    <row r="96" spans="1:5" ht="15.6" hidden="1" x14ac:dyDescent="0.25">
      <c r="A96" s="425">
        <v>1</v>
      </c>
      <c r="B96" s="425">
        <v>2</v>
      </c>
      <c r="C96" s="139">
        <v>1031</v>
      </c>
      <c r="D96" s="426" t="s">
        <v>658</v>
      </c>
      <c r="E96" s="141">
        <v>3.7</v>
      </c>
    </row>
    <row r="97" spans="1:5" ht="15.6" hidden="1" x14ac:dyDescent="0.25">
      <c r="A97" s="425">
        <v>1</v>
      </c>
      <c r="B97" s="425">
        <v>2</v>
      </c>
      <c r="C97" s="139">
        <v>1032</v>
      </c>
      <c r="D97" s="426" t="s">
        <v>645</v>
      </c>
      <c r="E97" s="141">
        <v>41.7</v>
      </c>
    </row>
    <row r="98" spans="1:5" ht="15.6" hidden="1" x14ac:dyDescent="0.25">
      <c r="A98" s="425">
        <v>1</v>
      </c>
      <c r="B98" s="425">
        <v>2</v>
      </c>
      <c r="C98" s="139">
        <v>1032</v>
      </c>
      <c r="D98" s="426" t="s">
        <v>653</v>
      </c>
      <c r="E98" s="141">
        <v>1.6</v>
      </c>
    </row>
    <row r="99" spans="1:5" ht="15.6" hidden="1" x14ac:dyDescent="0.25">
      <c r="A99" s="425">
        <v>1</v>
      </c>
      <c r="B99" s="425">
        <v>2</v>
      </c>
      <c r="C99" s="139">
        <v>1033</v>
      </c>
      <c r="D99" s="426" t="s">
        <v>645</v>
      </c>
      <c r="E99" s="141">
        <v>41</v>
      </c>
    </row>
    <row r="100" spans="1:5" ht="15.6" hidden="1" x14ac:dyDescent="0.25">
      <c r="A100" s="425">
        <v>1</v>
      </c>
      <c r="B100" s="425">
        <v>2</v>
      </c>
      <c r="C100" s="139">
        <v>1033</v>
      </c>
      <c r="D100" s="426" t="s">
        <v>653</v>
      </c>
      <c r="E100" s="141">
        <v>1.5</v>
      </c>
    </row>
    <row r="101" spans="1:5" ht="15.6" hidden="1" x14ac:dyDescent="0.25">
      <c r="A101" s="425">
        <v>1</v>
      </c>
      <c r="B101" s="425">
        <v>2</v>
      </c>
      <c r="C101" s="139">
        <v>1034</v>
      </c>
      <c r="D101" s="426" t="s">
        <v>644</v>
      </c>
      <c r="E101" s="141">
        <v>39.4</v>
      </c>
    </row>
    <row r="102" spans="1:5" ht="15.6" hidden="1" x14ac:dyDescent="0.25">
      <c r="A102" s="425">
        <v>1</v>
      </c>
      <c r="B102" s="425">
        <v>2</v>
      </c>
      <c r="C102" s="139">
        <v>1034</v>
      </c>
      <c r="D102" s="426" t="s">
        <v>653</v>
      </c>
      <c r="E102" s="141">
        <v>2.4</v>
      </c>
    </row>
    <row r="103" spans="1:5" ht="15.6" hidden="1" x14ac:dyDescent="0.25">
      <c r="A103" s="425">
        <v>1</v>
      </c>
      <c r="B103" s="425">
        <v>2</v>
      </c>
      <c r="C103" s="139">
        <v>1034</v>
      </c>
      <c r="D103" s="426" t="s">
        <v>657</v>
      </c>
      <c r="E103" s="141">
        <v>12.5</v>
      </c>
    </row>
    <row r="104" spans="1:5" ht="15.6" hidden="1" x14ac:dyDescent="0.25">
      <c r="A104" s="425">
        <v>1</v>
      </c>
      <c r="B104" s="425">
        <v>2</v>
      </c>
      <c r="C104" s="139">
        <v>1035</v>
      </c>
      <c r="D104" s="426" t="s">
        <v>644</v>
      </c>
      <c r="E104" s="141">
        <v>50.9</v>
      </c>
    </row>
    <row r="105" spans="1:5" ht="15.6" hidden="1" x14ac:dyDescent="0.25">
      <c r="A105" s="425">
        <v>1</v>
      </c>
      <c r="B105" s="425">
        <v>2</v>
      </c>
      <c r="C105" s="139">
        <v>1035</v>
      </c>
      <c r="D105" s="426" t="s">
        <v>653</v>
      </c>
      <c r="E105" s="141">
        <v>2.2999999999999998</v>
      </c>
    </row>
    <row r="106" spans="1:5" ht="15.6" x14ac:dyDescent="0.25">
      <c r="A106" s="425">
        <v>1</v>
      </c>
      <c r="B106" s="425">
        <v>2</v>
      </c>
      <c r="C106" s="139">
        <v>1037</v>
      </c>
      <c r="D106" s="426" t="s">
        <v>637</v>
      </c>
      <c r="E106" s="141">
        <v>67</v>
      </c>
    </row>
    <row r="107" spans="1:5" ht="15.6" x14ac:dyDescent="0.25">
      <c r="A107" s="425">
        <v>1</v>
      </c>
      <c r="B107" s="425">
        <v>2</v>
      </c>
      <c r="C107" s="139">
        <v>1070</v>
      </c>
      <c r="D107" s="426" t="s">
        <v>637</v>
      </c>
      <c r="E107" s="141">
        <v>37.700000000000003</v>
      </c>
    </row>
    <row r="108" spans="1:5" ht="15.6" hidden="1" x14ac:dyDescent="0.25">
      <c r="A108" s="425">
        <v>1</v>
      </c>
      <c r="B108" s="425">
        <v>2</v>
      </c>
      <c r="C108" s="139">
        <v>1070</v>
      </c>
      <c r="D108" s="426" t="s">
        <v>638</v>
      </c>
      <c r="E108" s="141">
        <v>8.8000000000000007</v>
      </c>
    </row>
    <row r="109" spans="1:5" ht="15.6" hidden="1" x14ac:dyDescent="0.25">
      <c r="A109" s="425">
        <v>1</v>
      </c>
      <c r="B109" s="425">
        <v>2</v>
      </c>
      <c r="C109" s="139">
        <v>1070</v>
      </c>
      <c r="D109" s="426" t="s">
        <v>640</v>
      </c>
      <c r="E109" s="141">
        <v>3.1</v>
      </c>
    </row>
    <row r="110" spans="1:5" ht="15.6" x14ac:dyDescent="0.25">
      <c r="A110" s="425">
        <v>1</v>
      </c>
      <c r="B110" s="425">
        <v>3</v>
      </c>
      <c r="C110" s="139">
        <v>1071</v>
      </c>
      <c r="D110" s="426" t="s">
        <v>637</v>
      </c>
      <c r="E110" s="141">
        <v>35.1</v>
      </c>
    </row>
    <row r="111" spans="1:5" ht="15.6" hidden="1" x14ac:dyDescent="0.25">
      <c r="A111" s="425">
        <v>1</v>
      </c>
      <c r="B111" s="425">
        <v>3</v>
      </c>
      <c r="C111" s="139">
        <v>1071</v>
      </c>
      <c r="D111" s="426" t="s">
        <v>638</v>
      </c>
      <c r="E111" s="141">
        <v>5.7</v>
      </c>
    </row>
    <row r="112" spans="1:5" ht="15.6" hidden="1" x14ac:dyDescent="0.25">
      <c r="A112" s="425">
        <v>1</v>
      </c>
      <c r="B112" s="425">
        <v>3</v>
      </c>
      <c r="C112" s="139">
        <v>1071</v>
      </c>
      <c r="D112" s="426" t="s">
        <v>640</v>
      </c>
      <c r="E112" s="141">
        <v>4.9000000000000004</v>
      </c>
    </row>
    <row r="113" spans="1:5" ht="15.6" x14ac:dyDescent="0.25">
      <c r="A113" s="425">
        <v>1</v>
      </c>
      <c r="B113" s="425">
        <v>3</v>
      </c>
      <c r="C113" s="139">
        <v>1077</v>
      </c>
      <c r="D113" s="426" t="s">
        <v>637</v>
      </c>
      <c r="E113" s="141">
        <v>39.1</v>
      </c>
    </row>
    <row r="114" spans="1:5" ht="15.6" hidden="1" x14ac:dyDescent="0.25">
      <c r="A114" s="425">
        <v>1</v>
      </c>
      <c r="B114" s="425">
        <v>3</v>
      </c>
      <c r="C114" s="139">
        <v>1077</v>
      </c>
      <c r="D114" s="426" t="s">
        <v>638</v>
      </c>
      <c r="E114" s="141">
        <v>20.399999999999999</v>
      </c>
    </row>
    <row r="115" spans="1:5" ht="15.6" hidden="1" x14ac:dyDescent="0.25">
      <c r="A115" s="425">
        <v>1</v>
      </c>
      <c r="B115" s="425">
        <v>3</v>
      </c>
      <c r="C115" s="139">
        <v>1077</v>
      </c>
      <c r="D115" s="426" t="s">
        <v>640</v>
      </c>
      <c r="E115" s="141">
        <v>20.6</v>
      </c>
    </row>
    <row r="116" spans="1:5" ht="15.6" x14ac:dyDescent="0.25">
      <c r="A116" s="425">
        <v>1</v>
      </c>
      <c r="B116" s="425">
        <v>3</v>
      </c>
      <c r="C116" s="139">
        <v>1078</v>
      </c>
      <c r="D116" s="426" t="s">
        <v>637</v>
      </c>
      <c r="E116" s="141">
        <v>21.1</v>
      </c>
    </row>
    <row r="117" spans="1:5" ht="15.6" hidden="1" x14ac:dyDescent="0.25">
      <c r="A117" s="425">
        <v>1</v>
      </c>
      <c r="B117" s="425">
        <v>3</v>
      </c>
      <c r="C117" s="139">
        <v>1078</v>
      </c>
      <c r="D117" s="426" t="s">
        <v>638</v>
      </c>
      <c r="E117" s="141">
        <v>58</v>
      </c>
    </row>
    <row r="118" spans="1:5" ht="15.6" hidden="1" x14ac:dyDescent="0.25">
      <c r="A118" s="425">
        <v>1</v>
      </c>
      <c r="B118" s="425">
        <v>3</v>
      </c>
      <c r="C118" s="139">
        <v>1078</v>
      </c>
      <c r="D118" s="426" t="s">
        <v>640</v>
      </c>
      <c r="E118" s="141">
        <v>14.9</v>
      </c>
    </row>
    <row r="119" spans="1:5" ht="15.6" hidden="1" x14ac:dyDescent="0.25">
      <c r="A119" s="425">
        <v>1</v>
      </c>
      <c r="B119" s="425">
        <v>3</v>
      </c>
      <c r="C119" s="139">
        <v>1086</v>
      </c>
      <c r="D119" s="426" t="s">
        <v>643</v>
      </c>
      <c r="E119" s="141">
        <v>10.6</v>
      </c>
    </row>
    <row r="120" spans="1:5" ht="15.6" hidden="1" x14ac:dyDescent="0.25">
      <c r="A120" s="425">
        <v>1</v>
      </c>
      <c r="B120" s="425">
        <v>3</v>
      </c>
      <c r="C120" s="139">
        <v>1099</v>
      </c>
      <c r="D120" s="426" t="s">
        <v>643</v>
      </c>
      <c r="E120" s="427">
        <v>23.9</v>
      </c>
    </row>
    <row r="121" spans="1:5" ht="15.6" hidden="1" x14ac:dyDescent="0.25">
      <c r="A121" s="425">
        <v>1</v>
      </c>
      <c r="B121" s="425">
        <v>3</v>
      </c>
      <c r="C121" s="139">
        <v>1095</v>
      </c>
      <c r="D121" s="426" t="s">
        <v>643</v>
      </c>
      <c r="E121" s="141">
        <v>29.2</v>
      </c>
    </row>
    <row r="122" spans="1:5" ht="15.6" hidden="1" x14ac:dyDescent="0.25">
      <c r="A122" s="425">
        <v>1</v>
      </c>
      <c r="B122" s="425">
        <v>3</v>
      </c>
      <c r="C122" s="139">
        <v>1100</v>
      </c>
      <c r="D122" s="426" t="s">
        <v>645</v>
      </c>
      <c r="E122" s="141">
        <v>18.3</v>
      </c>
    </row>
    <row r="123" spans="1:5" ht="15.6" hidden="1" x14ac:dyDescent="0.25">
      <c r="A123" s="425">
        <v>1</v>
      </c>
      <c r="B123" s="425">
        <v>3</v>
      </c>
      <c r="C123" s="139">
        <v>1100</v>
      </c>
      <c r="D123" s="426" t="s">
        <v>652</v>
      </c>
      <c r="E123" s="141">
        <v>7.1</v>
      </c>
    </row>
    <row r="124" spans="1:5" ht="15.6" hidden="1" x14ac:dyDescent="0.25">
      <c r="A124" s="425">
        <v>2</v>
      </c>
      <c r="B124" s="425">
        <v>2</v>
      </c>
      <c r="C124" s="139">
        <v>2016</v>
      </c>
      <c r="D124" s="426" t="s">
        <v>638</v>
      </c>
      <c r="E124" s="141">
        <v>20.5</v>
      </c>
    </row>
    <row r="125" spans="1:5" ht="15.6" hidden="1" x14ac:dyDescent="0.25">
      <c r="A125" s="425">
        <v>2</v>
      </c>
      <c r="B125" s="425">
        <v>2</v>
      </c>
      <c r="C125" s="139">
        <v>2016</v>
      </c>
      <c r="D125" s="426" t="s">
        <v>640</v>
      </c>
      <c r="E125" s="141">
        <v>63.5</v>
      </c>
    </row>
    <row r="126" spans="1:5" ht="15.6" x14ac:dyDescent="0.25">
      <c r="A126" s="425">
        <v>2</v>
      </c>
      <c r="B126" s="425">
        <v>2</v>
      </c>
      <c r="C126" s="139">
        <v>2017</v>
      </c>
      <c r="D126" s="426" t="s">
        <v>637</v>
      </c>
      <c r="E126" s="141">
        <v>26.1</v>
      </c>
    </row>
    <row r="127" spans="1:5" ht="15.6" hidden="1" x14ac:dyDescent="0.25">
      <c r="A127" s="425">
        <v>2</v>
      </c>
      <c r="B127" s="425">
        <v>2</v>
      </c>
      <c r="C127" s="139">
        <v>2017</v>
      </c>
      <c r="D127" s="426" t="s">
        <v>638</v>
      </c>
      <c r="E127" s="141">
        <v>105.1</v>
      </c>
    </row>
    <row r="128" spans="1:5" ht="15.6" hidden="1" x14ac:dyDescent="0.25">
      <c r="A128" s="425">
        <v>2</v>
      </c>
      <c r="B128" s="425">
        <v>2</v>
      </c>
      <c r="C128" s="139">
        <v>2017</v>
      </c>
      <c r="D128" s="426" t="s">
        <v>640</v>
      </c>
      <c r="E128" s="141">
        <v>20.5</v>
      </c>
    </row>
    <row r="129" spans="1:5" ht="15.6" hidden="1" x14ac:dyDescent="0.25">
      <c r="A129" s="425">
        <v>2</v>
      </c>
      <c r="B129" s="425">
        <v>2</v>
      </c>
      <c r="C129" s="139">
        <v>2019</v>
      </c>
      <c r="D129" s="426" t="s">
        <v>642</v>
      </c>
      <c r="E129" s="141">
        <v>53.2</v>
      </c>
    </row>
    <row r="130" spans="1:5" ht="15.6" hidden="1" x14ac:dyDescent="0.25">
      <c r="A130" s="425">
        <v>2</v>
      </c>
      <c r="B130" s="425">
        <v>3</v>
      </c>
      <c r="C130" s="139">
        <v>2024</v>
      </c>
      <c r="D130" s="426" t="s">
        <v>645</v>
      </c>
      <c r="E130" s="141">
        <v>37.9</v>
      </c>
    </row>
    <row r="131" spans="1:5" ht="15.6" hidden="1" x14ac:dyDescent="0.25">
      <c r="A131" s="425">
        <v>2</v>
      </c>
      <c r="B131" s="425">
        <v>3</v>
      </c>
      <c r="C131" s="139">
        <v>2024</v>
      </c>
      <c r="D131" s="426" t="s">
        <v>652</v>
      </c>
      <c r="E131" s="141">
        <v>28.9</v>
      </c>
    </row>
    <row r="132" spans="1:5" ht="15.6" hidden="1" x14ac:dyDescent="0.25">
      <c r="A132" s="425">
        <v>2</v>
      </c>
      <c r="B132" s="425">
        <v>3</v>
      </c>
      <c r="C132" s="139">
        <v>2024</v>
      </c>
      <c r="D132" s="426" t="s">
        <v>658</v>
      </c>
      <c r="E132" s="141">
        <v>7.3</v>
      </c>
    </row>
    <row r="133" spans="1:5" ht="15.6" hidden="1" x14ac:dyDescent="0.25">
      <c r="A133" s="425">
        <v>2</v>
      </c>
      <c r="B133" s="425">
        <v>3</v>
      </c>
      <c r="C133" s="139">
        <v>2024</v>
      </c>
      <c r="D133" s="426" t="s">
        <v>642</v>
      </c>
      <c r="E133" s="141">
        <v>0.1</v>
      </c>
    </row>
    <row r="134" spans="1:5" ht="15.6" hidden="1" x14ac:dyDescent="0.25">
      <c r="A134" s="425">
        <v>2</v>
      </c>
      <c r="B134" s="425">
        <v>3</v>
      </c>
      <c r="C134" s="139">
        <v>2024</v>
      </c>
      <c r="D134" s="426" t="s">
        <v>648</v>
      </c>
      <c r="E134" s="141">
        <v>0.7</v>
      </c>
    </row>
    <row r="135" spans="1:5" ht="15.6" hidden="1" x14ac:dyDescent="0.25">
      <c r="A135" s="425">
        <v>2</v>
      </c>
      <c r="B135" s="425">
        <v>3</v>
      </c>
      <c r="C135" s="139">
        <v>2025</v>
      </c>
      <c r="D135" s="426" t="s">
        <v>644</v>
      </c>
      <c r="E135" s="141">
        <v>35.200000000000003</v>
      </c>
    </row>
    <row r="136" spans="1:5" ht="15.6" hidden="1" x14ac:dyDescent="0.25">
      <c r="A136" s="425">
        <v>2</v>
      </c>
      <c r="B136" s="425">
        <v>3</v>
      </c>
      <c r="C136" s="139">
        <v>2025</v>
      </c>
      <c r="D136" s="426" t="s">
        <v>657</v>
      </c>
      <c r="E136" s="141">
        <v>14.5</v>
      </c>
    </row>
    <row r="137" spans="1:5" ht="15.6" hidden="1" x14ac:dyDescent="0.25">
      <c r="A137" s="425">
        <v>2</v>
      </c>
      <c r="B137" s="425">
        <v>3</v>
      </c>
      <c r="C137" s="139">
        <v>2025</v>
      </c>
      <c r="D137" s="426" t="s">
        <v>658</v>
      </c>
      <c r="E137" s="141">
        <v>3.5</v>
      </c>
    </row>
    <row r="138" spans="1:5" ht="15.6" hidden="1" x14ac:dyDescent="0.25">
      <c r="A138" s="425">
        <v>2</v>
      </c>
      <c r="B138" s="425">
        <v>3</v>
      </c>
      <c r="C138" s="139">
        <v>2027</v>
      </c>
      <c r="D138" s="426" t="s">
        <v>645</v>
      </c>
      <c r="E138" s="141">
        <v>38.5</v>
      </c>
    </row>
    <row r="139" spans="1:5" ht="15.6" hidden="1" x14ac:dyDescent="0.25">
      <c r="A139" s="425">
        <v>2</v>
      </c>
      <c r="B139" s="425">
        <v>3</v>
      </c>
      <c r="C139" s="139">
        <v>2027</v>
      </c>
      <c r="D139" s="426" t="s">
        <v>652</v>
      </c>
      <c r="E139" s="141">
        <v>51.2</v>
      </c>
    </row>
    <row r="140" spans="1:5" ht="15.6" hidden="1" x14ac:dyDescent="0.25">
      <c r="A140" s="425">
        <v>2</v>
      </c>
      <c r="B140" s="425">
        <v>3</v>
      </c>
      <c r="C140" s="139">
        <v>2027</v>
      </c>
      <c r="D140" s="426" t="s">
        <v>658</v>
      </c>
      <c r="E140" s="141">
        <v>9.5</v>
      </c>
    </row>
    <row r="141" spans="1:5" ht="15.6" hidden="1" x14ac:dyDescent="0.25">
      <c r="A141" s="425">
        <v>2</v>
      </c>
      <c r="B141" s="425">
        <v>3</v>
      </c>
      <c r="C141" s="139">
        <v>2027</v>
      </c>
      <c r="D141" s="426" t="s">
        <v>642</v>
      </c>
      <c r="E141" s="141">
        <v>4.0999999999999996</v>
      </c>
    </row>
    <row r="142" spans="1:5" ht="15.6" hidden="1" x14ac:dyDescent="0.25">
      <c r="A142" s="425">
        <v>2</v>
      </c>
      <c r="B142" s="425">
        <v>3</v>
      </c>
      <c r="C142" s="139">
        <v>2027</v>
      </c>
      <c r="D142" s="426" t="s">
        <v>648</v>
      </c>
      <c r="E142" s="141">
        <v>10.5</v>
      </c>
    </row>
    <row r="143" spans="1:5" ht="15.6" hidden="1" x14ac:dyDescent="0.25">
      <c r="A143" s="425">
        <v>2</v>
      </c>
      <c r="B143" s="425">
        <v>3</v>
      </c>
      <c r="C143" s="139">
        <v>2028</v>
      </c>
      <c r="D143" s="426" t="s">
        <v>644</v>
      </c>
      <c r="E143" s="141">
        <v>41.9</v>
      </c>
    </row>
    <row r="144" spans="1:5" ht="15.6" hidden="1" x14ac:dyDescent="0.25">
      <c r="A144" s="425">
        <v>2</v>
      </c>
      <c r="B144" s="425">
        <v>3</v>
      </c>
      <c r="C144" s="139">
        <v>2028</v>
      </c>
      <c r="D144" s="426" t="s">
        <v>646</v>
      </c>
      <c r="E144" s="141">
        <v>3.3</v>
      </c>
    </row>
    <row r="145" spans="1:5" ht="15.6" hidden="1" x14ac:dyDescent="0.25">
      <c r="A145" s="425">
        <v>2</v>
      </c>
      <c r="B145" s="425">
        <v>3</v>
      </c>
      <c r="C145" s="139">
        <v>2029</v>
      </c>
      <c r="D145" s="426" t="s">
        <v>645</v>
      </c>
      <c r="E145" s="141">
        <v>32.9</v>
      </c>
    </row>
    <row r="146" spans="1:5" ht="15.6" hidden="1" x14ac:dyDescent="0.25">
      <c r="A146" s="425">
        <v>2</v>
      </c>
      <c r="B146" s="425">
        <v>3</v>
      </c>
      <c r="C146" s="139">
        <v>2029</v>
      </c>
      <c r="D146" s="426" t="s">
        <v>648</v>
      </c>
      <c r="E146" s="141">
        <v>3.7</v>
      </c>
    </row>
    <row r="147" spans="1:5" ht="15.6" hidden="1" x14ac:dyDescent="0.25">
      <c r="A147" s="425">
        <v>2</v>
      </c>
      <c r="B147" s="425">
        <v>3</v>
      </c>
      <c r="C147" s="139">
        <v>2031</v>
      </c>
      <c r="D147" s="426" t="s">
        <v>645</v>
      </c>
      <c r="E147" s="141">
        <v>20.399999999999999</v>
      </c>
    </row>
    <row r="148" spans="1:5" ht="15.6" hidden="1" x14ac:dyDescent="0.25">
      <c r="A148" s="425">
        <v>2</v>
      </c>
      <c r="B148" s="425">
        <v>3</v>
      </c>
      <c r="C148" s="139">
        <v>2031</v>
      </c>
      <c r="D148" s="426" t="s">
        <v>653</v>
      </c>
      <c r="E148" s="141">
        <v>3.7</v>
      </c>
    </row>
    <row r="149" spans="1:5" ht="15.6" hidden="1" x14ac:dyDescent="0.25">
      <c r="A149" s="425">
        <v>2</v>
      </c>
      <c r="B149" s="425">
        <v>3</v>
      </c>
      <c r="C149" s="139">
        <v>2031</v>
      </c>
      <c r="D149" s="426" t="s">
        <v>657</v>
      </c>
      <c r="E149" s="141">
        <v>7.9</v>
      </c>
    </row>
    <row r="150" spans="1:5" ht="15.6" hidden="1" x14ac:dyDescent="0.25">
      <c r="A150" s="425">
        <v>2</v>
      </c>
      <c r="B150" s="425">
        <v>3</v>
      </c>
      <c r="C150" s="139">
        <v>2031</v>
      </c>
      <c r="D150" s="426" t="s">
        <v>658</v>
      </c>
      <c r="E150" s="141">
        <v>3.7</v>
      </c>
    </row>
    <row r="151" spans="1:5" ht="15.6" hidden="1" x14ac:dyDescent="0.25">
      <c r="A151" s="425">
        <v>2</v>
      </c>
      <c r="B151" s="425">
        <v>3</v>
      </c>
      <c r="C151" s="139">
        <v>2031</v>
      </c>
      <c r="D151" s="426" t="s">
        <v>651</v>
      </c>
      <c r="E151" s="141">
        <v>10</v>
      </c>
    </row>
    <row r="152" spans="1:5" ht="15.6" hidden="1" x14ac:dyDescent="0.25">
      <c r="A152" s="425">
        <v>2</v>
      </c>
      <c r="B152" s="425">
        <v>3</v>
      </c>
      <c r="C152" s="139">
        <v>2053</v>
      </c>
      <c r="D152" s="426" t="s">
        <v>645</v>
      </c>
      <c r="E152" s="141">
        <v>11.5</v>
      </c>
    </row>
    <row r="153" spans="1:5" ht="15.6" hidden="1" x14ac:dyDescent="0.25">
      <c r="A153" s="425">
        <v>2</v>
      </c>
      <c r="B153" s="425">
        <v>3</v>
      </c>
      <c r="C153" s="139">
        <v>2053</v>
      </c>
      <c r="D153" s="426" t="s">
        <v>653</v>
      </c>
      <c r="E153" s="141">
        <v>2.1</v>
      </c>
    </row>
    <row r="154" spans="1:5" ht="15.6" hidden="1" x14ac:dyDescent="0.25">
      <c r="A154" s="425">
        <v>2</v>
      </c>
      <c r="B154" s="425">
        <v>3</v>
      </c>
      <c r="C154" s="139">
        <v>2053</v>
      </c>
      <c r="D154" s="426" t="s">
        <v>646</v>
      </c>
      <c r="E154" s="141">
        <v>0.6</v>
      </c>
    </row>
    <row r="155" spans="1:5" ht="15.6" hidden="1" x14ac:dyDescent="0.25">
      <c r="A155" s="425">
        <v>2</v>
      </c>
      <c r="B155" s="425">
        <v>3</v>
      </c>
      <c r="C155" s="139">
        <v>2053</v>
      </c>
      <c r="D155" s="426" t="s">
        <v>652</v>
      </c>
      <c r="E155" s="141">
        <v>9.1999999999999993</v>
      </c>
    </row>
    <row r="156" spans="1:5" ht="15.6" hidden="1" x14ac:dyDescent="0.25">
      <c r="A156" s="425">
        <v>2</v>
      </c>
      <c r="B156" s="425">
        <v>3</v>
      </c>
      <c r="C156" s="139">
        <v>2053</v>
      </c>
      <c r="D156" s="426" t="s">
        <v>658</v>
      </c>
      <c r="E156" s="141">
        <v>2.1</v>
      </c>
    </row>
    <row r="157" spans="1:5" ht="15.6" hidden="1" x14ac:dyDescent="0.25">
      <c r="A157" s="425">
        <v>2</v>
      </c>
      <c r="B157" s="425">
        <v>3</v>
      </c>
      <c r="C157" s="139">
        <v>2053</v>
      </c>
      <c r="D157" s="426" t="s">
        <v>648</v>
      </c>
      <c r="E157" s="141">
        <v>3.5</v>
      </c>
    </row>
    <row r="158" spans="1:5" ht="15.6" x14ac:dyDescent="0.25">
      <c r="A158" s="425">
        <v>3</v>
      </c>
      <c r="B158" s="425">
        <v>2</v>
      </c>
      <c r="C158" s="139">
        <v>3027</v>
      </c>
      <c r="D158" s="426" t="s">
        <v>637</v>
      </c>
      <c r="E158" s="141">
        <v>42.8</v>
      </c>
    </row>
    <row r="159" spans="1:5" ht="15.6" hidden="1" x14ac:dyDescent="0.25">
      <c r="A159" s="425">
        <v>3</v>
      </c>
      <c r="B159" s="425">
        <v>2</v>
      </c>
      <c r="C159" s="139">
        <v>3027</v>
      </c>
      <c r="D159" s="426" t="s">
        <v>638</v>
      </c>
      <c r="E159" s="141">
        <v>13.2</v>
      </c>
    </row>
    <row r="160" spans="1:5" ht="15.6" hidden="1" x14ac:dyDescent="0.25">
      <c r="A160" s="425">
        <v>3</v>
      </c>
      <c r="B160" s="425">
        <v>2</v>
      </c>
      <c r="C160" s="139">
        <v>3027</v>
      </c>
      <c r="D160" s="426" t="s">
        <v>640</v>
      </c>
      <c r="E160" s="141">
        <v>2.2000000000000002</v>
      </c>
    </row>
    <row r="161" spans="1:5" ht="15.6" x14ac:dyDescent="0.25">
      <c r="A161" s="425">
        <v>3</v>
      </c>
      <c r="B161" s="425">
        <v>2</v>
      </c>
      <c r="C161" s="139">
        <v>3028</v>
      </c>
      <c r="D161" s="426" t="s">
        <v>637</v>
      </c>
      <c r="E161" s="141">
        <v>17.100000000000001</v>
      </c>
    </row>
    <row r="162" spans="1:5" ht="15.6" hidden="1" x14ac:dyDescent="0.25">
      <c r="A162" s="425">
        <v>3</v>
      </c>
      <c r="B162" s="425">
        <v>2</v>
      </c>
      <c r="C162" s="139">
        <v>3028</v>
      </c>
      <c r="D162" s="426" t="s">
        <v>638</v>
      </c>
      <c r="E162" s="141">
        <v>16.100000000000001</v>
      </c>
    </row>
    <row r="163" spans="1:5" ht="15.6" hidden="1" x14ac:dyDescent="0.25">
      <c r="A163" s="425">
        <v>3</v>
      </c>
      <c r="B163" s="425">
        <v>2</v>
      </c>
      <c r="C163" s="139">
        <v>3028</v>
      </c>
      <c r="D163" s="426" t="s">
        <v>640</v>
      </c>
      <c r="E163" s="141">
        <v>2.2999999999999998</v>
      </c>
    </row>
    <row r="164" spans="1:5" ht="15.6" x14ac:dyDescent="0.25">
      <c r="A164" s="425">
        <v>3</v>
      </c>
      <c r="B164" s="425">
        <v>2</v>
      </c>
      <c r="C164" s="139">
        <v>3029</v>
      </c>
      <c r="D164" s="426" t="s">
        <v>637</v>
      </c>
      <c r="E164" s="141">
        <v>28</v>
      </c>
    </row>
    <row r="165" spans="1:5" ht="15.6" hidden="1" x14ac:dyDescent="0.25">
      <c r="A165" s="425">
        <v>3</v>
      </c>
      <c r="B165" s="425">
        <v>2</v>
      </c>
      <c r="C165" s="139">
        <v>3029</v>
      </c>
      <c r="D165" s="426" t="s">
        <v>638</v>
      </c>
      <c r="E165" s="141">
        <v>20.9</v>
      </c>
    </row>
    <row r="166" spans="1:5" ht="15.6" hidden="1" x14ac:dyDescent="0.25">
      <c r="A166" s="425">
        <v>3</v>
      </c>
      <c r="B166" s="425">
        <v>2</v>
      </c>
      <c r="C166" s="139">
        <v>3029</v>
      </c>
      <c r="D166" s="426" t="s">
        <v>640</v>
      </c>
      <c r="E166" s="141">
        <v>6.5</v>
      </c>
    </row>
    <row r="167" spans="1:5" ht="15.6" hidden="1" x14ac:dyDescent="0.25">
      <c r="A167" s="425">
        <v>3</v>
      </c>
      <c r="B167" s="425">
        <v>2</v>
      </c>
      <c r="C167" s="139">
        <v>3030</v>
      </c>
      <c r="D167" s="426" t="s">
        <v>638</v>
      </c>
      <c r="E167" s="141">
        <v>74.900000000000006</v>
      </c>
    </row>
    <row r="168" spans="1:5" ht="15.6" hidden="1" x14ac:dyDescent="0.25">
      <c r="A168" s="425">
        <v>3</v>
      </c>
      <c r="B168" s="425">
        <v>2</v>
      </c>
      <c r="C168" s="139">
        <v>3030</v>
      </c>
      <c r="D168" s="426" t="s">
        <v>640</v>
      </c>
      <c r="E168" s="141">
        <v>5.7</v>
      </c>
    </row>
    <row r="169" spans="1:5" ht="15.6" hidden="1" x14ac:dyDescent="0.25">
      <c r="A169" s="425">
        <v>3</v>
      </c>
      <c r="B169" s="425">
        <v>2</v>
      </c>
      <c r="C169" s="139">
        <v>3035</v>
      </c>
      <c r="D169" s="426" t="s">
        <v>638</v>
      </c>
      <c r="E169" s="141">
        <v>145</v>
      </c>
    </row>
    <row r="170" spans="1:5" ht="15.6" hidden="1" x14ac:dyDescent="0.25">
      <c r="A170" s="425">
        <v>3</v>
      </c>
      <c r="B170" s="425">
        <v>2</v>
      </c>
      <c r="C170" s="139">
        <v>3035</v>
      </c>
      <c r="D170" s="426" t="s">
        <v>640</v>
      </c>
      <c r="E170" s="141">
        <v>14.8</v>
      </c>
    </row>
    <row r="171" spans="1:5" ht="15.6" hidden="1" x14ac:dyDescent="0.25">
      <c r="A171" s="425">
        <v>3</v>
      </c>
      <c r="B171" s="425">
        <v>3</v>
      </c>
      <c r="C171" s="139">
        <v>3036</v>
      </c>
      <c r="D171" s="426" t="s">
        <v>638</v>
      </c>
      <c r="E171" s="141">
        <v>110.6</v>
      </c>
    </row>
    <row r="172" spans="1:5" ht="15.6" hidden="1" x14ac:dyDescent="0.25">
      <c r="A172" s="425">
        <v>3</v>
      </c>
      <c r="B172" s="425">
        <v>3</v>
      </c>
      <c r="C172" s="139">
        <v>3036</v>
      </c>
      <c r="D172" s="426" t="s">
        <v>640</v>
      </c>
      <c r="E172" s="141">
        <v>18.8</v>
      </c>
    </row>
    <row r="173" spans="1:5" ht="15.6" hidden="1" x14ac:dyDescent="0.25">
      <c r="A173" s="425">
        <v>3</v>
      </c>
      <c r="B173" s="425">
        <v>3</v>
      </c>
      <c r="C173" s="139">
        <v>3038</v>
      </c>
      <c r="D173" s="426" t="s">
        <v>645</v>
      </c>
      <c r="E173" s="141">
        <v>2.8</v>
      </c>
    </row>
    <row r="174" spans="1:5" ht="15.6" hidden="1" x14ac:dyDescent="0.25">
      <c r="A174" s="425">
        <v>3</v>
      </c>
      <c r="B174" s="425">
        <v>3</v>
      </c>
      <c r="C174" s="139">
        <v>3038</v>
      </c>
      <c r="D174" s="426" t="s">
        <v>652</v>
      </c>
      <c r="E174" s="141">
        <v>9.1999999999999993</v>
      </c>
    </row>
    <row r="175" spans="1:5" ht="15.6" hidden="1" x14ac:dyDescent="0.25">
      <c r="A175" s="425">
        <v>3</v>
      </c>
      <c r="B175" s="425">
        <v>3</v>
      </c>
      <c r="C175" s="139">
        <v>3038</v>
      </c>
      <c r="D175" s="426" t="s">
        <v>658</v>
      </c>
      <c r="E175" s="141">
        <v>2.1</v>
      </c>
    </row>
    <row r="176" spans="1:5" ht="15.6" hidden="1" x14ac:dyDescent="0.25">
      <c r="A176" s="425">
        <v>3</v>
      </c>
      <c r="B176" s="425">
        <v>3</v>
      </c>
      <c r="C176" s="139">
        <v>3039</v>
      </c>
      <c r="D176" s="426" t="s">
        <v>652</v>
      </c>
      <c r="E176" s="141">
        <v>9.9</v>
      </c>
    </row>
    <row r="177" spans="1:9" ht="15.6" x14ac:dyDescent="0.25">
      <c r="A177" s="425">
        <v>3</v>
      </c>
      <c r="B177" s="425">
        <v>3</v>
      </c>
      <c r="C177" s="139">
        <v>3058</v>
      </c>
      <c r="D177" s="426" t="s">
        <v>637</v>
      </c>
      <c r="E177" s="141">
        <v>17.899999999999999</v>
      </c>
    </row>
    <row r="178" spans="1:9" ht="15.6" hidden="1" x14ac:dyDescent="0.25">
      <c r="A178" s="425">
        <v>3</v>
      </c>
      <c r="B178" s="425">
        <v>3</v>
      </c>
      <c r="C178" s="139">
        <v>3058</v>
      </c>
      <c r="D178" s="426" t="s">
        <v>638</v>
      </c>
      <c r="E178" s="141">
        <v>23.3</v>
      </c>
    </row>
    <row r="179" spans="1:9" ht="15.6" hidden="1" x14ac:dyDescent="0.25">
      <c r="A179" s="425">
        <v>3</v>
      </c>
      <c r="B179" s="425">
        <v>3</v>
      </c>
      <c r="C179" s="139">
        <v>3058</v>
      </c>
      <c r="D179" s="426" t="s">
        <v>640</v>
      </c>
      <c r="E179" s="141">
        <v>1.8</v>
      </c>
    </row>
    <row r="180" spans="1:9" ht="15.6" x14ac:dyDescent="0.25">
      <c r="A180" s="425">
        <v>4</v>
      </c>
      <c r="B180" s="425">
        <v>3</v>
      </c>
      <c r="C180" s="139">
        <v>4001</v>
      </c>
      <c r="D180" s="426" t="s">
        <v>637</v>
      </c>
      <c r="E180" s="141">
        <v>19.899999999999999</v>
      </c>
    </row>
    <row r="181" spans="1:9" ht="15.6" hidden="1" x14ac:dyDescent="0.25">
      <c r="A181" s="425">
        <v>4</v>
      </c>
      <c r="B181" s="425">
        <v>3</v>
      </c>
      <c r="C181" s="139">
        <v>4001</v>
      </c>
      <c r="D181" s="426" t="s">
        <v>638</v>
      </c>
      <c r="E181" s="141">
        <v>212.8</v>
      </c>
    </row>
    <row r="182" spans="1:9" ht="15.6" hidden="1" x14ac:dyDescent="0.25">
      <c r="A182" s="425">
        <v>4</v>
      </c>
      <c r="B182" s="425">
        <v>3</v>
      </c>
      <c r="C182" s="139">
        <v>4001</v>
      </c>
      <c r="D182" s="426" t="s">
        <v>640</v>
      </c>
      <c r="E182" s="141">
        <v>13.5</v>
      </c>
    </row>
    <row r="183" spans="1:9" ht="15.6" x14ac:dyDescent="0.25">
      <c r="A183" s="425">
        <v>4</v>
      </c>
      <c r="B183" s="425">
        <v>3</v>
      </c>
      <c r="C183" s="139">
        <v>4002</v>
      </c>
      <c r="D183" s="426" t="s">
        <v>637</v>
      </c>
      <c r="E183" s="141">
        <v>25.2</v>
      </c>
    </row>
    <row r="184" spans="1:9" ht="15.6" hidden="1" x14ac:dyDescent="0.25">
      <c r="A184" s="425">
        <v>4</v>
      </c>
      <c r="B184" s="425">
        <v>3</v>
      </c>
      <c r="C184" s="139">
        <v>4002</v>
      </c>
      <c r="D184" s="426" t="s">
        <v>638</v>
      </c>
      <c r="E184" s="141">
        <v>127</v>
      </c>
    </row>
    <row r="185" spans="1:9" ht="15.6" hidden="1" x14ac:dyDescent="0.25">
      <c r="A185" s="425">
        <v>4</v>
      </c>
      <c r="B185" s="425">
        <v>3</v>
      </c>
      <c r="C185" s="139">
        <v>4002</v>
      </c>
      <c r="D185" s="426" t="s">
        <v>640</v>
      </c>
      <c r="E185" s="141">
        <v>6.1</v>
      </c>
    </row>
    <row r="186" spans="1:9" ht="15.6" x14ac:dyDescent="0.25">
      <c r="A186" s="425">
        <v>4</v>
      </c>
      <c r="B186" s="425">
        <v>3</v>
      </c>
      <c r="C186" s="139">
        <v>4003</v>
      </c>
      <c r="D186" s="426" t="s">
        <v>637</v>
      </c>
      <c r="E186" s="141">
        <v>1.3</v>
      </c>
    </row>
    <row r="187" spans="1:9" ht="15.6" hidden="1" x14ac:dyDescent="0.25">
      <c r="A187" s="425">
        <v>4</v>
      </c>
      <c r="B187" s="425">
        <v>3</v>
      </c>
      <c r="C187" s="139">
        <v>4003</v>
      </c>
      <c r="D187" s="426" t="s">
        <v>638</v>
      </c>
      <c r="E187" s="141">
        <v>69.400000000000006</v>
      </c>
    </row>
    <row r="188" spans="1:9" ht="15.6" hidden="1" x14ac:dyDescent="0.25">
      <c r="A188" s="425">
        <v>4</v>
      </c>
      <c r="B188" s="425">
        <v>3</v>
      </c>
      <c r="C188" s="139">
        <v>4003</v>
      </c>
      <c r="D188" s="426" t="s">
        <v>640</v>
      </c>
      <c r="E188" s="141">
        <v>7.9</v>
      </c>
    </row>
    <row r="189" spans="1:9" ht="15.6" x14ac:dyDescent="0.25">
      <c r="A189" s="425">
        <v>4</v>
      </c>
      <c r="B189" s="425">
        <v>3</v>
      </c>
      <c r="C189" s="139">
        <v>4004</v>
      </c>
      <c r="D189" s="426" t="s">
        <v>637</v>
      </c>
      <c r="E189" s="141">
        <v>22.1</v>
      </c>
    </row>
    <row r="190" spans="1:9" ht="15.6" hidden="1" x14ac:dyDescent="0.25">
      <c r="A190" s="425">
        <v>4</v>
      </c>
      <c r="B190" s="425">
        <v>3</v>
      </c>
      <c r="C190" s="139">
        <v>4004</v>
      </c>
      <c r="D190" s="426" t="s">
        <v>638</v>
      </c>
      <c r="E190" s="141">
        <v>95</v>
      </c>
    </row>
    <row r="191" spans="1:9" ht="15.6" hidden="1" x14ac:dyDescent="0.25">
      <c r="A191" s="425">
        <v>4</v>
      </c>
      <c r="B191" s="425">
        <v>3</v>
      </c>
      <c r="C191" s="139">
        <v>4004</v>
      </c>
      <c r="D191" s="426" t="s">
        <v>640</v>
      </c>
      <c r="E191" s="427">
        <v>10.8</v>
      </c>
      <c r="F191" s="422"/>
      <c r="G191" s="422"/>
      <c r="H191" s="422"/>
      <c r="I191" s="422"/>
    </row>
    <row r="192" spans="1:9" ht="26.4" x14ac:dyDescent="0.25">
      <c r="A192" s="425">
        <v>4</v>
      </c>
      <c r="B192" s="425">
        <v>3</v>
      </c>
      <c r="C192" s="139">
        <v>4005</v>
      </c>
      <c r="D192" s="426" t="s">
        <v>637</v>
      </c>
      <c r="E192" s="427">
        <v>16.899999999999999</v>
      </c>
      <c r="F192" s="422"/>
      <c r="G192" s="423" t="s">
        <v>887</v>
      </c>
      <c r="H192" s="423" t="s">
        <v>888</v>
      </c>
      <c r="I192" s="422"/>
    </row>
    <row r="193" spans="1:9" ht="15.6" hidden="1" x14ac:dyDescent="0.25">
      <c r="A193" s="425">
        <v>4</v>
      </c>
      <c r="B193" s="425">
        <v>3</v>
      </c>
      <c r="C193" s="139">
        <v>4005</v>
      </c>
      <c r="D193" s="426" t="s">
        <v>638</v>
      </c>
      <c r="E193" s="427">
        <v>64.3</v>
      </c>
      <c r="F193" s="422"/>
      <c r="G193" s="424" t="s">
        <v>889</v>
      </c>
      <c r="H193" s="424" t="s">
        <v>890</v>
      </c>
      <c r="I193" s="422"/>
    </row>
    <row r="194" spans="1:9" ht="15.6" hidden="1" x14ac:dyDescent="0.25">
      <c r="A194" s="425">
        <v>4</v>
      </c>
      <c r="B194" s="425">
        <v>3</v>
      </c>
      <c r="C194" s="139">
        <v>4005</v>
      </c>
      <c r="D194" s="426" t="s">
        <v>640</v>
      </c>
      <c r="E194" s="427">
        <v>7.8</v>
      </c>
      <c r="F194" s="422"/>
      <c r="G194" s="424" t="s">
        <v>891</v>
      </c>
      <c r="H194" s="424" t="s">
        <v>892</v>
      </c>
      <c r="I194" s="422"/>
    </row>
    <row r="195" spans="1:9" ht="15.6" x14ac:dyDescent="0.25">
      <c r="A195" s="425">
        <v>4</v>
      </c>
      <c r="B195" s="425">
        <v>3</v>
      </c>
      <c r="C195" s="139">
        <v>4006</v>
      </c>
      <c r="D195" s="426" t="s">
        <v>637</v>
      </c>
      <c r="E195" s="141">
        <v>16.399999999999999</v>
      </c>
      <c r="F195" s="422"/>
      <c r="G195" s="424"/>
      <c r="H195" s="424"/>
      <c r="I195" s="422"/>
    </row>
    <row r="196" spans="1:9" ht="15.6" hidden="1" x14ac:dyDescent="0.25">
      <c r="A196" s="425">
        <v>4</v>
      </c>
      <c r="B196" s="425">
        <v>3</v>
      </c>
      <c r="C196" s="139">
        <v>4006</v>
      </c>
      <c r="D196" s="426" t="s">
        <v>638</v>
      </c>
      <c r="E196" s="141">
        <v>143.80000000000001</v>
      </c>
      <c r="F196" s="422"/>
      <c r="G196" s="424"/>
      <c r="H196" s="424"/>
      <c r="I196" s="422"/>
    </row>
    <row r="197" spans="1:9" ht="15.6" hidden="1" x14ac:dyDescent="0.25">
      <c r="A197" s="425">
        <v>4</v>
      </c>
      <c r="B197" s="425">
        <v>3</v>
      </c>
      <c r="C197" s="139">
        <v>4006</v>
      </c>
      <c r="D197" s="426" t="s">
        <v>640</v>
      </c>
      <c r="E197" s="141">
        <v>12.4</v>
      </c>
      <c r="F197" s="422"/>
      <c r="G197" s="424"/>
      <c r="H197" s="424"/>
      <c r="I197" s="422"/>
    </row>
    <row r="198" spans="1:9" ht="15.6" x14ac:dyDescent="0.25">
      <c r="A198" s="425">
        <v>4</v>
      </c>
      <c r="B198" s="425">
        <v>3</v>
      </c>
      <c r="C198" s="139">
        <v>4007</v>
      </c>
      <c r="D198" s="426" t="s">
        <v>637</v>
      </c>
      <c r="E198" s="141">
        <v>14.7</v>
      </c>
      <c r="F198" s="422"/>
      <c r="G198" s="424"/>
      <c r="H198" s="424"/>
      <c r="I198" s="422"/>
    </row>
    <row r="199" spans="1:9" ht="15.6" hidden="1" x14ac:dyDescent="0.25">
      <c r="A199" s="425">
        <v>4</v>
      </c>
      <c r="B199" s="425">
        <v>3</v>
      </c>
      <c r="C199" s="139">
        <v>4007</v>
      </c>
      <c r="D199" s="426" t="s">
        <v>638</v>
      </c>
      <c r="E199" s="141">
        <v>131.6</v>
      </c>
      <c r="F199" s="422"/>
      <c r="G199" s="424"/>
      <c r="H199" s="424"/>
      <c r="I199" s="422"/>
    </row>
    <row r="200" spans="1:9" x14ac:dyDescent="0.25">
      <c r="C200" s="421" t="e">
        <f>SUM(IF(($C$65:$C$199&lt;&gt;"")*(NOT(ISERROR($C$65:$C$199))), 1/COUNTIF($C$65:$C$199, $C$65:$C$199&amp;""), 0))</f>
        <v>#VALUE!</v>
      </c>
      <c r="E200" s="189">
        <f>SUM(Таблица17[Площадь])</f>
        <v>3534.7000000000016</v>
      </c>
      <c r="F200" s="422"/>
      <c r="G200" s="424" t="s">
        <v>894</v>
      </c>
      <c r="H200" s="424" t="s">
        <v>895</v>
      </c>
      <c r="I200" s="422"/>
    </row>
    <row r="201" spans="1:9" x14ac:dyDescent="0.25">
      <c r="F201" s="422"/>
      <c r="G201" s="424" t="s">
        <v>896</v>
      </c>
      <c r="H201" s="424" t="s">
        <v>893</v>
      </c>
      <c r="I201" s="422"/>
    </row>
    <row r="202" spans="1:9" ht="26.4" x14ac:dyDescent="0.25">
      <c r="F202" s="422"/>
      <c r="G202" s="424" t="s">
        <v>897</v>
      </c>
      <c r="H202" s="424" t="s">
        <v>898</v>
      </c>
      <c r="I202" s="422"/>
    </row>
    <row r="203" spans="1:9" x14ac:dyDescent="0.25">
      <c r="A203" s="413" t="s">
        <v>252</v>
      </c>
      <c r="B203" s="169" t="s">
        <v>251</v>
      </c>
      <c r="C203" s="169" t="s">
        <v>634</v>
      </c>
      <c r="D203" s="414" t="s">
        <v>635</v>
      </c>
      <c r="F203" s="422"/>
      <c r="G203" s="424" t="s">
        <v>899</v>
      </c>
      <c r="H203" s="424" t="s">
        <v>892</v>
      </c>
      <c r="I203" s="422"/>
    </row>
    <row r="204" spans="1:9" x14ac:dyDescent="0.25">
      <c r="A204" s="417">
        <v>1</v>
      </c>
      <c r="B204" s="417">
        <v>2</v>
      </c>
      <c r="C204" s="192" t="s">
        <v>642</v>
      </c>
      <c r="D204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50.9</v>
      </c>
      <c r="F204" s="422"/>
      <c r="G204" s="422"/>
      <c r="H204" s="422"/>
      <c r="I204" s="422"/>
    </row>
    <row r="205" spans="1:9" x14ac:dyDescent="0.25">
      <c r="A205" s="417"/>
      <c r="B205" s="417"/>
      <c r="C205" s="417"/>
      <c r="D205" s="418"/>
    </row>
    <row r="206" spans="1:9" x14ac:dyDescent="0.25">
      <c r="A206" s="417">
        <v>1</v>
      </c>
      <c r="B206" s="417">
        <v>2</v>
      </c>
      <c r="C206" s="192" t="s">
        <v>644</v>
      </c>
      <c r="D206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129</v>
      </c>
    </row>
    <row r="207" spans="1:9" x14ac:dyDescent="0.25">
      <c r="A207" s="417">
        <v>1</v>
      </c>
      <c r="B207" s="417">
        <v>2</v>
      </c>
      <c r="C207" s="192" t="s">
        <v>645</v>
      </c>
      <c r="D207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126.4</v>
      </c>
    </row>
    <row r="208" spans="1:9" x14ac:dyDescent="0.25">
      <c r="A208" s="417">
        <v>1</v>
      </c>
      <c r="B208" s="417">
        <v>2</v>
      </c>
      <c r="C208" s="192" t="s">
        <v>652</v>
      </c>
      <c r="D208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32.200000000000003</v>
      </c>
    </row>
    <row r="209" spans="1:4" x14ac:dyDescent="0.25">
      <c r="A209" s="417">
        <v>1</v>
      </c>
      <c r="B209" s="417">
        <v>2</v>
      </c>
      <c r="C209" s="192" t="s">
        <v>657</v>
      </c>
      <c r="D209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16</v>
      </c>
    </row>
    <row r="210" spans="1:4" x14ac:dyDescent="0.25">
      <c r="A210" s="417">
        <v>1</v>
      </c>
      <c r="B210" s="417">
        <v>2</v>
      </c>
      <c r="C210" s="192" t="s">
        <v>643</v>
      </c>
      <c r="D210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20.9</v>
      </c>
    </row>
    <row r="211" spans="1:4" x14ac:dyDescent="0.25">
      <c r="A211" s="417">
        <v>1</v>
      </c>
      <c r="B211" s="417">
        <v>2</v>
      </c>
      <c r="C211" s="192" t="s">
        <v>646</v>
      </c>
      <c r="D211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12" spans="1:4" x14ac:dyDescent="0.25">
      <c r="A212" s="417">
        <v>1</v>
      </c>
      <c r="B212" s="417">
        <v>2</v>
      </c>
      <c r="C212" s="192" t="s">
        <v>653</v>
      </c>
      <c r="D212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15.899999999999999</v>
      </c>
    </row>
    <row r="213" spans="1:4" x14ac:dyDescent="0.25">
      <c r="A213" s="417">
        <v>1</v>
      </c>
      <c r="B213" s="417">
        <v>2</v>
      </c>
      <c r="C213" s="192" t="s">
        <v>658</v>
      </c>
      <c r="D213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4.3</v>
      </c>
    </row>
    <row r="214" spans="1:4" x14ac:dyDescent="0.25">
      <c r="A214" s="417"/>
      <c r="B214" s="417"/>
      <c r="C214" s="417"/>
      <c r="D214" s="418"/>
    </row>
    <row r="215" spans="1:4" x14ac:dyDescent="0.25">
      <c r="A215" s="417">
        <v>1</v>
      </c>
      <c r="B215" s="417">
        <v>2</v>
      </c>
      <c r="C215" s="192" t="s">
        <v>638</v>
      </c>
      <c r="D215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151.80000000000004</v>
      </c>
    </row>
    <row r="216" spans="1:4" x14ac:dyDescent="0.25">
      <c r="A216" s="417">
        <v>1</v>
      </c>
      <c r="B216" s="417">
        <v>2</v>
      </c>
      <c r="C216" s="192" t="s">
        <v>637</v>
      </c>
      <c r="D216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260.2</v>
      </c>
    </row>
    <row r="217" spans="1:4" x14ac:dyDescent="0.25">
      <c r="A217" s="417"/>
      <c r="B217" s="417"/>
      <c r="C217" s="417"/>
      <c r="D217" s="418"/>
    </row>
    <row r="218" spans="1:4" x14ac:dyDescent="0.25">
      <c r="A218" s="417">
        <v>1</v>
      </c>
      <c r="B218" s="417">
        <v>2</v>
      </c>
      <c r="C218" s="192" t="s">
        <v>640</v>
      </c>
      <c r="D218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122.19999999999999</v>
      </c>
    </row>
    <row r="219" spans="1:4" x14ac:dyDescent="0.25">
      <c r="A219" s="417"/>
      <c r="B219" s="417"/>
      <c r="C219" s="417"/>
      <c r="D219" s="418"/>
    </row>
    <row r="220" spans="1:4" x14ac:dyDescent="0.25">
      <c r="A220" s="417">
        <v>1</v>
      </c>
      <c r="B220" s="417">
        <v>3</v>
      </c>
      <c r="C220" s="192" t="s">
        <v>645</v>
      </c>
      <c r="D220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</v>
      </c>
    </row>
    <row r="221" spans="1:4" x14ac:dyDescent="0.25">
      <c r="A221" s="417">
        <v>1</v>
      </c>
      <c r="B221" s="417">
        <v>3</v>
      </c>
      <c r="C221" s="192" t="s">
        <v>652</v>
      </c>
      <c r="D221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7.1</v>
      </c>
    </row>
    <row r="222" spans="1:4" x14ac:dyDescent="0.25">
      <c r="A222" s="417">
        <v>1</v>
      </c>
      <c r="B222" s="417">
        <v>3</v>
      </c>
      <c r="C222" s="192" t="s">
        <v>643</v>
      </c>
      <c r="D222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63.7</v>
      </c>
    </row>
    <row r="223" spans="1:4" x14ac:dyDescent="0.25">
      <c r="A223" s="417"/>
      <c r="B223" s="417"/>
      <c r="C223" s="417"/>
      <c r="D223" s="418"/>
    </row>
    <row r="224" spans="1:4" x14ac:dyDescent="0.25">
      <c r="A224" s="417">
        <v>1</v>
      </c>
      <c r="B224" s="417">
        <v>3</v>
      </c>
      <c r="C224" s="192" t="s">
        <v>638</v>
      </c>
      <c r="D224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84.1</v>
      </c>
    </row>
    <row r="225" spans="1:4" x14ac:dyDescent="0.25">
      <c r="A225" s="417">
        <v>1</v>
      </c>
      <c r="B225" s="417">
        <v>3</v>
      </c>
      <c r="C225" s="192" t="s">
        <v>637</v>
      </c>
      <c r="D225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95.300000000000011</v>
      </c>
    </row>
    <row r="226" spans="1:4" x14ac:dyDescent="0.25">
      <c r="A226" s="417"/>
      <c r="B226" s="417"/>
      <c r="C226" s="417"/>
      <c r="D226" s="418"/>
    </row>
    <row r="227" spans="1:4" x14ac:dyDescent="0.25">
      <c r="A227" s="417">
        <v>1</v>
      </c>
      <c r="B227" s="417">
        <v>3</v>
      </c>
      <c r="C227" s="192" t="s">
        <v>640</v>
      </c>
      <c r="D227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40.4</v>
      </c>
    </row>
    <row r="228" spans="1:4" x14ac:dyDescent="0.25">
      <c r="A228" s="417"/>
      <c r="B228" s="417"/>
      <c r="C228" s="417"/>
      <c r="D228" s="418"/>
    </row>
    <row r="229" spans="1:4" x14ac:dyDescent="0.25">
      <c r="A229" s="417">
        <v>2</v>
      </c>
      <c r="B229" s="417">
        <v>2</v>
      </c>
      <c r="C229" s="192" t="s">
        <v>642</v>
      </c>
      <c r="D229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53.2</v>
      </c>
    </row>
    <row r="230" spans="1:4" x14ac:dyDescent="0.25">
      <c r="A230" s="417"/>
      <c r="B230" s="417"/>
      <c r="C230" s="417"/>
      <c r="D230" s="418"/>
    </row>
    <row r="231" spans="1:4" x14ac:dyDescent="0.25">
      <c r="A231" s="417">
        <v>2</v>
      </c>
      <c r="B231" s="417">
        <v>2</v>
      </c>
      <c r="C231" s="192" t="s">
        <v>638</v>
      </c>
      <c r="D231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125.6</v>
      </c>
    </row>
    <row r="232" spans="1:4" x14ac:dyDescent="0.25">
      <c r="A232" s="417">
        <v>2</v>
      </c>
      <c r="B232" s="417">
        <v>2</v>
      </c>
      <c r="C232" s="192" t="s">
        <v>637</v>
      </c>
      <c r="D232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33" spans="1:4" x14ac:dyDescent="0.25">
      <c r="A233" s="417"/>
      <c r="B233" s="417"/>
      <c r="C233" s="417"/>
      <c r="D233" s="418"/>
    </row>
    <row r="234" spans="1:4" x14ac:dyDescent="0.25">
      <c r="A234" s="417">
        <v>2</v>
      </c>
      <c r="B234" s="417">
        <v>2</v>
      </c>
      <c r="C234" s="192" t="s">
        <v>640</v>
      </c>
      <c r="D234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</v>
      </c>
    </row>
    <row r="235" spans="1:4" x14ac:dyDescent="0.25">
      <c r="A235" s="417"/>
      <c r="B235" s="417"/>
      <c r="C235" s="417"/>
      <c r="D235" s="418"/>
    </row>
    <row r="236" spans="1:4" x14ac:dyDescent="0.25">
      <c r="A236" s="417">
        <v>2</v>
      </c>
      <c r="B236" s="417">
        <v>3</v>
      </c>
      <c r="C236" s="192" t="s">
        <v>651</v>
      </c>
      <c r="D236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10</v>
      </c>
    </row>
    <row r="237" spans="1:4" x14ac:dyDescent="0.25">
      <c r="A237" s="417">
        <v>2</v>
      </c>
      <c r="B237" s="417">
        <v>3</v>
      </c>
      <c r="C237" s="192" t="s">
        <v>642</v>
      </c>
      <c r="D237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4.1999999999999993</v>
      </c>
    </row>
    <row r="238" spans="1:4" x14ac:dyDescent="0.25">
      <c r="A238" s="417">
        <v>2</v>
      </c>
      <c r="B238" s="417">
        <v>3</v>
      </c>
      <c r="C238" s="192" t="s">
        <v>648</v>
      </c>
      <c r="D238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18.399999999999999</v>
      </c>
    </row>
    <row r="239" spans="1:4" x14ac:dyDescent="0.25">
      <c r="A239" s="417"/>
      <c r="B239" s="417"/>
      <c r="C239" s="417"/>
      <c r="D239" s="418"/>
    </row>
    <row r="240" spans="1:4" x14ac:dyDescent="0.25">
      <c r="A240" s="417">
        <v>2</v>
      </c>
      <c r="B240" s="417">
        <v>3</v>
      </c>
      <c r="C240" s="192" t="s">
        <v>644</v>
      </c>
      <c r="D240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77.099999999999994</v>
      </c>
    </row>
    <row r="241" spans="1:4" x14ac:dyDescent="0.25">
      <c r="A241" s="417">
        <v>2</v>
      </c>
      <c r="B241" s="417">
        <v>3</v>
      </c>
      <c r="C241" s="192" t="s">
        <v>645</v>
      </c>
      <c r="D241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141.20000000000002</v>
      </c>
    </row>
    <row r="242" spans="1:4" x14ac:dyDescent="0.25">
      <c r="A242" s="417">
        <v>2</v>
      </c>
      <c r="B242" s="417">
        <v>3</v>
      </c>
      <c r="C242" s="192" t="s">
        <v>652</v>
      </c>
      <c r="D242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89.3</v>
      </c>
    </row>
    <row r="243" spans="1:4" x14ac:dyDescent="0.25">
      <c r="A243" s="417">
        <v>2</v>
      </c>
      <c r="B243" s="417">
        <v>3</v>
      </c>
      <c r="C243" s="192" t="s">
        <v>657</v>
      </c>
      <c r="D243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22.4</v>
      </c>
    </row>
    <row r="244" spans="1:4" x14ac:dyDescent="0.25">
      <c r="A244" s="417">
        <v>2</v>
      </c>
      <c r="B244" s="417">
        <v>3</v>
      </c>
      <c r="C244" s="192" t="s">
        <v>646</v>
      </c>
      <c r="D244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3.9</v>
      </c>
    </row>
    <row r="245" spans="1:4" x14ac:dyDescent="0.25">
      <c r="A245" s="417">
        <v>2</v>
      </c>
      <c r="B245" s="417">
        <v>3</v>
      </c>
      <c r="C245" s="192" t="s">
        <v>653</v>
      </c>
      <c r="D245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5.8000000000000007</v>
      </c>
    </row>
    <row r="246" spans="1:4" x14ac:dyDescent="0.25">
      <c r="A246" s="417">
        <v>2</v>
      </c>
      <c r="B246" s="417">
        <v>3</v>
      </c>
      <c r="C246" s="192" t="s">
        <v>658</v>
      </c>
      <c r="D246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26.1</v>
      </c>
    </row>
    <row r="247" spans="1:4" x14ac:dyDescent="0.25">
      <c r="A247" s="417"/>
      <c r="B247" s="417"/>
      <c r="C247" s="417"/>
      <c r="D247" s="418"/>
    </row>
    <row r="248" spans="1:4" x14ac:dyDescent="0.25">
      <c r="A248" s="417">
        <v>3</v>
      </c>
      <c r="B248" s="417">
        <v>2</v>
      </c>
      <c r="C248" s="192" t="s">
        <v>638</v>
      </c>
      <c r="D248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270.10000000000002</v>
      </c>
    </row>
    <row r="249" spans="1:4" x14ac:dyDescent="0.25">
      <c r="A249" s="417">
        <v>3</v>
      </c>
      <c r="B249" s="417">
        <v>2</v>
      </c>
      <c r="C249" s="192" t="s">
        <v>637</v>
      </c>
      <c r="D249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87.9</v>
      </c>
    </row>
    <row r="250" spans="1:4" x14ac:dyDescent="0.25">
      <c r="A250" s="417"/>
      <c r="B250" s="417"/>
      <c r="C250" s="417"/>
      <c r="D250" s="418"/>
    </row>
    <row r="251" spans="1:4" x14ac:dyDescent="0.25">
      <c r="A251" s="417">
        <v>3</v>
      </c>
      <c r="B251" s="417">
        <v>2</v>
      </c>
      <c r="C251" s="192" t="s">
        <v>640</v>
      </c>
      <c r="D251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31.5</v>
      </c>
    </row>
    <row r="252" spans="1:4" x14ac:dyDescent="0.25">
      <c r="A252" s="417"/>
      <c r="B252" s="417"/>
      <c r="C252" s="417"/>
      <c r="D252" s="418"/>
    </row>
    <row r="253" spans="1:4" x14ac:dyDescent="0.25">
      <c r="A253" s="417">
        <v>3</v>
      </c>
      <c r="B253" s="417">
        <v>3</v>
      </c>
      <c r="C253" s="192" t="s">
        <v>645</v>
      </c>
      <c r="D253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2.8</v>
      </c>
    </row>
    <row r="254" spans="1:4" x14ac:dyDescent="0.25">
      <c r="A254" s="417">
        <v>3</v>
      </c>
      <c r="B254" s="417">
        <v>3</v>
      </c>
      <c r="C254" s="192" t="s">
        <v>652</v>
      </c>
      <c r="D254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19.100000000000001</v>
      </c>
    </row>
    <row r="255" spans="1:4" x14ac:dyDescent="0.25">
      <c r="A255" s="417">
        <v>3</v>
      </c>
      <c r="B255" s="417">
        <v>3</v>
      </c>
      <c r="C255" s="192" t="s">
        <v>658</v>
      </c>
      <c r="D255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2.1</v>
      </c>
    </row>
    <row r="256" spans="1:4" x14ac:dyDescent="0.25">
      <c r="A256" s="417"/>
      <c r="B256" s="417"/>
      <c r="C256" s="417"/>
      <c r="D256" s="418"/>
    </row>
    <row r="257" spans="1:4" x14ac:dyDescent="0.25">
      <c r="A257" s="417">
        <v>3</v>
      </c>
      <c r="B257" s="417">
        <v>3</v>
      </c>
      <c r="C257" s="192" t="s">
        <v>638</v>
      </c>
      <c r="D257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133.9</v>
      </c>
    </row>
    <row r="258" spans="1:4" x14ac:dyDescent="0.25">
      <c r="A258" s="417">
        <v>3</v>
      </c>
      <c r="B258" s="417">
        <v>3</v>
      </c>
      <c r="C258" s="192" t="s">
        <v>637</v>
      </c>
      <c r="D258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17.899999999999999</v>
      </c>
    </row>
    <row r="259" spans="1:4" x14ac:dyDescent="0.25">
      <c r="A259" s="417"/>
      <c r="B259" s="417"/>
      <c r="C259" s="417"/>
      <c r="D259" s="418"/>
    </row>
    <row r="260" spans="1:4" x14ac:dyDescent="0.25">
      <c r="A260" s="417">
        <v>3</v>
      </c>
      <c r="B260" s="417">
        <v>3</v>
      </c>
      <c r="C260" s="192" t="s">
        <v>640</v>
      </c>
      <c r="D260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20.6</v>
      </c>
    </row>
    <row r="261" spans="1:4" x14ac:dyDescent="0.25">
      <c r="A261" s="417"/>
      <c r="B261" s="417"/>
      <c r="C261" s="417"/>
      <c r="D261" s="418"/>
    </row>
    <row r="262" spans="1:4" x14ac:dyDescent="0.25">
      <c r="A262" s="417">
        <v>4</v>
      </c>
      <c r="B262" s="417">
        <v>3</v>
      </c>
      <c r="C262" s="192" t="s">
        <v>638</v>
      </c>
      <c r="D262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843.9</v>
      </c>
    </row>
    <row r="263" spans="1:4" x14ac:dyDescent="0.25">
      <c r="A263" s="417">
        <v>4</v>
      </c>
      <c r="B263" s="417">
        <v>3</v>
      </c>
      <c r="C263" s="192" t="s">
        <v>637</v>
      </c>
      <c r="D263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116.50000000000001</v>
      </c>
    </row>
    <row r="264" spans="1:4" x14ac:dyDescent="0.25">
      <c r="A264" s="417"/>
      <c r="B264" s="417"/>
      <c r="C264" s="417"/>
      <c r="D264" s="418"/>
    </row>
    <row r="265" spans="1:4" x14ac:dyDescent="0.25">
      <c r="A265" s="417">
        <v>4</v>
      </c>
      <c r="B265" s="417">
        <v>3</v>
      </c>
      <c r="C265" s="192" t="s">
        <v>640</v>
      </c>
      <c r="D265" s="418">
        <f>SUM(SUMIFS(Таблица17[Площадь],Таблица17[Этаж],Таблица1820[[#This Row],[Этаж]],Таблица17[Секция],Таблица1820[[#This Row],[Секция]],Таблица17[Марка],Таблица1820[[#This Row],[Марка]]))</f>
        <v>58.499999999999993</v>
      </c>
    </row>
    <row r="266" spans="1:4" x14ac:dyDescent="0.25">
      <c r="C266" s="415" t="s">
        <v>231</v>
      </c>
      <c r="D266" s="416">
        <f>SUM(D204:D265)</f>
        <v>3534.7000000000003</v>
      </c>
    </row>
  </sheetData>
  <mergeCells count="14">
    <mergeCell ref="B1:E1"/>
    <mergeCell ref="F1:G1"/>
    <mergeCell ref="B2:E2"/>
    <mergeCell ref="F2:G2"/>
    <mergeCell ref="B3:E3"/>
    <mergeCell ref="F3:G3"/>
    <mergeCell ref="A7:H7"/>
    <mergeCell ref="A61:C61"/>
    <mergeCell ref="B4:E4"/>
    <mergeCell ref="F4:G4"/>
    <mergeCell ref="B5:E5"/>
    <mergeCell ref="F5:G5"/>
    <mergeCell ref="B6:E6"/>
    <mergeCell ref="F6:G6"/>
  </mergeCells>
  <conditionalFormatting sqref="G193:G204">
    <cfRule type="uniqueValues" dxfId="1" priority="13"/>
    <cfRule type="uniqueValues" dxfId="0" priority="14"/>
  </conditionalFormatting>
  <pageMargins left="0.7" right="0.7" top="0.75" bottom="0.75" header="0.3" footer="0.3"/>
  <pageSetup paperSize="9" orientation="portrait" horizontalDpi="0" verticalDpi="0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281"/>
  <sheetViews>
    <sheetView topLeftCell="A142" zoomScaleNormal="100" workbookViewId="0">
      <selection activeCell="E253" sqref="E253"/>
    </sheetView>
  </sheetViews>
  <sheetFormatPr defaultRowHeight="13.2" x14ac:dyDescent="0.25"/>
  <cols>
    <col min="1" max="1" width="8.77734375" style="189" customWidth="1"/>
    <col min="2" max="2" width="11.5546875" style="189" customWidth="1"/>
    <col min="3" max="3" width="11.88671875" style="189" customWidth="1"/>
    <col min="4" max="4" width="15.44140625" style="189" customWidth="1"/>
    <col min="5" max="5" width="17.5546875" style="189" customWidth="1"/>
    <col min="6" max="6" width="25.109375" style="189" customWidth="1"/>
    <col min="7" max="7" width="15.44140625" style="189" customWidth="1"/>
    <col min="8" max="8" width="9.21875" style="189" customWidth="1"/>
    <col min="9" max="9" width="7.6640625" style="189" customWidth="1"/>
    <col min="10" max="16384" width="8.88671875" style="189"/>
  </cols>
  <sheetData>
    <row r="1" spans="1:9" customFormat="1" ht="15.6" customHeight="1" x14ac:dyDescent="0.3">
      <c r="A1" s="346" t="s">
        <v>728</v>
      </c>
      <c r="B1" s="439" t="s">
        <v>729</v>
      </c>
      <c r="C1" s="440"/>
      <c r="D1" s="440"/>
      <c r="E1" s="441"/>
      <c r="F1" s="442" t="s">
        <v>228</v>
      </c>
      <c r="G1" s="443"/>
      <c r="H1" s="346" t="s">
        <v>14</v>
      </c>
      <c r="I1" s="350" t="s">
        <v>730</v>
      </c>
    </row>
    <row r="2" spans="1:9" customFormat="1" ht="51" customHeight="1" thickBot="1" x14ac:dyDescent="0.35">
      <c r="A2" s="388">
        <v>1</v>
      </c>
      <c r="B2" s="444" t="s">
        <v>313</v>
      </c>
      <c r="C2" s="445"/>
      <c r="D2" s="445"/>
      <c r="E2" s="446"/>
      <c r="F2" s="447" t="s">
        <v>814</v>
      </c>
      <c r="G2" s="448"/>
      <c r="H2" s="388" t="s">
        <v>128</v>
      </c>
      <c r="I2" s="389">
        <f>SUM(I3:I6)/7.61406957765593</f>
        <v>0</v>
      </c>
    </row>
    <row r="3" spans="1:9" customFormat="1" ht="48.6" customHeight="1" x14ac:dyDescent="0.3">
      <c r="A3" s="346">
        <v>2</v>
      </c>
      <c r="B3" s="432" t="s">
        <v>406</v>
      </c>
      <c r="C3" s="449"/>
      <c r="D3" s="449"/>
      <c r="E3" s="433"/>
      <c r="F3" s="450" t="s">
        <v>823</v>
      </c>
      <c r="G3" s="451"/>
      <c r="H3" s="381" t="s">
        <v>23</v>
      </c>
      <c r="I3" s="384">
        <f>SUM(SUMIF($D$9:$D$281, {"ЧН-1","ЧН-7","ЧН-10"}, $E$9:$E$281))</f>
        <v>0</v>
      </c>
    </row>
    <row r="4" spans="1:9" customFormat="1" ht="48.6" customHeight="1" x14ac:dyDescent="0.3">
      <c r="A4" s="347">
        <v>3</v>
      </c>
      <c r="B4" s="455" t="s">
        <v>406</v>
      </c>
      <c r="C4" s="456"/>
      <c r="D4" s="456"/>
      <c r="E4" s="457"/>
      <c r="F4" s="458" t="s">
        <v>824</v>
      </c>
      <c r="G4" s="459"/>
      <c r="H4" s="382" t="s">
        <v>23</v>
      </c>
      <c r="I4" s="385">
        <f>SUM(SUMIF($D$9:$D$281, {"ЧН-4","ЧН-12","ЧН-13","ЧН-15","ЧН-16","ЧН-20","ЧН-21","ЧН-23"}, $E$9:$E$281))</f>
        <v>0</v>
      </c>
    </row>
    <row r="5" spans="1:9" customFormat="1" ht="48.6" customHeight="1" x14ac:dyDescent="0.3">
      <c r="A5" s="346">
        <v>4</v>
      </c>
      <c r="B5" s="432" t="s">
        <v>453</v>
      </c>
      <c r="C5" s="449"/>
      <c r="D5" s="449"/>
      <c r="E5" s="433"/>
      <c r="F5" s="450" t="s">
        <v>794</v>
      </c>
      <c r="G5" s="451"/>
      <c r="H5" s="381" t="s">
        <v>23</v>
      </c>
      <c r="I5" s="386">
        <f>SUM(SUMIF($D$9:$D$281, {"ЧН-6","ЧН-11"}, $E$9:$E$281))</f>
        <v>0</v>
      </c>
    </row>
    <row r="6" spans="1:9" customFormat="1" ht="48.6" customHeight="1" thickBot="1" x14ac:dyDescent="0.35">
      <c r="A6" s="347">
        <v>5</v>
      </c>
      <c r="B6" s="455" t="s">
        <v>453</v>
      </c>
      <c r="C6" s="456"/>
      <c r="D6" s="456"/>
      <c r="E6" s="457"/>
      <c r="F6" s="458" t="s">
        <v>793</v>
      </c>
      <c r="G6" s="459"/>
      <c r="H6" s="382" t="s">
        <v>23</v>
      </c>
      <c r="I6" s="387">
        <f>SUM(SUMIF($D$9:$D$281, {"ЧН-5"}, $E$9:$E$281))</f>
        <v>0</v>
      </c>
    </row>
    <row r="7" spans="1:9" customFormat="1" ht="19.8" customHeight="1" x14ac:dyDescent="0.3">
      <c r="A7" s="452" t="s">
        <v>822</v>
      </c>
      <c r="B7" s="452"/>
      <c r="C7" s="452"/>
      <c r="D7" s="452"/>
      <c r="E7" s="452"/>
      <c r="F7" s="452"/>
      <c r="G7" s="452"/>
      <c r="H7" s="453"/>
      <c r="I7" s="383">
        <f>SUM(I3:I6)</f>
        <v>0</v>
      </c>
    </row>
    <row r="8" spans="1:9" s="188" customFormat="1" ht="26.4" x14ac:dyDescent="0.25">
      <c r="A8" s="390" t="s">
        <v>252</v>
      </c>
      <c r="B8" s="391" t="s">
        <v>251</v>
      </c>
      <c r="C8" s="391" t="s">
        <v>818</v>
      </c>
      <c r="D8" s="391" t="s">
        <v>634</v>
      </c>
      <c r="E8" s="392" t="s">
        <v>635</v>
      </c>
      <c r="F8" s="376"/>
      <c r="G8" s="412"/>
      <c r="H8" s="412"/>
      <c r="I8" s="412"/>
    </row>
    <row r="9" spans="1:9" ht="15.6" x14ac:dyDescent="0.25">
      <c r="A9" s="393">
        <v>1</v>
      </c>
      <c r="B9" s="394">
        <v>2</v>
      </c>
      <c r="C9" s="411" t="s">
        <v>859</v>
      </c>
      <c r="D9" s="395"/>
      <c r="E9" s="396"/>
      <c r="F9" s="376"/>
      <c r="G9" s="412"/>
      <c r="H9" s="412"/>
      <c r="I9" s="412"/>
    </row>
    <row r="10" spans="1:9" ht="15" customHeight="1" x14ac:dyDescent="0.25">
      <c r="A10" s="393">
        <v>1</v>
      </c>
      <c r="B10" s="394">
        <v>2</v>
      </c>
      <c r="C10" s="408" t="s">
        <v>860</v>
      </c>
      <c r="D10" s="409"/>
      <c r="E10" s="410"/>
      <c r="F10" s="376"/>
      <c r="G10" s="412"/>
      <c r="H10" s="412"/>
      <c r="I10" s="412"/>
    </row>
    <row r="11" spans="1:9" ht="15" hidden="1" customHeight="1" x14ac:dyDescent="0.25">
      <c r="A11" s="393"/>
      <c r="B11" s="394"/>
      <c r="C11" s="303"/>
      <c r="D11" s="395"/>
      <c r="E11" s="396"/>
      <c r="F11" s="376"/>
      <c r="G11" s="412"/>
      <c r="H11" s="412"/>
      <c r="I11" s="412"/>
    </row>
    <row r="12" spans="1:9" ht="15" hidden="1" customHeight="1" x14ac:dyDescent="0.25">
      <c r="A12" s="393"/>
      <c r="B12" s="394"/>
      <c r="C12" s="303"/>
      <c r="D12" s="395"/>
      <c r="E12" s="396"/>
      <c r="F12" s="376"/>
      <c r="G12" s="412"/>
      <c r="H12" s="412"/>
      <c r="I12" s="412"/>
    </row>
    <row r="13" spans="1:9" ht="15" hidden="1" customHeight="1" x14ac:dyDescent="0.25">
      <c r="A13" s="393"/>
      <c r="B13" s="394"/>
      <c r="C13" s="303"/>
      <c r="D13" s="395"/>
      <c r="E13" s="396"/>
      <c r="F13" s="376"/>
      <c r="G13" s="412"/>
      <c r="H13" s="412"/>
      <c r="I13" s="412"/>
    </row>
    <row r="14" spans="1:9" ht="15.6" x14ac:dyDescent="0.25">
      <c r="A14" s="393">
        <v>1</v>
      </c>
      <c r="B14" s="394">
        <v>2</v>
      </c>
      <c r="C14" s="303" t="s">
        <v>867</v>
      </c>
      <c r="D14" s="409"/>
      <c r="E14" s="410"/>
      <c r="F14" s="376"/>
      <c r="G14" s="412"/>
      <c r="H14" s="412"/>
      <c r="I14" s="412"/>
    </row>
    <row r="15" spans="1:9" ht="15.6" hidden="1" x14ac:dyDescent="0.25">
      <c r="A15" s="393"/>
      <c r="B15" s="394"/>
      <c r="C15" s="303"/>
      <c r="D15" s="395"/>
      <c r="E15" s="396"/>
      <c r="F15" s="376"/>
      <c r="G15" s="412"/>
      <c r="H15" s="412"/>
      <c r="I15" s="412"/>
    </row>
    <row r="16" spans="1:9" ht="15.6" hidden="1" x14ac:dyDescent="0.25">
      <c r="A16" s="393"/>
      <c r="B16" s="394"/>
      <c r="C16" s="303"/>
      <c r="D16" s="395"/>
      <c r="E16" s="396"/>
      <c r="F16" s="376"/>
      <c r="G16" s="412"/>
      <c r="H16" s="412"/>
      <c r="I16" s="412"/>
    </row>
    <row r="17" spans="1:9" ht="15.6" hidden="1" x14ac:dyDescent="0.25">
      <c r="A17" s="393"/>
      <c r="B17" s="394"/>
      <c r="C17" s="303"/>
      <c r="D17" s="395"/>
      <c r="E17" s="396"/>
      <c r="F17" s="376"/>
      <c r="G17" s="412"/>
      <c r="H17" s="412"/>
      <c r="I17" s="412"/>
    </row>
    <row r="18" spans="1:9" ht="15.6" hidden="1" x14ac:dyDescent="0.25">
      <c r="A18" s="393"/>
      <c r="B18" s="394"/>
      <c r="C18" s="303"/>
      <c r="D18" s="395"/>
      <c r="E18" s="396"/>
      <c r="F18" s="376"/>
      <c r="G18" s="412"/>
      <c r="H18" s="412"/>
      <c r="I18" s="412"/>
    </row>
    <row r="19" spans="1:9" ht="15.6" x14ac:dyDescent="0.25">
      <c r="A19" s="393">
        <v>1</v>
      </c>
      <c r="B19" s="394">
        <v>2</v>
      </c>
      <c r="C19" s="303" t="s">
        <v>868</v>
      </c>
      <c r="D19" s="409"/>
      <c r="E19" s="410"/>
      <c r="F19" s="376"/>
      <c r="G19" s="412"/>
      <c r="H19" s="412"/>
      <c r="I19" s="412"/>
    </row>
    <row r="20" spans="1:9" ht="15.6" hidden="1" x14ac:dyDescent="0.25">
      <c r="A20" s="393"/>
      <c r="B20" s="394"/>
      <c r="C20" s="303"/>
      <c r="D20" s="395"/>
      <c r="E20" s="396"/>
      <c r="F20" s="376"/>
      <c r="G20" s="412"/>
      <c r="H20" s="412"/>
      <c r="I20" s="412"/>
    </row>
    <row r="21" spans="1:9" ht="15.6" hidden="1" x14ac:dyDescent="0.25">
      <c r="A21" s="393"/>
      <c r="B21" s="394"/>
      <c r="C21" s="303"/>
      <c r="D21" s="395"/>
      <c r="E21" s="396"/>
      <c r="F21" s="376"/>
      <c r="G21" s="412"/>
      <c r="H21" s="412"/>
      <c r="I21" s="412"/>
    </row>
    <row r="22" spans="1:9" ht="15.6" hidden="1" x14ac:dyDescent="0.25">
      <c r="A22" s="393"/>
      <c r="B22" s="394"/>
      <c r="C22" s="303"/>
      <c r="D22" s="395"/>
      <c r="E22" s="396"/>
      <c r="F22" s="376"/>
      <c r="G22" s="412"/>
      <c r="H22" s="412"/>
      <c r="I22" s="412"/>
    </row>
    <row r="23" spans="1:9" ht="15.6" hidden="1" x14ac:dyDescent="0.25">
      <c r="A23" s="393"/>
      <c r="B23" s="394"/>
      <c r="C23" s="303"/>
      <c r="D23" s="395"/>
      <c r="E23" s="396"/>
      <c r="F23" s="376"/>
      <c r="G23" s="412"/>
      <c r="H23" s="412"/>
      <c r="I23" s="412"/>
    </row>
    <row r="24" spans="1:9" ht="15.6" x14ac:dyDescent="0.25">
      <c r="A24" s="393">
        <v>1</v>
      </c>
      <c r="B24" s="394">
        <v>2</v>
      </c>
      <c r="C24" s="303" t="s">
        <v>869</v>
      </c>
      <c r="D24" s="395"/>
      <c r="E24" s="396"/>
      <c r="F24" s="376"/>
      <c r="G24" s="412"/>
      <c r="H24" s="412"/>
      <c r="I24" s="412"/>
    </row>
    <row r="25" spans="1:9" ht="15.6" hidden="1" x14ac:dyDescent="0.25">
      <c r="A25" s="393"/>
      <c r="B25" s="394"/>
      <c r="C25" s="303"/>
      <c r="D25" s="395"/>
      <c r="E25" s="396"/>
      <c r="F25" s="376"/>
      <c r="G25" s="412"/>
      <c r="H25" s="412"/>
      <c r="I25" s="412"/>
    </row>
    <row r="26" spans="1:9" ht="15.6" hidden="1" x14ac:dyDescent="0.25">
      <c r="A26" s="393"/>
      <c r="B26" s="394"/>
      <c r="C26" s="303"/>
      <c r="D26" s="395"/>
      <c r="E26" s="396"/>
      <c r="F26" s="376"/>
      <c r="G26" s="412"/>
      <c r="H26" s="412"/>
      <c r="I26" s="412"/>
    </row>
    <row r="27" spans="1:9" ht="15.6" hidden="1" x14ac:dyDescent="0.25">
      <c r="A27" s="393"/>
      <c r="B27" s="394"/>
      <c r="C27" s="303"/>
      <c r="D27" s="395"/>
      <c r="E27" s="396"/>
      <c r="F27" s="376"/>
      <c r="G27" s="412"/>
      <c r="H27" s="412"/>
      <c r="I27" s="412"/>
    </row>
    <row r="28" spans="1:9" ht="15.6" hidden="1" x14ac:dyDescent="0.25">
      <c r="A28" s="393"/>
      <c r="B28" s="394"/>
      <c r="C28" s="303"/>
      <c r="D28" s="395"/>
      <c r="E28" s="396"/>
      <c r="F28" s="376"/>
      <c r="G28" s="412"/>
      <c r="H28" s="412"/>
      <c r="I28" s="412"/>
    </row>
    <row r="29" spans="1:9" ht="15.6" x14ac:dyDescent="0.25">
      <c r="A29" s="393">
        <v>1</v>
      </c>
      <c r="B29" s="394">
        <v>2</v>
      </c>
      <c r="C29" s="303" t="s">
        <v>870</v>
      </c>
      <c r="D29" s="409"/>
      <c r="E29" s="410"/>
      <c r="F29" s="376"/>
      <c r="G29" s="412"/>
      <c r="H29" s="412"/>
      <c r="I29" s="412"/>
    </row>
    <row r="30" spans="1:9" ht="15.6" hidden="1" x14ac:dyDescent="0.25">
      <c r="A30" s="393"/>
      <c r="B30" s="394"/>
      <c r="C30" s="303"/>
      <c r="D30" s="395"/>
      <c r="E30" s="396"/>
      <c r="F30" s="376"/>
      <c r="G30" s="412"/>
      <c r="H30" s="412"/>
      <c r="I30" s="412"/>
    </row>
    <row r="31" spans="1:9" ht="15.6" hidden="1" x14ac:dyDescent="0.25">
      <c r="A31" s="393"/>
      <c r="B31" s="394"/>
      <c r="C31" s="303"/>
      <c r="D31" s="395"/>
      <c r="E31" s="396"/>
      <c r="F31" s="376"/>
      <c r="G31" s="412"/>
      <c r="H31" s="412"/>
      <c r="I31" s="412"/>
    </row>
    <row r="32" spans="1:9" ht="15.6" hidden="1" x14ac:dyDescent="0.25">
      <c r="A32" s="393"/>
      <c r="B32" s="394"/>
      <c r="C32" s="303"/>
      <c r="D32" s="395"/>
      <c r="E32" s="396"/>
      <c r="F32" s="376"/>
      <c r="G32" s="412"/>
      <c r="H32" s="412"/>
      <c r="I32" s="412"/>
    </row>
    <row r="33" spans="1:9" ht="15.6" hidden="1" x14ac:dyDescent="0.25">
      <c r="A33" s="393"/>
      <c r="B33" s="394"/>
      <c r="C33" s="303"/>
      <c r="D33" s="395"/>
      <c r="E33" s="396"/>
      <c r="F33" s="376"/>
      <c r="G33" s="412"/>
      <c r="H33" s="412"/>
      <c r="I33" s="412"/>
    </row>
    <row r="34" spans="1:9" ht="15.6" x14ac:dyDescent="0.25">
      <c r="A34" s="393">
        <v>1</v>
      </c>
      <c r="B34" s="394">
        <v>2</v>
      </c>
      <c r="C34" s="303" t="s">
        <v>871</v>
      </c>
      <c r="D34" s="409"/>
      <c r="E34" s="410"/>
      <c r="F34" s="376"/>
      <c r="G34" s="412"/>
      <c r="H34" s="412"/>
      <c r="I34" s="412"/>
    </row>
    <row r="35" spans="1:9" ht="15.6" hidden="1" x14ac:dyDescent="0.25">
      <c r="A35" s="393"/>
      <c r="B35" s="394"/>
      <c r="C35" s="303"/>
      <c r="D35" s="395"/>
      <c r="E35" s="396"/>
      <c r="F35" s="376"/>
      <c r="G35" s="412"/>
      <c r="H35" s="412"/>
      <c r="I35" s="412"/>
    </row>
    <row r="36" spans="1:9" ht="15.6" hidden="1" x14ac:dyDescent="0.25">
      <c r="A36" s="393"/>
      <c r="B36" s="394"/>
      <c r="C36" s="303"/>
      <c r="D36" s="395"/>
      <c r="E36" s="396"/>
      <c r="F36" s="376"/>
      <c r="G36" s="412"/>
      <c r="H36" s="412"/>
      <c r="I36" s="412"/>
    </row>
    <row r="37" spans="1:9" ht="15.6" hidden="1" x14ac:dyDescent="0.25">
      <c r="A37" s="393"/>
      <c r="B37" s="394"/>
      <c r="C37" s="303"/>
      <c r="D37" s="395"/>
      <c r="E37" s="396"/>
      <c r="F37" s="376"/>
      <c r="G37" s="412"/>
      <c r="H37" s="412"/>
      <c r="I37" s="412"/>
    </row>
    <row r="38" spans="1:9" ht="15.6" hidden="1" x14ac:dyDescent="0.25">
      <c r="A38" s="393"/>
      <c r="B38" s="394"/>
      <c r="C38" s="303"/>
      <c r="D38" s="395"/>
      <c r="E38" s="396"/>
      <c r="F38" s="376"/>
      <c r="G38" s="412"/>
      <c r="H38" s="412"/>
      <c r="I38" s="412"/>
    </row>
    <row r="39" spans="1:9" ht="15.6" x14ac:dyDescent="0.25">
      <c r="A39" s="393">
        <v>1</v>
      </c>
      <c r="B39" s="394">
        <v>2</v>
      </c>
      <c r="C39" s="303" t="s">
        <v>872</v>
      </c>
      <c r="D39" s="409"/>
      <c r="E39" s="410"/>
      <c r="F39" s="376"/>
      <c r="G39" s="412"/>
      <c r="H39" s="412"/>
      <c r="I39" s="412"/>
    </row>
    <row r="40" spans="1:9" ht="15.6" hidden="1" x14ac:dyDescent="0.25">
      <c r="A40" s="393"/>
      <c r="B40" s="394"/>
      <c r="C40" s="303"/>
      <c r="D40" s="395"/>
      <c r="E40" s="396"/>
      <c r="F40" s="376"/>
      <c r="G40" s="412"/>
      <c r="H40" s="412"/>
      <c r="I40" s="412"/>
    </row>
    <row r="41" spans="1:9" ht="15.6" hidden="1" x14ac:dyDescent="0.25">
      <c r="A41" s="393"/>
      <c r="B41" s="394"/>
      <c r="C41" s="303"/>
      <c r="D41" s="395"/>
      <c r="E41" s="396"/>
      <c r="F41" s="376"/>
      <c r="G41" s="412"/>
      <c r="H41" s="412"/>
      <c r="I41" s="412"/>
    </row>
    <row r="42" spans="1:9" ht="15.6" hidden="1" x14ac:dyDescent="0.25">
      <c r="A42" s="393"/>
      <c r="B42" s="394"/>
      <c r="C42" s="303"/>
      <c r="D42" s="395"/>
      <c r="E42" s="396"/>
      <c r="F42" s="376"/>
      <c r="G42" s="412"/>
      <c r="H42" s="412"/>
      <c r="I42" s="412"/>
    </row>
    <row r="43" spans="1:9" ht="15.6" hidden="1" x14ac:dyDescent="0.25">
      <c r="A43" s="393"/>
      <c r="B43" s="394"/>
      <c r="C43" s="303"/>
      <c r="D43" s="395"/>
      <c r="E43" s="396"/>
      <c r="F43" s="376"/>
      <c r="G43" s="412"/>
      <c r="H43" s="412"/>
      <c r="I43" s="412"/>
    </row>
    <row r="44" spans="1:9" ht="15.6" x14ac:dyDescent="0.25">
      <c r="A44" s="393">
        <v>1</v>
      </c>
      <c r="B44" s="394">
        <v>2</v>
      </c>
      <c r="C44" s="303" t="s">
        <v>873</v>
      </c>
      <c r="D44" s="409"/>
      <c r="E44" s="410"/>
      <c r="F44" s="376"/>
      <c r="G44" s="412"/>
      <c r="H44" s="412"/>
      <c r="I44" s="412"/>
    </row>
    <row r="45" spans="1:9" ht="15.6" hidden="1" x14ac:dyDescent="0.25">
      <c r="A45" s="393"/>
      <c r="B45" s="394"/>
      <c r="C45" s="303"/>
      <c r="D45" s="395"/>
      <c r="E45" s="396"/>
      <c r="F45" s="376"/>
      <c r="G45" s="412"/>
      <c r="H45" s="412"/>
      <c r="I45" s="412"/>
    </row>
    <row r="46" spans="1:9" ht="15.6" hidden="1" x14ac:dyDescent="0.25">
      <c r="A46" s="393"/>
      <c r="B46" s="394"/>
      <c r="C46" s="303"/>
      <c r="D46" s="395"/>
      <c r="E46" s="396"/>
      <c r="F46" s="376"/>
      <c r="G46" s="412"/>
      <c r="H46" s="412"/>
      <c r="I46" s="412"/>
    </row>
    <row r="47" spans="1:9" ht="15.6" hidden="1" x14ac:dyDescent="0.25">
      <c r="A47" s="393"/>
      <c r="B47" s="394"/>
      <c r="C47" s="303"/>
      <c r="D47" s="395"/>
      <c r="E47" s="396"/>
      <c r="F47" s="376"/>
      <c r="G47" s="412"/>
      <c r="H47" s="412"/>
      <c r="I47" s="412"/>
    </row>
    <row r="48" spans="1:9" ht="15.6" hidden="1" x14ac:dyDescent="0.25">
      <c r="A48" s="393"/>
      <c r="B48" s="394"/>
      <c r="C48" s="303"/>
      <c r="D48" s="395"/>
      <c r="E48" s="396"/>
      <c r="F48" s="376"/>
      <c r="G48" s="412"/>
      <c r="H48" s="412"/>
      <c r="I48" s="412"/>
    </row>
    <row r="49" spans="1:9" ht="15.6" x14ac:dyDescent="0.25">
      <c r="A49" s="393">
        <v>1</v>
      </c>
      <c r="B49" s="394">
        <v>2</v>
      </c>
      <c r="C49" s="303" t="s">
        <v>874</v>
      </c>
      <c r="D49" s="409"/>
      <c r="E49" s="410"/>
      <c r="F49" s="376"/>
      <c r="G49" s="412"/>
      <c r="H49" s="412"/>
      <c r="I49" s="412"/>
    </row>
    <row r="50" spans="1:9" ht="15.6" hidden="1" x14ac:dyDescent="0.25">
      <c r="A50" s="393"/>
      <c r="B50" s="394"/>
      <c r="C50" s="303"/>
      <c r="D50" s="395"/>
      <c r="E50" s="396"/>
      <c r="F50" s="376"/>
      <c r="G50" s="412"/>
      <c r="H50" s="412"/>
      <c r="I50" s="412"/>
    </row>
    <row r="51" spans="1:9" ht="15.6" hidden="1" x14ac:dyDescent="0.25">
      <c r="A51" s="393"/>
      <c r="B51" s="394"/>
      <c r="C51" s="303"/>
      <c r="D51" s="395"/>
      <c r="E51" s="396"/>
      <c r="F51" s="376"/>
      <c r="G51" s="412"/>
      <c r="H51" s="412"/>
      <c r="I51" s="412"/>
    </row>
    <row r="52" spans="1:9" ht="15.6" hidden="1" x14ac:dyDescent="0.25">
      <c r="A52" s="393"/>
      <c r="B52" s="394"/>
      <c r="C52" s="303"/>
      <c r="D52" s="395"/>
      <c r="E52" s="396"/>
      <c r="F52" s="376"/>
      <c r="G52" s="412"/>
      <c r="H52" s="412"/>
      <c r="I52" s="412"/>
    </row>
    <row r="53" spans="1:9" ht="15.6" hidden="1" x14ac:dyDescent="0.25">
      <c r="A53" s="393"/>
      <c r="B53" s="394"/>
      <c r="C53" s="303"/>
      <c r="D53" s="395"/>
      <c r="E53" s="396"/>
      <c r="F53" s="376"/>
      <c r="G53" s="412"/>
      <c r="H53" s="412"/>
      <c r="I53" s="412"/>
    </row>
    <row r="54" spans="1:9" ht="15.6" x14ac:dyDescent="0.25">
      <c r="A54" s="393">
        <v>1</v>
      </c>
      <c r="B54" s="394">
        <v>2</v>
      </c>
      <c r="C54" s="303" t="s">
        <v>875</v>
      </c>
      <c r="D54" s="409"/>
      <c r="E54" s="410"/>
      <c r="F54" s="376"/>
      <c r="G54" s="412"/>
      <c r="H54" s="412"/>
      <c r="I54" s="412"/>
    </row>
    <row r="55" spans="1:9" ht="15.6" hidden="1" x14ac:dyDescent="0.25">
      <c r="A55" s="393"/>
      <c r="B55" s="394"/>
      <c r="C55" s="303"/>
      <c r="D55" s="395"/>
      <c r="E55" s="396"/>
      <c r="F55" s="376"/>
      <c r="G55" s="412"/>
      <c r="H55" s="412"/>
      <c r="I55" s="412"/>
    </row>
    <row r="56" spans="1:9" ht="15.6" hidden="1" x14ac:dyDescent="0.25">
      <c r="A56" s="393"/>
      <c r="B56" s="394"/>
      <c r="C56" s="303"/>
      <c r="D56" s="395"/>
      <c r="E56" s="396"/>
      <c r="F56" s="376"/>
      <c r="G56" s="412"/>
      <c r="H56" s="412"/>
      <c r="I56" s="412"/>
    </row>
    <row r="57" spans="1:9" ht="15.6" hidden="1" x14ac:dyDescent="0.25">
      <c r="A57" s="393"/>
      <c r="B57" s="394"/>
      <c r="C57" s="303"/>
      <c r="D57" s="395"/>
      <c r="E57" s="396"/>
      <c r="F57" s="376"/>
      <c r="G57" s="412"/>
      <c r="H57" s="412"/>
      <c r="I57" s="412"/>
    </row>
    <row r="58" spans="1:9" ht="15.6" hidden="1" x14ac:dyDescent="0.25">
      <c r="A58" s="393"/>
      <c r="B58" s="394"/>
      <c r="C58" s="303"/>
      <c r="D58" s="395"/>
      <c r="E58" s="396"/>
      <c r="F58" s="376"/>
      <c r="G58" s="412"/>
      <c r="H58" s="412"/>
      <c r="I58" s="412"/>
    </row>
    <row r="59" spans="1:9" ht="15.6" x14ac:dyDescent="0.25">
      <c r="A59" s="393">
        <v>1</v>
      </c>
      <c r="B59" s="394">
        <v>2</v>
      </c>
      <c r="C59" s="303" t="s">
        <v>876</v>
      </c>
      <c r="D59" s="409"/>
      <c r="E59" s="410"/>
      <c r="F59" s="376"/>
      <c r="G59" s="412"/>
      <c r="H59" s="412"/>
      <c r="I59" s="412"/>
    </row>
    <row r="60" spans="1:9" ht="15.6" hidden="1" x14ac:dyDescent="0.25">
      <c r="A60" s="393"/>
      <c r="B60" s="394"/>
      <c r="C60" s="303"/>
      <c r="D60" s="395"/>
      <c r="E60" s="396"/>
      <c r="F60" s="376"/>
      <c r="G60" s="412"/>
      <c r="H60" s="412"/>
      <c r="I60" s="412"/>
    </row>
    <row r="61" spans="1:9" ht="15.6" hidden="1" x14ac:dyDescent="0.25">
      <c r="A61" s="393"/>
      <c r="B61" s="394"/>
      <c r="C61" s="303"/>
      <c r="D61" s="395"/>
      <c r="E61" s="396"/>
      <c r="F61" s="376"/>
      <c r="G61" s="412"/>
      <c r="H61" s="412"/>
      <c r="I61" s="412"/>
    </row>
    <row r="62" spans="1:9" ht="15.6" hidden="1" x14ac:dyDescent="0.25">
      <c r="A62" s="393"/>
      <c r="B62" s="394"/>
      <c r="C62" s="303"/>
      <c r="D62" s="395"/>
      <c r="E62" s="396"/>
      <c r="F62" s="376"/>
      <c r="G62" s="412"/>
      <c r="H62" s="412"/>
      <c r="I62" s="412"/>
    </row>
    <row r="63" spans="1:9" ht="15.6" hidden="1" x14ac:dyDescent="0.25">
      <c r="A63" s="393"/>
      <c r="B63" s="394"/>
      <c r="C63" s="303"/>
      <c r="D63" s="395"/>
      <c r="E63" s="396"/>
      <c r="F63" s="376"/>
      <c r="G63" s="412"/>
      <c r="H63" s="412"/>
      <c r="I63" s="412"/>
    </row>
    <row r="64" spans="1:9" ht="15.6" x14ac:dyDescent="0.25">
      <c r="A64" s="393">
        <v>1</v>
      </c>
      <c r="B64" s="394">
        <v>2</v>
      </c>
      <c r="C64" s="411" t="s">
        <v>877</v>
      </c>
      <c r="D64" s="409"/>
      <c r="E64" s="410"/>
      <c r="F64" s="376"/>
      <c r="G64" s="412"/>
      <c r="H64" s="412"/>
      <c r="I64" s="412"/>
    </row>
    <row r="65" spans="1:9" ht="15.6" x14ac:dyDescent="0.25">
      <c r="A65" s="393">
        <v>1</v>
      </c>
      <c r="B65" s="394">
        <v>2</v>
      </c>
      <c r="C65" s="303" t="s">
        <v>878</v>
      </c>
      <c r="D65" s="409"/>
      <c r="E65" s="410"/>
      <c r="F65" s="376"/>
      <c r="G65" s="412"/>
      <c r="H65" s="412"/>
      <c r="I65" s="412"/>
    </row>
    <row r="66" spans="1:9" ht="15.6" hidden="1" x14ac:dyDescent="0.25">
      <c r="A66" s="393"/>
      <c r="B66" s="394"/>
      <c r="C66" s="303"/>
      <c r="D66" s="395"/>
      <c r="E66" s="396"/>
      <c r="F66" s="376"/>
      <c r="G66" s="412"/>
      <c r="H66" s="412"/>
      <c r="I66" s="412"/>
    </row>
    <row r="67" spans="1:9" ht="15.6" hidden="1" x14ac:dyDescent="0.25">
      <c r="A67" s="393"/>
      <c r="B67" s="394"/>
      <c r="C67" s="303"/>
      <c r="D67" s="395"/>
      <c r="E67" s="396"/>
      <c r="F67" s="376"/>
      <c r="G67" s="412"/>
      <c r="H67" s="412"/>
      <c r="I67" s="412"/>
    </row>
    <row r="68" spans="1:9" ht="15.6" hidden="1" x14ac:dyDescent="0.25">
      <c r="A68" s="393"/>
      <c r="B68" s="394"/>
      <c r="C68" s="303"/>
      <c r="D68" s="395"/>
      <c r="E68" s="396"/>
      <c r="F68" s="376"/>
      <c r="G68" s="412"/>
      <c r="H68" s="412"/>
      <c r="I68" s="412"/>
    </row>
    <row r="69" spans="1:9" ht="15.6" hidden="1" x14ac:dyDescent="0.25">
      <c r="A69" s="393"/>
      <c r="B69" s="394"/>
      <c r="C69" s="303"/>
      <c r="D69" s="395"/>
      <c r="E69" s="396"/>
      <c r="F69" s="376"/>
      <c r="G69" s="412"/>
      <c r="H69" s="412"/>
      <c r="I69" s="412"/>
    </row>
    <row r="70" spans="1:9" ht="15.6" x14ac:dyDescent="0.25">
      <c r="A70" s="393">
        <v>1</v>
      </c>
      <c r="B70" s="394">
        <v>2</v>
      </c>
      <c r="C70" s="303" t="s">
        <v>879</v>
      </c>
      <c r="D70" s="409"/>
      <c r="E70" s="410"/>
      <c r="F70" s="376"/>
      <c r="G70" s="412"/>
      <c r="H70" s="412"/>
      <c r="I70" s="412"/>
    </row>
    <row r="71" spans="1:9" ht="15.6" hidden="1" x14ac:dyDescent="0.25">
      <c r="A71" s="393"/>
      <c r="B71" s="394"/>
      <c r="C71" s="303"/>
      <c r="D71" s="395"/>
      <c r="E71" s="396"/>
      <c r="F71" s="376"/>
      <c r="G71" s="412"/>
      <c r="H71" s="412"/>
      <c r="I71" s="412"/>
    </row>
    <row r="72" spans="1:9" ht="15.6" hidden="1" x14ac:dyDescent="0.25">
      <c r="A72" s="393"/>
      <c r="B72" s="394"/>
      <c r="C72" s="303"/>
      <c r="D72" s="395"/>
      <c r="E72" s="396"/>
      <c r="F72" s="376"/>
      <c r="G72" s="412"/>
      <c r="H72" s="412"/>
      <c r="I72" s="412"/>
    </row>
    <row r="73" spans="1:9" ht="15.6" hidden="1" x14ac:dyDescent="0.25">
      <c r="A73" s="393"/>
      <c r="B73" s="394"/>
      <c r="C73" s="303"/>
      <c r="D73" s="395"/>
      <c r="E73" s="396"/>
      <c r="F73" s="376"/>
      <c r="G73" s="412"/>
      <c r="H73" s="412"/>
      <c r="I73" s="412"/>
    </row>
    <row r="74" spans="1:9" ht="15.6" hidden="1" x14ac:dyDescent="0.25">
      <c r="A74" s="393"/>
      <c r="B74" s="394"/>
      <c r="C74" s="303"/>
      <c r="D74" s="395"/>
      <c r="E74" s="396"/>
      <c r="F74" s="376"/>
      <c r="G74" s="412"/>
      <c r="H74" s="412"/>
      <c r="I74" s="412"/>
    </row>
    <row r="75" spans="1:9" ht="15.6" x14ac:dyDescent="0.25">
      <c r="A75" s="393">
        <v>1</v>
      </c>
      <c r="B75" s="394">
        <v>2</v>
      </c>
      <c r="C75" s="303" t="s">
        <v>880</v>
      </c>
      <c r="D75" s="409"/>
      <c r="E75" s="410"/>
      <c r="F75" s="376"/>
      <c r="G75" s="412"/>
      <c r="H75" s="412"/>
      <c r="I75" s="412"/>
    </row>
    <row r="76" spans="1:9" ht="15.6" hidden="1" x14ac:dyDescent="0.25">
      <c r="A76" s="393"/>
      <c r="B76" s="394"/>
      <c r="C76" s="303"/>
      <c r="D76" s="395"/>
      <c r="E76" s="396"/>
      <c r="F76" s="376"/>
      <c r="G76" s="412"/>
      <c r="H76" s="412"/>
      <c r="I76" s="412"/>
    </row>
    <row r="77" spans="1:9" ht="15.6" hidden="1" x14ac:dyDescent="0.25">
      <c r="A77" s="393"/>
      <c r="B77" s="394"/>
      <c r="C77" s="303"/>
      <c r="D77" s="395"/>
      <c r="E77" s="396"/>
      <c r="F77" s="376"/>
      <c r="G77" s="412"/>
      <c r="H77" s="412"/>
      <c r="I77" s="412"/>
    </row>
    <row r="78" spans="1:9" ht="15.6" hidden="1" x14ac:dyDescent="0.25">
      <c r="A78" s="393"/>
      <c r="B78" s="394"/>
      <c r="C78" s="303"/>
      <c r="D78" s="395"/>
      <c r="E78" s="396"/>
      <c r="F78" s="376"/>
      <c r="G78" s="412"/>
      <c r="H78" s="412"/>
      <c r="I78" s="412"/>
    </row>
    <row r="79" spans="1:9" ht="18" customHeight="1" x14ac:dyDescent="0.25">
      <c r="A79" s="393">
        <v>1</v>
      </c>
      <c r="B79" s="394">
        <v>2</v>
      </c>
      <c r="C79" s="303" t="s">
        <v>881</v>
      </c>
      <c r="D79" s="409"/>
      <c r="E79" s="410"/>
      <c r="F79" s="376"/>
      <c r="G79" s="412"/>
      <c r="H79" s="412"/>
      <c r="I79" s="412"/>
    </row>
    <row r="80" spans="1:9" ht="15.6" hidden="1" x14ac:dyDescent="0.25">
      <c r="A80" s="393"/>
      <c r="B80" s="394"/>
      <c r="C80" s="303"/>
      <c r="D80" s="395"/>
      <c r="E80" s="396"/>
      <c r="F80" s="376"/>
      <c r="G80" s="412"/>
      <c r="H80" s="412"/>
      <c r="I80" s="412"/>
    </row>
    <row r="81" spans="1:9" ht="15.6" hidden="1" x14ac:dyDescent="0.25">
      <c r="A81" s="393"/>
      <c r="B81" s="394"/>
      <c r="C81" s="303"/>
      <c r="D81" s="395"/>
      <c r="E81" s="396"/>
      <c r="F81" s="376"/>
      <c r="G81" s="412"/>
      <c r="H81" s="412"/>
      <c r="I81" s="412"/>
    </row>
    <row r="82" spans="1:9" ht="15.6" hidden="1" x14ac:dyDescent="0.25">
      <c r="A82" s="393"/>
      <c r="B82" s="394"/>
      <c r="C82" s="303"/>
      <c r="D82" s="395"/>
      <c r="E82" s="396"/>
      <c r="F82" s="376"/>
      <c r="G82" s="412"/>
      <c r="H82" s="412"/>
      <c r="I82" s="412"/>
    </row>
    <row r="83" spans="1:9" ht="15.6" hidden="1" x14ac:dyDescent="0.25">
      <c r="A83" s="393"/>
      <c r="B83" s="394"/>
      <c r="C83" s="303"/>
      <c r="D83" s="395"/>
      <c r="E83" s="396"/>
      <c r="F83" s="376"/>
      <c r="G83" s="412"/>
      <c r="H83" s="412"/>
      <c r="I83" s="412"/>
    </row>
    <row r="84" spans="1:9" ht="15.6" x14ac:dyDescent="0.25">
      <c r="A84" s="393">
        <v>1</v>
      </c>
      <c r="B84" s="394">
        <v>2</v>
      </c>
      <c r="C84" s="303" t="s">
        <v>882</v>
      </c>
      <c r="D84" s="409"/>
      <c r="E84" s="410"/>
      <c r="F84" s="376"/>
      <c r="G84" s="412"/>
      <c r="H84" s="412"/>
      <c r="I84" s="412"/>
    </row>
    <row r="85" spans="1:9" ht="15.6" hidden="1" x14ac:dyDescent="0.25">
      <c r="A85" s="393"/>
      <c r="B85" s="394"/>
      <c r="C85" s="303"/>
      <c r="D85" s="395"/>
      <c r="E85" s="396"/>
      <c r="F85" s="376"/>
      <c r="G85" s="412"/>
      <c r="H85" s="412"/>
      <c r="I85" s="412"/>
    </row>
    <row r="86" spans="1:9" ht="15.6" hidden="1" x14ac:dyDescent="0.25">
      <c r="A86" s="393"/>
      <c r="B86" s="394"/>
      <c r="C86" s="303"/>
      <c r="D86" s="395"/>
      <c r="E86" s="396"/>
      <c r="F86" s="376"/>
      <c r="G86" s="412"/>
      <c r="H86" s="412"/>
      <c r="I86" s="412"/>
    </row>
    <row r="87" spans="1:9" ht="15.6" hidden="1" x14ac:dyDescent="0.25">
      <c r="A87" s="393"/>
      <c r="B87" s="394"/>
      <c r="C87" s="303"/>
      <c r="D87" s="395"/>
      <c r="E87" s="396"/>
      <c r="F87" s="376"/>
      <c r="G87" s="412"/>
      <c r="H87" s="412"/>
      <c r="I87" s="412"/>
    </row>
    <row r="88" spans="1:9" ht="15.6" hidden="1" x14ac:dyDescent="0.25">
      <c r="A88" s="393"/>
      <c r="B88" s="394"/>
      <c r="C88" s="303"/>
      <c r="D88" s="395"/>
      <c r="E88" s="396"/>
      <c r="F88" s="376"/>
      <c r="G88" s="412"/>
      <c r="H88" s="412"/>
      <c r="I88" s="412"/>
    </row>
    <row r="89" spans="1:9" ht="15.6" x14ac:dyDescent="0.25">
      <c r="A89" s="393">
        <v>1</v>
      </c>
      <c r="B89" s="394">
        <v>2</v>
      </c>
      <c r="C89" s="303" t="s">
        <v>883</v>
      </c>
      <c r="D89" s="409"/>
      <c r="E89" s="410"/>
      <c r="F89" s="376"/>
      <c r="G89" s="412"/>
      <c r="H89" s="412"/>
      <c r="I89" s="412"/>
    </row>
    <row r="90" spans="1:9" ht="15.6" hidden="1" x14ac:dyDescent="0.25">
      <c r="A90" s="393"/>
      <c r="B90" s="394"/>
      <c r="C90" s="303"/>
      <c r="D90" s="395"/>
      <c r="E90" s="396"/>
      <c r="F90" s="376"/>
      <c r="G90" s="412"/>
      <c r="H90" s="412"/>
      <c r="I90" s="412"/>
    </row>
    <row r="91" spans="1:9" ht="15.6" hidden="1" x14ac:dyDescent="0.25">
      <c r="A91" s="393"/>
      <c r="B91" s="394"/>
      <c r="C91" s="303"/>
      <c r="D91" s="395"/>
      <c r="E91" s="396"/>
      <c r="F91" s="376"/>
      <c r="G91" s="412"/>
      <c r="H91" s="412"/>
      <c r="I91" s="412"/>
    </row>
    <row r="92" spans="1:9" ht="15.6" hidden="1" x14ac:dyDescent="0.25">
      <c r="A92" s="393"/>
      <c r="B92" s="394"/>
      <c r="C92" s="303"/>
      <c r="D92" s="395"/>
      <c r="E92" s="396"/>
      <c r="F92" s="376"/>
      <c r="G92" s="412"/>
      <c r="H92" s="412"/>
      <c r="I92" s="412"/>
    </row>
    <row r="93" spans="1:9" ht="15.6" hidden="1" x14ac:dyDescent="0.25">
      <c r="A93" s="393"/>
      <c r="B93" s="394"/>
      <c r="C93" s="303"/>
      <c r="D93" s="395"/>
      <c r="E93" s="396"/>
      <c r="F93" s="376"/>
      <c r="G93" s="412"/>
      <c r="H93" s="412"/>
      <c r="I93" s="412"/>
    </row>
    <row r="94" spans="1:9" ht="15.6" x14ac:dyDescent="0.25">
      <c r="A94" s="393">
        <v>1</v>
      </c>
      <c r="B94" s="394">
        <v>2</v>
      </c>
      <c r="C94" s="303" t="s">
        <v>884</v>
      </c>
      <c r="D94" s="409"/>
      <c r="E94" s="410"/>
      <c r="F94" s="376"/>
      <c r="G94" s="412"/>
      <c r="H94" s="412"/>
      <c r="I94" s="412"/>
    </row>
    <row r="95" spans="1:9" ht="15.6" hidden="1" x14ac:dyDescent="0.25">
      <c r="A95" s="393"/>
      <c r="B95" s="394"/>
      <c r="C95" s="303"/>
      <c r="D95" s="395"/>
      <c r="E95" s="396"/>
      <c r="F95" s="376"/>
      <c r="G95" s="412"/>
      <c r="H95" s="412"/>
      <c r="I95" s="412"/>
    </row>
    <row r="96" spans="1:9" ht="15.6" hidden="1" x14ac:dyDescent="0.25">
      <c r="A96" s="393"/>
      <c r="B96" s="394"/>
      <c r="C96" s="303"/>
      <c r="D96" s="395"/>
      <c r="E96" s="396"/>
      <c r="F96" s="376"/>
      <c r="G96" s="412"/>
      <c r="H96" s="412"/>
      <c r="I96" s="412"/>
    </row>
    <row r="97" spans="1:9" ht="15.6" hidden="1" x14ac:dyDescent="0.25">
      <c r="A97" s="393"/>
      <c r="B97" s="394"/>
      <c r="C97" s="303"/>
      <c r="D97" s="395"/>
      <c r="E97" s="396"/>
      <c r="F97" s="376"/>
      <c r="G97" s="412"/>
      <c r="H97" s="412"/>
      <c r="I97" s="412"/>
    </row>
    <row r="98" spans="1:9" ht="15.6" hidden="1" x14ac:dyDescent="0.25">
      <c r="A98" s="393"/>
      <c r="B98" s="394"/>
      <c r="C98" s="303"/>
      <c r="D98" s="395"/>
      <c r="E98" s="396"/>
      <c r="F98" s="376"/>
      <c r="G98" s="412"/>
      <c r="H98" s="412"/>
      <c r="I98" s="412"/>
    </row>
    <row r="99" spans="1:9" ht="15.6" hidden="1" x14ac:dyDescent="0.25">
      <c r="A99" s="406"/>
      <c r="B99" s="407"/>
      <c r="C99" s="408"/>
      <c r="D99" s="409"/>
      <c r="E99" s="410"/>
      <c r="F99" s="376"/>
      <c r="G99" s="412"/>
      <c r="H99" s="412"/>
      <c r="I99" s="412"/>
    </row>
    <row r="100" spans="1:9" ht="15.6" hidden="1" x14ac:dyDescent="0.25">
      <c r="A100" s="406"/>
      <c r="B100" s="407"/>
      <c r="C100" s="408"/>
      <c r="D100" s="409"/>
      <c r="E100" s="410"/>
      <c r="F100" s="376"/>
      <c r="G100" s="412"/>
      <c r="H100" s="412"/>
      <c r="I100" s="412"/>
    </row>
    <row r="101" spans="1:9" ht="15.6" x14ac:dyDescent="0.25">
      <c r="A101" s="406">
        <v>1</v>
      </c>
      <c r="B101" s="407">
        <v>3</v>
      </c>
      <c r="C101" s="411" t="s">
        <v>861</v>
      </c>
      <c r="D101" s="409"/>
      <c r="E101" s="410"/>
      <c r="F101" s="376"/>
      <c r="G101" s="412"/>
      <c r="H101" s="412"/>
      <c r="I101" s="412"/>
    </row>
    <row r="102" spans="1:9" ht="15.6" x14ac:dyDescent="0.25">
      <c r="A102" s="406">
        <v>1</v>
      </c>
      <c r="B102" s="407">
        <v>3</v>
      </c>
      <c r="C102" s="408" t="s">
        <v>862</v>
      </c>
      <c r="D102" s="409"/>
      <c r="E102" s="410"/>
      <c r="F102" s="376"/>
      <c r="G102" s="412"/>
      <c r="H102" s="412"/>
      <c r="I102" s="412"/>
    </row>
    <row r="103" spans="1:9" ht="15.6" hidden="1" x14ac:dyDescent="0.25">
      <c r="A103" s="393"/>
      <c r="B103" s="394"/>
      <c r="C103" s="303"/>
      <c r="D103" s="395"/>
      <c r="E103" s="396"/>
      <c r="F103" s="376"/>
      <c r="G103" s="412"/>
      <c r="H103" s="412"/>
      <c r="I103" s="412"/>
    </row>
    <row r="104" spans="1:9" ht="15.6" hidden="1" x14ac:dyDescent="0.25">
      <c r="A104" s="393"/>
      <c r="B104" s="394"/>
      <c r="C104" s="303"/>
      <c r="D104" s="395"/>
      <c r="E104" s="396"/>
      <c r="F104" s="376"/>
      <c r="G104" s="412"/>
      <c r="H104" s="412"/>
      <c r="I104" s="412"/>
    </row>
    <row r="105" spans="1:9" ht="15.6" hidden="1" x14ac:dyDescent="0.25">
      <c r="A105" s="393"/>
      <c r="B105" s="394"/>
      <c r="C105" s="303"/>
      <c r="D105" s="395"/>
      <c r="E105" s="396"/>
      <c r="F105" s="376"/>
      <c r="G105" s="412"/>
      <c r="H105" s="412"/>
      <c r="I105" s="412"/>
    </row>
    <row r="106" spans="1:9" ht="15.6" hidden="1" x14ac:dyDescent="0.25">
      <c r="A106" s="393"/>
      <c r="B106" s="394"/>
      <c r="C106" s="303"/>
      <c r="D106" s="395"/>
      <c r="E106" s="396"/>
      <c r="F106" s="376"/>
      <c r="G106" s="412"/>
      <c r="H106" s="412"/>
      <c r="I106" s="412"/>
    </row>
    <row r="107" spans="1:9" ht="15.6" x14ac:dyDescent="0.25">
      <c r="A107" s="406">
        <v>1</v>
      </c>
      <c r="B107" s="407">
        <v>3</v>
      </c>
      <c r="C107" s="408" t="s">
        <v>864</v>
      </c>
      <c r="D107" s="409"/>
      <c r="E107" s="410"/>
      <c r="F107" s="376"/>
      <c r="G107" s="412"/>
      <c r="H107" s="412"/>
      <c r="I107" s="412"/>
    </row>
    <row r="108" spans="1:9" ht="15.6" hidden="1" x14ac:dyDescent="0.25">
      <c r="A108" s="393"/>
      <c r="B108" s="394"/>
      <c r="C108" s="303"/>
      <c r="D108" s="395"/>
      <c r="E108" s="396"/>
      <c r="F108" s="376"/>
      <c r="G108" s="412"/>
      <c r="H108" s="412"/>
      <c r="I108" s="412"/>
    </row>
    <row r="109" spans="1:9" ht="15.6" hidden="1" x14ac:dyDescent="0.25">
      <c r="A109" s="393"/>
      <c r="B109" s="394"/>
      <c r="C109" s="303"/>
      <c r="D109" s="395"/>
      <c r="E109" s="396"/>
      <c r="F109" s="376"/>
      <c r="G109" s="412"/>
      <c r="H109" s="412"/>
      <c r="I109" s="412"/>
    </row>
    <row r="110" spans="1:9" ht="15.6" hidden="1" x14ac:dyDescent="0.25">
      <c r="A110" s="393"/>
      <c r="B110" s="394"/>
      <c r="C110" s="303"/>
      <c r="D110" s="395"/>
      <c r="E110" s="396"/>
      <c r="F110" s="376"/>
      <c r="G110" s="412"/>
      <c r="H110" s="412"/>
      <c r="I110" s="412"/>
    </row>
    <row r="111" spans="1:9" ht="15.6" hidden="1" x14ac:dyDescent="0.25">
      <c r="A111" s="393"/>
      <c r="B111" s="394"/>
      <c r="C111" s="303"/>
      <c r="D111" s="395"/>
      <c r="E111" s="396"/>
      <c r="F111" s="376"/>
      <c r="G111" s="412"/>
      <c r="H111" s="412"/>
      <c r="I111" s="412"/>
    </row>
    <row r="112" spans="1:9" ht="15.6" x14ac:dyDescent="0.25">
      <c r="A112" s="406">
        <v>1</v>
      </c>
      <c r="B112" s="407">
        <v>3</v>
      </c>
      <c r="C112" s="408" t="s">
        <v>863</v>
      </c>
      <c r="D112" s="409"/>
      <c r="E112" s="410"/>
      <c r="F112" s="376"/>
      <c r="G112" s="412"/>
      <c r="H112" s="412"/>
      <c r="I112" s="412"/>
    </row>
    <row r="113" spans="1:9" ht="15.6" hidden="1" x14ac:dyDescent="0.25">
      <c r="A113" s="393"/>
      <c r="B113" s="394"/>
      <c r="C113" s="303"/>
      <c r="D113" s="395"/>
      <c r="E113" s="396"/>
      <c r="F113" s="376"/>
      <c r="G113" s="412"/>
      <c r="H113" s="412"/>
      <c r="I113" s="412"/>
    </row>
    <row r="114" spans="1:9" ht="15.6" hidden="1" x14ac:dyDescent="0.25">
      <c r="A114" s="393"/>
      <c r="B114" s="394"/>
      <c r="C114" s="303"/>
      <c r="D114" s="395"/>
      <c r="E114" s="396"/>
      <c r="F114" s="376"/>
      <c r="G114" s="412"/>
      <c r="H114" s="412"/>
      <c r="I114" s="412"/>
    </row>
    <row r="115" spans="1:9" ht="15.6" hidden="1" x14ac:dyDescent="0.25">
      <c r="A115" s="393"/>
      <c r="B115" s="394"/>
      <c r="C115" s="303"/>
      <c r="D115" s="395"/>
      <c r="E115" s="396"/>
      <c r="F115" s="376"/>
      <c r="G115" s="412"/>
      <c r="H115" s="412"/>
      <c r="I115" s="412"/>
    </row>
    <row r="116" spans="1:9" ht="15.6" hidden="1" x14ac:dyDescent="0.25">
      <c r="A116" s="393"/>
      <c r="B116" s="394"/>
      <c r="C116" s="303"/>
      <c r="D116" s="395"/>
      <c r="E116" s="396"/>
      <c r="F116" s="376"/>
      <c r="G116" s="412"/>
      <c r="H116" s="412"/>
      <c r="I116" s="412"/>
    </row>
    <row r="117" spans="1:9" ht="15" customHeight="1" x14ac:dyDescent="0.25">
      <c r="A117" s="406">
        <v>1</v>
      </c>
      <c r="B117" s="407">
        <v>3</v>
      </c>
      <c r="C117" s="411" t="s">
        <v>865</v>
      </c>
      <c r="D117" s="409"/>
      <c r="E117" s="410"/>
      <c r="F117" s="376"/>
      <c r="G117" s="412"/>
      <c r="H117" s="412"/>
      <c r="I117" s="412"/>
    </row>
    <row r="118" spans="1:9" ht="15.6" x14ac:dyDescent="0.25">
      <c r="A118" s="406">
        <v>1</v>
      </c>
      <c r="B118" s="407">
        <v>3</v>
      </c>
      <c r="C118" s="411" t="s">
        <v>866</v>
      </c>
      <c r="D118" s="409"/>
      <c r="E118" s="410"/>
      <c r="F118" s="376"/>
      <c r="G118" s="412"/>
      <c r="H118" s="412"/>
      <c r="I118" s="412"/>
    </row>
    <row r="119" spans="1:9" ht="15.6" hidden="1" x14ac:dyDescent="0.25">
      <c r="A119" s="406"/>
      <c r="B119" s="407"/>
      <c r="C119" s="408"/>
      <c r="D119" s="409"/>
      <c r="E119" s="410"/>
      <c r="F119" s="376"/>
      <c r="G119" s="412"/>
      <c r="H119" s="412"/>
      <c r="I119" s="412"/>
    </row>
    <row r="120" spans="1:9" ht="15.6" hidden="1" x14ac:dyDescent="0.25">
      <c r="A120" s="406"/>
      <c r="B120" s="407"/>
      <c r="C120" s="408"/>
      <c r="D120" s="409"/>
      <c r="E120" s="410"/>
      <c r="F120" s="376"/>
      <c r="G120" s="412"/>
      <c r="H120" s="412"/>
      <c r="I120" s="412"/>
    </row>
    <row r="121" spans="1:9" ht="15.6" x14ac:dyDescent="0.25">
      <c r="A121" s="393">
        <v>2</v>
      </c>
      <c r="B121" s="394">
        <v>2</v>
      </c>
      <c r="C121" s="303" t="s">
        <v>849</v>
      </c>
      <c r="D121" s="395"/>
      <c r="E121" s="396"/>
      <c r="F121" s="376"/>
      <c r="G121" s="412"/>
      <c r="H121" s="412"/>
      <c r="I121" s="412"/>
    </row>
    <row r="122" spans="1:9" ht="15.6" hidden="1" x14ac:dyDescent="0.25">
      <c r="A122" s="393"/>
      <c r="B122" s="394"/>
      <c r="C122" s="303"/>
      <c r="D122" s="395"/>
      <c r="E122" s="396"/>
      <c r="F122" s="376"/>
      <c r="G122" s="412"/>
      <c r="H122" s="412"/>
      <c r="I122" s="412"/>
    </row>
    <row r="123" spans="1:9" ht="15.6" hidden="1" x14ac:dyDescent="0.25">
      <c r="A123" s="393"/>
      <c r="B123" s="394"/>
      <c r="C123" s="303"/>
      <c r="D123" s="395"/>
      <c r="E123" s="396"/>
      <c r="F123" s="376"/>
      <c r="G123" s="412"/>
      <c r="H123" s="412"/>
      <c r="I123" s="412"/>
    </row>
    <row r="124" spans="1:9" ht="15.6" hidden="1" x14ac:dyDescent="0.25">
      <c r="A124" s="393"/>
      <c r="B124" s="394"/>
      <c r="C124" s="303"/>
      <c r="D124" s="395"/>
      <c r="E124" s="396"/>
      <c r="F124" s="376"/>
      <c r="G124" s="412"/>
      <c r="H124" s="412"/>
      <c r="I124" s="412"/>
    </row>
    <row r="125" spans="1:9" ht="15.6" hidden="1" x14ac:dyDescent="0.25">
      <c r="A125" s="393"/>
      <c r="B125" s="394"/>
      <c r="C125" s="303"/>
      <c r="D125" s="395"/>
      <c r="E125" s="396"/>
      <c r="F125" s="376"/>
      <c r="G125" s="412"/>
      <c r="H125" s="412"/>
      <c r="I125" s="412"/>
    </row>
    <row r="126" spans="1:9" ht="15.6" x14ac:dyDescent="0.25">
      <c r="A126" s="393">
        <v>2</v>
      </c>
      <c r="B126" s="394">
        <v>2</v>
      </c>
      <c r="C126" s="303" t="s">
        <v>851</v>
      </c>
      <c r="D126" s="409"/>
      <c r="E126" s="410"/>
      <c r="F126" s="376"/>
      <c r="G126" s="412"/>
      <c r="H126" s="412"/>
      <c r="I126" s="412"/>
    </row>
    <row r="127" spans="1:9" ht="15.6" hidden="1" x14ac:dyDescent="0.25">
      <c r="A127" s="393"/>
      <c r="B127" s="394"/>
      <c r="C127" s="303"/>
      <c r="D127" s="395"/>
      <c r="E127" s="396"/>
      <c r="F127" s="376"/>
      <c r="G127" s="412"/>
      <c r="H127" s="412"/>
      <c r="I127" s="412"/>
    </row>
    <row r="128" spans="1:9" ht="15.6" hidden="1" x14ac:dyDescent="0.25">
      <c r="A128" s="393"/>
      <c r="B128" s="394"/>
      <c r="C128" s="303"/>
      <c r="D128" s="395"/>
      <c r="E128" s="396"/>
      <c r="F128" s="376"/>
      <c r="G128" s="412"/>
      <c r="H128" s="412"/>
      <c r="I128" s="412"/>
    </row>
    <row r="129" spans="1:9" ht="15.6" hidden="1" x14ac:dyDescent="0.25">
      <c r="A129" s="393"/>
      <c r="B129" s="394"/>
      <c r="C129" s="303"/>
      <c r="D129" s="395"/>
      <c r="E129" s="396"/>
      <c r="F129" s="376"/>
      <c r="G129" s="412"/>
      <c r="H129" s="412"/>
      <c r="I129" s="412"/>
    </row>
    <row r="130" spans="1:9" ht="15.6" hidden="1" x14ac:dyDescent="0.25">
      <c r="A130" s="393"/>
      <c r="B130" s="394"/>
      <c r="C130" s="303"/>
      <c r="D130" s="395"/>
      <c r="E130" s="396"/>
      <c r="F130" s="376"/>
      <c r="G130" s="412"/>
      <c r="H130" s="412"/>
      <c r="I130" s="412"/>
    </row>
    <row r="131" spans="1:9" ht="15.6" x14ac:dyDescent="0.25">
      <c r="A131" s="393">
        <v>2</v>
      </c>
      <c r="B131" s="394">
        <v>2</v>
      </c>
      <c r="C131" s="303" t="s">
        <v>850</v>
      </c>
      <c r="D131" s="395"/>
      <c r="E131" s="396"/>
      <c r="F131" s="376"/>
      <c r="G131" s="412"/>
      <c r="H131" s="412"/>
      <c r="I131" s="412"/>
    </row>
    <row r="132" spans="1:9" ht="15.6" hidden="1" x14ac:dyDescent="0.25">
      <c r="A132" s="393"/>
      <c r="B132" s="394"/>
      <c r="C132" s="303"/>
      <c r="D132" s="395"/>
      <c r="E132" s="396"/>
      <c r="F132" s="376"/>
      <c r="G132" s="412"/>
      <c r="H132" s="412"/>
      <c r="I132" s="412"/>
    </row>
    <row r="133" spans="1:9" ht="15.6" hidden="1" x14ac:dyDescent="0.25">
      <c r="A133" s="393"/>
      <c r="B133" s="394"/>
      <c r="C133" s="303"/>
      <c r="D133" s="395"/>
      <c r="E133" s="396"/>
      <c r="F133" s="376"/>
      <c r="G133" s="412"/>
      <c r="H133" s="412"/>
      <c r="I133" s="412"/>
    </row>
    <row r="134" spans="1:9" ht="15.6" hidden="1" x14ac:dyDescent="0.25">
      <c r="A134" s="393"/>
      <c r="B134" s="394"/>
      <c r="C134" s="303"/>
      <c r="D134" s="395"/>
      <c r="E134" s="396"/>
      <c r="F134" s="376"/>
      <c r="G134" s="412"/>
      <c r="H134" s="412"/>
      <c r="I134" s="412"/>
    </row>
    <row r="135" spans="1:9" ht="15.6" hidden="1" x14ac:dyDescent="0.25">
      <c r="A135" s="393"/>
      <c r="B135" s="394"/>
      <c r="C135" s="303"/>
      <c r="D135" s="395"/>
      <c r="E135" s="396"/>
      <c r="F135" s="376"/>
      <c r="G135" s="412"/>
      <c r="H135" s="412"/>
      <c r="I135" s="412"/>
    </row>
    <row r="136" spans="1:9" ht="15.6" hidden="1" x14ac:dyDescent="0.25">
      <c r="A136" s="406"/>
      <c r="B136" s="408"/>
      <c r="C136" s="408"/>
      <c r="D136" s="409"/>
      <c r="E136" s="410"/>
      <c r="F136" s="376"/>
      <c r="G136" s="412"/>
      <c r="H136" s="412"/>
      <c r="I136" s="412"/>
    </row>
    <row r="137" spans="1:9" ht="15.6" x14ac:dyDescent="0.25">
      <c r="A137" s="406">
        <v>2</v>
      </c>
      <c r="B137" s="407">
        <v>3</v>
      </c>
      <c r="C137" s="408" t="s">
        <v>852</v>
      </c>
      <c r="D137" s="409"/>
      <c r="E137" s="410"/>
      <c r="F137" s="376"/>
      <c r="G137" s="412"/>
      <c r="H137" s="412"/>
      <c r="I137" s="412"/>
    </row>
    <row r="138" spans="1:9" ht="15.6" hidden="1" x14ac:dyDescent="0.25">
      <c r="A138" s="393"/>
      <c r="B138" s="394"/>
      <c r="C138" s="303"/>
      <c r="D138" s="395"/>
      <c r="E138" s="396"/>
      <c r="F138" s="376"/>
      <c r="G138" s="412"/>
      <c r="H138" s="412"/>
      <c r="I138" s="412"/>
    </row>
    <row r="139" spans="1:9" ht="15.6" hidden="1" x14ac:dyDescent="0.25">
      <c r="A139" s="393"/>
      <c r="B139" s="394"/>
      <c r="C139" s="303"/>
      <c r="D139" s="395"/>
      <c r="E139" s="396"/>
      <c r="F139" s="376"/>
      <c r="G139" s="412"/>
      <c r="H139" s="412"/>
      <c r="I139" s="412"/>
    </row>
    <row r="140" spans="1:9" ht="15.6" hidden="1" x14ac:dyDescent="0.25">
      <c r="A140" s="393"/>
      <c r="B140" s="394"/>
      <c r="C140" s="303"/>
      <c r="D140" s="395"/>
      <c r="E140" s="396"/>
      <c r="F140" s="376"/>
      <c r="G140" s="412"/>
      <c r="H140" s="412"/>
      <c r="I140" s="412"/>
    </row>
    <row r="141" spans="1:9" ht="15.6" hidden="1" x14ac:dyDescent="0.25">
      <c r="A141" s="393"/>
      <c r="B141" s="394"/>
      <c r="C141" s="303"/>
      <c r="D141" s="395"/>
      <c r="E141" s="396"/>
      <c r="F141" s="376"/>
      <c r="G141" s="412"/>
      <c r="H141" s="412"/>
      <c r="I141" s="412"/>
    </row>
    <row r="142" spans="1:9" ht="15.6" x14ac:dyDescent="0.25">
      <c r="A142" s="406">
        <v>2</v>
      </c>
      <c r="B142" s="407">
        <v>3</v>
      </c>
      <c r="C142" s="408" t="s">
        <v>853</v>
      </c>
      <c r="D142" s="409"/>
      <c r="E142" s="410"/>
      <c r="F142" s="376"/>
      <c r="G142" s="412"/>
      <c r="H142" s="412"/>
      <c r="I142" s="412"/>
    </row>
    <row r="143" spans="1:9" ht="15.6" hidden="1" x14ac:dyDescent="0.25">
      <c r="A143" s="393"/>
      <c r="B143" s="394"/>
      <c r="C143" s="303"/>
      <c r="D143" s="395"/>
      <c r="E143" s="396"/>
      <c r="F143" s="376"/>
      <c r="G143" s="412"/>
      <c r="H143" s="412"/>
      <c r="I143" s="412"/>
    </row>
    <row r="144" spans="1:9" ht="15.6" hidden="1" x14ac:dyDescent="0.25">
      <c r="A144" s="393"/>
      <c r="B144" s="394"/>
      <c r="C144" s="303"/>
      <c r="D144" s="395"/>
      <c r="E144" s="396"/>
      <c r="F144" s="376"/>
      <c r="G144" s="412"/>
      <c r="H144" s="412"/>
      <c r="I144" s="412"/>
    </row>
    <row r="145" spans="1:9" ht="15.6" hidden="1" x14ac:dyDescent="0.25">
      <c r="A145" s="393"/>
      <c r="B145" s="394"/>
      <c r="C145" s="303"/>
      <c r="D145" s="395"/>
      <c r="E145" s="396"/>
      <c r="F145" s="376"/>
      <c r="G145" s="412"/>
      <c r="H145" s="412"/>
      <c r="I145" s="412"/>
    </row>
    <row r="146" spans="1:9" ht="15.6" hidden="1" x14ac:dyDescent="0.25">
      <c r="A146" s="393"/>
      <c r="B146" s="394"/>
      <c r="C146" s="303"/>
      <c r="D146" s="395"/>
      <c r="E146" s="396"/>
      <c r="F146" s="376"/>
      <c r="G146" s="412"/>
      <c r="H146" s="412"/>
      <c r="I146" s="412"/>
    </row>
    <row r="147" spans="1:9" ht="15.6" x14ac:dyDescent="0.25">
      <c r="A147" s="406">
        <v>2</v>
      </c>
      <c r="B147" s="407">
        <v>3</v>
      </c>
      <c r="C147" s="408" t="s">
        <v>855</v>
      </c>
      <c r="D147" s="409"/>
      <c r="E147" s="410"/>
      <c r="F147" s="376"/>
      <c r="G147" s="412"/>
      <c r="H147" s="412"/>
      <c r="I147" s="412"/>
    </row>
    <row r="148" spans="1:9" ht="15.6" hidden="1" x14ac:dyDescent="0.25">
      <c r="A148" s="393"/>
      <c r="B148" s="394"/>
      <c r="C148" s="303"/>
      <c r="D148" s="395"/>
      <c r="E148" s="396"/>
      <c r="F148" s="376"/>
      <c r="G148" s="412"/>
      <c r="H148" s="412"/>
      <c r="I148" s="412"/>
    </row>
    <row r="149" spans="1:9" ht="15.6" hidden="1" x14ac:dyDescent="0.25">
      <c r="A149" s="393"/>
      <c r="B149" s="394"/>
      <c r="C149" s="303"/>
      <c r="D149" s="395"/>
      <c r="E149" s="396"/>
      <c r="F149" s="376"/>
      <c r="G149" s="412"/>
      <c r="H149" s="412"/>
      <c r="I149" s="412"/>
    </row>
    <row r="150" spans="1:9" ht="15.6" hidden="1" x14ac:dyDescent="0.25">
      <c r="A150" s="393"/>
      <c r="B150" s="394"/>
      <c r="C150" s="303"/>
      <c r="D150" s="395"/>
      <c r="E150" s="396"/>
      <c r="F150" s="376"/>
      <c r="G150" s="412"/>
      <c r="H150" s="412"/>
      <c r="I150" s="412"/>
    </row>
    <row r="151" spans="1:9" ht="15.6" hidden="1" x14ac:dyDescent="0.25">
      <c r="A151" s="393"/>
      <c r="B151" s="394"/>
      <c r="C151" s="303"/>
      <c r="D151" s="395"/>
      <c r="E151" s="396"/>
      <c r="F151" s="376"/>
      <c r="G151" s="412"/>
      <c r="H151" s="412"/>
      <c r="I151" s="412"/>
    </row>
    <row r="152" spans="1:9" ht="15.6" x14ac:dyDescent="0.25">
      <c r="A152" s="406">
        <v>2</v>
      </c>
      <c r="B152" s="407">
        <v>3</v>
      </c>
      <c r="C152" s="408" t="s">
        <v>856</v>
      </c>
      <c r="D152" s="409"/>
      <c r="E152" s="410"/>
      <c r="F152" s="376"/>
      <c r="G152" s="412"/>
      <c r="H152" s="412"/>
      <c r="I152" s="412"/>
    </row>
    <row r="153" spans="1:9" ht="15.6" hidden="1" x14ac:dyDescent="0.25">
      <c r="A153" s="393"/>
      <c r="B153" s="394"/>
      <c r="C153" s="303"/>
      <c r="D153" s="395"/>
      <c r="E153" s="396"/>
      <c r="F153" s="376"/>
      <c r="G153" s="412"/>
      <c r="H153" s="412"/>
      <c r="I153" s="412"/>
    </row>
    <row r="154" spans="1:9" ht="15.6" hidden="1" x14ac:dyDescent="0.25">
      <c r="A154" s="393"/>
      <c r="B154" s="394"/>
      <c r="C154" s="303"/>
      <c r="D154" s="395"/>
      <c r="E154" s="396"/>
      <c r="F154" s="376"/>
      <c r="G154" s="412"/>
      <c r="H154" s="412"/>
      <c r="I154" s="412"/>
    </row>
    <row r="155" spans="1:9" ht="15.6" hidden="1" x14ac:dyDescent="0.25">
      <c r="A155" s="393"/>
      <c r="B155" s="394"/>
      <c r="C155" s="303"/>
      <c r="D155" s="395"/>
      <c r="E155" s="396"/>
      <c r="F155" s="376"/>
      <c r="G155" s="412"/>
      <c r="H155" s="412"/>
      <c r="I155" s="412"/>
    </row>
    <row r="156" spans="1:9" ht="15.6" hidden="1" x14ac:dyDescent="0.25">
      <c r="A156" s="393"/>
      <c r="B156" s="394"/>
      <c r="C156" s="303"/>
      <c r="D156" s="395"/>
      <c r="E156" s="396"/>
      <c r="F156" s="376"/>
      <c r="G156" s="412"/>
      <c r="H156" s="412"/>
      <c r="I156" s="412"/>
    </row>
    <row r="157" spans="1:9" ht="15.6" x14ac:dyDescent="0.25">
      <c r="A157" s="406">
        <v>2</v>
      </c>
      <c r="B157" s="407">
        <v>3</v>
      </c>
      <c r="C157" s="408" t="s">
        <v>854</v>
      </c>
      <c r="D157" s="409"/>
      <c r="E157" s="410"/>
      <c r="F157" s="376"/>
      <c r="G157" s="412"/>
      <c r="H157" s="412"/>
      <c r="I157" s="412"/>
    </row>
    <row r="158" spans="1:9" ht="15.6" hidden="1" x14ac:dyDescent="0.25">
      <c r="A158" s="393"/>
      <c r="B158" s="394"/>
      <c r="C158" s="303"/>
      <c r="D158" s="395"/>
      <c r="E158" s="396"/>
      <c r="F158" s="376"/>
      <c r="G158" s="412"/>
      <c r="H158" s="412"/>
      <c r="I158" s="412"/>
    </row>
    <row r="159" spans="1:9" ht="15.6" hidden="1" x14ac:dyDescent="0.25">
      <c r="A159" s="393"/>
      <c r="B159" s="394"/>
      <c r="C159" s="303"/>
      <c r="D159" s="395"/>
      <c r="E159" s="396"/>
      <c r="F159" s="376"/>
      <c r="G159" s="412"/>
      <c r="H159" s="412"/>
      <c r="I159" s="412"/>
    </row>
    <row r="160" spans="1:9" ht="15.6" hidden="1" x14ac:dyDescent="0.25">
      <c r="A160" s="393"/>
      <c r="B160" s="394"/>
      <c r="C160" s="303"/>
      <c r="D160" s="395"/>
      <c r="E160" s="396"/>
      <c r="F160" s="376"/>
      <c r="G160" s="412"/>
      <c r="H160" s="412"/>
      <c r="I160" s="412"/>
    </row>
    <row r="161" spans="1:9" ht="15.6" hidden="1" x14ac:dyDescent="0.25">
      <c r="A161" s="393"/>
      <c r="B161" s="394"/>
      <c r="C161" s="303"/>
      <c r="D161" s="395"/>
      <c r="E161" s="396"/>
      <c r="F161" s="376"/>
      <c r="G161" s="412"/>
      <c r="H161" s="412"/>
      <c r="I161" s="412"/>
    </row>
    <row r="162" spans="1:9" ht="15.6" x14ac:dyDescent="0.25">
      <c r="A162" s="406">
        <v>2</v>
      </c>
      <c r="B162" s="407">
        <v>3</v>
      </c>
      <c r="C162" s="408" t="s">
        <v>858</v>
      </c>
      <c r="D162" s="409"/>
      <c r="E162" s="410"/>
      <c r="F162" s="376"/>
      <c r="G162" s="412"/>
      <c r="H162" s="412"/>
      <c r="I162" s="412"/>
    </row>
    <row r="163" spans="1:9" ht="15.6" hidden="1" x14ac:dyDescent="0.25">
      <c r="A163" s="393"/>
      <c r="B163" s="394"/>
      <c r="C163" s="303"/>
      <c r="D163" s="395"/>
      <c r="E163" s="396"/>
      <c r="F163" s="376"/>
      <c r="G163" s="412"/>
      <c r="H163" s="412"/>
      <c r="I163" s="412"/>
    </row>
    <row r="164" spans="1:9" ht="15.6" hidden="1" x14ac:dyDescent="0.25">
      <c r="A164" s="393"/>
      <c r="B164" s="394"/>
      <c r="C164" s="303"/>
      <c r="D164" s="395"/>
      <c r="E164" s="396"/>
      <c r="F164" s="376"/>
      <c r="G164" s="412"/>
      <c r="H164" s="412"/>
      <c r="I164" s="412"/>
    </row>
    <row r="165" spans="1:9" ht="15.6" hidden="1" x14ac:dyDescent="0.25">
      <c r="A165" s="393"/>
      <c r="B165" s="394"/>
      <c r="C165" s="303"/>
      <c r="D165" s="395"/>
      <c r="E165" s="396"/>
      <c r="F165" s="376"/>
      <c r="G165" s="412"/>
      <c r="H165" s="412"/>
      <c r="I165" s="412"/>
    </row>
    <row r="166" spans="1:9" ht="15.6" hidden="1" x14ac:dyDescent="0.25">
      <c r="A166" s="393"/>
      <c r="B166" s="394"/>
      <c r="C166" s="303"/>
      <c r="D166" s="395"/>
      <c r="E166" s="396"/>
      <c r="F166" s="376"/>
      <c r="G166" s="412"/>
      <c r="H166" s="412"/>
      <c r="I166" s="412"/>
    </row>
    <row r="167" spans="1:9" ht="15.6" x14ac:dyDescent="0.25">
      <c r="A167" s="406">
        <v>2</v>
      </c>
      <c r="B167" s="407">
        <v>3</v>
      </c>
      <c r="C167" s="408" t="s">
        <v>857</v>
      </c>
      <c r="D167" s="409"/>
      <c r="E167" s="410"/>
      <c r="F167" s="376"/>
      <c r="G167" s="412"/>
      <c r="H167" s="412"/>
      <c r="I167" s="412"/>
    </row>
    <row r="168" spans="1:9" ht="15.6" hidden="1" x14ac:dyDescent="0.25">
      <c r="A168" s="393"/>
      <c r="B168" s="394"/>
      <c r="C168" s="303"/>
      <c r="D168" s="395"/>
      <c r="E168" s="396"/>
      <c r="F168" s="376"/>
      <c r="G168" s="412"/>
      <c r="H168" s="412"/>
      <c r="I168" s="412"/>
    </row>
    <row r="169" spans="1:9" ht="15.6" hidden="1" x14ac:dyDescent="0.25">
      <c r="A169" s="393"/>
      <c r="B169" s="394"/>
      <c r="C169" s="303"/>
      <c r="D169" s="395"/>
      <c r="E169" s="396"/>
      <c r="F169" s="376"/>
      <c r="G169" s="412"/>
      <c r="H169" s="412"/>
      <c r="I169" s="412"/>
    </row>
    <row r="170" spans="1:9" ht="15.6" hidden="1" x14ac:dyDescent="0.25">
      <c r="A170" s="393"/>
      <c r="B170" s="394"/>
      <c r="C170" s="303"/>
      <c r="D170" s="395"/>
      <c r="E170" s="396"/>
      <c r="F170" s="376"/>
      <c r="G170" s="412"/>
      <c r="H170" s="412"/>
      <c r="I170" s="412"/>
    </row>
    <row r="171" spans="1:9" ht="15.6" hidden="1" x14ac:dyDescent="0.25">
      <c r="A171" s="393"/>
      <c r="B171" s="394"/>
      <c r="C171" s="303"/>
      <c r="D171" s="395"/>
      <c r="E171" s="396"/>
      <c r="F171" s="376"/>
      <c r="G171" s="412"/>
      <c r="H171" s="412"/>
      <c r="I171" s="412"/>
    </row>
    <row r="172" spans="1:9" ht="15.6" hidden="1" x14ac:dyDescent="0.25">
      <c r="A172" s="393"/>
      <c r="B172" s="394"/>
      <c r="C172" s="303"/>
      <c r="D172" s="395"/>
      <c r="E172" s="396"/>
      <c r="F172" s="376"/>
      <c r="G172" s="412"/>
      <c r="H172" s="412"/>
      <c r="I172" s="412"/>
    </row>
    <row r="173" spans="1:9" ht="15.6" hidden="1" x14ac:dyDescent="0.25">
      <c r="A173" s="406"/>
      <c r="B173" s="407"/>
      <c r="C173" s="408"/>
      <c r="D173" s="409"/>
      <c r="E173" s="410"/>
      <c r="F173" s="376"/>
      <c r="G173" s="412"/>
      <c r="H173" s="412"/>
      <c r="I173" s="412"/>
    </row>
    <row r="174" spans="1:9" ht="15.6" hidden="1" x14ac:dyDescent="0.25">
      <c r="A174" s="406"/>
      <c r="B174" s="407"/>
      <c r="C174" s="408"/>
      <c r="D174" s="409"/>
      <c r="E174" s="410"/>
      <c r="F174" s="376"/>
      <c r="G174" s="412"/>
      <c r="H174" s="412"/>
      <c r="I174" s="412"/>
    </row>
    <row r="175" spans="1:9" ht="15.6" x14ac:dyDescent="0.25">
      <c r="A175" s="406">
        <v>3</v>
      </c>
      <c r="B175" s="407">
        <v>2</v>
      </c>
      <c r="C175" s="411" t="s">
        <v>840</v>
      </c>
      <c r="D175" s="409"/>
      <c r="E175" s="410"/>
      <c r="F175" s="376"/>
      <c r="G175" s="412"/>
      <c r="H175" s="412"/>
      <c r="I175" s="412"/>
    </row>
    <row r="176" spans="1:9" ht="15.6" hidden="1" x14ac:dyDescent="0.25">
      <c r="A176" s="406"/>
      <c r="B176" s="407"/>
      <c r="C176" s="408"/>
      <c r="D176" s="409"/>
      <c r="E176" s="410"/>
      <c r="F176" s="376"/>
      <c r="G176" s="412"/>
      <c r="H176" s="412"/>
      <c r="I176" s="412"/>
    </row>
    <row r="177" spans="1:9" ht="15.6" hidden="1" x14ac:dyDescent="0.25">
      <c r="A177" s="393"/>
      <c r="B177" s="394"/>
      <c r="C177" s="303"/>
      <c r="D177" s="395"/>
      <c r="E177" s="396"/>
      <c r="F177" s="376"/>
      <c r="G177" s="412"/>
      <c r="H177" s="412"/>
      <c r="I177" s="412"/>
    </row>
    <row r="178" spans="1:9" ht="15.6" hidden="1" x14ac:dyDescent="0.25">
      <c r="A178" s="393"/>
      <c r="B178" s="394"/>
      <c r="C178" s="303"/>
      <c r="D178" s="395"/>
      <c r="E178" s="396"/>
      <c r="F178" s="376"/>
      <c r="G178" s="412"/>
      <c r="H178" s="412"/>
      <c r="I178" s="412"/>
    </row>
    <row r="179" spans="1:9" ht="15.6" hidden="1" x14ac:dyDescent="0.25">
      <c r="A179" s="393"/>
      <c r="B179" s="394"/>
      <c r="C179" s="303"/>
      <c r="D179" s="395"/>
      <c r="E179" s="396"/>
      <c r="F179" s="376"/>
      <c r="G179" s="412"/>
      <c r="H179" s="412"/>
      <c r="I179" s="412"/>
    </row>
    <row r="180" spans="1:9" ht="15.6" hidden="1" x14ac:dyDescent="0.25">
      <c r="A180" s="393"/>
      <c r="B180" s="394"/>
      <c r="C180" s="303"/>
      <c r="D180" s="395"/>
      <c r="E180" s="396"/>
      <c r="F180" s="376"/>
      <c r="G180" s="412"/>
      <c r="H180" s="412"/>
      <c r="I180" s="412"/>
    </row>
    <row r="181" spans="1:9" ht="15.6" x14ac:dyDescent="0.25">
      <c r="A181" s="406">
        <v>3</v>
      </c>
      <c r="B181" s="407">
        <v>2</v>
      </c>
      <c r="C181" s="408" t="s">
        <v>836</v>
      </c>
      <c r="D181" s="409"/>
      <c r="E181" s="410"/>
      <c r="F181" s="376"/>
      <c r="G181" s="412"/>
      <c r="H181" s="412"/>
      <c r="I181" s="412"/>
    </row>
    <row r="182" spans="1:9" ht="15.6" hidden="1" x14ac:dyDescent="0.25">
      <c r="A182" s="393"/>
      <c r="B182" s="394"/>
      <c r="C182" s="303"/>
      <c r="D182" s="395"/>
      <c r="E182" s="396"/>
      <c r="F182" s="376"/>
      <c r="G182" s="412"/>
      <c r="H182" s="412"/>
      <c r="I182" s="412"/>
    </row>
    <row r="183" spans="1:9" ht="15.6" hidden="1" x14ac:dyDescent="0.25">
      <c r="A183" s="393"/>
      <c r="B183" s="394"/>
      <c r="C183" s="303"/>
      <c r="D183" s="395"/>
      <c r="E183" s="396"/>
      <c r="F183" s="376"/>
      <c r="G183" s="412"/>
      <c r="H183" s="412"/>
      <c r="I183" s="412"/>
    </row>
    <row r="184" spans="1:9" ht="15.6" hidden="1" x14ac:dyDescent="0.25">
      <c r="A184" s="393"/>
      <c r="B184" s="394"/>
      <c r="C184" s="303"/>
      <c r="D184" s="395"/>
      <c r="E184" s="396"/>
      <c r="F184" s="376"/>
      <c r="G184" s="412"/>
      <c r="H184" s="412"/>
      <c r="I184" s="412"/>
    </row>
    <row r="185" spans="1:9" ht="15.6" x14ac:dyDescent="0.25">
      <c r="A185" s="406">
        <v>3</v>
      </c>
      <c r="B185" s="407">
        <v>2</v>
      </c>
      <c r="C185" s="408" t="s">
        <v>837</v>
      </c>
      <c r="D185" s="409"/>
      <c r="E185" s="410"/>
      <c r="F185" s="376"/>
      <c r="G185" s="412"/>
      <c r="H185" s="412"/>
      <c r="I185" s="412"/>
    </row>
    <row r="186" spans="1:9" ht="15.6" hidden="1" x14ac:dyDescent="0.25">
      <c r="A186" s="393"/>
      <c r="B186" s="394"/>
      <c r="C186" s="303"/>
      <c r="D186" s="395"/>
      <c r="E186" s="396"/>
      <c r="F186" s="376"/>
      <c r="G186" s="412"/>
      <c r="H186" s="412"/>
      <c r="I186" s="412"/>
    </row>
    <row r="187" spans="1:9" ht="15.6" hidden="1" x14ac:dyDescent="0.25">
      <c r="A187" s="393"/>
      <c r="B187" s="394"/>
      <c r="C187" s="303"/>
      <c r="D187" s="395"/>
      <c r="E187" s="396"/>
      <c r="F187" s="376"/>
      <c r="G187" s="412"/>
      <c r="H187" s="412"/>
      <c r="I187" s="412"/>
    </row>
    <row r="188" spans="1:9" ht="15.6" hidden="1" x14ac:dyDescent="0.25">
      <c r="A188" s="393"/>
      <c r="B188" s="394"/>
      <c r="C188" s="303"/>
      <c r="D188" s="395"/>
      <c r="E188" s="396"/>
      <c r="F188" s="376"/>
      <c r="G188" s="412"/>
      <c r="H188" s="412"/>
      <c r="I188" s="412"/>
    </row>
    <row r="189" spans="1:9" ht="15.6" hidden="1" x14ac:dyDescent="0.25">
      <c r="A189" s="393"/>
      <c r="B189" s="394"/>
      <c r="C189" s="303"/>
      <c r="D189" s="395"/>
      <c r="E189" s="396"/>
      <c r="F189" s="376"/>
      <c r="G189" s="412"/>
      <c r="H189" s="412"/>
      <c r="I189" s="412"/>
    </row>
    <row r="190" spans="1:9" ht="15.6" x14ac:dyDescent="0.25">
      <c r="A190" s="406">
        <v>3</v>
      </c>
      <c r="B190" s="407">
        <v>2</v>
      </c>
      <c r="C190" s="408" t="s">
        <v>838</v>
      </c>
      <c r="D190" s="409"/>
      <c r="E190" s="410"/>
      <c r="F190" s="376"/>
      <c r="G190" s="412"/>
      <c r="H190" s="412"/>
      <c r="I190" s="412"/>
    </row>
    <row r="191" spans="1:9" ht="15.6" hidden="1" x14ac:dyDescent="0.25">
      <c r="A191" s="393"/>
      <c r="B191" s="394"/>
      <c r="C191" s="303"/>
      <c r="D191" s="395"/>
      <c r="E191" s="396"/>
      <c r="F191" s="376"/>
      <c r="G191" s="412"/>
      <c r="H191" s="412"/>
      <c r="I191" s="412"/>
    </row>
    <row r="192" spans="1:9" ht="15.6" hidden="1" x14ac:dyDescent="0.25">
      <c r="A192" s="393"/>
      <c r="B192" s="394"/>
      <c r="C192" s="303"/>
      <c r="D192" s="395"/>
      <c r="E192" s="396"/>
      <c r="F192" s="376"/>
      <c r="G192" s="412"/>
      <c r="H192" s="412"/>
      <c r="I192" s="412"/>
    </row>
    <row r="193" spans="1:9" ht="15.6" hidden="1" x14ac:dyDescent="0.25">
      <c r="A193" s="393"/>
      <c r="B193" s="394"/>
      <c r="C193" s="303"/>
      <c r="D193" s="395"/>
      <c r="E193" s="396"/>
      <c r="F193" s="376"/>
      <c r="G193" s="412"/>
      <c r="H193" s="412"/>
      <c r="I193" s="412"/>
    </row>
    <row r="194" spans="1:9" ht="15.6" hidden="1" x14ac:dyDescent="0.25">
      <c r="A194" s="393"/>
      <c r="B194" s="394"/>
      <c r="C194" s="303"/>
      <c r="D194" s="395"/>
      <c r="E194" s="396"/>
      <c r="F194" s="376"/>
      <c r="G194" s="412"/>
      <c r="H194" s="412"/>
      <c r="I194" s="412"/>
    </row>
    <row r="195" spans="1:9" s="136" customFormat="1" ht="15.6" x14ac:dyDescent="0.25">
      <c r="A195" s="406">
        <v>3</v>
      </c>
      <c r="B195" s="407">
        <v>2</v>
      </c>
      <c r="C195" s="408" t="s">
        <v>839</v>
      </c>
      <c r="D195" s="409"/>
      <c r="E195" s="410"/>
      <c r="F195" s="376"/>
      <c r="G195" s="412"/>
      <c r="H195" s="412"/>
      <c r="I195" s="412"/>
    </row>
    <row r="196" spans="1:9" s="136" customFormat="1" ht="15.6" hidden="1" x14ac:dyDescent="0.25">
      <c r="A196" s="393"/>
      <c r="B196" s="394"/>
      <c r="C196" s="303"/>
      <c r="D196" s="395"/>
      <c r="E196" s="396"/>
      <c r="F196" s="376"/>
      <c r="G196" s="412"/>
      <c r="H196" s="412"/>
      <c r="I196" s="412"/>
    </row>
    <row r="197" spans="1:9" s="136" customFormat="1" ht="15.6" hidden="1" x14ac:dyDescent="0.25">
      <c r="A197" s="393"/>
      <c r="B197" s="394"/>
      <c r="C197" s="303"/>
      <c r="D197" s="395"/>
      <c r="E197" s="396"/>
      <c r="F197" s="376"/>
      <c r="G197" s="412"/>
      <c r="H197" s="412"/>
      <c r="I197" s="412"/>
    </row>
    <row r="198" spans="1:9" s="136" customFormat="1" ht="15.6" hidden="1" x14ac:dyDescent="0.25">
      <c r="A198" s="393"/>
      <c r="B198" s="394"/>
      <c r="C198" s="303"/>
      <c r="D198" s="395"/>
      <c r="E198" s="396"/>
      <c r="F198" s="376"/>
      <c r="G198" s="412"/>
      <c r="H198" s="412"/>
      <c r="I198" s="412"/>
    </row>
    <row r="199" spans="1:9" s="136" customFormat="1" ht="15.6" hidden="1" x14ac:dyDescent="0.25">
      <c r="A199" s="393"/>
      <c r="B199" s="394"/>
      <c r="C199" s="303"/>
      <c r="D199" s="395"/>
      <c r="E199" s="396"/>
      <c r="F199" s="376"/>
      <c r="G199" s="412"/>
      <c r="H199" s="412"/>
      <c r="I199" s="412"/>
    </row>
    <row r="200" spans="1:9" s="136" customFormat="1" ht="15.6" hidden="1" x14ac:dyDescent="0.25">
      <c r="A200" s="393"/>
      <c r="B200" s="394"/>
      <c r="C200" s="303"/>
      <c r="D200" s="395"/>
      <c r="E200" s="396"/>
      <c r="F200" s="376"/>
      <c r="G200" s="412"/>
      <c r="H200" s="412"/>
      <c r="I200" s="412"/>
    </row>
    <row r="201" spans="1:9" s="136" customFormat="1" ht="15.6" hidden="1" x14ac:dyDescent="0.25">
      <c r="A201" s="393"/>
      <c r="B201" s="394"/>
      <c r="C201" s="303"/>
      <c r="D201" s="395"/>
      <c r="E201" s="396"/>
      <c r="F201" s="376"/>
      <c r="G201" s="412"/>
      <c r="H201" s="412"/>
      <c r="I201" s="412"/>
    </row>
    <row r="202" spans="1:9" ht="15.6" x14ac:dyDescent="0.25">
      <c r="A202" s="393">
        <v>3</v>
      </c>
      <c r="B202" s="394">
        <v>3</v>
      </c>
      <c r="C202" s="303" t="s">
        <v>841</v>
      </c>
      <c r="D202" s="395"/>
      <c r="E202" s="396"/>
      <c r="F202" s="376"/>
      <c r="G202" s="412"/>
      <c r="H202" s="412"/>
      <c r="I202" s="412"/>
    </row>
    <row r="203" spans="1:9" ht="15.6" hidden="1" x14ac:dyDescent="0.25">
      <c r="A203" s="393"/>
      <c r="B203" s="394"/>
      <c r="C203" s="303"/>
      <c r="D203" s="395"/>
      <c r="E203" s="396"/>
      <c r="F203" s="376"/>
      <c r="G203" s="412"/>
      <c r="H203" s="412"/>
      <c r="I203" s="412"/>
    </row>
    <row r="204" spans="1:9" ht="15.6" hidden="1" x14ac:dyDescent="0.25">
      <c r="A204" s="393"/>
      <c r="B204" s="394"/>
      <c r="C204" s="303"/>
      <c r="D204" s="395"/>
      <c r="E204" s="396"/>
      <c r="F204" s="376"/>
      <c r="G204" s="412"/>
      <c r="H204" s="412"/>
      <c r="I204" s="412"/>
    </row>
    <row r="205" spans="1:9" ht="15.6" hidden="1" x14ac:dyDescent="0.25">
      <c r="A205" s="393"/>
      <c r="B205" s="394"/>
      <c r="C205" s="303"/>
      <c r="D205" s="395"/>
      <c r="E205" s="396"/>
      <c r="F205" s="376"/>
      <c r="G205" s="412"/>
      <c r="H205" s="412"/>
      <c r="I205" s="412"/>
    </row>
    <row r="206" spans="1:9" ht="15.6" x14ac:dyDescent="0.25">
      <c r="A206" s="393">
        <v>3</v>
      </c>
      <c r="B206" s="394">
        <v>3</v>
      </c>
      <c r="C206" s="303" t="s">
        <v>842</v>
      </c>
      <c r="D206" s="395"/>
      <c r="E206" s="396"/>
      <c r="F206" s="376"/>
      <c r="G206" s="412"/>
      <c r="H206" s="412"/>
      <c r="I206" s="412"/>
    </row>
    <row r="207" spans="1:9" ht="15.6" hidden="1" x14ac:dyDescent="0.25">
      <c r="A207" s="393"/>
      <c r="B207" s="394"/>
      <c r="C207" s="303"/>
      <c r="D207" s="395"/>
      <c r="E207" s="396"/>
      <c r="F207" s="376"/>
      <c r="G207" s="412"/>
      <c r="H207" s="412"/>
      <c r="I207" s="412"/>
    </row>
    <row r="208" spans="1:9" ht="15.6" hidden="1" x14ac:dyDescent="0.25">
      <c r="A208" s="393"/>
      <c r="B208" s="394"/>
      <c r="C208" s="303"/>
      <c r="D208" s="395"/>
      <c r="E208" s="396"/>
      <c r="F208" s="376"/>
      <c r="G208" s="412"/>
      <c r="H208" s="412"/>
      <c r="I208" s="412"/>
    </row>
    <row r="209" spans="1:9" ht="15.6" hidden="1" x14ac:dyDescent="0.25">
      <c r="A209" s="393"/>
      <c r="B209" s="394"/>
      <c r="C209" s="303"/>
      <c r="D209" s="395"/>
      <c r="E209" s="396"/>
      <c r="F209" s="376"/>
      <c r="G209" s="412"/>
      <c r="H209" s="412"/>
      <c r="I209" s="412"/>
    </row>
    <row r="210" spans="1:9" ht="15.6" hidden="1" x14ac:dyDescent="0.25">
      <c r="A210" s="393"/>
      <c r="B210" s="394"/>
      <c r="C210" s="303"/>
      <c r="D210" s="395"/>
      <c r="E210" s="396"/>
      <c r="F210" s="376"/>
      <c r="G210" s="412"/>
      <c r="H210" s="412"/>
      <c r="I210" s="412"/>
    </row>
    <row r="211" spans="1:9" ht="15.6" x14ac:dyDescent="0.25">
      <c r="A211" s="393">
        <v>3</v>
      </c>
      <c r="B211" s="394">
        <v>3</v>
      </c>
      <c r="C211" s="303" t="s">
        <v>844</v>
      </c>
      <c r="D211" s="395"/>
      <c r="E211" s="396"/>
      <c r="F211" s="376"/>
      <c r="G211" s="412"/>
      <c r="H211" s="412"/>
      <c r="I211" s="412"/>
    </row>
    <row r="212" spans="1:9" ht="15.6" hidden="1" x14ac:dyDescent="0.25">
      <c r="A212" s="393"/>
      <c r="B212" s="394"/>
      <c r="C212" s="303"/>
      <c r="D212" s="395"/>
      <c r="E212" s="396"/>
      <c r="F212" s="376"/>
      <c r="G212" s="412"/>
      <c r="H212" s="412"/>
      <c r="I212" s="412"/>
    </row>
    <row r="213" spans="1:9" ht="15.6" hidden="1" x14ac:dyDescent="0.25">
      <c r="A213" s="393"/>
      <c r="B213" s="394"/>
      <c r="C213" s="303"/>
      <c r="D213" s="395"/>
      <c r="E213" s="396"/>
      <c r="F213" s="376"/>
      <c r="G213" s="412"/>
      <c r="H213" s="412"/>
      <c r="I213" s="412"/>
    </row>
    <row r="214" spans="1:9" ht="15.6" hidden="1" x14ac:dyDescent="0.25">
      <c r="A214" s="393"/>
      <c r="B214" s="394"/>
      <c r="C214" s="303"/>
      <c r="D214" s="395"/>
      <c r="E214" s="396"/>
      <c r="F214" s="376"/>
      <c r="G214" s="412"/>
      <c r="H214" s="412"/>
      <c r="I214" s="412"/>
    </row>
    <row r="215" spans="1:9" ht="15.6" hidden="1" x14ac:dyDescent="0.25">
      <c r="A215" s="393"/>
      <c r="B215" s="394"/>
      <c r="C215" s="303"/>
      <c r="D215" s="395"/>
      <c r="E215" s="396"/>
      <c r="F215" s="376"/>
      <c r="G215" s="412"/>
      <c r="H215" s="412"/>
      <c r="I215" s="412"/>
    </row>
    <row r="216" spans="1:9" ht="15.6" x14ac:dyDescent="0.25">
      <c r="A216" s="393">
        <v>3</v>
      </c>
      <c r="B216" s="394">
        <v>3</v>
      </c>
      <c r="C216" s="303" t="s">
        <v>845</v>
      </c>
      <c r="D216" s="395"/>
      <c r="E216" s="396"/>
      <c r="F216" s="376"/>
      <c r="G216" s="412"/>
      <c r="H216" s="412"/>
      <c r="I216" s="412"/>
    </row>
    <row r="217" spans="1:9" ht="15.6" hidden="1" x14ac:dyDescent="0.25">
      <c r="A217" s="393"/>
      <c r="B217" s="394"/>
      <c r="C217" s="303"/>
      <c r="D217" s="395"/>
      <c r="E217" s="396"/>
      <c r="F217" s="376"/>
      <c r="G217" s="412"/>
      <c r="H217" s="412"/>
      <c r="I217" s="412"/>
    </row>
    <row r="218" spans="1:9" ht="15.6" hidden="1" x14ac:dyDescent="0.25">
      <c r="A218" s="393"/>
      <c r="B218" s="394"/>
      <c r="C218" s="303"/>
      <c r="D218" s="395"/>
      <c r="E218" s="396"/>
      <c r="F218" s="376"/>
      <c r="G218" s="412"/>
      <c r="H218" s="412"/>
      <c r="I218" s="412"/>
    </row>
    <row r="219" spans="1:9" ht="15.6" hidden="1" x14ac:dyDescent="0.25">
      <c r="A219" s="393"/>
      <c r="B219" s="394"/>
      <c r="C219" s="303"/>
      <c r="D219" s="395"/>
      <c r="E219" s="396"/>
      <c r="F219" s="376"/>
      <c r="G219" s="412"/>
      <c r="H219" s="412"/>
      <c r="I219" s="412"/>
    </row>
    <row r="220" spans="1:9" ht="15.6" hidden="1" x14ac:dyDescent="0.25">
      <c r="A220" s="393"/>
      <c r="B220" s="394"/>
      <c r="C220" s="303"/>
      <c r="D220" s="395"/>
      <c r="E220" s="396"/>
      <c r="F220" s="376"/>
      <c r="G220" s="412"/>
      <c r="H220" s="412"/>
      <c r="I220" s="412"/>
    </row>
    <row r="221" spans="1:9" ht="15.6" x14ac:dyDescent="0.25">
      <c r="A221" s="393">
        <v>3</v>
      </c>
      <c r="B221" s="394">
        <v>3</v>
      </c>
      <c r="C221" s="411" t="s">
        <v>843</v>
      </c>
      <c r="D221" s="395"/>
      <c r="E221" s="396"/>
      <c r="F221" s="376"/>
      <c r="G221" s="412"/>
      <c r="H221" s="412"/>
      <c r="I221" s="412"/>
    </row>
    <row r="222" spans="1:9" ht="15.6" hidden="1" x14ac:dyDescent="0.25">
      <c r="A222" s="393"/>
      <c r="B222" s="394"/>
      <c r="C222" s="303"/>
      <c r="D222" s="395"/>
      <c r="E222" s="396"/>
      <c r="F222" s="376"/>
      <c r="G222" s="412"/>
      <c r="H222" s="412"/>
      <c r="I222" s="412"/>
    </row>
    <row r="223" spans="1:9" ht="15.6" hidden="1" x14ac:dyDescent="0.25">
      <c r="A223" s="393"/>
      <c r="B223" s="394"/>
      <c r="C223" s="303"/>
      <c r="D223" s="395"/>
      <c r="E223" s="396"/>
      <c r="F223" s="376"/>
      <c r="G223" s="412"/>
      <c r="H223" s="412"/>
      <c r="I223" s="412"/>
    </row>
    <row r="224" spans="1:9" ht="15.6" hidden="1" x14ac:dyDescent="0.25">
      <c r="A224" s="393"/>
      <c r="B224" s="394"/>
      <c r="C224" s="303"/>
      <c r="D224" s="395"/>
      <c r="E224" s="396"/>
      <c r="F224" s="376"/>
      <c r="G224" s="412"/>
      <c r="H224" s="412"/>
      <c r="I224" s="412"/>
    </row>
    <row r="225" spans="1:9" ht="15.6" hidden="1" x14ac:dyDescent="0.25">
      <c r="A225" s="393"/>
      <c r="B225" s="394"/>
      <c r="C225" s="303"/>
      <c r="D225" s="395"/>
      <c r="E225" s="396"/>
      <c r="F225" s="376"/>
      <c r="G225" s="412"/>
      <c r="H225" s="412"/>
      <c r="I225" s="412"/>
    </row>
    <row r="226" spans="1:9" ht="15.6" x14ac:dyDescent="0.25">
      <c r="A226" s="393">
        <v>3</v>
      </c>
      <c r="B226" s="394">
        <v>3</v>
      </c>
      <c r="C226" s="411" t="s">
        <v>846</v>
      </c>
      <c r="D226" s="409"/>
      <c r="E226" s="410"/>
      <c r="F226" s="376"/>
      <c r="G226" s="412"/>
      <c r="H226" s="412"/>
      <c r="I226" s="412"/>
    </row>
    <row r="227" spans="1:9" ht="15.6" hidden="1" x14ac:dyDescent="0.25">
      <c r="A227" s="393"/>
      <c r="B227" s="394"/>
      <c r="C227" s="303"/>
      <c r="D227" s="395"/>
      <c r="E227" s="396"/>
      <c r="F227" s="376"/>
      <c r="G227" s="412"/>
      <c r="H227" s="412"/>
      <c r="I227" s="412"/>
    </row>
    <row r="228" spans="1:9" ht="15.6" hidden="1" x14ac:dyDescent="0.25">
      <c r="A228" s="393"/>
      <c r="B228" s="394"/>
      <c r="C228" s="303"/>
      <c r="D228" s="395"/>
      <c r="E228" s="396"/>
      <c r="F228" s="376"/>
      <c r="G228" s="412"/>
      <c r="H228" s="412"/>
      <c r="I228" s="412"/>
    </row>
    <row r="229" spans="1:9" ht="15.6" hidden="1" x14ac:dyDescent="0.25">
      <c r="A229" s="393"/>
      <c r="B229" s="394"/>
      <c r="C229" s="303"/>
      <c r="D229" s="395"/>
      <c r="E229" s="396"/>
      <c r="F229" s="376"/>
      <c r="G229" s="412"/>
      <c r="H229" s="412"/>
      <c r="I229" s="412"/>
    </row>
    <row r="230" spans="1:9" ht="15.6" hidden="1" x14ac:dyDescent="0.25">
      <c r="A230" s="393"/>
      <c r="B230" s="394"/>
      <c r="C230" s="303"/>
      <c r="D230" s="395"/>
      <c r="E230" s="396"/>
      <c r="F230" s="376"/>
      <c r="G230" s="412"/>
      <c r="H230" s="412"/>
      <c r="I230" s="412"/>
    </row>
    <row r="231" spans="1:9" ht="15.6" x14ac:dyDescent="0.25">
      <c r="A231" s="393">
        <v>3</v>
      </c>
      <c r="B231" s="394">
        <v>3</v>
      </c>
      <c r="C231" s="411" t="s">
        <v>847</v>
      </c>
      <c r="D231" s="409"/>
      <c r="E231" s="410"/>
      <c r="F231" s="376"/>
      <c r="G231" s="412"/>
      <c r="H231" s="412"/>
      <c r="I231" s="412"/>
    </row>
    <row r="232" spans="1:9" ht="15.6" hidden="1" x14ac:dyDescent="0.25">
      <c r="A232" s="393"/>
      <c r="B232" s="394"/>
      <c r="C232" s="303"/>
      <c r="D232" s="395"/>
      <c r="E232" s="396"/>
      <c r="F232" s="376"/>
      <c r="G232" s="412"/>
      <c r="H232" s="412"/>
      <c r="I232" s="412"/>
    </row>
    <row r="233" spans="1:9" ht="15.6" hidden="1" x14ac:dyDescent="0.25">
      <c r="A233" s="393"/>
      <c r="B233" s="394"/>
      <c r="C233" s="303"/>
      <c r="D233" s="395"/>
      <c r="E233" s="396"/>
      <c r="F233" s="376"/>
      <c r="G233" s="412"/>
      <c r="H233" s="412"/>
      <c r="I233" s="412"/>
    </row>
    <row r="234" spans="1:9" ht="15.6" hidden="1" x14ac:dyDescent="0.25">
      <c r="A234" s="393"/>
      <c r="B234" s="394"/>
      <c r="C234" s="303"/>
      <c r="D234" s="395"/>
      <c r="E234" s="396"/>
      <c r="F234" s="376"/>
      <c r="G234" s="412"/>
      <c r="H234" s="412"/>
      <c r="I234" s="412"/>
    </row>
    <row r="235" spans="1:9" ht="15.6" hidden="1" x14ac:dyDescent="0.25">
      <c r="A235" s="393"/>
      <c r="B235" s="394"/>
      <c r="C235" s="303"/>
      <c r="D235" s="395"/>
      <c r="E235" s="396"/>
      <c r="F235" s="376"/>
      <c r="G235" s="412"/>
      <c r="H235" s="412"/>
      <c r="I235" s="412"/>
    </row>
    <row r="236" spans="1:9" ht="15.6" x14ac:dyDescent="0.25">
      <c r="A236" s="393">
        <v>3</v>
      </c>
      <c r="B236" s="394">
        <v>3</v>
      </c>
      <c r="C236" s="408" t="s">
        <v>848</v>
      </c>
      <c r="D236" s="409"/>
      <c r="E236" s="410"/>
      <c r="F236" s="376"/>
      <c r="G236" s="412"/>
      <c r="H236" s="412"/>
      <c r="I236" s="412"/>
    </row>
    <row r="237" spans="1:9" ht="15.6" hidden="1" x14ac:dyDescent="0.25">
      <c r="A237" s="406"/>
      <c r="B237" s="407"/>
      <c r="C237" s="408"/>
      <c r="D237" s="409"/>
      <c r="E237" s="410"/>
      <c r="F237" s="376"/>
      <c r="G237" s="412"/>
      <c r="H237" s="412"/>
      <c r="I237" s="412"/>
    </row>
    <row r="238" spans="1:9" ht="15.6" hidden="1" x14ac:dyDescent="0.25">
      <c r="A238" s="406"/>
      <c r="B238" s="407"/>
      <c r="C238" s="408"/>
      <c r="D238" s="409"/>
      <c r="E238" s="410"/>
      <c r="F238" s="376"/>
      <c r="G238" s="412"/>
      <c r="H238" s="412"/>
      <c r="I238" s="412"/>
    </row>
    <row r="239" spans="1:9" ht="15.6" hidden="1" x14ac:dyDescent="0.25">
      <c r="A239" s="406"/>
      <c r="B239" s="407"/>
      <c r="C239" s="408"/>
      <c r="D239" s="409"/>
      <c r="E239" s="410"/>
      <c r="F239" s="376"/>
      <c r="G239" s="412"/>
      <c r="H239" s="412"/>
      <c r="I239" s="412"/>
    </row>
    <row r="240" spans="1:9" ht="15.6" hidden="1" x14ac:dyDescent="0.25">
      <c r="A240" s="406"/>
      <c r="B240" s="407"/>
      <c r="C240" s="408"/>
      <c r="D240" s="409"/>
      <c r="E240" s="410"/>
      <c r="F240" s="376"/>
      <c r="G240" s="412"/>
      <c r="H240" s="412"/>
      <c r="I240" s="412"/>
    </row>
    <row r="241" spans="1:9" ht="15.6" hidden="1" x14ac:dyDescent="0.25">
      <c r="A241" s="406"/>
      <c r="B241" s="407"/>
      <c r="C241" s="408"/>
      <c r="D241" s="409"/>
      <c r="E241" s="410"/>
      <c r="F241" s="376"/>
      <c r="G241" s="412"/>
      <c r="H241" s="412"/>
      <c r="I241" s="412"/>
    </row>
    <row r="242" spans="1:9" ht="15.6" hidden="1" x14ac:dyDescent="0.25">
      <c r="A242" s="393"/>
      <c r="B242" s="394"/>
      <c r="C242" s="303"/>
      <c r="D242" s="395"/>
      <c r="E242" s="396"/>
      <c r="F242" s="376"/>
      <c r="G242" s="412"/>
      <c r="H242" s="412"/>
      <c r="I242" s="412"/>
    </row>
    <row r="243" spans="1:9" ht="15.6" x14ac:dyDescent="0.25">
      <c r="A243" s="397">
        <v>4</v>
      </c>
      <c r="B243" s="394">
        <v>3</v>
      </c>
      <c r="C243" s="397" t="s">
        <v>829</v>
      </c>
      <c r="D243" s="395"/>
      <c r="E243" s="396"/>
      <c r="F243" s="376"/>
      <c r="G243" s="412"/>
      <c r="H243" s="412"/>
      <c r="I243" s="412"/>
    </row>
    <row r="244" spans="1:9" ht="15.6" hidden="1" x14ac:dyDescent="0.25">
      <c r="A244" s="393"/>
      <c r="B244" s="394"/>
      <c r="C244" s="303"/>
      <c r="D244" s="395"/>
      <c r="E244" s="396"/>
      <c r="F244" s="376"/>
      <c r="G244" s="412"/>
      <c r="H244" s="412"/>
      <c r="I244" s="412"/>
    </row>
    <row r="245" spans="1:9" ht="15.6" hidden="1" x14ac:dyDescent="0.25">
      <c r="A245" s="393"/>
      <c r="B245" s="394"/>
      <c r="C245" s="303"/>
      <c r="D245" s="395"/>
      <c r="E245" s="396"/>
      <c r="F245" s="376"/>
      <c r="G245" s="412"/>
      <c r="H245" s="412"/>
      <c r="I245" s="412"/>
    </row>
    <row r="246" spans="1:9" ht="15.6" hidden="1" x14ac:dyDescent="0.25">
      <c r="A246" s="393"/>
      <c r="B246" s="394"/>
      <c r="C246" s="303"/>
      <c r="D246" s="395"/>
      <c r="E246" s="396"/>
      <c r="F246" s="376"/>
      <c r="G246" s="412"/>
      <c r="H246" s="412"/>
      <c r="I246" s="412"/>
    </row>
    <row r="247" spans="1:9" ht="15.6" hidden="1" x14ac:dyDescent="0.25">
      <c r="A247" s="393"/>
      <c r="B247" s="394"/>
      <c r="C247" s="303"/>
      <c r="D247" s="395"/>
      <c r="E247" s="396"/>
      <c r="F247" s="376"/>
      <c r="G247" s="412"/>
      <c r="H247" s="412"/>
      <c r="I247" s="412"/>
    </row>
    <row r="248" spans="1:9" ht="15.6" x14ac:dyDescent="0.25">
      <c r="A248" s="397">
        <v>4</v>
      </c>
      <c r="B248" s="394">
        <v>3</v>
      </c>
      <c r="C248" s="397" t="s">
        <v>830</v>
      </c>
      <c r="D248" s="395"/>
      <c r="E248" s="396"/>
      <c r="F248" s="376"/>
      <c r="G248" s="412"/>
      <c r="H248" s="412"/>
      <c r="I248" s="412"/>
    </row>
    <row r="249" spans="1:9" ht="15.6" hidden="1" x14ac:dyDescent="0.25">
      <c r="A249" s="393"/>
      <c r="B249" s="394"/>
      <c r="C249" s="303"/>
      <c r="D249" s="395"/>
      <c r="E249" s="396"/>
      <c r="F249" s="376"/>
      <c r="G249" s="412"/>
      <c r="H249" s="412"/>
      <c r="I249" s="412"/>
    </row>
    <row r="250" spans="1:9" ht="15.6" hidden="1" x14ac:dyDescent="0.25">
      <c r="A250" s="393"/>
      <c r="B250" s="394"/>
      <c r="C250" s="303"/>
      <c r="D250" s="395"/>
      <c r="E250" s="396"/>
      <c r="F250" s="376"/>
      <c r="G250" s="412"/>
      <c r="H250" s="412"/>
      <c r="I250" s="412"/>
    </row>
    <row r="251" spans="1:9" ht="15.6" hidden="1" x14ac:dyDescent="0.25">
      <c r="A251" s="393"/>
      <c r="B251" s="394"/>
      <c r="C251" s="303"/>
      <c r="D251" s="395"/>
      <c r="E251" s="396"/>
      <c r="F251" s="376"/>
      <c r="G251" s="412"/>
      <c r="H251" s="412"/>
      <c r="I251" s="412"/>
    </row>
    <row r="252" spans="1:9" ht="15.6" hidden="1" x14ac:dyDescent="0.25">
      <c r="A252" s="393"/>
      <c r="B252" s="394"/>
      <c r="C252" s="303"/>
      <c r="D252" s="395"/>
      <c r="E252" s="396"/>
      <c r="F252" s="376"/>
      <c r="G252" s="412"/>
      <c r="H252" s="412"/>
      <c r="I252" s="412"/>
    </row>
    <row r="253" spans="1:9" ht="15.6" x14ac:dyDescent="0.25">
      <c r="A253" s="397">
        <v>4</v>
      </c>
      <c r="B253" s="394">
        <v>3</v>
      </c>
      <c r="C253" s="397" t="s">
        <v>831</v>
      </c>
      <c r="D253" s="395"/>
      <c r="E253" s="396"/>
      <c r="F253" s="376"/>
      <c r="G253" s="412"/>
      <c r="H253" s="412"/>
      <c r="I253" s="412"/>
    </row>
    <row r="254" spans="1:9" ht="15.6" hidden="1" x14ac:dyDescent="0.25">
      <c r="A254" s="393"/>
      <c r="B254" s="394"/>
      <c r="C254" s="303"/>
      <c r="D254" s="395"/>
      <c r="E254" s="396"/>
      <c r="F254" s="376"/>
      <c r="G254" s="412"/>
      <c r="H254" s="412"/>
      <c r="I254" s="412"/>
    </row>
    <row r="255" spans="1:9" ht="15.6" hidden="1" x14ac:dyDescent="0.25">
      <c r="A255" s="393"/>
      <c r="B255" s="394"/>
      <c r="C255" s="303"/>
      <c r="D255" s="395"/>
      <c r="E255" s="396"/>
      <c r="F255" s="376"/>
      <c r="G255" s="412"/>
      <c r="H255" s="412"/>
      <c r="I255" s="412"/>
    </row>
    <row r="256" spans="1:9" ht="15.6" hidden="1" x14ac:dyDescent="0.25">
      <c r="A256" s="393"/>
      <c r="B256" s="394"/>
      <c r="C256" s="303"/>
      <c r="D256" s="395"/>
      <c r="E256" s="396"/>
      <c r="F256" s="376"/>
      <c r="G256" s="412"/>
      <c r="H256" s="412"/>
      <c r="I256" s="412"/>
    </row>
    <row r="257" spans="1:9" ht="15.6" hidden="1" x14ac:dyDescent="0.25">
      <c r="A257" s="393"/>
      <c r="B257" s="394"/>
      <c r="C257" s="303"/>
      <c r="D257" s="395"/>
      <c r="E257" s="396"/>
      <c r="F257" s="376"/>
      <c r="G257" s="412"/>
      <c r="H257" s="412"/>
      <c r="I257" s="412"/>
    </row>
    <row r="258" spans="1:9" ht="15.6" x14ac:dyDescent="0.25">
      <c r="A258" s="397">
        <v>4</v>
      </c>
      <c r="B258" s="394">
        <v>3</v>
      </c>
      <c r="C258" s="397" t="s">
        <v>832</v>
      </c>
      <c r="D258" s="395"/>
      <c r="E258" s="396"/>
      <c r="F258" s="376"/>
      <c r="G258" s="412"/>
      <c r="H258" s="412"/>
      <c r="I258" s="412"/>
    </row>
    <row r="259" spans="1:9" ht="15.6" hidden="1" x14ac:dyDescent="0.25">
      <c r="A259" s="393"/>
      <c r="B259" s="394"/>
      <c r="C259" s="303"/>
      <c r="D259" s="395"/>
      <c r="E259" s="396"/>
      <c r="F259" s="376"/>
      <c r="G259" s="412"/>
      <c r="H259" s="412"/>
      <c r="I259" s="412"/>
    </row>
    <row r="260" spans="1:9" ht="15.6" hidden="1" x14ac:dyDescent="0.25">
      <c r="A260" s="393"/>
      <c r="B260" s="394"/>
      <c r="C260" s="303"/>
      <c r="D260" s="395"/>
      <c r="E260" s="396"/>
      <c r="F260" s="376"/>
      <c r="G260" s="412"/>
      <c r="H260" s="412"/>
      <c r="I260" s="412"/>
    </row>
    <row r="261" spans="1:9" ht="15.6" hidden="1" x14ac:dyDescent="0.25">
      <c r="A261" s="393"/>
      <c r="B261" s="394"/>
      <c r="C261" s="303"/>
      <c r="D261" s="395"/>
      <c r="E261" s="396"/>
      <c r="F261" s="376"/>
      <c r="G261" s="412"/>
      <c r="H261" s="412"/>
      <c r="I261" s="412"/>
    </row>
    <row r="262" spans="1:9" ht="15.6" hidden="1" x14ac:dyDescent="0.25">
      <c r="A262" s="393"/>
      <c r="B262" s="394"/>
      <c r="C262" s="303"/>
      <c r="D262" s="395"/>
      <c r="E262" s="396"/>
      <c r="F262" s="376"/>
      <c r="G262" s="412"/>
      <c r="H262" s="412"/>
      <c r="I262" s="412"/>
    </row>
    <row r="263" spans="1:9" ht="15.6" x14ac:dyDescent="0.25">
      <c r="A263" s="397">
        <v>4</v>
      </c>
      <c r="B263" s="394">
        <v>3</v>
      </c>
      <c r="C263" s="397" t="s">
        <v>833</v>
      </c>
      <c r="D263" s="395"/>
      <c r="E263" s="396"/>
      <c r="F263" s="376"/>
      <c r="G263" s="412"/>
      <c r="H263" s="412"/>
      <c r="I263" s="412"/>
    </row>
    <row r="264" spans="1:9" ht="15.6" hidden="1" x14ac:dyDescent="0.25">
      <c r="A264" s="393"/>
      <c r="B264" s="394"/>
      <c r="C264" s="303"/>
      <c r="D264" s="395"/>
      <c r="E264" s="396"/>
      <c r="F264" s="412"/>
      <c r="G264" s="412"/>
      <c r="H264" s="412"/>
      <c r="I264" s="412"/>
    </row>
    <row r="265" spans="1:9" ht="15.6" hidden="1" x14ac:dyDescent="0.25">
      <c r="A265" s="393"/>
      <c r="B265" s="394"/>
      <c r="C265" s="303"/>
      <c r="D265" s="395"/>
      <c r="E265" s="396"/>
      <c r="F265" s="412"/>
      <c r="G265" s="412"/>
      <c r="H265" s="412"/>
      <c r="I265" s="412"/>
    </row>
    <row r="266" spans="1:9" ht="15.6" hidden="1" x14ac:dyDescent="0.25">
      <c r="A266" s="393"/>
      <c r="B266" s="394"/>
      <c r="C266" s="303"/>
      <c r="D266" s="395"/>
      <c r="E266" s="396"/>
      <c r="F266" s="412"/>
      <c r="G266" s="412"/>
      <c r="H266" s="412"/>
      <c r="I266" s="412"/>
    </row>
    <row r="267" spans="1:9" ht="15.6" hidden="1" x14ac:dyDescent="0.25">
      <c r="A267" s="393"/>
      <c r="B267" s="394"/>
      <c r="C267" s="303"/>
      <c r="D267" s="395"/>
      <c r="E267" s="396"/>
      <c r="F267" s="412"/>
      <c r="G267" s="412"/>
      <c r="H267" s="412"/>
      <c r="I267" s="412"/>
    </row>
    <row r="268" spans="1:9" ht="15.6" x14ac:dyDescent="0.25">
      <c r="A268" s="397">
        <v>4</v>
      </c>
      <c r="B268" s="394">
        <v>3</v>
      </c>
      <c r="C268" s="397" t="s">
        <v>834</v>
      </c>
      <c r="D268" s="395"/>
      <c r="E268" s="396"/>
    </row>
    <row r="269" spans="1:9" ht="15.6" hidden="1" x14ac:dyDescent="0.25">
      <c r="A269" s="393"/>
      <c r="B269" s="394"/>
      <c r="C269" s="303"/>
      <c r="D269" s="395"/>
      <c r="E269" s="396"/>
    </row>
    <row r="270" spans="1:9" ht="15.6" hidden="1" x14ac:dyDescent="0.25">
      <c r="A270" s="393"/>
      <c r="B270" s="394"/>
      <c r="C270" s="303"/>
      <c r="D270" s="395"/>
      <c r="E270" s="396"/>
    </row>
    <row r="271" spans="1:9" ht="15.6" hidden="1" x14ac:dyDescent="0.25">
      <c r="A271" s="393"/>
      <c r="B271" s="394"/>
      <c r="C271" s="303"/>
      <c r="D271" s="395"/>
      <c r="E271" s="396"/>
    </row>
    <row r="272" spans="1:9" ht="15.6" hidden="1" x14ac:dyDescent="0.25">
      <c r="A272" s="393"/>
      <c r="B272" s="394"/>
      <c r="C272" s="303"/>
      <c r="D272" s="395"/>
      <c r="E272" s="396"/>
    </row>
    <row r="273" spans="1:5" ht="15.6" x14ac:dyDescent="0.25">
      <c r="A273" s="397">
        <v>4</v>
      </c>
      <c r="B273" s="394">
        <v>3</v>
      </c>
      <c r="C273" s="397" t="s">
        <v>835</v>
      </c>
      <c r="D273" s="395"/>
      <c r="E273" s="396"/>
    </row>
    <row r="274" spans="1:5" ht="15.6" hidden="1" x14ac:dyDescent="0.25">
      <c r="A274" s="393"/>
      <c r="B274" s="394"/>
      <c r="C274" s="303"/>
      <c r="D274" s="395"/>
      <c r="E274" s="396"/>
    </row>
    <row r="275" spans="1:5" ht="15.6" hidden="1" x14ac:dyDescent="0.25">
      <c r="A275" s="393"/>
      <c r="B275" s="394"/>
      <c r="C275" s="303"/>
      <c r="D275" s="395"/>
      <c r="E275" s="396"/>
    </row>
    <row r="276" spans="1:5" ht="15.6" hidden="1" x14ac:dyDescent="0.25">
      <c r="A276" s="393"/>
      <c r="B276" s="394"/>
      <c r="C276" s="303"/>
      <c r="D276" s="395"/>
      <c r="E276" s="396"/>
    </row>
    <row r="277" spans="1:5" ht="15.6" hidden="1" x14ac:dyDescent="0.25">
      <c r="A277" s="393"/>
      <c r="B277" s="394"/>
      <c r="C277" s="303"/>
      <c r="D277" s="395"/>
      <c r="E277" s="396"/>
    </row>
    <row r="278" spans="1:5" ht="15.6" hidden="1" x14ac:dyDescent="0.25">
      <c r="A278" s="393"/>
      <c r="B278" s="394"/>
      <c r="C278" s="303"/>
      <c r="D278" s="395"/>
      <c r="E278" s="396"/>
    </row>
    <row r="279" spans="1:5" ht="15.6" hidden="1" x14ac:dyDescent="0.25">
      <c r="A279" s="393"/>
      <c r="B279" s="394"/>
      <c r="C279" s="303"/>
      <c r="D279" s="395"/>
      <c r="E279" s="396"/>
    </row>
    <row r="280" spans="1:5" ht="15.6" x14ac:dyDescent="0.25">
      <c r="A280" s="397">
        <v>4</v>
      </c>
      <c r="B280" s="394">
        <v>3</v>
      </c>
      <c r="C280" s="397" t="s">
        <v>828</v>
      </c>
      <c r="D280" s="398"/>
      <c r="E280" s="399"/>
    </row>
    <row r="281" spans="1:5" ht="15.6" x14ac:dyDescent="0.25">
      <c r="A281" s="460"/>
      <c r="B281" s="460"/>
      <c r="C281" s="461"/>
      <c r="D281" s="374" t="s">
        <v>231</v>
      </c>
      <c r="E281" s="322">
        <f>SUM(E9:E280)</f>
        <v>0</v>
      </c>
    </row>
  </sheetData>
  <mergeCells count="14">
    <mergeCell ref="A281:C281"/>
    <mergeCell ref="B6:E6"/>
    <mergeCell ref="F1:G1"/>
    <mergeCell ref="F2:G2"/>
    <mergeCell ref="F3:G3"/>
    <mergeCell ref="F4:G4"/>
    <mergeCell ref="F5:G5"/>
    <mergeCell ref="F6:G6"/>
    <mergeCell ref="B1:E1"/>
    <mergeCell ref="B2:E2"/>
    <mergeCell ref="B3:E3"/>
    <mergeCell ref="B4:E4"/>
    <mergeCell ref="B5:E5"/>
    <mergeCell ref="A7:H7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zoomScale="85" zoomScaleNormal="85" workbookViewId="0">
      <selection activeCell="D19" sqref="D19:E25"/>
    </sheetView>
  </sheetViews>
  <sheetFormatPr defaultRowHeight="14.4" x14ac:dyDescent="0.3"/>
  <cols>
    <col min="7" max="7" width="44.5546875" customWidth="1"/>
  </cols>
  <sheetData>
    <row r="1" spans="1:9" ht="15.6" x14ac:dyDescent="0.3">
      <c r="A1" s="346" t="s">
        <v>728</v>
      </c>
      <c r="B1" s="439" t="s">
        <v>729</v>
      </c>
      <c r="C1" s="440"/>
      <c r="D1" s="440"/>
      <c r="E1" s="441"/>
      <c r="F1" s="442" t="s">
        <v>228</v>
      </c>
      <c r="G1" s="443"/>
      <c r="H1" s="346" t="s">
        <v>14</v>
      </c>
      <c r="I1" s="350" t="s">
        <v>730</v>
      </c>
    </row>
    <row r="2" spans="1:9" ht="15.6" x14ac:dyDescent="0.3">
      <c r="A2" s="347">
        <v>1</v>
      </c>
      <c r="B2" s="455" t="s">
        <v>313</v>
      </c>
      <c r="C2" s="456"/>
      <c r="D2" s="456"/>
      <c r="E2" s="457"/>
      <c r="F2" s="458" t="s">
        <v>814</v>
      </c>
      <c r="G2" s="459"/>
      <c r="H2" s="347" t="s">
        <v>128</v>
      </c>
      <c r="I2" s="353">
        <f>SUM(I3:I8)/7.61406957765593</f>
        <v>46.387808306413753</v>
      </c>
    </row>
    <row r="3" spans="1:9" ht="42.6" customHeight="1" x14ac:dyDescent="0.3">
      <c r="A3" s="346">
        <v>2</v>
      </c>
      <c r="B3" s="432" t="s">
        <v>406</v>
      </c>
      <c r="C3" s="449"/>
      <c r="D3" s="449"/>
      <c r="E3" s="433"/>
      <c r="F3" s="450" t="s">
        <v>796</v>
      </c>
      <c r="G3" s="451"/>
      <c r="H3" s="346" t="s">
        <v>23</v>
      </c>
      <c r="I3" s="355">
        <f>SUM(SUMIF($D$11:$D$25, {"ЧН-1","ЧН-7","ЧН-10"}, $E$11:$E$25))</f>
        <v>6.2</v>
      </c>
    </row>
    <row r="4" spans="1:9" ht="42.6" customHeight="1" x14ac:dyDescent="0.3">
      <c r="A4" s="347">
        <v>3</v>
      </c>
      <c r="B4" s="455" t="s">
        <v>406</v>
      </c>
      <c r="C4" s="456"/>
      <c r="D4" s="456"/>
      <c r="E4" s="457"/>
      <c r="F4" s="458" t="s">
        <v>795</v>
      </c>
      <c r="G4" s="459"/>
      <c r="H4" s="347" t="s">
        <v>23</v>
      </c>
      <c r="I4" s="353">
        <f>SUM(SUMIF($D$11:$D$25, {"ЧН-4","ЧН-12","ЧН-13","ЧН-15","ЧН-16","ЧН-20","ЧН-21","ЧН-23"}, $E$11:$E$25))</f>
        <v>0</v>
      </c>
    </row>
    <row r="5" spans="1:9" ht="42.6" customHeight="1" x14ac:dyDescent="0.3">
      <c r="A5" s="346">
        <v>4</v>
      </c>
      <c r="B5" s="432" t="s">
        <v>453</v>
      </c>
      <c r="C5" s="449"/>
      <c r="D5" s="449"/>
      <c r="E5" s="433"/>
      <c r="F5" s="450" t="s">
        <v>794</v>
      </c>
      <c r="G5" s="451"/>
      <c r="H5" s="346" t="s">
        <v>23</v>
      </c>
      <c r="I5" s="355">
        <f>SUM(SUMIF($D$11:$D$25, {"ЧН-6","ЧН-11"}, $E$11:$E$25))</f>
        <v>280.3</v>
      </c>
    </row>
    <row r="6" spans="1:9" ht="42.6" customHeight="1" x14ac:dyDescent="0.3">
      <c r="A6" s="347">
        <v>5</v>
      </c>
      <c r="B6" s="455" t="s">
        <v>453</v>
      </c>
      <c r="C6" s="456"/>
      <c r="D6" s="456"/>
      <c r="E6" s="457"/>
      <c r="F6" s="458" t="s">
        <v>793</v>
      </c>
      <c r="G6" s="459"/>
      <c r="H6" s="347" t="s">
        <v>23</v>
      </c>
      <c r="I6" s="353">
        <f>SUM(SUMIF($D$11:$D$25, {"ЧН-5"}, $E$11:$E$25))</f>
        <v>66.7</v>
      </c>
    </row>
    <row r="7" spans="1:9" ht="42.6" customHeight="1" x14ac:dyDescent="0.3">
      <c r="A7" s="346">
        <v>6</v>
      </c>
      <c r="B7" s="432" t="s">
        <v>445</v>
      </c>
      <c r="C7" s="449"/>
      <c r="D7" s="449"/>
      <c r="E7" s="433"/>
      <c r="F7" s="450" t="s">
        <v>792</v>
      </c>
      <c r="G7" s="451"/>
      <c r="H7" s="346" t="s">
        <v>23</v>
      </c>
      <c r="I7" s="355">
        <f>SUM(SUMIF($D$11:$D$25, {"ЧН-8"}, $E$11:$E$25))</f>
        <v>0</v>
      </c>
    </row>
    <row r="8" spans="1:9" ht="42.6" customHeight="1" x14ac:dyDescent="0.3">
      <c r="A8" s="347">
        <v>7</v>
      </c>
      <c r="B8" s="455" t="s">
        <v>396</v>
      </c>
      <c r="C8" s="456"/>
      <c r="D8" s="456"/>
      <c r="E8" s="457"/>
      <c r="F8" s="458" t="s">
        <v>791</v>
      </c>
      <c r="G8" s="459"/>
      <c r="H8" s="372" t="s">
        <v>23</v>
      </c>
      <c r="I8" s="373">
        <f>SUM(SUMIF($D$11:$D$25, {"ЧН-2","ЧН-9"}, $E$11:$E$25))</f>
        <v>0</v>
      </c>
    </row>
    <row r="9" spans="1:9" ht="15.6" x14ac:dyDescent="0.3">
      <c r="A9" s="462"/>
      <c r="B9" s="462"/>
      <c r="C9" s="462"/>
      <c r="D9" s="462"/>
      <c r="E9" s="462"/>
      <c r="F9" s="462"/>
      <c r="G9" s="462"/>
      <c r="H9" s="374" t="s">
        <v>231</v>
      </c>
      <c r="I9" s="355">
        <f>SUM(I3:I8)</f>
        <v>353.2</v>
      </c>
    </row>
    <row r="10" spans="1:9" ht="39.6" x14ac:dyDescent="0.3">
      <c r="A10" s="363" t="s">
        <v>252</v>
      </c>
      <c r="B10" s="363" t="s">
        <v>251</v>
      </c>
      <c r="C10" s="364" t="s">
        <v>716</v>
      </c>
      <c r="D10" s="365" t="s">
        <v>634</v>
      </c>
      <c r="E10" s="366" t="s">
        <v>635</v>
      </c>
      <c r="F10" s="376"/>
      <c r="G10" s="377"/>
      <c r="H10" s="377"/>
      <c r="I10" s="377"/>
    </row>
    <row r="11" spans="1:9" ht="15.6" x14ac:dyDescent="0.3">
      <c r="A11" s="367">
        <v>1</v>
      </c>
      <c r="B11" s="367">
        <v>2</v>
      </c>
      <c r="C11" s="368">
        <v>1017</v>
      </c>
      <c r="D11" s="369" t="s">
        <v>638</v>
      </c>
      <c r="E11" s="370">
        <v>41</v>
      </c>
      <c r="F11" s="376"/>
      <c r="G11" s="377"/>
      <c r="H11" s="377"/>
      <c r="I11" s="377"/>
    </row>
    <row r="12" spans="1:9" ht="15.6" x14ac:dyDescent="0.3">
      <c r="A12" s="367">
        <v>1</v>
      </c>
      <c r="B12" s="367">
        <v>2</v>
      </c>
      <c r="C12" s="368">
        <v>1017</v>
      </c>
      <c r="D12" s="371" t="s">
        <v>640</v>
      </c>
      <c r="E12" s="322">
        <v>32.799999999999997</v>
      </c>
      <c r="F12" s="376"/>
      <c r="G12" s="377"/>
      <c r="H12" s="377"/>
      <c r="I12" s="377"/>
    </row>
    <row r="13" spans="1:9" ht="15.6" x14ac:dyDescent="0.3">
      <c r="A13" s="367">
        <v>1</v>
      </c>
      <c r="B13" s="367">
        <v>2</v>
      </c>
      <c r="C13" s="368">
        <v>1017</v>
      </c>
      <c r="D13" s="369" t="s">
        <v>648</v>
      </c>
      <c r="E13" s="370">
        <v>6.2</v>
      </c>
      <c r="F13" s="376"/>
      <c r="G13" s="377"/>
      <c r="H13" s="377"/>
      <c r="I13" s="377"/>
    </row>
    <row r="14" spans="1:9" ht="15.6" x14ac:dyDescent="0.3">
      <c r="A14" s="367">
        <v>1</v>
      </c>
      <c r="B14" s="367">
        <v>2</v>
      </c>
      <c r="C14" s="368">
        <v>1042</v>
      </c>
      <c r="D14" s="369" t="s">
        <v>637</v>
      </c>
      <c r="E14" s="370">
        <v>69.400000000000006</v>
      </c>
      <c r="F14" s="376"/>
      <c r="G14" s="377"/>
      <c r="H14" s="377"/>
      <c r="I14" s="377"/>
    </row>
    <row r="15" spans="1:9" ht="15.6" x14ac:dyDescent="0.3">
      <c r="A15" s="319">
        <v>1</v>
      </c>
      <c r="B15" s="319">
        <v>2</v>
      </c>
      <c r="C15" s="320">
        <v>1042</v>
      </c>
      <c r="D15" s="371" t="s">
        <v>638</v>
      </c>
      <c r="E15" s="322">
        <v>37.4</v>
      </c>
      <c r="F15" s="376"/>
      <c r="G15" s="377"/>
      <c r="H15" s="377"/>
      <c r="I15" s="377"/>
    </row>
    <row r="16" spans="1:9" ht="15.6" x14ac:dyDescent="0.3">
      <c r="D16" s="369" t="s">
        <v>640</v>
      </c>
      <c r="E16" s="370">
        <v>30</v>
      </c>
    </row>
    <row r="17" spans="1:9" ht="15.6" x14ac:dyDescent="0.3">
      <c r="A17" s="367">
        <v>1</v>
      </c>
      <c r="B17" s="367">
        <v>2</v>
      </c>
      <c r="C17" s="368">
        <v>1040</v>
      </c>
      <c r="D17" s="369" t="s">
        <v>638</v>
      </c>
      <c r="E17" s="370">
        <v>132.5</v>
      </c>
      <c r="F17" s="376"/>
      <c r="G17" s="377"/>
      <c r="H17" s="377"/>
      <c r="I17" s="377"/>
    </row>
    <row r="18" spans="1:9" ht="15.6" x14ac:dyDescent="0.3">
      <c r="A18" s="319">
        <v>1</v>
      </c>
      <c r="B18" s="319">
        <v>2</v>
      </c>
      <c r="C18" s="320">
        <v>1040</v>
      </c>
      <c r="D18" s="369" t="s">
        <v>640</v>
      </c>
      <c r="E18" s="370">
        <v>3.9</v>
      </c>
      <c r="F18" s="376"/>
      <c r="G18" s="377"/>
      <c r="H18" s="377"/>
      <c r="I18" s="377"/>
    </row>
    <row r="19" spans="1:9" ht="15.6" x14ac:dyDescent="0.3">
      <c r="A19" s="319">
        <v>1</v>
      </c>
      <c r="B19" s="319">
        <v>2</v>
      </c>
      <c r="C19" s="320">
        <v>1017</v>
      </c>
      <c r="D19" s="371"/>
      <c r="E19" s="322"/>
      <c r="F19" s="376"/>
      <c r="G19" s="377"/>
      <c r="H19" s="377"/>
      <c r="I19" s="377"/>
    </row>
    <row r="20" spans="1:9" ht="15.6" x14ac:dyDescent="0.3">
      <c r="A20" s="367">
        <v>1</v>
      </c>
      <c r="B20" s="367">
        <v>2</v>
      </c>
      <c r="C20" s="368">
        <v>1040</v>
      </c>
      <c r="D20" s="369"/>
      <c r="E20" s="370"/>
      <c r="F20" s="376"/>
      <c r="G20" s="377"/>
      <c r="H20" s="377"/>
      <c r="I20" s="377"/>
    </row>
    <row r="21" spans="1:9" ht="15.6" x14ac:dyDescent="0.3">
      <c r="A21" s="319">
        <v>1</v>
      </c>
      <c r="B21" s="319">
        <v>2</v>
      </c>
      <c r="C21" s="320">
        <v>1040</v>
      </c>
      <c r="D21" s="371"/>
      <c r="E21" s="322"/>
      <c r="F21" s="376"/>
      <c r="G21" s="377"/>
      <c r="H21" s="377"/>
      <c r="I21" s="377"/>
    </row>
    <row r="22" spans="1:9" ht="15.6" x14ac:dyDescent="0.3">
      <c r="A22" s="367">
        <v>1</v>
      </c>
      <c r="B22" s="367">
        <v>2</v>
      </c>
      <c r="C22" s="368">
        <v>1041</v>
      </c>
      <c r="D22" s="369"/>
      <c r="E22" s="370"/>
      <c r="F22" s="376"/>
      <c r="G22" s="377"/>
      <c r="H22" s="377"/>
      <c r="I22" s="377"/>
    </row>
    <row r="23" spans="1:9" ht="15.6" x14ac:dyDescent="0.3">
      <c r="A23" s="319">
        <v>1</v>
      </c>
      <c r="B23" s="319">
        <v>2</v>
      </c>
      <c r="C23" s="320">
        <v>1041</v>
      </c>
      <c r="D23" s="371"/>
      <c r="E23" s="322"/>
      <c r="F23" s="376"/>
      <c r="G23" s="377"/>
      <c r="H23" s="377"/>
      <c r="I23" s="377"/>
    </row>
    <row r="24" spans="1:9" ht="15.6" x14ac:dyDescent="0.3">
      <c r="A24" s="367">
        <v>1</v>
      </c>
      <c r="B24" s="367">
        <v>2</v>
      </c>
      <c r="C24" s="368">
        <v>1041</v>
      </c>
      <c r="D24" s="369"/>
      <c r="E24" s="370"/>
      <c r="F24" s="376"/>
      <c r="G24" s="377"/>
      <c r="H24" s="377"/>
      <c r="I24" s="377"/>
    </row>
    <row r="25" spans="1:9" ht="15.6" x14ac:dyDescent="0.3">
      <c r="A25" s="319">
        <v>1</v>
      </c>
      <c r="B25" s="319">
        <v>2</v>
      </c>
      <c r="C25" s="320">
        <v>1041</v>
      </c>
      <c r="D25" s="371"/>
      <c r="E25" s="322"/>
      <c r="F25" s="376"/>
      <c r="G25" s="377"/>
      <c r="H25" s="377"/>
      <c r="I25" s="377"/>
    </row>
    <row r="26" spans="1:9" ht="15.6" x14ac:dyDescent="0.3">
      <c r="A26" s="189"/>
      <c r="B26" s="189"/>
      <c r="C26" s="189"/>
      <c r="D26" s="374" t="s">
        <v>231</v>
      </c>
      <c r="E26" s="375">
        <f>SUM(E11:E25)</f>
        <v>353.2</v>
      </c>
      <c r="F26" s="376"/>
      <c r="G26" s="377"/>
      <c r="H26" s="377"/>
      <c r="I26" s="377"/>
    </row>
    <row r="28" spans="1:9" ht="15.6" x14ac:dyDescent="0.3">
      <c r="A28" s="367">
        <v>1</v>
      </c>
      <c r="B28" s="367">
        <v>3</v>
      </c>
      <c r="C28" s="368">
        <v>1074</v>
      </c>
      <c r="D28" s="369" t="s">
        <v>638</v>
      </c>
      <c r="E28" s="370">
        <v>41</v>
      </c>
      <c r="F28" s="376"/>
      <c r="G28" s="377"/>
      <c r="H28" s="377"/>
      <c r="I28" s="377"/>
    </row>
    <row r="29" spans="1:9" ht="15.6" x14ac:dyDescent="0.3">
      <c r="A29" s="319">
        <v>1</v>
      </c>
      <c r="B29" s="319">
        <v>3</v>
      </c>
      <c r="C29" s="320">
        <v>1074</v>
      </c>
      <c r="D29" s="371" t="s">
        <v>640</v>
      </c>
      <c r="E29" s="322">
        <v>32.799999999999997</v>
      </c>
      <c r="F29" s="376"/>
      <c r="G29" s="377"/>
      <c r="H29" s="377"/>
      <c r="I29" s="377"/>
    </row>
    <row r="30" spans="1:9" ht="15.6" x14ac:dyDescent="0.3">
      <c r="A30" s="367">
        <v>1</v>
      </c>
      <c r="B30" s="367">
        <v>3</v>
      </c>
      <c r="C30" s="368">
        <v>1074</v>
      </c>
      <c r="D30" s="369" t="s">
        <v>648</v>
      </c>
      <c r="E30" s="370">
        <v>6.2</v>
      </c>
      <c r="F30" s="376"/>
      <c r="G30" s="377"/>
      <c r="H30" s="377"/>
      <c r="I30" s="377"/>
    </row>
    <row r="31" spans="1:9" ht="15.6" x14ac:dyDescent="0.3">
      <c r="A31" s="367">
        <v>1</v>
      </c>
      <c r="B31" s="367">
        <v>3</v>
      </c>
      <c r="C31" s="368">
        <v>1076</v>
      </c>
      <c r="D31" s="369" t="s">
        <v>637</v>
      </c>
      <c r="E31" s="370">
        <v>69.400000000000006</v>
      </c>
      <c r="F31" s="376"/>
      <c r="G31" s="377"/>
      <c r="H31" s="377"/>
      <c r="I31" s="377"/>
    </row>
    <row r="32" spans="1:9" ht="15.6" x14ac:dyDescent="0.3">
      <c r="A32" s="319">
        <v>1</v>
      </c>
      <c r="B32" s="319">
        <v>3</v>
      </c>
      <c r="C32" s="320">
        <v>1076</v>
      </c>
      <c r="D32" s="371" t="s">
        <v>638</v>
      </c>
      <c r="E32" s="322">
        <v>37.4</v>
      </c>
      <c r="F32" s="376"/>
      <c r="G32" s="377"/>
      <c r="H32" s="377"/>
      <c r="I32" s="377"/>
    </row>
    <row r="33" spans="1:9" ht="15.6" x14ac:dyDescent="0.3">
      <c r="A33" s="367">
        <v>1</v>
      </c>
      <c r="B33" s="367">
        <v>3</v>
      </c>
      <c r="C33" s="368">
        <v>1076</v>
      </c>
      <c r="D33" s="369" t="s">
        <v>640</v>
      </c>
      <c r="E33" s="370">
        <v>30</v>
      </c>
      <c r="F33" s="376"/>
      <c r="G33" s="377"/>
      <c r="H33" s="377"/>
      <c r="I33" s="377"/>
    </row>
    <row r="34" spans="1:9" ht="15.6" x14ac:dyDescent="0.3">
      <c r="A34" s="367">
        <v>1</v>
      </c>
      <c r="B34" s="367">
        <v>3</v>
      </c>
      <c r="C34" s="368">
        <v>1075</v>
      </c>
      <c r="D34" s="369" t="s">
        <v>638</v>
      </c>
      <c r="E34" s="370">
        <v>132.5</v>
      </c>
      <c r="F34" s="376"/>
      <c r="G34" s="377"/>
      <c r="H34" s="377"/>
      <c r="I34" s="377"/>
    </row>
    <row r="35" spans="1:9" ht="15.6" x14ac:dyDescent="0.3">
      <c r="A35" s="367">
        <v>1</v>
      </c>
      <c r="B35" s="367">
        <v>3</v>
      </c>
      <c r="C35" s="368">
        <v>1075</v>
      </c>
      <c r="D35" s="369" t="s">
        <v>640</v>
      </c>
      <c r="E35" s="370">
        <v>3.9</v>
      </c>
      <c r="F35" s="376"/>
      <c r="G35" s="377"/>
      <c r="H35" s="377"/>
      <c r="I35" s="377"/>
    </row>
  </sheetData>
  <mergeCells count="17">
    <mergeCell ref="B1:E1"/>
    <mergeCell ref="F1:G1"/>
    <mergeCell ref="B2:E2"/>
    <mergeCell ref="F2:G2"/>
    <mergeCell ref="B3:E3"/>
    <mergeCell ref="F3:G3"/>
    <mergeCell ref="B4:E4"/>
    <mergeCell ref="F4:G4"/>
    <mergeCell ref="B5:E5"/>
    <mergeCell ref="F5:G5"/>
    <mergeCell ref="B6:E6"/>
    <mergeCell ref="F6:G6"/>
    <mergeCell ref="B7:E7"/>
    <mergeCell ref="F7:G7"/>
    <mergeCell ref="B8:E8"/>
    <mergeCell ref="F8:G8"/>
    <mergeCell ref="A9:G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="70" zoomScaleNormal="70" workbookViewId="0">
      <selection activeCell="D16" sqref="D16"/>
    </sheetView>
  </sheetViews>
  <sheetFormatPr defaultRowHeight="14.4" x14ac:dyDescent="0.3"/>
  <cols>
    <col min="1" max="1" width="8.77734375" style="401" customWidth="1"/>
    <col min="2" max="2" width="11.5546875" customWidth="1"/>
    <col min="3" max="3" width="11.88671875" customWidth="1"/>
    <col min="4" max="4" width="15.44140625" customWidth="1"/>
    <col min="5" max="5" width="15.33203125" customWidth="1"/>
    <col min="6" max="6" width="24.109375" customWidth="1"/>
    <col min="7" max="7" width="5.109375" hidden="1" customWidth="1"/>
    <col min="8" max="8" width="8.44140625" customWidth="1"/>
    <col min="9" max="9" width="7.6640625" customWidth="1"/>
  </cols>
  <sheetData>
    <row r="1" spans="1:9" ht="15.6" x14ac:dyDescent="0.3">
      <c r="A1" s="346" t="s">
        <v>728</v>
      </c>
      <c r="B1" s="439" t="s">
        <v>729</v>
      </c>
      <c r="C1" s="440"/>
      <c r="D1" s="440"/>
      <c r="E1" s="441"/>
      <c r="F1" s="442" t="s">
        <v>228</v>
      </c>
      <c r="G1" s="443"/>
      <c r="H1" s="346" t="s">
        <v>14</v>
      </c>
      <c r="I1" s="350" t="s">
        <v>730</v>
      </c>
    </row>
    <row r="2" spans="1:9" ht="53.4" customHeight="1" x14ac:dyDescent="0.3">
      <c r="A2" s="388">
        <v>1</v>
      </c>
      <c r="B2" s="444" t="s">
        <v>406</v>
      </c>
      <c r="C2" s="445"/>
      <c r="D2" s="445"/>
      <c r="E2" s="446"/>
      <c r="F2" s="447" t="s">
        <v>826</v>
      </c>
      <c r="G2" s="448"/>
      <c r="H2" s="381" t="s">
        <v>23</v>
      </c>
      <c r="I2" s="403">
        <f>E10</f>
        <v>149.4</v>
      </c>
    </row>
    <row r="3" spans="1:9" ht="15.6" x14ac:dyDescent="0.3">
      <c r="A3" s="452" t="s">
        <v>822</v>
      </c>
      <c r="B3" s="452"/>
      <c r="C3" s="452"/>
      <c r="D3" s="452"/>
      <c r="E3" s="452"/>
      <c r="F3" s="452"/>
      <c r="G3" s="452"/>
      <c r="H3" s="453"/>
      <c r="I3" s="383">
        <f>I2</f>
        <v>149.4</v>
      </c>
    </row>
    <row r="4" spans="1:9" ht="26.4" x14ac:dyDescent="0.3">
      <c r="A4" s="390" t="s">
        <v>252</v>
      </c>
      <c r="B4" s="391" t="s">
        <v>251</v>
      </c>
      <c r="C4" s="391" t="s">
        <v>818</v>
      </c>
      <c r="D4" s="391" t="s">
        <v>634</v>
      </c>
      <c r="E4" s="392" t="s">
        <v>635</v>
      </c>
      <c r="F4" s="463"/>
      <c r="G4" s="464"/>
      <c r="H4" s="464"/>
      <c r="I4" s="464"/>
    </row>
    <row r="5" spans="1:9" ht="15.6" x14ac:dyDescent="0.3">
      <c r="A5" s="406">
        <v>-1</v>
      </c>
      <c r="B5" s="407">
        <v>1</v>
      </c>
      <c r="C5" s="408" t="s">
        <v>827</v>
      </c>
      <c r="D5" s="395" t="s">
        <v>643</v>
      </c>
      <c r="E5" s="410">
        <v>9.3000000000000007</v>
      </c>
      <c r="F5" s="463"/>
      <c r="G5" s="464"/>
      <c r="H5" s="464"/>
      <c r="I5" s="464"/>
    </row>
    <row r="6" spans="1:9" ht="15.6" x14ac:dyDescent="0.3">
      <c r="A6" s="393">
        <v>-1</v>
      </c>
      <c r="B6" s="394">
        <v>2</v>
      </c>
      <c r="C6" s="404">
        <v>4.0000000000000001E-3</v>
      </c>
      <c r="D6" s="395" t="s">
        <v>643</v>
      </c>
      <c r="E6" s="396">
        <v>40</v>
      </c>
      <c r="F6" s="463"/>
      <c r="G6" s="464"/>
      <c r="H6" s="464"/>
      <c r="I6" s="464"/>
    </row>
    <row r="7" spans="1:9" ht="15.6" x14ac:dyDescent="0.3">
      <c r="A7" s="393">
        <v>-1</v>
      </c>
      <c r="B7" s="394">
        <v>2</v>
      </c>
      <c r="C7" s="404">
        <v>7.0000000000000001E-3</v>
      </c>
      <c r="D7" s="395" t="s">
        <v>643</v>
      </c>
      <c r="E7" s="396">
        <v>41.1</v>
      </c>
      <c r="F7" s="463"/>
      <c r="G7" s="464"/>
      <c r="H7" s="464"/>
      <c r="I7" s="464"/>
    </row>
    <row r="8" spans="1:9" ht="15.6" x14ac:dyDescent="0.3">
      <c r="A8" s="393">
        <v>-1</v>
      </c>
      <c r="B8" s="394">
        <v>3</v>
      </c>
      <c r="C8" s="404">
        <v>1.0999999999999999E-2</v>
      </c>
      <c r="D8" s="395" t="s">
        <v>643</v>
      </c>
      <c r="E8" s="396">
        <v>40</v>
      </c>
      <c r="F8" s="463"/>
      <c r="G8" s="464"/>
      <c r="H8" s="464"/>
      <c r="I8" s="464"/>
    </row>
    <row r="9" spans="1:9" ht="15.6" x14ac:dyDescent="0.3">
      <c r="A9" s="393">
        <v>-1</v>
      </c>
      <c r="B9" s="394">
        <v>3</v>
      </c>
      <c r="C9" s="404">
        <v>1.2E-2</v>
      </c>
      <c r="D9" s="395" t="s">
        <v>643</v>
      </c>
      <c r="E9" s="396">
        <v>19</v>
      </c>
      <c r="F9" s="463"/>
      <c r="G9" s="464"/>
      <c r="H9" s="464"/>
      <c r="I9" s="464"/>
    </row>
    <row r="10" spans="1:9" ht="15.6" x14ac:dyDescent="0.3">
      <c r="A10" s="460"/>
      <c r="B10" s="460"/>
      <c r="C10" s="461"/>
      <c r="D10" s="374" t="s">
        <v>231</v>
      </c>
      <c r="E10" s="405">
        <f>SUM(E5:E9)</f>
        <v>149.4</v>
      </c>
      <c r="F10" s="463"/>
      <c r="G10" s="464"/>
      <c r="H10" s="464"/>
      <c r="I10" s="464"/>
    </row>
  </sheetData>
  <mergeCells count="7">
    <mergeCell ref="A3:H3"/>
    <mergeCell ref="F4:I10"/>
    <mergeCell ref="A10:C10"/>
    <mergeCell ref="B1:E1"/>
    <mergeCell ref="F1:G1"/>
    <mergeCell ref="B2:E2"/>
    <mergeCell ref="F2:G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zoomScale="70" zoomScaleNormal="70" workbookViewId="0">
      <selection activeCell="C2" sqref="C2"/>
    </sheetView>
  </sheetViews>
  <sheetFormatPr defaultRowHeight="14.4" x14ac:dyDescent="0.3"/>
  <cols>
    <col min="1" max="1" width="8.33203125" style="361" customWidth="1"/>
    <col min="2" max="2" width="40.33203125" customWidth="1"/>
    <col min="3" max="3" width="39.109375" customWidth="1"/>
    <col min="4" max="4" width="11.5546875" customWidth="1"/>
    <col min="5" max="5" width="9.6640625" customWidth="1"/>
  </cols>
  <sheetData>
    <row r="1" spans="1:5" ht="15.6" x14ac:dyDescent="0.3">
      <c r="A1" s="346" t="s">
        <v>728</v>
      </c>
      <c r="B1" s="348" t="s">
        <v>729</v>
      </c>
      <c r="C1" s="349" t="s">
        <v>228</v>
      </c>
      <c r="D1" s="346" t="s">
        <v>14</v>
      </c>
      <c r="E1" s="350" t="s">
        <v>730</v>
      </c>
    </row>
    <row r="2" spans="1:5" ht="62.4" x14ac:dyDescent="0.3">
      <c r="A2" s="347">
        <v>1</v>
      </c>
      <c r="B2" s="351" t="s">
        <v>313</v>
      </c>
      <c r="C2" s="352" t="s">
        <v>814</v>
      </c>
      <c r="D2" s="347" t="s">
        <v>128</v>
      </c>
      <c r="E2" s="353">
        <f>SUM(E3:E4)/7.61406957765593</f>
        <v>134.47985857718288</v>
      </c>
    </row>
    <row r="3" spans="1:5" ht="79.8" customHeight="1" x14ac:dyDescent="0.3">
      <c r="A3" s="346">
        <v>2</v>
      </c>
      <c r="B3" s="354" t="s">
        <v>406</v>
      </c>
      <c r="C3" s="349" t="s">
        <v>816</v>
      </c>
      <c r="D3" s="346" t="s">
        <v>23</v>
      </c>
      <c r="E3" s="355">
        <f>50.03*3.15-1.57*2.1*18+224.58*3.15</f>
        <v>805.67550000000006</v>
      </c>
    </row>
    <row r="4" spans="1:5" ht="79.8" customHeight="1" x14ac:dyDescent="0.3">
      <c r="A4" s="347">
        <v>3</v>
      </c>
      <c r="B4" s="351" t="s">
        <v>406</v>
      </c>
      <c r="C4" s="352" t="s">
        <v>817</v>
      </c>
      <c r="D4" s="347" t="s">
        <v>23</v>
      </c>
      <c r="E4" s="353">
        <f>(0.96*2+0.4+6.06)*3.15+60.91*3.15</f>
        <v>218.26349999999996</v>
      </c>
    </row>
    <row r="5" spans="1:5" ht="15.6" x14ac:dyDescent="0.3">
      <c r="A5" s="356"/>
      <c r="B5" s="357"/>
      <c r="C5" s="357"/>
      <c r="D5" s="358" t="s">
        <v>727</v>
      </c>
      <c r="E5" s="359">
        <f>SUM(E3:E4)</f>
        <v>1023.9390000000001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E8" sqref="E8"/>
    </sheetView>
  </sheetViews>
  <sheetFormatPr defaultRowHeight="14.4" x14ac:dyDescent="0.3"/>
  <cols>
    <col min="1" max="1" width="8.33203125" style="287" customWidth="1"/>
    <col min="2" max="2" width="40.33203125" customWidth="1"/>
    <col min="3" max="3" width="44.109375" customWidth="1"/>
    <col min="4" max="4" width="11.5546875" customWidth="1"/>
    <col min="5" max="5" width="9.6640625" customWidth="1"/>
  </cols>
  <sheetData>
    <row r="1" spans="1:5" ht="15.6" x14ac:dyDescent="0.3">
      <c r="A1" s="346" t="s">
        <v>728</v>
      </c>
      <c r="B1" s="348" t="s">
        <v>729</v>
      </c>
      <c r="C1" s="349" t="s">
        <v>228</v>
      </c>
      <c r="D1" s="346" t="s">
        <v>14</v>
      </c>
      <c r="E1" s="350" t="s">
        <v>730</v>
      </c>
    </row>
    <row r="2" spans="1:5" ht="109.2" x14ac:dyDescent="0.3">
      <c r="A2" s="347">
        <v>1</v>
      </c>
      <c r="B2" s="351" t="s">
        <v>313</v>
      </c>
      <c r="C2" s="352" t="s">
        <v>314</v>
      </c>
      <c r="D2" s="347" t="s">
        <v>128</v>
      </c>
      <c r="E2" s="353">
        <f>SUM(E3:E7)/7.61406957765593</f>
        <v>421.56168488654259</v>
      </c>
    </row>
    <row r="3" spans="1:5" ht="79.8" customHeight="1" x14ac:dyDescent="0.3">
      <c r="A3" s="346">
        <v>2</v>
      </c>
      <c r="B3" s="354" t="s">
        <v>406</v>
      </c>
      <c r="C3" s="349" t="s">
        <v>796</v>
      </c>
      <c r="D3" s="346" t="s">
        <v>23</v>
      </c>
      <c r="E3" s="355">
        <v>166.4</v>
      </c>
    </row>
    <row r="4" spans="1:5" ht="72" customHeight="1" x14ac:dyDescent="0.3">
      <c r="A4" s="347">
        <v>3</v>
      </c>
      <c r="B4" s="351" t="s">
        <v>406</v>
      </c>
      <c r="C4" s="352" t="s">
        <v>795</v>
      </c>
      <c r="D4" s="347" t="s">
        <v>23</v>
      </c>
      <c r="E4" s="353">
        <v>1095.3999999999996</v>
      </c>
    </row>
    <row r="5" spans="1:5" ht="65.400000000000006" customHeight="1" x14ac:dyDescent="0.3">
      <c r="A5" s="346">
        <v>4</v>
      </c>
      <c r="B5" s="354" t="s">
        <v>453</v>
      </c>
      <c r="C5" s="349" t="s">
        <v>794</v>
      </c>
      <c r="D5" s="346" t="s">
        <v>23</v>
      </c>
      <c r="E5" s="355">
        <v>1579</v>
      </c>
    </row>
    <row r="6" spans="1:5" ht="62.4" customHeight="1" x14ac:dyDescent="0.3">
      <c r="A6" s="347">
        <v>5</v>
      </c>
      <c r="B6" s="351" t="s">
        <v>453</v>
      </c>
      <c r="C6" s="352" t="s">
        <v>793</v>
      </c>
      <c r="D6" s="347" t="s">
        <v>23</v>
      </c>
      <c r="E6" s="353">
        <v>348.5</v>
      </c>
    </row>
    <row r="7" spans="1:5" ht="78" x14ac:dyDescent="0.3">
      <c r="A7" s="346">
        <v>6</v>
      </c>
      <c r="B7" s="354" t="s">
        <v>323</v>
      </c>
      <c r="C7" s="349" t="s">
        <v>324</v>
      </c>
      <c r="D7" s="346" t="s">
        <v>23</v>
      </c>
      <c r="E7" s="355">
        <v>20.5</v>
      </c>
    </row>
    <row r="8" spans="1:5" ht="15.6" x14ac:dyDescent="0.3">
      <c r="A8" s="356"/>
      <c r="B8" s="357"/>
      <c r="C8" s="357"/>
      <c r="D8" s="358" t="s">
        <v>727</v>
      </c>
      <c r="E8" s="359">
        <f>SUM(E3:E7)</f>
        <v>3209.7999999999997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29"/>
  <sheetViews>
    <sheetView topLeftCell="A78" workbookViewId="0">
      <selection activeCell="M95" sqref="M95"/>
    </sheetView>
  </sheetViews>
  <sheetFormatPr defaultRowHeight="13.2" x14ac:dyDescent="0.25"/>
  <cols>
    <col min="1" max="1" width="6" style="188" customWidth="1"/>
    <col min="2" max="2" width="6.5546875" style="188" customWidth="1"/>
    <col min="3" max="3" width="11.33203125" style="188" customWidth="1"/>
    <col min="4" max="4" width="8.5546875" style="309" customWidth="1"/>
    <col min="5" max="5" width="10.77734375" style="188" customWidth="1"/>
    <col min="6" max="6" width="47.5546875" style="189" customWidth="1"/>
    <col min="7" max="16384" width="8.88671875" style="189"/>
  </cols>
  <sheetData>
    <row r="1" spans="1:6" ht="26.4" x14ac:dyDescent="0.25">
      <c r="A1" s="290" t="s">
        <v>252</v>
      </c>
      <c r="B1" s="291" t="s">
        <v>251</v>
      </c>
      <c r="C1" s="169" t="s">
        <v>786</v>
      </c>
      <c r="D1" s="308" t="s">
        <v>634</v>
      </c>
      <c r="E1" s="169" t="s">
        <v>635</v>
      </c>
      <c r="F1" s="146" t="s">
        <v>636</v>
      </c>
    </row>
    <row r="2" spans="1:6" ht="15.6" hidden="1" x14ac:dyDescent="0.25">
      <c r="A2" s="292">
        <v>1</v>
      </c>
      <c r="B2" s="293">
        <v>2</v>
      </c>
      <c r="C2" s="301">
        <v>1025</v>
      </c>
      <c r="D2" s="294" t="s">
        <v>638</v>
      </c>
      <c r="E2" s="302">
        <v>269.8</v>
      </c>
      <c r="F2" s="288" t="s">
        <v>781</v>
      </c>
    </row>
    <row r="3" spans="1:6" ht="15.6" hidden="1" x14ac:dyDescent="0.25">
      <c r="A3" s="292">
        <v>1</v>
      </c>
      <c r="B3" s="293">
        <v>2</v>
      </c>
      <c r="C3" s="301">
        <v>1025</v>
      </c>
      <c r="D3" s="294" t="s">
        <v>639</v>
      </c>
      <c r="E3" s="302">
        <v>16.399999999999999</v>
      </c>
      <c r="F3" s="288" t="s">
        <v>782</v>
      </c>
    </row>
    <row r="4" spans="1:6" ht="15.6" hidden="1" x14ac:dyDescent="0.25">
      <c r="A4" s="292">
        <v>1</v>
      </c>
      <c r="B4" s="293">
        <v>2</v>
      </c>
      <c r="C4" s="301">
        <v>1025</v>
      </c>
      <c r="D4" s="294" t="s">
        <v>640</v>
      </c>
      <c r="E4" s="302">
        <v>79.5</v>
      </c>
      <c r="F4" s="288" t="s">
        <v>783</v>
      </c>
    </row>
    <row r="5" spans="1:6" ht="15.6" hidden="1" x14ac:dyDescent="0.25">
      <c r="A5" s="292">
        <v>1</v>
      </c>
      <c r="B5" s="293">
        <v>2</v>
      </c>
      <c r="C5" s="301">
        <v>1036</v>
      </c>
      <c r="D5" s="294" t="s">
        <v>637</v>
      </c>
      <c r="E5" s="302">
        <v>39.799999999999997</v>
      </c>
      <c r="F5" s="288" t="s">
        <v>780</v>
      </c>
    </row>
    <row r="6" spans="1:6" ht="15.6" hidden="1" x14ac:dyDescent="0.25">
      <c r="A6" s="292">
        <v>1</v>
      </c>
      <c r="B6" s="293">
        <v>2</v>
      </c>
      <c r="C6" s="301">
        <v>1036</v>
      </c>
      <c r="D6" s="294" t="s">
        <v>638</v>
      </c>
      <c r="E6" s="302">
        <v>24.4</v>
      </c>
      <c r="F6" s="288" t="s">
        <v>781</v>
      </c>
    </row>
    <row r="7" spans="1:6" ht="15.6" hidden="1" x14ac:dyDescent="0.25">
      <c r="A7" s="292">
        <v>1</v>
      </c>
      <c r="B7" s="293">
        <v>2</v>
      </c>
      <c r="C7" s="301">
        <v>1036</v>
      </c>
      <c r="D7" s="294" t="s">
        <v>639</v>
      </c>
      <c r="E7" s="302">
        <v>9.5</v>
      </c>
      <c r="F7" s="288" t="s">
        <v>782</v>
      </c>
    </row>
    <row r="8" spans="1:6" ht="15.6" hidden="1" x14ac:dyDescent="0.25">
      <c r="A8" s="292">
        <v>1</v>
      </c>
      <c r="B8" s="293">
        <v>2</v>
      </c>
      <c r="C8" s="301">
        <v>1036</v>
      </c>
      <c r="D8" s="294" t="s">
        <v>640</v>
      </c>
      <c r="E8" s="302">
        <v>0.8</v>
      </c>
      <c r="F8" s="288" t="s">
        <v>783</v>
      </c>
    </row>
    <row r="9" spans="1:6" ht="15.6" hidden="1" x14ac:dyDescent="0.25">
      <c r="A9" s="292">
        <v>1</v>
      </c>
      <c r="B9" s="293">
        <v>2</v>
      </c>
      <c r="C9" s="301">
        <v>1038</v>
      </c>
      <c r="D9" s="294" t="s">
        <v>637</v>
      </c>
      <c r="E9" s="302">
        <v>47.1</v>
      </c>
      <c r="F9" s="288" t="s">
        <v>780</v>
      </c>
    </row>
    <row r="10" spans="1:6" ht="15.6" hidden="1" x14ac:dyDescent="0.25">
      <c r="A10" s="292">
        <v>1</v>
      </c>
      <c r="B10" s="293">
        <v>2</v>
      </c>
      <c r="C10" s="301">
        <v>1038</v>
      </c>
      <c r="D10" s="294" t="s">
        <v>638</v>
      </c>
      <c r="E10" s="302">
        <v>81.8</v>
      </c>
      <c r="F10" s="288" t="s">
        <v>781</v>
      </c>
    </row>
    <row r="11" spans="1:6" s="136" customFormat="1" ht="15.6" hidden="1" x14ac:dyDescent="0.3">
      <c r="A11" s="292">
        <v>1</v>
      </c>
      <c r="B11" s="293">
        <v>2</v>
      </c>
      <c r="C11" s="301">
        <v>1038</v>
      </c>
      <c r="D11" s="294" t="s">
        <v>639</v>
      </c>
      <c r="E11" s="302">
        <v>1.9</v>
      </c>
      <c r="F11" s="288" t="s">
        <v>782</v>
      </c>
    </row>
    <row r="12" spans="1:6" s="136" customFormat="1" ht="15.6" hidden="1" x14ac:dyDescent="0.3">
      <c r="A12" s="292">
        <v>1</v>
      </c>
      <c r="B12" s="293">
        <v>2</v>
      </c>
      <c r="C12" s="301">
        <v>1038</v>
      </c>
      <c r="D12" s="294" t="s">
        <v>640</v>
      </c>
      <c r="E12" s="302">
        <v>11.8</v>
      </c>
      <c r="F12" s="288" t="s">
        <v>783</v>
      </c>
    </row>
    <row r="13" spans="1:6" ht="15.6" hidden="1" x14ac:dyDescent="0.25">
      <c r="A13" s="295">
        <v>1</v>
      </c>
      <c r="B13" s="296">
        <v>2</v>
      </c>
      <c r="C13" s="303">
        <v>1043</v>
      </c>
      <c r="D13" s="297" t="s">
        <v>645</v>
      </c>
      <c r="E13" s="304">
        <v>83</v>
      </c>
      <c r="F13" s="142" t="s">
        <v>671</v>
      </c>
    </row>
    <row r="14" spans="1:6" ht="15.6" hidden="1" x14ac:dyDescent="0.25">
      <c r="A14" s="295">
        <v>1</v>
      </c>
      <c r="B14" s="296">
        <v>2</v>
      </c>
      <c r="C14" s="303">
        <v>1043</v>
      </c>
      <c r="D14" s="297" t="s">
        <v>647</v>
      </c>
      <c r="E14" s="304">
        <v>1.5</v>
      </c>
      <c r="F14" s="142" t="s">
        <v>677</v>
      </c>
    </row>
    <row r="15" spans="1:6" ht="15.6" hidden="1" x14ac:dyDescent="0.25">
      <c r="A15" s="295">
        <v>1</v>
      </c>
      <c r="B15" s="296">
        <v>2</v>
      </c>
      <c r="C15" s="303">
        <v>1043</v>
      </c>
      <c r="D15" s="297" t="s">
        <v>648</v>
      </c>
      <c r="E15" s="304">
        <v>18.2</v>
      </c>
      <c r="F15" s="142" t="s">
        <v>674</v>
      </c>
    </row>
    <row r="16" spans="1:6" ht="15.6" hidden="1" x14ac:dyDescent="0.25">
      <c r="A16" s="295">
        <v>1</v>
      </c>
      <c r="B16" s="296">
        <v>2</v>
      </c>
      <c r="C16" s="303">
        <v>1044</v>
      </c>
      <c r="D16" s="297" t="s">
        <v>645</v>
      </c>
      <c r="E16" s="304">
        <v>51.1</v>
      </c>
      <c r="F16" s="142" t="s">
        <v>671</v>
      </c>
    </row>
    <row r="17" spans="1:6" ht="15.6" hidden="1" x14ac:dyDescent="0.25">
      <c r="A17" s="295">
        <v>1</v>
      </c>
      <c r="B17" s="296">
        <v>2</v>
      </c>
      <c r="C17" s="303">
        <v>1044</v>
      </c>
      <c r="D17" s="297" t="s">
        <v>652</v>
      </c>
      <c r="E17" s="304">
        <v>8.4</v>
      </c>
      <c r="F17" s="142" t="s">
        <v>672</v>
      </c>
    </row>
    <row r="18" spans="1:6" ht="15.6" hidden="1" x14ac:dyDescent="0.25">
      <c r="A18" s="295">
        <v>1</v>
      </c>
      <c r="B18" s="296">
        <v>2</v>
      </c>
      <c r="C18" s="303">
        <v>1045</v>
      </c>
      <c r="D18" s="297" t="s">
        <v>645</v>
      </c>
      <c r="E18" s="304">
        <v>53</v>
      </c>
      <c r="F18" s="142" t="s">
        <v>671</v>
      </c>
    </row>
    <row r="19" spans="1:6" ht="15.6" hidden="1" x14ac:dyDescent="0.25">
      <c r="A19" s="295">
        <v>1</v>
      </c>
      <c r="B19" s="296">
        <v>2</v>
      </c>
      <c r="C19" s="303">
        <v>1045</v>
      </c>
      <c r="D19" s="297" t="s">
        <v>652</v>
      </c>
      <c r="E19" s="304">
        <v>8.1999999999999993</v>
      </c>
      <c r="F19" s="142" t="s">
        <v>672</v>
      </c>
    </row>
    <row r="20" spans="1:6" ht="15.6" hidden="1" x14ac:dyDescent="0.25">
      <c r="A20" s="295">
        <v>1</v>
      </c>
      <c r="B20" s="296">
        <v>2</v>
      </c>
      <c r="C20" s="303">
        <v>1045</v>
      </c>
      <c r="D20" s="297" t="s">
        <v>648</v>
      </c>
      <c r="E20" s="304">
        <v>5.9</v>
      </c>
      <c r="F20" s="142" t="s">
        <v>674</v>
      </c>
    </row>
    <row r="21" spans="1:6" ht="15.6" hidden="1" x14ac:dyDescent="0.25">
      <c r="A21" s="295">
        <v>1</v>
      </c>
      <c r="B21" s="296">
        <v>2</v>
      </c>
      <c r="C21" s="303">
        <v>1046</v>
      </c>
      <c r="D21" s="297" t="s">
        <v>645</v>
      </c>
      <c r="E21" s="304">
        <v>42.3</v>
      </c>
      <c r="F21" s="142" t="s">
        <v>671</v>
      </c>
    </row>
    <row r="22" spans="1:6" ht="15.6" hidden="1" x14ac:dyDescent="0.25">
      <c r="A22" s="295">
        <v>1</v>
      </c>
      <c r="B22" s="296">
        <v>2</v>
      </c>
      <c r="C22" s="303">
        <v>1046</v>
      </c>
      <c r="D22" s="297" t="s">
        <v>652</v>
      </c>
      <c r="E22" s="304">
        <v>2.7</v>
      </c>
      <c r="F22" s="142" t="s">
        <v>672</v>
      </c>
    </row>
    <row r="23" spans="1:6" ht="15.6" hidden="1" x14ac:dyDescent="0.25">
      <c r="A23" s="295">
        <v>1</v>
      </c>
      <c r="B23" s="296">
        <v>2</v>
      </c>
      <c r="C23" s="303">
        <v>1046</v>
      </c>
      <c r="D23" s="297" t="s">
        <v>647</v>
      </c>
      <c r="E23" s="304">
        <v>2.9</v>
      </c>
      <c r="F23" s="142" t="s">
        <v>677</v>
      </c>
    </row>
    <row r="24" spans="1:6" ht="15.6" hidden="1" x14ac:dyDescent="0.25">
      <c r="A24" s="295">
        <v>1</v>
      </c>
      <c r="B24" s="296">
        <v>2</v>
      </c>
      <c r="C24" s="303">
        <v>1046</v>
      </c>
      <c r="D24" s="297" t="s">
        <v>648</v>
      </c>
      <c r="E24" s="304">
        <v>2.6</v>
      </c>
      <c r="F24" s="142" t="s">
        <v>674</v>
      </c>
    </row>
    <row r="25" spans="1:6" ht="15.6" hidden="1" x14ac:dyDescent="0.25">
      <c r="A25" s="295">
        <v>1</v>
      </c>
      <c r="B25" s="296">
        <v>2</v>
      </c>
      <c r="C25" s="303">
        <v>1047</v>
      </c>
      <c r="D25" s="297" t="s">
        <v>645</v>
      </c>
      <c r="E25" s="304">
        <v>42.8</v>
      </c>
      <c r="F25" s="142" t="s">
        <v>671</v>
      </c>
    </row>
    <row r="26" spans="1:6" ht="15.6" hidden="1" x14ac:dyDescent="0.25">
      <c r="A26" s="295">
        <v>1</v>
      </c>
      <c r="B26" s="296">
        <v>2</v>
      </c>
      <c r="C26" s="303">
        <v>1047</v>
      </c>
      <c r="D26" s="297" t="s">
        <v>652</v>
      </c>
      <c r="E26" s="304">
        <v>4.2</v>
      </c>
      <c r="F26" s="142" t="s">
        <v>672</v>
      </c>
    </row>
    <row r="27" spans="1:6" ht="15.6" hidden="1" x14ac:dyDescent="0.25">
      <c r="A27" s="295">
        <v>1</v>
      </c>
      <c r="B27" s="296">
        <v>2</v>
      </c>
      <c r="C27" s="303">
        <v>1047</v>
      </c>
      <c r="D27" s="297" t="s">
        <v>647</v>
      </c>
      <c r="E27" s="304">
        <v>4.0999999999999996</v>
      </c>
      <c r="F27" s="142" t="s">
        <v>677</v>
      </c>
    </row>
    <row r="28" spans="1:6" ht="15.6" x14ac:dyDescent="0.25">
      <c r="A28" s="295">
        <v>1</v>
      </c>
      <c r="B28" s="296">
        <v>3</v>
      </c>
      <c r="C28" s="303">
        <v>1048</v>
      </c>
      <c r="D28" s="297" t="s">
        <v>645</v>
      </c>
      <c r="E28" s="304">
        <v>68.099999999999994</v>
      </c>
      <c r="F28" s="142" t="s">
        <v>671</v>
      </c>
    </row>
    <row r="29" spans="1:6" ht="15.6" x14ac:dyDescent="0.25">
      <c r="A29" s="295">
        <v>1</v>
      </c>
      <c r="B29" s="296">
        <v>3</v>
      </c>
      <c r="C29" s="303">
        <v>1048</v>
      </c>
      <c r="D29" s="297" t="s">
        <v>652</v>
      </c>
      <c r="E29" s="304">
        <v>22.4</v>
      </c>
      <c r="F29" s="142" t="s">
        <v>672</v>
      </c>
    </row>
    <row r="30" spans="1:6" ht="15.6" hidden="1" x14ac:dyDescent="0.25">
      <c r="A30" s="295">
        <v>1</v>
      </c>
      <c r="B30" s="296">
        <v>2</v>
      </c>
      <c r="C30" s="303">
        <v>1050</v>
      </c>
      <c r="D30" s="297" t="s">
        <v>645</v>
      </c>
      <c r="E30" s="304">
        <v>94.9</v>
      </c>
      <c r="F30" s="142" t="s">
        <v>671</v>
      </c>
    </row>
    <row r="31" spans="1:6" ht="15.6" hidden="1" x14ac:dyDescent="0.25">
      <c r="A31" s="295">
        <v>1</v>
      </c>
      <c r="B31" s="296">
        <v>2</v>
      </c>
      <c r="C31" s="303">
        <v>1050</v>
      </c>
      <c r="D31" s="297" t="s">
        <v>652</v>
      </c>
      <c r="E31" s="304">
        <v>41.6</v>
      </c>
      <c r="F31" s="142" t="s">
        <v>672</v>
      </c>
    </row>
    <row r="32" spans="1:6" ht="15.6" hidden="1" x14ac:dyDescent="0.25">
      <c r="A32" s="295">
        <v>1</v>
      </c>
      <c r="B32" s="296">
        <v>2</v>
      </c>
      <c r="C32" s="303">
        <v>1050</v>
      </c>
      <c r="D32" s="297" t="s">
        <v>648</v>
      </c>
      <c r="E32" s="304">
        <v>3.9</v>
      </c>
      <c r="F32" s="142" t="s">
        <v>674</v>
      </c>
    </row>
    <row r="33" spans="1:6" ht="15.6" hidden="1" x14ac:dyDescent="0.25">
      <c r="A33" s="295">
        <v>1</v>
      </c>
      <c r="B33" s="296">
        <v>2</v>
      </c>
      <c r="C33" s="303">
        <v>1051</v>
      </c>
      <c r="D33" s="297" t="s">
        <v>645</v>
      </c>
      <c r="E33" s="304">
        <v>62.2</v>
      </c>
      <c r="F33" s="142" t="s">
        <v>671</v>
      </c>
    </row>
    <row r="34" spans="1:6" ht="15.6" hidden="1" x14ac:dyDescent="0.25">
      <c r="A34" s="295">
        <v>1</v>
      </c>
      <c r="B34" s="296">
        <v>2</v>
      </c>
      <c r="C34" s="303">
        <v>1051</v>
      </c>
      <c r="D34" s="297" t="s">
        <v>652</v>
      </c>
      <c r="E34" s="304">
        <v>20</v>
      </c>
      <c r="F34" s="142" t="s">
        <v>672</v>
      </c>
    </row>
    <row r="35" spans="1:6" ht="15.6" hidden="1" x14ac:dyDescent="0.25">
      <c r="A35" s="295">
        <v>1</v>
      </c>
      <c r="B35" s="296">
        <v>2</v>
      </c>
      <c r="C35" s="303">
        <v>1051</v>
      </c>
      <c r="D35" s="297" t="s">
        <v>648</v>
      </c>
      <c r="E35" s="304">
        <v>3.8</v>
      </c>
      <c r="F35" s="142" t="s">
        <v>674</v>
      </c>
    </row>
    <row r="36" spans="1:6" ht="15.6" x14ac:dyDescent="0.25">
      <c r="A36" s="295">
        <v>1</v>
      </c>
      <c r="B36" s="296">
        <v>3</v>
      </c>
      <c r="C36" s="303">
        <v>1052</v>
      </c>
      <c r="D36" s="297" t="s">
        <v>645</v>
      </c>
      <c r="E36" s="304">
        <v>41.2</v>
      </c>
      <c r="F36" s="142" t="s">
        <v>671</v>
      </c>
    </row>
    <row r="37" spans="1:6" ht="15.6" x14ac:dyDescent="0.25">
      <c r="A37" s="295">
        <v>1</v>
      </c>
      <c r="B37" s="296">
        <v>3</v>
      </c>
      <c r="C37" s="303">
        <v>1052</v>
      </c>
      <c r="D37" s="297" t="s">
        <v>652</v>
      </c>
      <c r="E37" s="304">
        <v>2.1</v>
      </c>
      <c r="F37" s="142" t="s">
        <v>672</v>
      </c>
    </row>
    <row r="38" spans="1:6" ht="15.6" x14ac:dyDescent="0.25">
      <c r="A38" s="295">
        <v>1</v>
      </c>
      <c r="B38" s="296">
        <v>3</v>
      </c>
      <c r="C38" s="303">
        <v>1052</v>
      </c>
      <c r="D38" s="297" t="s">
        <v>647</v>
      </c>
      <c r="E38" s="304">
        <v>3.2</v>
      </c>
      <c r="F38" s="142" t="s">
        <v>677</v>
      </c>
    </row>
    <row r="39" spans="1:6" ht="14.4" customHeight="1" x14ac:dyDescent="0.25">
      <c r="A39" s="295">
        <v>1</v>
      </c>
      <c r="B39" s="296">
        <v>3</v>
      </c>
      <c r="C39" s="303">
        <v>1052</v>
      </c>
      <c r="D39" s="297" t="s">
        <v>648</v>
      </c>
      <c r="E39" s="304">
        <v>2.9</v>
      </c>
      <c r="F39" s="142" t="s">
        <v>674</v>
      </c>
    </row>
    <row r="40" spans="1:6" ht="15.6" hidden="1" x14ac:dyDescent="0.25">
      <c r="A40" s="295">
        <v>1</v>
      </c>
      <c r="B40" s="296">
        <v>2</v>
      </c>
      <c r="C40" s="303">
        <v>1053</v>
      </c>
      <c r="D40" s="297" t="s">
        <v>645</v>
      </c>
      <c r="E40" s="304">
        <v>39.299999999999997</v>
      </c>
      <c r="F40" s="142" t="s">
        <v>671</v>
      </c>
    </row>
    <row r="41" spans="1:6" ht="15.6" hidden="1" x14ac:dyDescent="0.25">
      <c r="A41" s="295">
        <v>1</v>
      </c>
      <c r="B41" s="296">
        <v>2</v>
      </c>
      <c r="C41" s="303">
        <v>1053</v>
      </c>
      <c r="D41" s="297" t="s">
        <v>652</v>
      </c>
      <c r="E41" s="304">
        <v>1.6</v>
      </c>
      <c r="F41" s="142" t="s">
        <v>672</v>
      </c>
    </row>
    <row r="42" spans="1:6" ht="15.6" hidden="1" x14ac:dyDescent="0.25">
      <c r="A42" s="295">
        <v>1</v>
      </c>
      <c r="B42" s="296">
        <v>2</v>
      </c>
      <c r="C42" s="303">
        <v>1053</v>
      </c>
      <c r="D42" s="297" t="s">
        <v>647</v>
      </c>
      <c r="E42" s="304">
        <v>3.4</v>
      </c>
      <c r="F42" s="142" t="s">
        <v>677</v>
      </c>
    </row>
    <row r="43" spans="1:6" ht="15.6" hidden="1" x14ac:dyDescent="0.25">
      <c r="A43" s="295">
        <v>1</v>
      </c>
      <c r="B43" s="296">
        <v>2</v>
      </c>
      <c r="C43" s="303">
        <v>1053</v>
      </c>
      <c r="D43" s="297" t="s">
        <v>648</v>
      </c>
      <c r="E43" s="304">
        <v>1.2</v>
      </c>
      <c r="F43" s="142" t="s">
        <v>674</v>
      </c>
    </row>
    <row r="44" spans="1:6" ht="15.6" hidden="1" x14ac:dyDescent="0.25">
      <c r="A44" s="295">
        <v>1</v>
      </c>
      <c r="B44" s="296">
        <v>2</v>
      </c>
      <c r="C44" s="303">
        <v>1054</v>
      </c>
      <c r="D44" s="297" t="s">
        <v>645</v>
      </c>
      <c r="E44" s="304">
        <v>95.7</v>
      </c>
      <c r="F44" s="142" t="s">
        <v>671</v>
      </c>
    </row>
    <row r="45" spans="1:6" ht="15.6" hidden="1" x14ac:dyDescent="0.25">
      <c r="A45" s="295">
        <v>1</v>
      </c>
      <c r="B45" s="296">
        <v>2</v>
      </c>
      <c r="C45" s="303">
        <v>1055</v>
      </c>
      <c r="D45" s="297" t="s">
        <v>645</v>
      </c>
      <c r="E45" s="304">
        <v>4.9000000000000004</v>
      </c>
      <c r="F45" s="142" t="s">
        <v>671</v>
      </c>
    </row>
    <row r="46" spans="1:6" ht="15.6" hidden="1" x14ac:dyDescent="0.25">
      <c r="A46" s="295">
        <v>1</v>
      </c>
      <c r="B46" s="296">
        <v>2</v>
      </c>
      <c r="C46" s="303">
        <v>1055</v>
      </c>
      <c r="D46" s="297" t="s">
        <v>652</v>
      </c>
      <c r="E46" s="304">
        <v>4.9000000000000004</v>
      </c>
      <c r="F46" s="142" t="s">
        <v>672</v>
      </c>
    </row>
    <row r="47" spans="1:6" ht="15.6" hidden="1" x14ac:dyDescent="0.25">
      <c r="A47" s="295">
        <v>1</v>
      </c>
      <c r="B47" s="296">
        <v>2</v>
      </c>
      <c r="C47" s="303">
        <v>1055</v>
      </c>
      <c r="D47" s="297" t="s">
        <v>655</v>
      </c>
      <c r="E47" s="304">
        <v>21.8</v>
      </c>
      <c r="F47" s="142" t="s">
        <v>675</v>
      </c>
    </row>
    <row r="48" spans="1:6" ht="15.6" hidden="1" x14ac:dyDescent="0.25">
      <c r="A48" s="295">
        <v>1</v>
      </c>
      <c r="B48" s="296">
        <v>2</v>
      </c>
      <c r="C48" s="303">
        <v>1056</v>
      </c>
      <c r="D48" s="297" t="s">
        <v>645</v>
      </c>
      <c r="E48" s="304">
        <v>30.6</v>
      </c>
      <c r="F48" s="142" t="s">
        <v>671</v>
      </c>
    </row>
    <row r="49" spans="1:6" ht="15.6" hidden="1" x14ac:dyDescent="0.25">
      <c r="A49" s="295">
        <v>1</v>
      </c>
      <c r="B49" s="296">
        <v>2</v>
      </c>
      <c r="C49" s="303">
        <v>1056</v>
      </c>
      <c r="D49" s="297" t="s">
        <v>648</v>
      </c>
      <c r="E49" s="304">
        <v>5.4</v>
      </c>
      <c r="F49" s="142" t="s">
        <v>674</v>
      </c>
    </row>
    <row r="50" spans="1:6" ht="15.6" hidden="1" x14ac:dyDescent="0.25">
      <c r="A50" s="295">
        <v>1</v>
      </c>
      <c r="B50" s="296">
        <v>2</v>
      </c>
      <c r="C50" s="303">
        <v>1056</v>
      </c>
      <c r="D50" s="297" t="s">
        <v>655</v>
      </c>
      <c r="E50" s="304">
        <v>12.1</v>
      </c>
      <c r="F50" s="142" t="s">
        <v>675</v>
      </c>
    </row>
    <row r="51" spans="1:6" ht="15.6" x14ac:dyDescent="0.25">
      <c r="A51" s="295">
        <v>1</v>
      </c>
      <c r="B51" s="296">
        <v>3</v>
      </c>
      <c r="C51" s="303">
        <v>1057</v>
      </c>
      <c r="D51" s="297" t="s">
        <v>645</v>
      </c>
      <c r="E51" s="304">
        <v>28.2</v>
      </c>
      <c r="F51" s="142" t="s">
        <v>671</v>
      </c>
    </row>
    <row r="52" spans="1:6" ht="15.6" x14ac:dyDescent="0.25">
      <c r="A52" s="295">
        <v>1</v>
      </c>
      <c r="B52" s="296">
        <v>3</v>
      </c>
      <c r="C52" s="303">
        <v>1057</v>
      </c>
      <c r="D52" s="297" t="s">
        <v>652</v>
      </c>
      <c r="E52" s="304">
        <v>14.6</v>
      </c>
      <c r="F52" s="142" t="s">
        <v>672</v>
      </c>
    </row>
    <row r="53" spans="1:6" ht="15.6" x14ac:dyDescent="0.25">
      <c r="A53" s="295">
        <v>1</v>
      </c>
      <c r="B53" s="296">
        <v>3</v>
      </c>
      <c r="C53" s="303">
        <v>1057</v>
      </c>
      <c r="D53" s="297" t="s">
        <v>655</v>
      </c>
      <c r="E53" s="304">
        <v>7.1</v>
      </c>
      <c r="F53" s="142" t="s">
        <v>675</v>
      </c>
    </row>
    <row r="54" spans="1:6" ht="15.6" x14ac:dyDescent="0.25">
      <c r="A54" s="295">
        <v>1</v>
      </c>
      <c r="B54" s="296">
        <v>3</v>
      </c>
      <c r="C54" s="303">
        <v>1058</v>
      </c>
      <c r="D54" s="297" t="s">
        <v>645</v>
      </c>
      <c r="E54" s="304">
        <v>37</v>
      </c>
      <c r="F54" s="142" t="s">
        <v>671</v>
      </c>
    </row>
    <row r="55" spans="1:6" ht="15.6" x14ac:dyDescent="0.25">
      <c r="A55" s="295">
        <v>1</v>
      </c>
      <c r="B55" s="296">
        <v>3</v>
      </c>
      <c r="C55" s="303">
        <v>1058</v>
      </c>
      <c r="D55" s="297" t="s">
        <v>652</v>
      </c>
      <c r="E55" s="304">
        <v>2.4</v>
      </c>
      <c r="F55" s="142" t="s">
        <v>672</v>
      </c>
    </row>
    <row r="56" spans="1:6" ht="15.6" x14ac:dyDescent="0.25">
      <c r="A56" s="295">
        <v>1</v>
      </c>
      <c r="B56" s="296">
        <v>3</v>
      </c>
      <c r="C56" s="303">
        <v>1058</v>
      </c>
      <c r="D56" s="297" t="s">
        <v>647</v>
      </c>
      <c r="E56" s="304">
        <v>2.7</v>
      </c>
      <c r="F56" s="142" t="s">
        <v>677</v>
      </c>
    </row>
    <row r="57" spans="1:6" ht="15.6" x14ac:dyDescent="0.25">
      <c r="A57" s="295">
        <v>1</v>
      </c>
      <c r="B57" s="296">
        <v>3</v>
      </c>
      <c r="C57" s="303">
        <v>1058</v>
      </c>
      <c r="D57" s="297" t="s">
        <v>648</v>
      </c>
      <c r="E57" s="304">
        <v>7.4</v>
      </c>
      <c r="F57" s="142" t="s">
        <v>674</v>
      </c>
    </row>
    <row r="58" spans="1:6" ht="15.6" x14ac:dyDescent="0.25">
      <c r="A58" s="295">
        <v>1</v>
      </c>
      <c r="B58" s="296">
        <v>3</v>
      </c>
      <c r="C58" s="303">
        <v>1059</v>
      </c>
      <c r="D58" s="297" t="s">
        <v>637</v>
      </c>
      <c r="E58" s="304">
        <v>35.5</v>
      </c>
      <c r="F58" s="142" t="s">
        <v>671</v>
      </c>
    </row>
    <row r="59" spans="1:6" ht="15.6" x14ac:dyDescent="0.25">
      <c r="A59" s="295">
        <v>1</v>
      </c>
      <c r="B59" s="296">
        <v>3</v>
      </c>
      <c r="C59" s="303">
        <v>1059</v>
      </c>
      <c r="D59" s="297" t="s">
        <v>638</v>
      </c>
      <c r="E59" s="304">
        <v>50.1</v>
      </c>
      <c r="F59" s="142" t="s">
        <v>672</v>
      </c>
    </row>
    <row r="60" spans="1:6" ht="15.6" x14ac:dyDescent="0.25">
      <c r="A60" s="295">
        <v>1</v>
      </c>
      <c r="B60" s="296">
        <v>3</v>
      </c>
      <c r="C60" s="303">
        <v>1059</v>
      </c>
      <c r="D60" s="297" t="s">
        <v>640</v>
      </c>
      <c r="E60" s="304">
        <v>3</v>
      </c>
      <c r="F60" s="142" t="s">
        <v>674</v>
      </c>
    </row>
    <row r="61" spans="1:6" ht="15.6" x14ac:dyDescent="0.25">
      <c r="A61" s="295">
        <v>1</v>
      </c>
      <c r="B61" s="296">
        <v>3</v>
      </c>
      <c r="C61" s="303">
        <v>1060</v>
      </c>
      <c r="D61" s="297" t="s">
        <v>637</v>
      </c>
      <c r="E61" s="304">
        <v>27.1</v>
      </c>
      <c r="F61" s="142" t="s">
        <v>671</v>
      </c>
    </row>
    <row r="62" spans="1:6" ht="15.6" x14ac:dyDescent="0.25">
      <c r="A62" s="295">
        <v>1</v>
      </c>
      <c r="B62" s="296">
        <v>3</v>
      </c>
      <c r="C62" s="303">
        <v>1060</v>
      </c>
      <c r="D62" s="297" t="s">
        <v>638</v>
      </c>
      <c r="E62" s="304">
        <v>12.2</v>
      </c>
      <c r="F62" s="142" t="s">
        <v>672</v>
      </c>
    </row>
    <row r="63" spans="1:6" ht="15.6" x14ac:dyDescent="0.25">
      <c r="A63" s="295">
        <v>1</v>
      </c>
      <c r="B63" s="296">
        <v>3</v>
      </c>
      <c r="C63" s="303">
        <v>1061</v>
      </c>
      <c r="D63" s="297" t="s">
        <v>637</v>
      </c>
      <c r="E63" s="304">
        <v>63</v>
      </c>
      <c r="F63" s="142" t="s">
        <v>671</v>
      </c>
    </row>
    <row r="64" spans="1:6" ht="15.6" x14ac:dyDescent="0.25">
      <c r="A64" s="295">
        <v>1</v>
      </c>
      <c r="B64" s="296">
        <v>3</v>
      </c>
      <c r="C64" s="303">
        <v>1061</v>
      </c>
      <c r="D64" s="297" t="s">
        <v>638</v>
      </c>
      <c r="E64" s="304">
        <v>9.3000000000000007</v>
      </c>
      <c r="F64" s="142" t="s">
        <v>672</v>
      </c>
    </row>
    <row r="65" spans="1:6" ht="15.6" x14ac:dyDescent="0.25">
      <c r="A65" s="295">
        <v>1</v>
      </c>
      <c r="B65" s="296">
        <v>3</v>
      </c>
      <c r="C65" s="303">
        <v>1061</v>
      </c>
      <c r="D65" s="297" t="s">
        <v>640</v>
      </c>
      <c r="E65" s="304">
        <v>8.4</v>
      </c>
      <c r="F65" s="142" t="s">
        <v>674</v>
      </c>
    </row>
    <row r="66" spans="1:6" ht="15.6" x14ac:dyDescent="0.25">
      <c r="A66" s="295">
        <v>1</v>
      </c>
      <c r="B66" s="296">
        <v>3</v>
      </c>
      <c r="C66" s="303">
        <v>1061</v>
      </c>
      <c r="D66" s="297" t="s">
        <v>641</v>
      </c>
      <c r="E66" s="304">
        <v>8.5</v>
      </c>
      <c r="F66" s="142" t="s">
        <v>675</v>
      </c>
    </row>
    <row r="67" spans="1:6" ht="15.6" x14ac:dyDescent="0.25">
      <c r="A67" s="295">
        <v>1</v>
      </c>
      <c r="B67" s="296">
        <v>3</v>
      </c>
      <c r="C67" s="303">
        <v>1062</v>
      </c>
      <c r="D67" s="297" t="s">
        <v>645</v>
      </c>
      <c r="E67" s="304">
        <v>28.3</v>
      </c>
      <c r="F67" s="142" t="s">
        <v>671</v>
      </c>
    </row>
    <row r="68" spans="1:6" ht="15.6" x14ac:dyDescent="0.25">
      <c r="A68" s="295">
        <v>1</v>
      </c>
      <c r="B68" s="296">
        <v>3</v>
      </c>
      <c r="C68" s="303">
        <v>1062</v>
      </c>
      <c r="D68" s="297" t="s">
        <v>652</v>
      </c>
      <c r="E68" s="304">
        <v>13.1</v>
      </c>
      <c r="F68" s="142" t="s">
        <v>672</v>
      </c>
    </row>
    <row r="69" spans="1:6" ht="15.6" x14ac:dyDescent="0.25">
      <c r="A69" s="295">
        <v>1</v>
      </c>
      <c r="B69" s="296">
        <v>3</v>
      </c>
      <c r="C69" s="303">
        <v>1062</v>
      </c>
      <c r="D69" s="297" t="s">
        <v>648</v>
      </c>
      <c r="E69" s="304">
        <v>3.1</v>
      </c>
      <c r="F69" s="142" t="s">
        <v>674</v>
      </c>
    </row>
    <row r="70" spans="1:6" ht="15.6" x14ac:dyDescent="0.25">
      <c r="A70" s="295">
        <v>1</v>
      </c>
      <c r="B70" s="296">
        <v>3</v>
      </c>
      <c r="C70" s="303">
        <v>1062</v>
      </c>
      <c r="D70" s="297" t="s">
        <v>655</v>
      </c>
      <c r="E70" s="304">
        <v>11.3</v>
      </c>
      <c r="F70" s="142" t="s">
        <v>675</v>
      </c>
    </row>
    <row r="71" spans="1:6" ht="15.6" x14ac:dyDescent="0.25">
      <c r="A71" s="295">
        <v>1</v>
      </c>
      <c r="B71" s="296">
        <v>3</v>
      </c>
      <c r="C71" s="303">
        <v>1063</v>
      </c>
      <c r="D71" s="297" t="s">
        <v>645</v>
      </c>
      <c r="E71" s="304">
        <v>26.4</v>
      </c>
      <c r="F71" s="142" t="s">
        <v>671</v>
      </c>
    </row>
    <row r="72" spans="1:6" ht="15.6" x14ac:dyDescent="0.25">
      <c r="A72" s="295">
        <v>1</v>
      </c>
      <c r="B72" s="296">
        <v>3</v>
      </c>
      <c r="C72" s="303">
        <v>1063</v>
      </c>
      <c r="D72" s="297" t="s">
        <v>652</v>
      </c>
      <c r="E72" s="304">
        <v>3.8</v>
      </c>
      <c r="F72" s="142" t="s">
        <v>672</v>
      </c>
    </row>
    <row r="73" spans="1:6" ht="15.6" x14ac:dyDescent="0.25">
      <c r="A73" s="295">
        <v>1</v>
      </c>
      <c r="B73" s="296">
        <v>3</v>
      </c>
      <c r="C73" s="303">
        <v>1063</v>
      </c>
      <c r="D73" s="297" t="s">
        <v>655</v>
      </c>
      <c r="E73" s="304">
        <v>6.1</v>
      </c>
      <c r="F73" s="142" t="s">
        <v>675</v>
      </c>
    </row>
    <row r="74" spans="1:6" ht="15.6" x14ac:dyDescent="0.25">
      <c r="A74" s="295">
        <v>1</v>
      </c>
      <c r="B74" s="296">
        <v>3</v>
      </c>
      <c r="C74" s="303">
        <v>1064</v>
      </c>
      <c r="D74" s="297" t="s">
        <v>645</v>
      </c>
      <c r="E74" s="304">
        <v>26.4</v>
      </c>
      <c r="F74" s="142" t="s">
        <v>671</v>
      </c>
    </row>
    <row r="75" spans="1:6" ht="15.6" x14ac:dyDescent="0.25">
      <c r="A75" s="295">
        <v>1</v>
      </c>
      <c r="B75" s="296">
        <v>3</v>
      </c>
      <c r="C75" s="303">
        <v>1064</v>
      </c>
      <c r="D75" s="297" t="s">
        <v>648</v>
      </c>
      <c r="E75" s="304">
        <v>5.0999999999999996</v>
      </c>
      <c r="F75" s="142" t="s">
        <v>674</v>
      </c>
    </row>
    <row r="76" spans="1:6" ht="15.6" x14ac:dyDescent="0.25">
      <c r="A76" s="295">
        <v>1</v>
      </c>
      <c r="B76" s="296">
        <v>3</v>
      </c>
      <c r="C76" s="303">
        <v>1064</v>
      </c>
      <c r="D76" s="297" t="s">
        <v>655</v>
      </c>
      <c r="E76" s="304">
        <v>7.4</v>
      </c>
      <c r="F76" s="142" t="s">
        <v>675</v>
      </c>
    </row>
    <row r="77" spans="1:6" ht="15.6" x14ac:dyDescent="0.25">
      <c r="A77" s="295">
        <v>1</v>
      </c>
      <c r="B77" s="296">
        <v>3</v>
      </c>
      <c r="C77" s="303">
        <v>1065</v>
      </c>
      <c r="D77" s="297" t="s">
        <v>644</v>
      </c>
      <c r="E77" s="304">
        <v>18</v>
      </c>
      <c r="F77" s="142" t="s">
        <v>671</v>
      </c>
    </row>
    <row r="78" spans="1:6" ht="31.2" x14ac:dyDescent="0.25">
      <c r="A78" s="295">
        <v>1</v>
      </c>
      <c r="B78" s="296">
        <v>3</v>
      </c>
      <c r="C78" s="303">
        <v>1065</v>
      </c>
      <c r="D78" s="297" t="s">
        <v>657</v>
      </c>
      <c r="E78" s="304">
        <v>8.6</v>
      </c>
      <c r="F78" s="142" t="s">
        <v>676</v>
      </c>
    </row>
    <row r="79" spans="1:6" ht="15.6" x14ac:dyDescent="0.25">
      <c r="A79" s="295">
        <v>1</v>
      </c>
      <c r="B79" s="296">
        <v>3</v>
      </c>
      <c r="C79" s="303">
        <v>1065</v>
      </c>
      <c r="D79" s="297" t="s">
        <v>649</v>
      </c>
      <c r="E79" s="304">
        <v>7.2</v>
      </c>
      <c r="F79" s="142" t="s">
        <v>675</v>
      </c>
    </row>
    <row r="80" spans="1:6" ht="15.6" x14ac:dyDescent="0.25">
      <c r="A80" s="295">
        <v>1</v>
      </c>
      <c r="B80" s="296">
        <v>3</v>
      </c>
      <c r="C80" s="303">
        <v>1066</v>
      </c>
      <c r="D80" s="297" t="s">
        <v>645</v>
      </c>
      <c r="E80" s="304">
        <v>11.1</v>
      </c>
      <c r="F80" s="142" t="s">
        <v>671</v>
      </c>
    </row>
    <row r="81" spans="1:6" ht="31.2" x14ac:dyDescent="0.25">
      <c r="A81" s="295">
        <v>1</v>
      </c>
      <c r="B81" s="296">
        <v>3</v>
      </c>
      <c r="C81" s="303">
        <v>1066</v>
      </c>
      <c r="D81" s="297" t="s">
        <v>653</v>
      </c>
      <c r="E81" s="304">
        <v>2</v>
      </c>
      <c r="F81" s="142" t="s">
        <v>678</v>
      </c>
    </row>
    <row r="82" spans="1:6" ht="31.2" x14ac:dyDescent="0.25">
      <c r="A82" s="295">
        <v>1</v>
      </c>
      <c r="B82" s="296">
        <v>3</v>
      </c>
      <c r="C82" s="303">
        <v>1066</v>
      </c>
      <c r="D82" s="297" t="s">
        <v>646</v>
      </c>
      <c r="E82" s="304">
        <v>1.4</v>
      </c>
      <c r="F82" s="142" t="s">
        <v>676</v>
      </c>
    </row>
    <row r="83" spans="1:6" ht="15.6" x14ac:dyDescent="0.25">
      <c r="A83" s="295">
        <v>1</v>
      </c>
      <c r="B83" s="296">
        <v>3</v>
      </c>
      <c r="C83" s="303">
        <v>1066</v>
      </c>
      <c r="D83" s="297" t="s">
        <v>652</v>
      </c>
      <c r="E83" s="304">
        <v>8.9</v>
      </c>
      <c r="F83" s="142" t="s">
        <v>672</v>
      </c>
    </row>
    <row r="84" spans="1:6" ht="46.8" x14ac:dyDescent="0.25">
      <c r="A84" s="295">
        <v>1</v>
      </c>
      <c r="B84" s="296">
        <v>3</v>
      </c>
      <c r="C84" s="303">
        <v>1066</v>
      </c>
      <c r="D84" s="297" t="s">
        <v>658</v>
      </c>
      <c r="E84" s="304">
        <v>2</v>
      </c>
      <c r="F84" s="142" t="s">
        <v>680</v>
      </c>
    </row>
    <row r="85" spans="1:6" ht="15.6" x14ac:dyDescent="0.25">
      <c r="A85" s="295">
        <v>1</v>
      </c>
      <c r="B85" s="296">
        <v>3</v>
      </c>
      <c r="C85" s="303">
        <v>1066</v>
      </c>
      <c r="D85" s="297" t="s">
        <v>642</v>
      </c>
      <c r="E85" s="304">
        <v>1.4</v>
      </c>
      <c r="F85" s="142" t="s">
        <v>674</v>
      </c>
    </row>
    <row r="86" spans="1:6" ht="15.6" x14ac:dyDescent="0.25">
      <c r="A86" s="295">
        <v>1</v>
      </c>
      <c r="B86" s="296">
        <v>3</v>
      </c>
      <c r="C86" s="303">
        <v>1066</v>
      </c>
      <c r="D86" s="297" t="s">
        <v>648</v>
      </c>
      <c r="E86" s="304">
        <v>7.6</v>
      </c>
      <c r="F86" s="142" t="s">
        <v>674</v>
      </c>
    </row>
    <row r="87" spans="1:6" ht="15.6" x14ac:dyDescent="0.25">
      <c r="A87" s="295">
        <v>1</v>
      </c>
      <c r="B87" s="296">
        <v>3</v>
      </c>
      <c r="C87" s="303">
        <v>1066</v>
      </c>
      <c r="D87" s="297" t="s">
        <v>655</v>
      </c>
      <c r="E87" s="304">
        <v>7.5</v>
      </c>
      <c r="F87" s="142" t="s">
        <v>675</v>
      </c>
    </row>
    <row r="88" spans="1:6" ht="15.6" x14ac:dyDescent="0.25">
      <c r="A88" s="295">
        <v>1</v>
      </c>
      <c r="B88" s="296">
        <v>3</v>
      </c>
      <c r="C88" s="303">
        <v>1067</v>
      </c>
      <c r="D88" s="297" t="s">
        <v>637</v>
      </c>
      <c r="E88" s="304">
        <v>49.7</v>
      </c>
      <c r="F88" s="142" t="s">
        <v>671</v>
      </c>
    </row>
    <row r="89" spans="1:6" ht="15.6" x14ac:dyDescent="0.25">
      <c r="A89" s="295">
        <v>1</v>
      </c>
      <c r="B89" s="296">
        <v>3</v>
      </c>
      <c r="C89" s="303">
        <v>1067</v>
      </c>
      <c r="D89" s="297" t="s">
        <v>638</v>
      </c>
      <c r="E89" s="304">
        <v>240</v>
      </c>
      <c r="F89" s="142" t="s">
        <v>672</v>
      </c>
    </row>
    <row r="90" spans="1:6" ht="15.6" x14ac:dyDescent="0.25">
      <c r="A90" s="295">
        <v>1</v>
      </c>
      <c r="B90" s="296">
        <v>3</v>
      </c>
      <c r="C90" s="303">
        <v>1067</v>
      </c>
      <c r="D90" s="297" t="s">
        <v>640</v>
      </c>
      <c r="E90" s="304">
        <v>100.3</v>
      </c>
      <c r="F90" s="142" t="s">
        <v>674</v>
      </c>
    </row>
    <row r="91" spans="1:6" ht="15.6" hidden="1" x14ac:dyDescent="0.25">
      <c r="A91" s="295">
        <v>1</v>
      </c>
      <c r="B91" s="296">
        <v>2</v>
      </c>
      <c r="C91" s="303">
        <v>1069</v>
      </c>
      <c r="D91" s="297" t="s">
        <v>645</v>
      </c>
      <c r="E91" s="304">
        <v>24.8</v>
      </c>
      <c r="F91" s="142" t="s">
        <v>671</v>
      </c>
    </row>
    <row r="92" spans="1:6" ht="15.6" hidden="1" x14ac:dyDescent="0.25">
      <c r="A92" s="295">
        <v>1</v>
      </c>
      <c r="B92" s="296">
        <v>2</v>
      </c>
      <c r="C92" s="303">
        <v>1069</v>
      </c>
      <c r="D92" s="297" t="s">
        <v>638</v>
      </c>
      <c r="E92" s="304">
        <v>22.5</v>
      </c>
      <c r="F92" s="142" t="s">
        <v>672</v>
      </c>
    </row>
    <row r="93" spans="1:6" s="136" customFormat="1" ht="15.6" x14ac:dyDescent="0.3">
      <c r="A93" s="292">
        <v>1</v>
      </c>
      <c r="B93" s="293">
        <v>3</v>
      </c>
      <c r="C93" s="301">
        <v>1097</v>
      </c>
      <c r="D93" s="294" t="s">
        <v>637</v>
      </c>
      <c r="E93" s="302">
        <v>14.5</v>
      </c>
      <c r="F93" s="288" t="s">
        <v>780</v>
      </c>
    </row>
    <row r="94" spans="1:6" s="136" customFormat="1" ht="15.6" x14ac:dyDescent="0.3">
      <c r="A94" s="292">
        <v>1</v>
      </c>
      <c r="B94" s="293">
        <v>3</v>
      </c>
      <c r="C94" s="301">
        <v>1097</v>
      </c>
      <c r="D94" s="294" t="s">
        <v>645</v>
      </c>
      <c r="E94" s="302">
        <v>3</v>
      </c>
      <c r="F94" s="288" t="s">
        <v>780</v>
      </c>
    </row>
    <row r="95" spans="1:6" s="136" customFormat="1" ht="31.2" x14ac:dyDescent="0.3">
      <c r="A95" s="292">
        <v>1</v>
      </c>
      <c r="B95" s="293">
        <v>3</v>
      </c>
      <c r="C95" s="301">
        <v>1097</v>
      </c>
      <c r="D95" s="294" t="s">
        <v>646</v>
      </c>
      <c r="E95" s="302">
        <v>5.2</v>
      </c>
      <c r="F95" s="288" t="s">
        <v>784</v>
      </c>
    </row>
    <row r="96" spans="1:6" s="136" customFormat="1" ht="15.6" x14ac:dyDescent="0.3">
      <c r="A96" s="292">
        <v>1</v>
      </c>
      <c r="B96" s="293">
        <v>3</v>
      </c>
      <c r="C96" s="301">
        <v>1097</v>
      </c>
      <c r="D96" s="294" t="s">
        <v>638</v>
      </c>
      <c r="E96" s="302">
        <v>21.4</v>
      </c>
      <c r="F96" s="288" t="s">
        <v>781</v>
      </c>
    </row>
    <row r="97" spans="1:6" s="136" customFormat="1" ht="31.2" x14ac:dyDescent="0.3">
      <c r="A97" s="292">
        <v>1</v>
      </c>
      <c r="B97" s="293">
        <v>3</v>
      </c>
      <c r="C97" s="301">
        <v>1097</v>
      </c>
      <c r="D97" s="294" t="s">
        <v>657</v>
      </c>
      <c r="E97" s="302">
        <v>4.2</v>
      </c>
      <c r="F97" s="288" t="s">
        <v>784</v>
      </c>
    </row>
    <row r="98" spans="1:6" s="136" customFormat="1" ht="31.2" x14ac:dyDescent="0.3">
      <c r="A98" s="292">
        <v>1</v>
      </c>
      <c r="B98" s="293">
        <v>3</v>
      </c>
      <c r="C98" s="301">
        <v>1097</v>
      </c>
      <c r="D98" s="294" t="s">
        <v>658</v>
      </c>
      <c r="E98" s="302">
        <v>0.8</v>
      </c>
      <c r="F98" s="307" t="s">
        <v>787</v>
      </c>
    </row>
    <row r="99" spans="1:6" s="136" customFormat="1" ht="15.6" x14ac:dyDescent="0.3">
      <c r="A99" s="292">
        <v>1</v>
      </c>
      <c r="B99" s="293">
        <v>3</v>
      </c>
      <c r="C99" s="301">
        <v>1097</v>
      </c>
      <c r="D99" s="294" t="s">
        <v>641</v>
      </c>
      <c r="E99" s="302">
        <v>12.6</v>
      </c>
      <c r="F99" s="288" t="s">
        <v>785</v>
      </c>
    </row>
    <row r="100" spans="1:6" s="136" customFormat="1" ht="15.6" x14ac:dyDescent="0.3">
      <c r="A100" s="292">
        <v>1</v>
      </c>
      <c r="B100" s="293">
        <v>3</v>
      </c>
      <c r="C100" s="301">
        <v>1097</v>
      </c>
      <c r="D100" s="294" t="s">
        <v>649</v>
      </c>
      <c r="E100" s="302">
        <v>14.1</v>
      </c>
      <c r="F100" s="288" t="s">
        <v>785</v>
      </c>
    </row>
    <row r="101" spans="1:6" s="136" customFormat="1" ht="15.6" x14ac:dyDescent="0.3">
      <c r="A101" s="292">
        <v>1</v>
      </c>
      <c r="B101" s="293">
        <v>3</v>
      </c>
      <c r="C101" s="301">
        <v>1097</v>
      </c>
      <c r="D101" s="294" t="s">
        <v>655</v>
      </c>
      <c r="E101" s="302">
        <v>12.6</v>
      </c>
      <c r="F101" s="288" t="s">
        <v>785</v>
      </c>
    </row>
    <row r="102" spans="1:6" s="136" customFormat="1" ht="15.6" x14ac:dyDescent="0.3">
      <c r="A102" s="298">
        <v>1</v>
      </c>
      <c r="B102" s="299">
        <v>3</v>
      </c>
      <c r="C102" s="305">
        <v>1098</v>
      </c>
      <c r="D102" s="300" t="s">
        <v>663</v>
      </c>
      <c r="E102" s="306">
        <v>20.5</v>
      </c>
      <c r="F102" s="289" t="s">
        <v>782</v>
      </c>
    </row>
    <row r="103" spans="1:6" ht="15.6" x14ac:dyDescent="0.25">
      <c r="A103" s="292">
        <v>1</v>
      </c>
      <c r="B103" s="293">
        <v>3</v>
      </c>
      <c r="C103" s="301" t="s">
        <v>662</v>
      </c>
      <c r="D103" s="294" t="s">
        <v>637</v>
      </c>
      <c r="E103" s="302">
        <v>10.8</v>
      </c>
      <c r="F103" s="288" t="s">
        <v>780</v>
      </c>
    </row>
    <row r="104" spans="1:6" ht="15.6" x14ac:dyDescent="0.25">
      <c r="A104" s="292">
        <v>1</v>
      </c>
      <c r="B104" s="293">
        <v>3</v>
      </c>
      <c r="C104" s="301" t="s">
        <v>662</v>
      </c>
      <c r="D104" s="294" t="s">
        <v>638</v>
      </c>
      <c r="E104" s="302">
        <v>88.1</v>
      </c>
      <c r="F104" s="288" t="s">
        <v>781</v>
      </c>
    </row>
    <row r="105" spans="1:6" ht="15.6" x14ac:dyDescent="0.25">
      <c r="A105" s="292">
        <v>1</v>
      </c>
      <c r="B105" s="293">
        <v>3</v>
      </c>
      <c r="C105" s="301" t="s">
        <v>662</v>
      </c>
      <c r="D105" s="294" t="s">
        <v>639</v>
      </c>
      <c r="E105" s="302">
        <v>8.3000000000000007</v>
      </c>
      <c r="F105" s="288" t="s">
        <v>782</v>
      </c>
    </row>
    <row r="106" spans="1:6" ht="15.6" x14ac:dyDescent="0.25">
      <c r="A106" s="292">
        <v>1</v>
      </c>
      <c r="B106" s="293">
        <v>3</v>
      </c>
      <c r="C106" s="301" t="s">
        <v>662</v>
      </c>
      <c r="D106" s="294" t="s">
        <v>640</v>
      </c>
      <c r="E106" s="302">
        <v>48.3</v>
      </c>
      <c r="F106" s="288" t="s">
        <v>783</v>
      </c>
    </row>
    <row r="107" spans="1:6" ht="15.6" x14ac:dyDescent="0.25">
      <c r="A107" s="292">
        <v>1</v>
      </c>
      <c r="B107" s="293">
        <v>3</v>
      </c>
      <c r="C107" s="301">
        <v>1094</v>
      </c>
      <c r="D107" s="294" t="s">
        <v>637</v>
      </c>
      <c r="E107" s="302">
        <v>39.5</v>
      </c>
      <c r="F107" s="288" t="s">
        <v>780</v>
      </c>
    </row>
    <row r="108" spans="1:6" ht="15.6" x14ac:dyDescent="0.25">
      <c r="A108" s="292">
        <v>1</v>
      </c>
      <c r="B108" s="293">
        <v>3</v>
      </c>
      <c r="C108" s="301">
        <v>1094</v>
      </c>
      <c r="D108" s="294" t="s">
        <v>638</v>
      </c>
      <c r="E108" s="302">
        <v>220.4</v>
      </c>
      <c r="F108" s="288" t="s">
        <v>781</v>
      </c>
    </row>
    <row r="109" spans="1:6" ht="15.6" x14ac:dyDescent="0.25">
      <c r="A109" s="292">
        <v>1</v>
      </c>
      <c r="B109" s="293">
        <v>3</v>
      </c>
      <c r="C109" s="301">
        <v>1094</v>
      </c>
      <c r="D109" s="294" t="s">
        <v>639</v>
      </c>
      <c r="E109" s="302">
        <v>9.3000000000000007</v>
      </c>
      <c r="F109" s="288" t="s">
        <v>782</v>
      </c>
    </row>
    <row r="110" spans="1:6" ht="15.6" x14ac:dyDescent="0.25">
      <c r="A110" s="292">
        <v>1</v>
      </c>
      <c r="B110" s="293">
        <v>3</v>
      </c>
      <c r="C110" s="301">
        <v>1094</v>
      </c>
      <c r="D110" s="294" t="s">
        <v>640</v>
      </c>
      <c r="E110" s="302">
        <v>52.3</v>
      </c>
      <c r="F110" s="288" t="s">
        <v>783</v>
      </c>
    </row>
    <row r="111" spans="1:6" ht="15.6" x14ac:dyDescent="0.25">
      <c r="A111" s="292">
        <v>1</v>
      </c>
      <c r="B111" s="293">
        <v>3</v>
      </c>
      <c r="C111" s="301">
        <v>1084</v>
      </c>
      <c r="D111" s="294" t="s">
        <v>637</v>
      </c>
      <c r="E111" s="302">
        <v>8</v>
      </c>
      <c r="F111" s="288" t="s">
        <v>780</v>
      </c>
    </row>
    <row r="112" spans="1:6" ht="15.6" x14ac:dyDescent="0.25">
      <c r="A112" s="292">
        <v>1</v>
      </c>
      <c r="B112" s="293">
        <v>3</v>
      </c>
      <c r="C112" s="301">
        <v>1084</v>
      </c>
      <c r="D112" s="294" t="s">
        <v>638</v>
      </c>
      <c r="E112" s="302">
        <v>83.4</v>
      </c>
      <c r="F112" s="288" t="s">
        <v>781</v>
      </c>
    </row>
    <row r="113" spans="1:6" ht="15.6" x14ac:dyDescent="0.25">
      <c r="A113" s="292">
        <v>1</v>
      </c>
      <c r="B113" s="293">
        <v>3</v>
      </c>
      <c r="C113" s="301">
        <v>1084</v>
      </c>
      <c r="D113" s="294" t="s">
        <v>639</v>
      </c>
      <c r="E113" s="302">
        <v>3.5</v>
      </c>
      <c r="F113" s="288" t="s">
        <v>782</v>
      </c>
    </row>
    <row r="114" spans="1:6" ht="15.6" x14ac:dyDescent="0.25">
      <c r="A114" s="292">
        <v>1</v>
      </c>
      <c r="B114" s="293">
        <v>3</v>
      </c>
      <c r="C114" s="301">
        <v>1084</v>
      </c>
      <c r="D114" s="294" t="s">
        <v>640</v>
      </c>
      <c r="E114" s="302">
        <v>5.7</v>
      </c>
      <c r="F114" s="288" t="s">
        <v>783</v>
      </c>
    </row>
    <row r="115" spans="1:6" ht="15.6" x14ac:dyDescent="0.25">
      <c r="A115" s="292">
        <v>1</v>
      </c>
      <c r="B115" s="293">
        <v>3</v>
      </c>
      <c r="C115" s="301">
        <v>1084</v>
      </c>
      <c r="D115" s="294" t="s">
        <v>641</v>
      </c>
      <c r="E115" s="302">
        <v>5.2</v>
      </c>
      <c r="F115" s="288" t="s">
        <v>785</v>
      </c>
    </row>
    <row r="116" spans="1:6" ht="15.6" x14ac:dyDescent="0.25">
      <c r="A116" s="292">
        <v>1</v>
      </c>
      <c r="B116" s="293">
        <v>3</v>
      </c>
      <c r="C116" s="301">
        <v>1085</v>
      </c>
      <c r="D116" s="294" t="s">
        <v>637</v>
      </c>
      <c r="E116" s="302">
        <v>8</v>
      </c>
      <c r="F116" s="288" t="s">
        <v>780</v>
      </c>
    </row>
    <row r="117" spans="1:6" ht="15.6" x14ac:dyDescent="0.25">
      <c r="A117" s="292">
        <v>1</v>
      </c>
      <c r="B117" s="293">
        <v>3</v>
      </c>
      <c r="C117" s="301">
        <v>1085</v>
      </c>
      <c r="D117" s="294" t="s">
        <v>638</v>
      </c>
      <c r="E117" s="302">
        <v>86.1</v>
      </c>
      <c r="F117" s="288" t="s">
        <v>781</v>
      </c>
    </row>
    <row r="118" spans="1:6" ht="15.6" x14ac:dyDescent="0.25">
      <c r="A118" s="292">
        <v>1</v>
      </c>
      <c r="B118" s="293">
        <v>3</v>
      </c>
      <c r="C118" s="301">
        <v>1085</v>
      </c>
      <c r="D118" s="294" t="s">
        <v>639</v>
      </c>
      <c r="E118" s="302">
        <v>3.7</v>
      </c>
      <c r="F118" s="288" t="s">
        <v>782</v>
      </c>
    </row>
    <row r="119" spans="1:6" ht="15.6" x14ac:dyDescent="0.25">
      <c r="A119" s="292">
        <v>1</v>
      </c>
      <c r="B119" s="293">
        <v>3</v>
      </c>
      <c r="C119" s="301">
        <v>1085</v>
      </c>
      <c r="D119" s="294" t="s">
        <v>640</v>
      </c>
      <c r="E119" s="302">
        <v>10.9</v>
      </c>
      <c r="F119" s="288" t="s">
        <v>783</v>
      </c>
    </row>
    <row r="120" spans="1:6" ht="15.6" hidden="1" x14ac:dyDescent="0.25">
      <c r="A120" s="292">
        <v>1</v>
      </c>
      <c r="B120" s="293">
        <v>1</v>
      </c>
      <c r="C120" s="301">
        <v>1011</v>
      </c>
      <c r="D120" s="294" t="s">
        <v>639</v>
      </c>
      <c r="E120" s="302">
        <v>2.2000000000000002</v>
      </c>
      <c r="F120" s="288" t="s">
        <v>782</v>
      </c>
    </row>
    <row r="121" spans="1:6" ht="15.6" hidden="1" x14ac:dyDescent="0.25">
      <c r="A121" s="292">
        <v>1</v>
      </c>
      <c r="B121" s="293">
        <v>1</v>
      </c>
      <c r="C121" s="301">
        <v>1011</v>
      </c>
      <c r="D121" s="294" t="s">
        <v>642</v>
      </c>
      <c r="E121" s="302">
        <v>46.7</v>
      </c>
      <c r="F121" s="288" t="s">
        <v>783</v>
      </c>
    </row>
    <row r="122" spans="1:6" ht="15.6" hidden="1" x14ac:dyDescent="0.25">
      <c r="A122" s="292">
        <v>2</v>
      </c>
      <c r="B122" s="293">
        <v>1</v>
      </c>
      <c r="C122" s="301">
        <v>2010</v>
      </c>
      <c r="D122" s="294" t="s">
        <v>639</v>
      </c>
      <c r="E122" s="302">
        <v>2.2000000000000002</v>
      </c>
      <c r="F122" s="288" t="s">
        <v>782</v>
      </c>
    </row>
    <row r="123" spans="1:6" ht="15.6" hidden="1" x14ac:dyDescent="0.25">
      <c r="A123" s="292">
        <v>2</v>
      </c>
      <c r="B123" s="293">
        <v>1</v>
      </c>
      <c r="C123" s="301">
        <v>2010</v>
      </c>
      <c r="D123" s="294" t="s">
        <v>642</v>
      </c>
      <c r="E123" s="302">
        <v>51.2</v>
      </c>
      <c r="F123" s="288" t="s">
        <v>783</v>
      </c>
    </row>
    <row r="124" spans="1:6" ht="15.6" hidden="1" x14ac:dyDescent="0.25">
      <c r="A124" s="292">
        <v>2</v>
      </c>
      <c r="B124" s="293">
        <v>3</v>
      </c>
      <c r="C124" s="301">
        <v>2044</v>
      </c>
      <c r="D124" s="294" t="s">
        <v>638</v>
      </c>
      <c r="E124" s="302">
        <v>26.5</v>
      </c>
      <c r="F124" s="288" t="s">
        <v>781</v>
      </c>
    </row>
    <row r="125" spans="1:6" ht="15.6" hidden="1" x14ac:dyDescent="0.25">
      <c r="A125" s="298">
        <v>2</v>
      </c>
      <c r="B125" s="299">
        <v>3</v>
      </c>
      <c r="C125" s="305">
        <v>2044</v>
      </c>
      <c r="D125" s="300" t="s">
        <v>640</v>
      </c>
      <c r="E125" s="306">
        <v>27.5</v>
      </c>
      <c r="F125" s="289" t="s">
        <v>783</v>
      </c>
    </row>
    <row r="127" spans="1:6" x14ac:dyDescent="0.25">
      <c r="D127" s="309" t="s">
        <v>642</v>
      </c>
      <c r="E127" s="327">
        <f t="shared" ref="E127:E153" si="0">SUMIF($D$120:$D$125,D127,$E$120:$E$125)</f>
        <v>97.9</v>
      </c>
    </row>
    <row r="128" spans="1:6" x14ac:dyDescent="0.25">
      <c r="D128" s="309" t="s">
        <v>648</v>
      </c>
      <c r="E128" s="327">
        <f t="shared" si="0"/>
        <v>0</v>
      </c>
    </row>
    <row r="129" spans="4:8" x14ac:dyDescent="0.25">
      <c r="E129" s="327">
        <f t="shared" si="0"/>
        <v>0</v>
      </c>
    </row>
    <row r="130" spans="4:8" x14ac:dyDescent="0.25">
      <c r="D130" s="309" t="s">
        <v>644</v>
      </c>
      <c r="E130" s="327">
        <f t="shared" si="0"/>
        <v>0</v>
      </c>
    </row>
    <row r="131" spans="4:8" x14ac:dyDescent="0.25">
      <c r="D131" s="309" t="s">
        <v>645</v>
      </c>
      <c r="E131" s="327">
        <f t="shared" si="0"/>
        <v>0</v>
      </c>
      <c r="H131" s="328">
        <f>E123+E121</f>
        <v>97.9</v>
      </c>
    </row>
    <row r="132" spans="4:8" x14ac:dyDescent="0.25">
      <c r="D132" s="309" t="s">
        <v>652</v>
      </c>
      <c r="E132" s="327">
        <f t="shared" si="0"/>
        <v>0</v>
      </c>
    </row>
    <row r="133" spans="4:8" x14ac:dyDescent="0.25">
      <c r="D133" s="309" t="s">
        <v>657</v>
      </c>
      <c r="E133" s="327">
        <f t="shared" si="0"/>
        <v>0</v>
      </c>
      <c r="F133" s="189" t="s">
        <v>789</v>
      </c>
    </row>
    <row r="134" spans="4:8" x14ac:dyDescent="0.25">
      <c r="D134" s="309" t="s">
        <v>646</v>
      </c>
      <c r="E134" s="327">
        <f t="shared" si="0"/>
        <v>0</v>
      </c>
    </row>
    <row r="135" spans="4:8" x14ac:dyDescent="0.25">
      <c r="D135" s="309" t="s">
        <v>653</v>
      </c>
      <c r="E135" s="327">
        <f t="shared" si="0"/>
        <v>0</v>
      </c>
      <c r="F135" s="189" t="s">
        <v>790</v>
      </c>
    </row>
    <row r="136" spans="4:8" x14ac:dyDescent="0.25">
      <c r="D136" s="309" t="s">
        <v>658</v>
      </c>
      <c r="E136" s="327">
        <f t="shared" si="0"/>
        <v>0</v>
      </c>
    </row>
    <row r="137" spans="4:8" x14ac:dyDescent="0.25">
      <c r="E137" s="327">
        <f t="shared" si="0"/>
        <v>0</v>
      </c>
    </row>
    <row r="138" spans="4:8" x14ac:dyDescent="0.25">
      <c r="D138" s="309" t="s">
        <v>638</v>
      </c>
      <c r="E138" s="327">
        <f t="shared" si="0"/>
        <v>26.5</v>
      </c>
    </row>
    <row r="139" spans="4:8" x14ac:dyDescent="0.25">
      <c r="D139" s="309" t="s">
        <v>637</v>
      </c>
      <c r="E139" s="327">
        <f t="shared" si="0"/>
        <v>0</v>
      </c>
    </row>
    <row r="140" spans="4:8" x14ac:dyDescent="0.25">
      <c r="E140" s="327">
        <f t="shared" si="0"/>
        <v>0</v>
      </c>
    </row>
    <row r="141" spans="4:8" x14ac:dyDescent="0.25">
      <c r="E141" s="327">
        <f t="shared" si="0"/>
        <v>0</v>
      </c>
    </row>
    <row r="142" spans="4:8" x14ac:dyDescent="0.25">
      <c r="D142" s="309" t="s">
        <v>640</v>
      </c>
      <c r="E142" s="327">
        <f t="shared" si="0"/>
        <v>27.5</v>
      </c>
    </row>
    <row r="143" spans="4:8" x14ac:dyDescent="0.25">
      <c r="E143" s="327">
        <f t="shared" si="0"/>
        <v>0</v>
      </c>
    </row>
    <row r="144" spans="4:8" x14ac:dyDescent="0.25">
      <c r="D144" s="309" t="s">
        <v>649</v>
      </c>
      <c r="E144" s="327">
        <f t="shared" si="0"/>
        <v>0</v>
      </c>
    </row>
    <row r="145" spans="1:5" x14ac:dyDescent="0.25">
      <c r="D145" s="309" t="s">
        <v>655</v>
      </c>
      <c r="E145" s="327">
        <f t="shared" si="0"/>
        <v>0</v>
      </c>
    </row>
    <row r="146" spans="1:5" x14ac:dyDescent="0.25">
      <c r="E146" s="327">
        <f t="shared" si="0"/>
        <v>0</v>
      </c>
    </row>
    <row r="147" spans="1:5" x14ac:dyDescent="0.25">
      <c r="D147" s="309" t="s">
        <v>641</v>
      </c>
      <c r="E147" s="327">
        <f t="shared" si="0"/>
        <v>0</v>
      </c>
    </row>
    <row r="148" spans="1:5" x14ac:dyDescent="0.25">
      <c r="E148" s="327">
        <f t="shared" si="0"/>
        <v>0</v>
      </c>
    </row>
    <row r="149" spans="1:5" x14ac:dyDescent="0.25">
      <c r="E149" s="327">
        <f t="shared" si="0"/>
        <v>0</v>
      </c>
    </row>
    <row r="150" spans="1:5" x14ac:dyDescent="0.25">
      <c r="D150" s="309" t="s">
        <v>639</v>
      </c>
      <c r="E150" s="327">
        <f t="shared" si="0"/>
        <v>4.4000000000000004</v>
      </c>
    </row>
    <row r="151" spans="1:5" x14ac:dyDescent="0.25">
      <c r="E151" s="327">
        <f t="shared" si="0"/>
        <v>0</v>
      </c>
    </row>
    <row r="152" spans="1:5" x14ac:dyDescent="0.25">
      <c r="D152" s="309" t="s">
        <v>647</v>
      </c>
      <c r="E152" s="327">
        <f t="shared" si="0"/>
        <v>0</v>
      </c>
    </row>
    <row r="153" spans="1:5" x14ac:dyDescent="0.25">
      <c r="D153" s="309" t="s">
        <v>663</v>
      </c>
      <c r="E153" s="327">
        <f t="shared" si="0"/>
        <v>0</v>
      </c>
    </row>
    <row r="155" spans="1:5" ht="15.6" x14ac:dyDescent="0.25">
      <c r="A155" s="331">
        <v>1</v>
      </c>
      <c r="B155" s="311">
        <v>2</v>
      </c>
      <c r="C155" s="312">
        <v>1025</v>
      </c>
      <c r="D155" s="313" t="s">
        <v>638</v>
      </c>
      <c r="E155" s="314">
        <v>269.8</v>
      </c>
    </row>
    <row r="156" spans="1:5" ht="15.6" x14ac:dyDescent="0.25">
      <c r="A156" s="332">
        <v>1</v>
      </c>
      <c r="B156" s="315">
        <v>2</v>
      </c>
      <c r="C156" s="316">
        <v>1025</v>
      </c>
      <c r="D156" s="317" t="s">
        <v>639</v>
      </c>
      <c r="E156" s="318">
        <v>16.399999999999999</v>
      </c>
    </row>
    <row r="157" spans="1:5" ht="15.6" x14ac:dyDescent="0.25">
      <c r="A157" s="331">
        <v>1</v>
      </c>
      <c r="B157" s="311">
        <v>2</v>
      </c>
      <c r="C157" s="312">
        <v>1025</v>
      </c>
      <c r="D157" s="313" t="s">
        <v>640</v>
      </c>
      <c r="E157" s="314">
        <v>79.5</v>
      </c>
    </row>
    <row r="158" spans="1:5" ht="15.6" x14ac:dyDescent="0.25">
      <c r="A158" s="332">
        <v>1</v>
      </c>
      <c r="B158" s="315">
        <v>2</v>
      </c>
      <c r="C158" s="316">
        <v>1036</v>
      </c>
      <c r="D158" s="317" t="s">
        <v>637</v>
      </c>
      <c r="E158" s="318">
        <v>39.799999999999997</v>
      </c>
    </row>
    <row r="159" spans="1:5" ht="15.6" x14ac:dyDescent="0.25">
      <c r="A159" s="331">
        <v>1</v>
      </c>
      <c r="B159" s="311">
        <v>2</v>
      </c>
      <c r="C159" s="312">
        <v>1036</v>
      </c>
      <c r="D159" s="313" t="s">
        <v>638</v>
      </c>
      <c r="E159" s="314">
        <v>24.4</v>
      </c>
    </row>
    <row r="160" spans="1:5" ht="15.6" x14ac:dyDescent="0.25">
      <c r="A160" s="332">
        <v>1</v>
      </c>
      <c r="B160" s="315">
        <v>2</v>
      </c>
      <c r="C160" s="316">
        <v>1036</v>
      </c>
      <c r="D160" s="317" t="s">
        <v>639</v>
      </c>
      <c r="E160" s="318">
        <v>9.5</v>
      </c>
    </row>
    <row r="161" spans="1:5" ht="15.6" x14ac:dyDescent="0.25">
      <c r="A161" s="331">
        <v>1</v>
      </c>
      <c r="B161" s="311">
        <v>2</v>
      </c>
      <c r="C161" s="312">
        <v>1036</v>
      </c>
      <c r="D161" s="313" t="s">
        <v>640</v>
      </c>
      <c r="E161" s="314">
        <v>0.8</v>
      </c>
    </row>
    <row r="162" spans="1:5" ht="15.6" x14ac:dyDescent="0.25">
      <c r="A162" s="332">
        <v>1</v>
      </c>
      <c r="B162" s="315">
        <v>2</v>
      </c>
      <c r="C162" s="316">
        <v>1038</v>
      </c>
      <c r="D162" s="317" t="s">
        <v>637</v>
      </c>
      <c r="E162" s="318">
        <v>47.1</v>
      </c>
    </row>
    <row r="163" spans="1:5" ht="15.6" x14ac:dyDescent="0.25">
      <c r="A163" s="331">
        <v>1</v>
      </c>
      <c r="B163" s="311">
        <v>2</v>
      </c>
      <c r="C163" s="312">
        <v>1038</v>
      </c>
      <c r="D163" s="313" t="s">
        <v>638</v>
      </c>
      <c r="E163" s="314">
        <v>81.8</v>
      </c>
    </row>
    <row r="164" spans="1:5" ht="15.6" x14ac:dyDescent="0.25">
      <c r="A164" s="332">
        <v>1</v>
      </c>
      <c r="B164" s="315">
        <v>2</v>
      </c>
      <c r="C164" s="316">
        <v>1038</v>
      </c>
      <c r="D164" s="317" t="s">
        <v>639</v>
      </c>
      <c r="E164" s="318">
        <v>1.9</v>
      </c>
    </row>
    <row r="165" spans="1:5" ht="15.6" x14ac:dyDescent="0.25">
      <c r="A165" s="331">
        <v>1</v>
      </c>
      <c r="B165" s="311">
        <v>2</v>
      </c>
      <c r="C165" s="312">
        <v>1038</v>
      </c>
      <c r="D165" s="313" t="s">
        <v>640</v>
      </c>
      <c r="E165" s="314">
        <v>11.8</v>
      </c>
    </row>
    <row r="166" spans="1:5" ht="15.6" x14ac:dyDescent="0.25">
      <c r="A166" s="333">
        <v>1</v>
      </c>
      <c r="B166" s="319">
        <v>2</v>
      </c>
      <c r="C166" s="320">
        <v>1043</v>
      </c>
      <c r="D166" s="321" t="s">
        <v>645</v>
      </c>
      <c r="E166" s="322">
        <v>83</v>
      </c>
    </row>
    <row r="167" spans="1:5" ht="15.6" x14ac:dyDescent="0.25">
      <c r="A167" s="334">
        <v>1</v>
      </c>
      <c r="B167" s="323">
        <v>2</v>
      </c>
      <c r="C167" s="324">
        <v>1043</v>
      </c>
      <c r="D167" s="325" t="s">
        <v>647</v>
      </c>
      <c r="E167" s="326">
        <v>1.5</v>
      </c>
    </row>
    <row r="168" spans="1:5" ht="15.6" x14ac:dyDescent="0.25">
      <c r="A168" s="333">
        <v>1</v>
      </c>
      <c r="B168" s="319">
        <v>2</v>
      </c>
      <c r="C168" s="320">
        <v>1043</v>
      </c>
      <c r="D168" s="321" t="s">
        <v>648</v>
      </c>
      <c r="E168" s="322">
        <v>18.2</v>
      </c>
    </row>
    <row r="169" spans="1:5" ht="15.6" x14ac:dyDescent="0.25">
      <c r="A169" s="334">
        <v>1</v>
      </c>
      <c r="B169" s="323">
        <v>2</v>
      </c>
      <c r="C169" s="324">
        <v>1044</v>
      </c>
      <c r="D169" s="325" t="s">
        <v>645</v>
      </c>
      <c r="E169" s="326">
        <v>51.1</v>
      </c>
    </row>
    <row r="170" spans="1:5" ht="15.6" x14ac:dyDescent="0.25">
      <c r="A170" s="333">
        <v>1</v>
      </c>
      <c r="B170" s="319">
        <v>2</v>
      </c>
      <c r="C170" s="320">
        <v>1044</v>
      </c>
      <c r="D170" s="321" t="s">
        <v>652</v>
      </c>
      <c r="E170" s="322">
        <v>8.4</v>
      </c>
    </row>
    <row r="171" spans="1:5" ht="15.6" x14ac:dyDescent="0.25">
      <c r="A171" s="334">
        <v>1</v>
      </c>
      <c r="B171" s="323">
        <v>2</v>
      </c>
      <c r="C171" s="324">
        <v>1045</v>
      </c>
      <c r="D171" s="325" t="s">
        <v>645</v>
      </c>
      <c r="E171" s="326">
        <v>53</v>
      </c>
    </row>
    <row r="172" spans="1:5" ht="15.6" x14ac:dyDescent="0.25">
      <c r="A172" s="333">
        <v>1</v>
      </c>
      <c r="B172" s="319">
        <v>2</v>
      </c>
      <c r="C172" s="320">
        <v>1045</v>
      </c>
      <c r="D172" s="321" t="s">
        <v>652</v>
      </c>
      <c r="E172" s="322">
        <v>8.1999999999999993</v>
      </c>
    </row>
    <row r="173" spans="1:5" ht="15.6" x14ac:dyDescent="0.25">
      <c r="A173" s="334">
        <v>1</v>
      </c>
      <c r="B173" s="323">
        <v>2</v>
      </c>
      <c r="C173" s="324">
        <v>1045</v>
      </c>
      <c r="D173" s="325" t="s">
        <v>648</v>
      </c>
      <c r="E173" s="326">
        <v>5.9</v>
      </c>
    </row>
    <row r="174" spans="1:5" ht="15.6" x14ac:dyDescent="0.25">
      <c r="A174" s="333">
        <v>1</v>
      </c>
      <c r="B174" s="319">
        <v>2</v>
      </c>
      <c r="C174" s="320">
        <v>1046</v>
      </c>
      <c r="D174" s="321" t="s">
        <v>645</v>
      </c>
      <c r="E174" s="322">
        <v>42.3</v>
      </c>
    </row>
    <row r="175" spans="1:5" ht="15.6" x14ac:dyDescent="0.25">
      <c r="A175" s="334">
        <v>1</v>
      </c>
      <c r="B175" s="323">
        <v>2</v>
      </c>
      <c r="C175" s="324">
        <v>1046</v>
      </c>
      <c r="D175" s="325" t="s">
        <v>652</v>
      </c>
      <c r="E175" s="326">
        <v>2.7</v>
      </c>
    </row>
    <row r="176" spans="1:5" ht="15.6" x14ac:dyDescent="0.25">
      <c r="A176" s="333">
        <v>1</v>
      </c>
      <c r="B176" s="319">
        <v>2</v>
      </c>
      <c r="C176" s="320">
        <v>1046</v>
      </c>
      <c r="D176" s="321" t="s">
        <v>647</v>
      </c>
      <c r="E176" s="322">
        <v>2.9</v>
      </c>
    </row>
    <row r="177" spans="1:5" ht="15.6" x14ac:dyDescent="0.25">
      <c r="A177" s="334">
        <v>1</v>
      </c>
      <c r="B177" s="323">
        <v>2</v>
      </c>
      <c r="C177" s="324">
        <v>1046</v>
      </c>
      <c r="D177" s="325" t="s">
        <v>648</v>
      </c>
      <c r="E177" s="326">
        <v>2.6</v>
      </c>
    </row>
    <row r="178" spans="1:5" ht="15.6" x14ac:dyDescent="0.25">
      <c r="A178" s="333">
        <v>1</v>
      </c>
      <c r="B178" s="319">
        <v>2</v>
      </c>
      <c r="C178" s="320">
        <v>1047</v>
      </c>
      <c r="D178" s="321" t="s">
        <v>645</v>
      </c>
      <c r="E178" s="322">
        <v>42.8</v>
      </c>
    </row>
    <row r="179" spans="1:5" ht="15.6" x14ac:dyDescent="0.25">
      <c r="A179" s="334">
        <v>1</v>
      </c>
      <c r="B179" s="323">
        <v>2</v>
      </c>
      <c r="C179" s="324">
        <v>1047</v>
      </c>
      <c r="D179" s="325" t="s">
        <v>652</v>
      </c>
      <c r="E179" s="326">
        <v>4.2</v>
      </c>
    </row>
    <row r="180" spans="1:5" ht="15.6" x14ac:dyDescent="0.25">
      <c r="A180" s="333">
        <v>1</v>
      </c>
      <c r="B180" s="319">
        <v>2</v>
      </c>
      <c r="C180" s="320">
        <v>1047</v>
      </c>
      <c r="D180" s="321" t="s">
        <v>647</v>
      </c>
      <c r="E180" s="322">
        <v>4.0999999999999996</v>
      </c>
    </row>
    <row r="181" spans="1:5" ht="15.6" x14ac:dyDescent="0.25">
      <c r="A181" s="334">
        <v>1</v>
      </c>
      <c r="B181" s="323">
        <v>2</v>
      </c>
      <c r="C181" s="324">
        <v>1050</v>
      </c>
      <c r="D181" s="325" t="s">
        <v>645</v>
      </c>
      <c r="E181" s="326">
        <v>94.9</v>
      </c>
    </row>
    <row r="182" spans="1:5" ht="15.6" x14ac:dyDescent="0.25">
      <c r="A182" s="333">
        <v>1</v>
      </c>
      <c r="B182" s="319">
        <v>2</v>
      </c>
      <c r="C182" s="320">
        <v>1050</v>
      </c>
      <c r="D182" s="321" t="s">
        <v>652</v>
      </c>
      <c r="E182" s="322">
        <v>41.6</v>
      </c>
    </row>
    <row r="183" spans="1:5" ht="15.6" x14ac:dyDescent="0.25">
      <c r="A183" s="334">
        <v>1</v>
      </c>
      <c r="B183" s="323">
        <v>2</v>
      </c>
      <c r="C183" s="324">
        <v>1050</v>
      </c>
      <c r="D183" s="325" t="s">
        <v>648</v>
      </c>
      <c r="E183" s="326">
        <v>3.9</v>
      </c>
    </row>
    <row r="184" spans="1:5" ht="15.6" x14ac:dyDescent="0.25">
      <c r="A184" s="333">
        <v>1</v>
      </c>
      <c r="B184" s="319">
        <v>2</v>
      </c>
      <c r="C184" s="320">
        <v>1051</v>
      </c>
      <c r="D184" s="321" t="s">
        <v>645</v>
      </c>
      <c r="E184" s="322">
        <v>62.2</v>
      </c>
    </row>
    <row r="185" spans="1:5" ht="15.6" x14ac:dyDescent="0.25">
      <c r="A185" s="334">
        <v>1</v>
      </c>
      <c r="B185" s="323">
        <v>2</v>
      </c>
      <c r="C185" s="324">
        <v>1051</v>
      </c>
      <c r="D185" s="325" t="s">
        <v>652</v>
      </c>
      <c r="E185" s="326">
        <v>20</v>
      </c>
    </row>
    <row r="186" spans="1:5" ht="15.6" x14ac:dyDescent="0.25">
      <c r="A186" s="333">
        <v>1</v>
      </c>
      <c r="B186" s="319">
        <v>2</v>
      </c>
      <c r="C186" s="320">
        <v>1051</v>
      </c>
      <c r="D186" s="321" t="s">
        <v>648</v>
      </c>
      <c r="E186" s="322">
        <v>3.8</v>
      </c>
    </row>
    <row r="187" spans="1:5" ht="15.6" x14ac:dyDescent="0.25">
      <c r="A187" s="334">
        <v>1</v>
      </c>
      <c r="B187" s="323">
        <v>2</v>
      </c>
      <c r="C187" s="324">
        <v>1053</v>
      </c>
      <c r="D187" s="325" t="s">
        <v>645</v>
      </c>
      <c r="E187" s="326">
        <v>39.299999999999997</v>
      </c>
    </row>
    <row r="188" spans="1:5" ht="15.6" x14ac:dyDescent="0.25">
      <c r="A188" s="333">
        <v>1</v>
      </c>
      <c r="B188" s="319">
        <v>2</v>
      </c>
      <c r="C188" s="320">
        <v>1053</v>
      </c>
      <c r="D188" s="321" t="s">
        <v>652</v>
      </c>
      <c r="E188" s="322">
        <v>1.6</v>
      </c>
    </row>
    <row r="189" spans="1:5" ht="15.6" x14ac:dyDescent="0.25">
      <c r="A189" s="334">
        <v>1</v>
      </c>
      <c r="B189" s="323">
        <v>2</v>
      </c>
      <c r="C189" s="324">
        <v>1053</v>
      </c>
      <c r="D189" s="325" t="s">
        <v>647</v>
      </c>
      <c r="E189" s="326">
        <v>3.4</v>
      </c>
    </row>
    <row r="190" spans="1:5" ht="15.6" x14ac:dyDescent="0.25">
      <c r="A190" s="333">
        <v>1</v>
      </c>
      <c r="B190" s="319">
        <v>2</v>
      </c>
      <c r="C190" s="320">
        <v>1053</v>
      </c>
      <c r="D190" s="321" t="s">
        <v>648</v>
      </c>
      <c r="E190" s="322">
        <v>1.2</v>
      </c>
    </row>
    <row r="191" spans="1:5" ht="15.6" x14ac:dyDescent="0.25">
      <c r="A191" s="334">
        <v>1</v>
      </c>
      <c r="B191" s="323">
        <v>2</v>
      </c>
      <c r="C191" s="324">
        <v>1054</v>
      </c>
      <c r="D191" s="325" t="s">
        <v>645</v>
      </c>
      <c r="E191" s="326">
        <v>95.7</v>
      </c>
    </row>
    <row r="192" spans="1:5" ht="15.6" x14ac:dyDescent="0.25">
      <c r="A192" s="333">
        <v>1</v>
      </c>
      <c r="B192" s="319">
        <v>2</v>
      </c>
      <c r="C192" s="320">
        <v>1055</v>
      </c>
      <c r="D192" s="321" t="s">
        <v>645</v>
      </c>
      <c r="E192" s="322">
        <v>4.9000000000000004</v>
      </c>
    </row>
    <row r="193" spans="1:5" ht="15.6" x14ac:dyDescent="0.25">
      <c r="A193" s="334">
        <v>1</v>
      </c>
      <c r="B193" s="323">
        <v>2</v>
      </c>
      <c r="C193" s="324">
        <v>1055</v>
      </c>
      <c r="D193" s="325" t="s">
        <v>652</v>
      </c>
      <c r="E193" s="326">
        <v>4.9000000000000004</v>
      </c>
    </row>
    <row r="194" spans="1:5" ht="15.6" x14ac:dyDescent="0.25">
      <c r="A194" s="333">
        <v>1</v>
      </c>
      <c r="B194" s="319">
        <v>2</v>
      </c>
      <c r="C194" s="320">
        <v>1055</v>
      </c>
      <c r="D194" s="321" t="s">
        <v>655</v>
      </c>
      <c r="E194" s="322">
        <v>21.8</v>
      </c>
    </row>
    <row r="195" spans="1:5" ht="15.6" x14ac:dyDescent="0.25">
      <c r="A195" s="334">
        <v>1</v>
      </c>
      <c r="B195" s="323">
        <v>2</v>
      </c>
      <c r="C195" s="324">
        <v>1056</v>
      </c>
      <c r="D195" s="325" t="s">
        <v>645</v>
      </c>
      <c r="E195" s="326">
        <v>30.6</v>
      </c>
    </row>
    <row r="196" spans="1:5" ht="15.6" x14ac:dyDescent="0.25">
      <c r="A196" s="333">
        <v>1</v>
      </c>
      <c r="B196" s="319">
        <v>2</v>
      </c>
      <c r="C196" s="320">
        <v>1056</v>
      </c>
      <c r="D196" s="321" t="s">
        <v>648</v>
      </c>
      <c r="E196" s="322">
        <v>5.4</v>
      </c>
    </row>
    <row r="197" spans="1:5" ht="15.6" x14ac:dyDescent="0.25">
      <c r="A197" s="334">
        <v>1</v>
      </c>
      <c r="B197" s="323">
        <v>2</v>
      </c>
      <c r="C197" s="324">
        <v>1056</v>
      </c>
      <c r="D197" s="325" t="s">
        <v>655</v>
      </c>
      <c r="E197" s="326">
        <v>12.1</v>
      </c>
    </row>
    <row r="198" spans="1:5" ht="15.6" x14ac:dyDescent="0.25">
      <c r="A198" s="333">
        <v>1</v>
      </c>
      <c r="B198" s="319">
        <v>2</v>
      </c>
      <c r="C198" s="320">
        <v>1069</v>
      </c>
      <c r="D198" s="321" t="s">
        <v>645</v>
      </c>
      <c r="E198" s="322">
        <v>24.8</v>
      </c>
    </row>
    <row r="199" spans="1:5" ht="15.6" x14ac:dyDescent="0.25">
      <c r="A199" s="335">
        <v>1</v>
      </c>
      <c r="B199" s="336">
        <v>2</v>
      </c>
      <c r="C199" s="337">
        <v>1069</v>
      </c>
      <c r="D199" s="338" t="s">
        <v>638</v>
      </c>
      <c r="E199" s="339">
        <v>22.5</v>
      </c>
    </row>
    <row r="201" spans="1:5" x14ac:dyDescent="0.25">
      <c r="D201" s="309" t="s">
        <v>642</v>
      </c>
      <c r="E201" s="327">
        <f>SUMIF($D$155:$D$199,D201,$E$155:$E$199)</f>
        <v>0</v>
      </c>
    </row>
    <row r="202" spans="1:5" x14ac:dyDescent="0.25">
      <c r="D202" s="309" t="s">
        <v>648</v>
      </c>
      <c r="E202" s="327">
        <f t="shared" ref="E202:E227" si="1">SUMIF($D$155:$D$199,D202,$E$155:$E$199)</f>
        <v>41</v>
      </c>
    </row>
    <row r="203" spans="1:5" x14ac:dyDescent="0.25">
      <c r="E203" s="327">
        <f t="shared" si="1"/>
        <v>0</v>
      </c>
    </row>
    <row r="204" spans="1:5" x14ac:dyDescent="0.25">
      <c r="D204" s="309" t="s">
        <v>644</v>
      </c>
      <c r="E204" s="327">
        <f t="shared" si="1"/>
        <v>0</v>
      </c>
    </row>
    <row r="205" spans="1:5" x14ac:dyDescent="0.25">
      <c r="D205" s="309" t="s">
        <v>645</v>
      </c>
      <c r="E205" s="327">
        <f t="shared" si="1"/>
        <v>624.6</v>
      </c>
    </row>
    <row r="206" spans="1:5" x14ac:dyDescent="0.25">
      <c r="D206" s="309" t="s">
        <v>652</v>
      </c>
      <c r="E206" s="327">
        <f t="shared" si="1"/>
        <v>91.6</v>
      </c>
    </row>
    <row r="207" spans="1:5" x14ac:dyDescent="0.25">
      <c r="D207" s="309" t="s">
        <v>657</v>
      </c>
      <c r="E207" s="327">
        <f t="shared" si="1"/>
        <v>0</v>
      </c>
    </row>
    <row r="208" spans="1:5" x14ac:dyDescent="0.25">
      <c r="D208" s="309" t="s">
        <v>646</v>
      </c>
      <c r="E208" s="327">
        <f t="shared" si="1"/>
        <v>0</v>
      </c>
    </row>
    <row r="209" spans="4:5" x14ac:dyDescent="0.25">
      <c r="D209" s="309" t="s">
        <v>653</v>
      </c>
      <c r="E209" s="327">
        <f t="shared" si="1"/>
        <v>0</v>
      </c>
    </row>
    <row r="210" spans="4:5" x14ac:dyDescent="0.25">
      <c r="D210" s="309" t="s">
        <v>658</v>
      </c>
      <c r="E210" s="327">
        <f t="shared" si="1"/>
        <v>0</v>
      </c>
    </row>
    <row r="211" spans="4:5" x14ac:dyDescent="0.25">
      <c r="E211" s="327">
        <f>SUM(E205:E206)</f>
        <v>716.2</v>
      </c>
    </row>
    <row r="212" spans="4:5" x14ac:dyDescent="0.25">
      <c r="D212" s="309" t="s">
        <v>638</v>
      </c>
      <c r="E212" s="327">
        <f t="shared" si="1"/>
        <v>398.5</v>
      </c>
    </row>
    <row r="213" spans="4:5" x14ac:dyDescent="0.25">
      <c r="D213" s="309" t="s">
        <v>637</v>
      </c>
      <c r="E213" s="327">
        <f t="shared" si="1"/>
        <v>86.9</v>
      </c>
    </row>
    <row r="214" spans="4:5" x14ac:dyDescent="0.25">
      <c r="E214" s="327">
        <f>SUM(E212:E213)</f>
        <v>485.4</v>
      </c>
    </row>
    <row r="215" spans="4:5" x14ac:dyDescent="0.25">
      <c r="E215" s="327">
        <f t="shared" si="1"/>
        <v>0</v>
      </c>
    </row>
    <row r="216" spans="4:5" x14ac:dyDescent="0.25">
      <c r="D216" s="309" t="s">
        <v>640</v>
      </c>
      <c r="E216" s="327">
        <f t="shared" si="1"/>
        <v>92.1</v>
      </c>
    </row>
    <row r="217" spans="4:5" x14ac:dyDescent="0.25">
      <c r="E217" s="327">
        <f t="shared" si="1"/>
        <v>0</v>
      </c>
    </row>
    <row r="218" spans="4:5" x14ac:dyDescent="0.25">
      <c r="D218" s="309" t="s">
        <v>649</v>
      </c>
      <c r="E218" s="327">
        <f t="shared" si="1"/>
        <v>0</v>
      </c>
    </row>
    <row r="219" spans="4:5" x14ac:dyDescent="0.25">
      <c r="D219" s="309" t="s">
        <v>655</v>
      </c>
      <c r="E219" s="327">
        <f t="shared" si="1"/>
        <v>33.9</v>
      </c>
    </row>
    <row r="220" spans="4:5" x14ac:dyDescent="0.25">
      <c r="E220" s="327">
        <f t="shared" si="1"/>
        <v>0</v>
      </c>
    </row>
    <row r="221" spans="4:5" x14ac:dyDescent="0.25">
      <c r="D221" s="309" t="s">
        <v>641</v>
      </c>
      <c r="E221" s="327">
        <f t="shared" si="1"/>
        <v>0</v>
      </c>
    </row>
    <row r="222" spans="4:5" x14ac:dyDescent="0.25">
      <c r="E222" s="327">
        <f t="shared" si="1"/>
        <v>0</v>
      </c>
    </row>
    <row r="223" spans="4:5" x14ac:dyDescent="0.25">
      <c r="E223" s="327">
        <f t="shared" si="1"/>
        <v>0</v>
      </c>
    </row>
    <row r="224" spans="4:5" x14ac:dyDescent="0.25">
      <c r="D224" s="309" t="s">
        <v>639</v>
      </c>
      <c r="E224" s="327">
        <f t="shared" si="1"/>
        <v>27.799999999999997</v>
      </c>
    </row>
    <row r="225" spans="3:5" x14ac:dyDescent="0.25">
      <c r="E225" s="327">
        <f t="shared" si="1"/>
        <v>0</v>
      </c>
    </row>
    <row r="226" spans="3:5" x14ac:dyDescent="0.25">
      <c r="D226" s="309" t="s">
        <v>647</v>
      </c>
      <c r="E226" s="327">
        <f t="shared" si="1"/>
        <v>11.9</v>
      </c>
    </row>
    <row r="227" spans="3:5" x14ac:dyDescent="0.25">
      <c r="D227" s="309" t="s">
        <v>663</v>
      </c>
      <c r="E227" s="327">
        <f t="shared" si="1"/>
        <v>0</v>
      </c>
    </row>
    <row r="229" spans="3:5" ht="15.6" x14ac:dyDescent="0.25">
      <c r="C229" s="324">
        <v>1048</v>
      </c>
      <c r="D229" s="325" t="s">
        <v>645</v>
      </c>
      <c r="E229" s="326">
        <v>68.099999999999994</v>
      </c>
    </row>
    <row r="230" spans="3:5" ht="15.6" x14ac:dyDescent="0.25">
      <c r="C230" s="320">
        <v>1048</v>
      </c>
      <c r="D230" s="321" t="s">
        <v>652</v>
      </c>
      <c r="E230" s="322">
        <v>22.4</v>
      </c>
    </row>
    <row r="231" spans="3:5" ht="15.6" x14ac:dyDescent="0.25">
      <c r="C231" s="324">
        <v>1052</v>
      </c>
      <c r="D231" s="325" t="s">
        <v>645</v>
      </c>
      <c r="E231" s="326">
        <v>41.2</v>
      </c>
    </row>
    <row r="232" spans="3:5" ht="15.6" x14ac:dyDescent="0.25">
      <c r="C232" s="320">
        <v>1052</v>
      </c>
      <c r="D232" s="321" t="s">
        <v>652</v>
      </c>
      <c r="E232" s="322">
        <v>2.1</v>
      </c>
    </row>
    <row r="233" spans="3:5" ht="15.6" x14ac:dyDescent="0.25">
      <c r="C233" s="324">
        <v>1052</v>
      </c>
      <c r="D233" s="325" t="s">
        <v>647</v>
      </c>
      <c r="E233" s="326">
        <v>3.2</v>
      </c>
    </row>
    <row r="234" spans="3:5" ht="15.6" x14ac:dyDescent="0.25">
      <c r="C234" s="320">
        <v>1052</v>
      </c>
      <c r="D234" s="321" t="s">
        <v>648</v>
      </c>
      <c r="E234" s="322">
        <v>2.9</v>
      </c>
    </row>
    <row r="235" spans="3:5" ht="15.6" x14ac:dyDescent="0.25">
      <c r="C235" s="324">
        <v>1057</v>
      </c>
      <c r="D235" s="325" t="s">
        <v>645</v>
      </c>
      <c r="E235" s="326">
        <v>28.2</v>
      </c>
    </row>
    <row r="236" spans="3:5" ht="15.6" x14ac:dyDescent="0.25">
      <c r="C236" s="320">
        <v>1057</v>
      </c>
      <c r="D236" s="321" t="s">
        <v>652</v>
      </c>
      <c r="E236" s="322">
        <v>14.6</v>
      </c>
    </row>
    <row r="237" spans="3:5" ht="15.6" x14ac:dyDescent="0.25">
      <c r="C237" s="324">
        <v>1057</v>
      </c>
      <c r="D237" s="325" t="s">
        <v>655</v>
      </c>
      <c r="E237" s="326">
        <v>7.1</v>
      </c>
    </row>
    <row r="238" spans="3:5" ht="15.6" x14ac:dyDescent="0.25">
      <c r="C238" s="320">
        <v>1058</v>
      </c>
      <c r="D238" s="321" t="s">
        <v>645</v>
      </c>
      <c r="E238" s="322">
        <v>37</v>
      </c>
    </row>
    <row r="239" spans="3:5" ht="15.6" x14ac:dyDescent="0.25">
      <c r="C239" s="324">
        <v>1058</v>
      </c>
      <c r="D239" s="325" t="s">
        <v>652</v>
      </c>
      <c r="E239" s="326">
        <v>2.4</v>
      </c>
    </row>
    <row r="240" spans="3:5" ht="15.6" x14ac:dyDescent="0.25">
      <c r="C240" s="320">
        <v>1058</v>
      </c>
      <c r="D240" s="321" t="s">
        <v>647</v>
      </c>
      <c r="E240" s="322">
        <v>2.7</v>
      </c>
    </row>
    <row r="241" spans="3:5" ht="15.6" x14ac:dyDescent="0.25">
      <c r="C241" s="324">
        <v>1058</v>
      </c>
      <c r="D241" s="325" t="s">
        <v>648</v>
      </c>
      <c r="E241" s="326">
        <v>7.4</v>
      </c>
    </row>
    <row r="242" spans="3:5" ht="15.6" x14ac:dyDescent="0.25">
      <c r="C242" s="320">
        <v>1059</v>
      </c>
      <c r="D242" s="321" t="s">
        <v>637</v>
      </c>
      <c r="E242" s="322">
        <v>35.5</v>
      </c>
    </row>
    <row r="243" spans="3:5" ht="15.6" x14ac:dyDescent="0.25">
      <c r="C243" s="324">
        <v>1059</v>
      </c>
      <c r="D243" s="325" t="s">
        <v>638</v>
      </c>
      <c r="E243" s="326">
        <v>50.1</v>
      </c>
    </row>
    <row r="244" spans="3:5" ht="15.6" x14ac:dyDescent="0.25">
      <c r="C244" s="320">
        <v>1059</v>
      </c>
      <c r="D244" s="321" t="s">
        <v>640</v>
      </c>
      <c r="E244" s="322">
        <v>3</v>
      </c>
    </row>
    <row r="245" spans="3:5" ht="15.6" x14ac:dyDescent="0.25">
      <c r="C245" s="324">
        <v>1060</v>
      </c>
      <c r="D245" s="325" t="s">
        <v>637</v>
      </c>
      <c r="E245" s="326">
        <v>27.1</v>
      </c>
    </row>
    <row r="246" spans="3:5" ht="15.6" x14ac:dyDescent="0.25">
      <c r="C246" s="320">
        <v>1060</v>
      </c>
      <c r="D246" s="321" t="s">
        <v>638</v>
      </c>
      <c r="E246" s="322">
        <v>12.2</v>
      </c>
    </row>
    <row r="247" spans="3:5" ht="15.6" x14ac:dyDescent="0.25">
      <c r="C247" s="324">
        <v>1061</v>
      </c>
      <c r="D247" s="325" t="s">
        <v>637</v>
      </c>
      <c r="E247" s="326">
        <v>63</v>
      </c>
    </row>
    <row r="248" spans="3:5" ht="15.6" x14ac:dyDescent="0.25">
      <c r="C248" s="320">
        <v>1061</v>
      </c>
      <c r="D248" s="321" t="s">
        <v>638</v>
      </c>
      <c r="E248" s="322">
        <v>9.3000000000000007</v>
      </c>
    </row>
    <row r="249" spans="3:5" ht="15.6" x14ac:dyDescent="0.25">
      <c r="C249" s="324">
        <v>1061</v>
      </c>
      <c r="D249" s="325" t="s">
        <v>640</v>
      </c>
      <c r="E249" s="326">
        <v>8.4</v>
      </c>
    </row>
    <row r="250" spans="3:5" ht="15.6" x14ac:dyDescent="0.25">
      <c r="C250" s="320">
        <v>1061</v>
      </c>
      <c r="D250" s="321" t="s">
        <v>641</v>
      </c>
      <c r="E250" s="322">
        <v>8.5</v>
      </c>
    </row>
    <row r="251" spans="3:5" ht="15.6" x14ac:dyDescent="0.25">
      <c r="C251" s="324">
        <v>1062</v>
      </c>
      <c r="D251" s="325" t="s">
        <v>645</v>
      </c>
      <c r="E251" s="326">
        <v>28.3</v>
      </c>
    </row>
    <row r="252" spans="3:5" ht="15.6" x14ac:dyDescent="0.25">
      <c r="C252" s="320">
        <v>1062</v>
      </c>
      <c r="D252" s="321" t="s">
        <v>652</v>
      </c>
      <c r="E252" s="322">
        <v>13.1</v>
      </c>
    </row>
    <row r="253" spans="3:5" ht="15.6" x14ac:dyDescent="0.25">
      <c r="C253" s="324">
        <v>1062</v>
      </c>
      <c r="D253" s="325" t="s">
        <v>648</v>
      </c>
      <c r="E253" s="326">
        <v>3.1</v>
      </c>
    </row>
    <row r="254" spans="3:5" ht="15.6" x14ac:dyDescent="0.25">
      <c r="C254" s="320">
        <v>1062</v>
      </c>
      <c r="D254" s="321" t="s">
        <v>655</v>
      </c>
      <c r="E254" s="322">
        <v>11.3</v>
      </c>
    </row>
    <row r="255" spans="3:5" ht="15.6" x14ac:dyDescent="0.25">
      <c r="C255" s="324">
        <v>1063</v>
      </c>
      <c r="D255" s="325" t="s">
        <v>645</v>
      </c>
      <c r="E255" s="326">
        <v>26.4</v>
      </c>
    </row>
    <row r="256" spans="3:5" ht="15.6" x14ac:dyDescent="0.25">
      <c r="C256" s="320">
        <v>1063</v>
      </c>
      <c r="D256" s="321" t="s">
        <v>652</v>
      </c>
      <c r="E256" s="322">
        <v>3.8</v>
      </c>
    </row>
    <row r="257" spans="3:5" ht="15.6" x14ac:dyDescent="0.25">
      <c r="C257" s="324">
        <v>1063</v>
      </c>
      <c r="D257" s="325" t="s">
        <v>655</v>
      </c>
      <c r="E257" s="326">
        <v>6.1</v>
      </c>
    </row>
    <row r="258" spans="3:5" ht="15.6" x14ac:dyDescent="0.25">
      <c r="C258" s="320">
        <v>1064</v>
      </c>
      <c r="D258" s="321" t="s">
        <v>645</v>
      </c>
      <c r="E258" s="322">
        <v>26.4</v>
      </c>
    </row>
    <row r="259" spans="3:5" ht="15.6" x14ac:dyDescent="0.25">
      <c r="C259" s="324">
        <v>1064</v>
      </c>
      <c r="D259" s="325" t="s">
        <v>648</v>
      </c>
      <c r="E259" s="326">
        <v>5.0999999999999996</v>
      </c>
    </row>
    <row r="260" spans="3:5" ht="15.6" x14ac:dyDescent="0.25">
      <c r="C260" s="320">
        <v>1064</v>
      </c>
      <c r="D260" s="321" t="s">
        <v>655</v>
      </c>
      <c r="E260" s="322">
        <v>7.4</v>
      </c>
    </row>
    <row r="261" spans="3:5" ht="15.6" x14ac:dyDescent="0.25">
      <c r="C261" s="324">
        <v>1065</v>
      </c>
      <c r="D261" s="325" t="s">
        <v>644</v>
      </c>
      <c r="E261" s="326">
        <v>18</v>
      </c>
    </row>
    <row r="262" spans="3:5" ht="15.6" x14ac:dyDescent="0.25">
      <c r="C262" s="320">
        <v>1065</v>
      </c>
      <c r="D262" s="321" t="s">
        <v>657</v>
      </c>
      <c r="E262" s="322">
        <v>8.6</v>
      </c>
    </row>
    <row r="263" spans="3:5" ht="15.6" x14ac:dyDescent="0.25">
      <c r="C263" s="324">
        <v>1065</v>
      </c>
      <c r="D263" s="325" t="s">
        <v>649</v>
      </c>
      <c r="E263" s="326">
        <v>7.2</v>
      </c>
    </row>
    <row r="264" spans="3:5" ht="15.6" x14ac:dyDescent="0.25">
      <c r="C264" s="320">
        <v>1066</v>
      </c>
      <c r="D264" s="321" t="s">
        <v>645</v>
      </c>
      <c r="E264" s="322">
        <v>11.1</v>
      </c>
    </row>
    <row r="265" spans="3:5" ht="15.6" x14ac:dyDescent="0.25">
      <c r="C265" s="324">
        <v>1066</v>
      </c>
      <c r="D265" s="325" t="s">
        <v>653</v>
      </c>
      <c r="E265" s="326">
        <v>2</v>
      </c>
    </row>
    <row r="266" spans="3:5" ht="15.6" x14ac:dyDescent="0.25">
      <c r="C266" s="320">
        <v>1066</v>
      </c>
      <c r="D266" s="321" t="s">
        <v>646</v>
      </c>
      <c r="E266" s="322">
        <v>1.4</v>
      </c>
    </row>
    <row r="267" spans="3:5" ht="15.6" x14ac:dyDescent="0.25">
      <c r="C267" s="324">
        <v>1066</v>
      </c>
      <c r="D267" s="325" t="s">
        <v>652</v>
      </c>
      <c r="E267" s="326">
        <v>8.9</v>
      </c>
    </row>
    <row r="268" spans="3:5" ht="15.6" x14ac:dyDescent="0.25">
      <c r="C268" s="320">
        <v>1066</v>
      </c>
      <c r="D268" s="321" t="s">
        <v>658</v>
      </c>
      <c r="E268" s="322">
        <v>2</v>
      </c>
    </row>
    <row r="269" spans="3:5" ht="15.6" x14ac:dyDescent="0.25">
      <c r="C269" s="324">
        <v>1066</v>
      </c>
      <c r="D269" s="325" t="s">
        <v>642</v>
      </c>
      <c r="E269" s="326">
        <v>1.4</v>
      </c>
    </row>
    <row r="270" spans="3:5" ht="15.6" x14ac:dyDescent="0.25">
      <c r="C270" s="320">
        <v>1066</v>
      </c>
      <c r="D270" s="321" t="s">
        <v>648</v>
      </c>
      <c r="E270" s="322">
        <v>7.6</v>
      </c>
    </row>
    <row r="271" spans="3:5" ht="15.6" x14ac:dyDescent="0.25">
      <c r="C271" s="324">
        <v>1066</v>
      </c>
      <c r="D271" s="325" t="s">
        <v>655</v>
      </c>
      <c r="E271" s="326">
        <v>7.5</v>
      </c>
    </row>
    <row r="272" spans="3:5" ht="15.6" x14ac:dyDescent="0.25">
      <c r="C272" s="320">
        <v>1067</v>
      </c>
      <c r="D272" s="321" t="s">
        <v>637</v>
      </c>
      <c r="E272" s="322">
        <v>49.7</v>
      </c>
    </row>
    <row r="273" spans="3:5" ht="15.6" x14ac:dyDescent="0.25">
      <c r="C273" s="324">
        <v>1067</v>
      </c>
      <c r="D273" s="325" t="s">
        <v>638</v>
      </c>
      <c r="E273" s="326">
        <v>240</v>
      </c>
    </row>
    <row r="274" spans="3:5" ht="15.6" x14ac:dyDescent="0.25">
      <c r="C274" s="320">
        <v>1067</v>
      </c>
      <c r="D274" s="321" t="s">
        <v>640</v>
      </c>
      <c r="E274" s="322">
        <v>100.3</v>
      </c>
    </row>
    <row r="275" spans="3:5" ht="15.6" x14ac:dyDescent="0.25">
      <c r="C275" s="312">
        <v>1097</v>
      </c>
      <c r="D275" s="313" t="s">
        <v>637</v>
      </c>
      <c r="E275" s="314">
        <v>14.5</v>
      </c>
    </row>
    <row r="276" spans="3:5" ht="15.6" x14ac:dyDescent="0.25">
      <c r="C276" s="316">
        <v>1097</v>
      </c>
      <c r="D276" s="317" t="s">
        <v>645</v>
      </c>
      <c r="E276" s="318">
        <v>3</v>
      </c>
    </row>
    <row r="277" spans="3:5" ht="15.6" x14ac:dyDescent="0.25">
      <c r="C277" s="312">
        <v>1097</v>
      </c>
      <c r="D277" s="313" t="s">
        <v>646</v>
      </c>
      <c r="E277" s="314">
        <v>5.2</v>
      </c>
    </row>
    <row r="278" spans="3:5" ht="15.6" x14ac:dyDescent="0.25">
      <c r="C278" s="316">
        <v>1097</v>
      </c>
      <c r="D278" s="317" t="s">
        <v>638</v>
      </c>
      <c r="E278" s="318">
        <v>21.4</v>
      </c>
    </row>
    <row r="279" spans="3:5" ht="15.6" x14ac:dyDescent="0.25">
      <c r="C279" s="312">
        <v>1097</v>
      </c>
      <c r="D279" s="313" t="s">
        <v>657</v>
      </c>
      <c r="E279" s="314">
        <v>4.2</v>
      </c>
    </row>
    <row r="280" spans="3:5" ht="15.6" x14ac:dyDescent="0.25">
      <c r="C280" s="316">
        <v>1097</v>
      </c>
      <c r="D280" s="317" t="s">
        <v>658</v>
      </c>
      <c r="E280" s="318">
        <v>0.8</v>
      </c>
    </row>
    <row r="281" spans="3:5" ht="15.6" x14ac:dyDescent="0.25">
      <c r="C281" s="312">
        <v>1097</v>
      </c>
      <c r="D281" s="313" t="s">
        <v>641</v>
      </c>
      <c r="E281" s="314">
        <v>12.6</v>
      </c>
    </row>
    <row r="282" spans="3:5" ht="15.6" x14ac:dyDescent="0.25">
      <c r="C282" s="316">
        <v>1097</v>
      </c>
      <c r="D282" s="317" t="s">
        <v>649</v>
      </c>
      <c r="E282" s="318">
        <v>14.1</v>
      </c>
    </row>
    <row r="283" spans="3:5" ht="15.6" x14ac:dyDescent="0.25">
      <c r="C283" s="312">
        <v>1097</v>
      </c>
      <c r="D283" s="313" t="s">
        <v>655</v>
      </c>
      <c r="E283" s="314">
        <v>12.6</v>
      </c>
    </row>
    <row r="284" spans="3:5" ht="15.6" x14ac:dyDescent="0.25">
      <c r="C284" s="340">
        <v>1098</v>
      </c>
      <c r="D284" s="341" t="s">
        <v>663</v>
      </c>
      <c r="E284" s="342">
        <v>20.5</v>
      </c>
    </row>
    <row r="285" spans="3:5" ht="15.6" x14ac:dyDescent="0.25">
      <c r="C285" s="312" t="s">
        <v>662</v>
      </c>
      <c r="D285" s="313" t="s">
        <v>637</v>
      </c>
      <c r="E285" s="314">
        <v>10.8</v>
      </c>
    </row>
    <row r="286" spans="3:5" ht="15.6" x14ac:dyDescent="0.25">
      <c r="C286" s="316" t="s">
        <v>662</v>
      </c>
      <c r="D286" s="317" t="s">
        <v>638</v>
      </c>
      <c r="E286" s="318">
        <v>88.1</v>
      </c>
    </row>
    <row r="287" spans="3:5" ht="15.6" x14ac:dyDescent="0.25">
      <c r="C287" s="312" t="s">
        <v>662</v>
      </c>
      <c r="D287" s="313" t="s">
        <v>639</v>
      </c>
      <c r="E287" s="314">
        <v>8.3000000000000007</v>
      </c>
    </row>
    <row r="288" spans="3:5" ht="15.6" x14ac:dyDescent="0.25">
      <c r="C288" s="316" t="s">
        <v>662</v>
      </c>
      <c r="D288" s="317" t="s">
        <v>640</v>
      </c>
      <c r="E288" s="318">
        <v>48.3</v>
      </c>
    </row>
    <row r="289" spans="3:5" ht="15.6" x14ac:dyDescent="0.25">
      <c r="C289" s="312">
        <v>1094</v>
      </c>
      <c r="D289" s="313" t="s">
        <v>637</v>
      </c>
      <c r="E289" s="314">
        <v>39.5</v>
      </c>
    </row>
    <row r="290" spans="3:5" ht="15.6" x14ac:dyDescent="0.25">
      <c r="C290" s="316">
        <v>1094</v>
      </c>
      <c r="D290" s="317" t="s">
        <v>638</v>
      </c>
      <c r="E290" s="318">
        <v>220.4</v>
      </c>
    </row>
    <row r="291" spans="3:5" ht="15.6" x14ac:dyDescent="0.25">
      <c r="C291" s="312">
        <v>1094</v>
      </c>
      <c r="D291" s="313" t="s">
        <v>639</v>
      </c>
      <c r="E291" s="314">
        <v>9.3000000000000007</v>
      </c>
    </row>
    <row r="292" spans="3:5" ht="15.6" x14ac:dyDescent="0.25">
      <c r="C292" s="316">
        <v>1094</v>
      </c>
      <c r="D292" s="317" t="s">
        <v>640</v>
      </c>
      <c r="E292" s="318">
        <v>52.3</v>
      </c>
    </row>
    <row r="293" spans="3:5" ht="15.6" x14ac:dyDescent="0.25">
      <c r="C293" s="312">
        <v>1084</v>
      </c>
      <c r="D293" s="313" t="s">
        <v>637</v>
      </c>
      <c r="E293" s="314">
        <v>8</v>
      </c>
    </row>
    <row r="294" spans="3:5" ht="15.6" x14ac:dyDescent="0.25">
      <c r="C294" s="316">
        <v>1084</v>
      </c>
      <c r="D294" s="317" t="s">
        <v>638</v>
      </c>
      <c r="E294" s="318">
        <v>83.4</v>
      </c>
    </row>
    <row r="295" spans="3:5" ht="15.6" x14ac:dyDescent="0.25">
      <c r="C295" s="312">
        <v>1084</v>
      </c>
      <c r="D295" s="313" t="s">
        <v>639</v>
      </c>
      <c r="E295" s="314">
        <v>3.5</v>
      </c>
    </row>
    <row r="296" spans="3:5" ht="15.6" x14ac:dyDescent="0.25">
      <c r="C296" s="316">
        <v>1084</v>
      </c>
      <c r="D296" s="317" t="s">
        <v>640</v>
      </c>
      <c r="E296" s="318">
        <v>5.7</v>
      </c>
    </row>
    <row r="297" spans="3:5" ht="15.6" x14ac:dyDescent="0.25">
      <c r="C297" s="312">
        <v>1084</v>
      </c>
      <c r="D297" s="313" t="s">
        <v>641</v>
      </c>
      <c r="E297" s="314">
        <v>5.2</v>
      </c>
    </row>
    <row r="298" spans="3:5" ht="15.6" x14ac:dyDescent="0.25">
      <c r="C298" s="316">
        <v>1085</v>
      </c>
      <c r="D298" s="317" t="s">
        <v>637</v>
      </c>
      <c r="E298" s="318">
        <v>8</v>
      </c>
    </row>
    <row r="299" spans="3:5" ht="15.6" x14ac:dyDescent="0.25">
      <c r="C299" s="312">
        <v>1085</v>
      </c>
      <c r="D299" s="313" t="s">
        <v>638</v>
      </c>
      <c r="E299" s="314">
        <v>86.1</v>
      </c>
    </row>
    <row r="300" spans="3:5" ht="15.6" x14ac:dyDescent="0.25">
      <c r="C300" s="316">
        <v>1085</v>
      </c>
      <c r="D300" s="317" t="s">
        <v>639</v>
      </c>
      <c r="E300" s="318">
        <v>3.7</v>
      </c>
    </row>
    <row r="301" spans="3:5" ht="15.6" x14ac:dyDescent="0.25">
      <c r="C301" s="343">
        <v>1085</v>
      </c>
      <c r="D301" s="344" t="s">
        <v>640</v>
      </c>
      <c r="E301" s="345">
        <v>10.9</v>
      </c>
    </row>
    <row r="303" spans="3:5" x14ac:dyDescent="0.25">
      <c r="D303" s="309" t="s">
        <v>642</v>
      </c>
      <c r="E303" s="327">
        <f>SUMIF($D$229:$D$301,D303,$E$229:$E$301)</f>
        <v>1.4</v>
      </c>
    </row>
    <row r="304" spans="3:5" x14ac:dyDescent="0.25">
      <c r="D304" s="309" t="s">
        <v>648</v>
      </c>
      <c r="E304" s="327">
        <f t="shared" ref="E304:E329" si="2">SUMIF($D$229:$D$301,D304,$E$229:$E$301)</f>
        <v>26.1</v>
      </c>
    </row>
    <row r="305" spans="4:5" x14ac:dyDescent="0.25">
      <c r="E305" s="327">
        <f>SUM(E303:E304)</f>
        <v>27.5</v>
      </c>
    </row>
    <row r="306" spans="4:5" x14ac:dyDescent="0.25">
      <c r="D306" s="309" t="s">
        <v>644</v>
      </c>
      <c r="E306" s="327">
        <f t="shared" si="2"/>
        <v>18</v>
      </c>
    </row>
    <row r="307" spans="4:5" x14ac:dyDescent="0.25">
      <c r="D307" s="309" t="s">
        <v>645</v>
      </c>
      <c r="E307" s="327">
        <f t="shared" si="2"/>
        <v>269.70000000000005</v>
      </c>
    </row>
    <row r="308" spans="4:5" x14ac:dyDescent="0.25">
      <c r="D308" s="309" t="s">
        <v>652</v>
      </c>
      <c r="E308" s="327">
        <f t="shared" si="2"/>
        <v>67.3</v>
      </c>
    </row>
    <row r="309" spans="4:5" x14ac:dyDescent="0.25">
      <c r="D309" s="309" t="s">
        <v>657</v>
      </c>
      <c r="E309" s="327">
        <f t="shared" si="2"/>
        <v>12.8</v>
      </c>
    </row>
    <row r="310" spans="4:5" x14ac:dyDescent="0.25">
      <c r="D310" s="309" t="s">
        <v>646</v>
      </c>
      <c r="E310" s="327">
        <f t="shared" si="2"/>
        <v>6.6</v>
      </c>
    </row>
    <row r="311" spans="4:5" x14ac:dyDescent="0.25">
      <c r="D311" s="309" t="s">
        <v>653</v>
      </c>
      <c r="E311" s="327">
        <f t="shared" si="2"/>
        <v>2</v>
      </c>
    </row>
    <row r="312" spans="4:5" x14ac:dyDescent="0.25">
      <c r="D312" s="309" t="s">
        <v>658</v>
      </c>
      <c r="E312" s="327">
        <f t="shared" si="2"/>
        <v>2.8</v>
      </c>
    </row>
    <row r="313" spans="4:5" x14ac:dyDescent="0.25">
      <c r="E313" s="327">
        <f>SUM(E306:E312)</f>
        <v>379.2000000000001</v>
      </c>
    </row>
    <row r="314" spans="4:5" x14ac:dyDescent="0.25">
      <c r="D314" s="309" t="s">
        <v>638</v>
      </c>
      <c r="E314" s="327">
        <f t="shared" si="2"/>
        <v>811</v>
      </c>
    </row>
    <row r="315" spans="4:5" x14ac:dyDescent="0.25">
      <c r="D315" s="309" t="s">
        <v>637</v>
      </c>
      <c r="E315" s="327">
        <f t="shared" si="2"/>
        <v>256.10000000000002</v>
      </c>
    </row>
    <row r="316" spans="4:5" x14ac:dyDescent="0.25">
      <c r="E316" s="327">
        <f>SUM(E314:E315)</f>
        <v>1067.0999999999999</v>
      </c>
    </row>
    <row r="317" spans="4:5" x14ac:dyDescent="0.25">
      <c r="E317" s="327"/>
    </row>
    <row r="318" spans="4:5" x14ac:dyDescent="0.25">
      <c r="D318" s="309" t="s">
        <v>640</v>
      </c>
      <c r="E318" s="327">
        <f t="shared" si="2"/>
        <v>228.9</v>
      </c>
    </row>
    <row r="319" spans="4:5" x14ac:dyDescent="0.25">
      <c r="E319" s="327"/>
    </row>
    <row r="320" spans="4:5" x14ac:dyDescent="0.25">
      <c r="D320" s="309" t="s">
        <v>649</v>
      </c>
      <c r="E320" s="327">
        <f t="shared" si="2"/>
        <v>21.3</v>
      </c>
    </row>
    <row r="321" spans="4:5" x14ac:dyDescent="0.25">
      <c r="D321" s="309" t="s">
        <v>655</v>
      </c>
      <c r="E321" s="327">
        <f t="shared" si="2"/>
        <v>52</v>
      </c>
    </row>
    <row r="322" spans="4:5" x14ac:dyDescent="0.25">
      <c r="E322" s="327"/>
    </row>
    <row r="323" spans="4:5" x14ac:dyDescent="0.25">
      <c r="D323" s="309" t="s">
        <v>641</v>
      </c>
      <c r="E323" s="327">
        <f t="shared" si="2"/>
        <v>26.3</v>
      </c>
    </row>
    <row r="324" spans="4:5" x14ac:dyDescent="0.25">
      <c r="E324" s="327"/>
    </row>
    <row r="325" spans="4:5" x14ac:dyDescent="0.25">
      <c r="E325" s="327"/>
    </row>
    <row r="326" spans="4:5" x14ac:dyDescent="0.25">
      <c r="E326" s="327"/>
    </row>
    <row r="327" spans="4:5" x14ac:dyDescent="0.25">
      <c r="E327" s="327"/>
    </row>
    <row r="328" spans="4:5" x14ac:dyDescent="0.25">
      <c r="E328" s="327"/>
    </row>
    <row r="329" spans="4:5" x14ac:dyDescent="0.25">
      <c r="D329" s="309" t="s">
        <v>663</v>
      </c>
      <c r="E329" s="327">
        <f t="shared" si="2"/>
        <v>20.5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zoomScale="70" zoomScaleNormal="70" workbookViewId="0">
      <selection activeCell="B6" sqref="B6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65" t="s">
        <v>232</v>
      </c>
      <c r="B1" s="465"/>
      <c r="C1" s="465"/>
      <c r="D1" s="46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402">
        <v>6.9</v>
      </c>
    </row>
    <row r="4" spans="1:4" x14ac:dyDescent="0.35">
      <c r="A4" s="20">
        <v>2</v>
      </c>
      <c r="B4" s="16" t="s">
        <v>765</v>
      </c>
      <c r="C4" s="16" t="s">
        <v>23</v>
      </c>
      <c r="D4" s="402">
        <v>6.9</v>
      </c>
    </row>
    <row r="5" spans="1:4" x14ac:dyDescent="0.35">
      <c r="A5" s="20">
        <v>3</v>
      </c>
      <c r="B5" s="16" t="s">
        <v>766</v>
      </c>
      <c r="C5" s="16" t="s">
        <v>23</v>
      </c>
      <c r="D5" s="402">
        <f>6.9+18.8</f>
        <v>25.700000000000003</v>
      </c>
    </row>
    <row r="6" spans="1:4" x14ac:dyDescent="0.35">
      <c r="A6" s="20">
        <v>4</v>
      </c>
      <c r="B6" s="16" t="s">
        <v>761</v>
      </c>
      <c r="C6" s="16" t="s">
        <v>23</v>
      </c>
      <c r="D6" s="402">
        <v>13.4</v>
      </c>
    </row>
    <row r="7" spans="1:4" x14ac:dyDescent="0.35">
      <c r="A7" s="20">
        <v>5</v>
      </c>
      <c r="B7" s="16" t="s">
        <v>763</v>
      </c>
      <c r="C7" s="16" t="s">
        <v>23</v>
      </c>
      <c r="D7" s="402">
        <v>13.5</v>
      </c>
    </row>
    <row r="8" spans="1:4" x14ac:dyDescent="0.35">
      <c r="A8" s="20"/>
      <c r="B8" s="16" t="s">
        <v>231</v>
      </c>
      <c r="C8" s="16" t="s">
        <v>23</v>
      </c>
      <c r="D8" s="402">
        <f>SUM(D3:D7)</f>
        <v>66.400000000000006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B5" sqref="B5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65" t="s">
        <v>220</v>
      </c>
      <c r="B1" s="465"/>
      <c r="C1" s="465"/>
      <c r="D1" s="465"/>
    </row>
    <row r="2" spans="1:4" ht="46.8" customHeight="1" x14ac:dyDescent="0.35">
      <c r="A2" s="465" t="s">
        <v>771</v>
      </c>
      <c r="B2" s="465"/>
      <c r="C2" s="465"/>
      <c r="D2" s="465"/>
    </row>
    <row r="3" spans="1:4" s="18" customFormat="1" ht="36" x14ac:dyDescent="0.35">
      <c r="A3" s="21" t="s">
        <v>9</v>
      </c>
      <c r="B3" s="285" t="s">
        <v>228</v>
      </c>
      <c r="C3" s="21" t="s">
        <v>14</v>
      </c>
      <c r="D3" s="21" t="s">
        <v>16</v>
      </c>
    </row>
    <row r="4" spans="1:4" x14ac:dyDescent="0.35">
      <c r="A4" s="378">
        <v>1</v>
      </c>
      <c r="B4" s="380" t="s">
        <v>819</v>
      </c>
      <c r="C4" s="379" t="s">
        <v>34</v>
      </c>
      <c r="D4" s="108">
        <f>(0.9*0.9-0.66*0.66)*0.9</f>
        <v>0.33696000000000004</v>
      </c>
    </row>
    <row r="5" spans="1:4" x14ac:dyDescent="0.35">
      <c r="A5" s="378">
        <v>2</v>
      </c>
      <c r="B5" s="380" t="s">
        <v>819</v>
      </c>
      <c r="C5" s="379" t="s">
        <v>34</v>
      </c>
      <c r="D5" s="108">
        <f>(0.9*0.9-0.66*0.66)*0.9</f>
        <v>0.33696000000000004</v>
      </c>
    </row>
    <row r="6" spans="1:4" x14ac:dyDescent="0.35">
      <c r="A6" s="20">
        <v>3</v>
      </c>
      <c r="B6" s="380" t="s">
        <v>819</v>
      </c>
      <c r="C6" s="16" t="s">
        <v>34</v>
      </c>
      <c r="D6" s="108">
        <f>(0.9*0.9-0.66*0.66)*0.9</f>
        <v>0.33696000000000004</v>
      </c>
    </row>
    <row r="7" spans="1:4" x14ac:dyDescent="0.35">
      <c r="A7" s="20">
        <v>4</v>
      </c>
      <c r="B7" s="286" t="s">
        <v>820</v>
      </c>
      <c r="C7" s="16" t="s">
        <v>34</v>
      </c>
      <c r="D7" s="108">
        <f>(1.68*1.68-1.18*1.18)*1.45</f>
        <v>2.0734999999999997</v>
      </c>
    </row>
    <row r="8" spans="1:4" x14ac:dyDescent="0.35">
      <c r="A8" s="20">
        <v>5</v>
      </c>
      <c r="B8" s="286" t="s">
        <v>820</v>
      </c>
      <c r="C8" s="16" t="s">
        <v>34</v>
      </c>
      <c r="D8" s="108">
        <f t="shared" ref="D8:D9" si="0">(1.68*1.68-1.18*1.18)*1.45</f>
        <v>2.0734999999999997</v>
      </c>
    </row>
    <row r="9" spans="1:4" x14ac:dyDescent="0.35">
      <c r="A9" s="20">
        <v>6</v>
      </c>
      <c r="B9" s="286" t="s">
        <v>820</v>
      </c>
      <c r="C9" s="16" t="s">
        <v>34</v>
      </c>
      <c r="D9" s="108">
        <f t="shared" si="0"/>
        <v>2.0734999999999997</v>
      </c>
    </row>
    <row r="10" spans="1:4" ht="36" x14ac:dyDescent="0.35">
      <c r="A10" s="20" t="s">
        <v>269</v>
      </c>
      <c r="B10" s="16" t="s">
        <v>821</v>
      </c>
      <c r="C10" s="16" t="s">
        <v>34</v>
      </c>
      <c r="D10" s="19">
        <f>SUM(D4:D9)</f>
        <v>7.2313799999999997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2" sqref="D12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65" t="s">
        <v>220</v>
      </c>
      <c r="B1" s="465"/>
      <c r="C1" s="465"/>
      <c r="D1" s="465"/>
    </row>
    <row r="2" spans="1:4" ht="46.8" customHeight="1" x14ac:dyDescent="0.35">
      <c r="A2" s="465" t="s">
        <v>771</v>
      </c>
      <c r="B2" s="465"/>
      <c r="C2" s="465"/>
      <c r="D2" s="465"/>
    </row>
    <row r="3" spans="1:4" s="18" customFormat="1" ht="36" x14ac:dyDescent="0.35">
      <c r="A3" s="21" t="s">
        <v>9</v>
      </c>
      <c r="B3" s="285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806</v>
      </c>
      <c r="C4" s="16" t="s">
        <v>34</v>
      </c>
      <c r="D4" s="108">
        <f>(0.64*5.08-0.14*0.27*15+1.55*0.39)*2.045-0.25*0.225*0.22*10</f>
        <v>6.6016415000000004</v>
      </c>
    </row>
    <row r="5" spans="1:4" x14ac:dyDescent="0.35">
      <c r="A5" s="20">
        <v>2</v>
      </c>
      <c r="B5" s="286" t="s">
        <v>807</v>
      </c>
      <c r="C5" s="16" t="s">
        <v>34</v>
      </c>
      <c r="D5" s="108">
        <f>(0.9*4.91-0.4*4.41+0.4*0.12*6)*2.045-0.27*0.3*0.25*13-0.27*0.3*0.25*3-0.3*0.25*0.4*2</f>
        <v>5.6344350000000016</v>
      </c>
    </row>
    <row r="6" spans="1:4" x14ac:dyDescent="0.35">
      <c r="A6" s="20">
        <v>3</v>
      </c>
      <c r="B6" s="286" t="s">
        <v>808</v>
      </c>
      <c r="C6" s="16" t="s">
        <v>34</v>
      </c>
      <c r="D6" s="108">
        <f>(0.64*4.19-0.14*0.36+0.14*0.12*8)*1.95</f>
        <v>5.392920000000001</v>
      </c>
    </row>
    <row r="7" spans="1:4" x14ac:dyDescent="0.35">
      <c r="A7" s="20">
        <v>4</v>
      </c>
      <c r="B7" s="286" t="s">
        <v>809</v>
      </c>
      <c r="C7" s="16" t="s">
        <v>34</v>
      </c>
      <c r="D7" s="108">
        <f>(0.97*6.725-0.47*6.225+0.47*0.12*10+0.47*0.25)*1.82-0.27*0.3*0.25*20+(0.97*1.06-0.47-0.66)*0.68</f>
        <v>7.3135559999999984</v>
      </c>
    </row>
    <row r="8" spans="1:4" x14ac:dyDescent="0.35">
      <c r="A8" s="20">
        <v>5</v>
      </c>
      <c r="B8" s="286" t="s">
        <v>810</v>
      </c>
      <c r="C8" s="16" t="s">
        <v>34</v>
      </c>
      <c r="D8" s="108">
        <f>(1.81*0.77-0.27*1.31)*1.895-0.225*0.25*1.31*2</f>
        <v>1.8234250000000001</v>
      </c>
    </row>
    <row r="9" spans="1:4" x14ac:dyDescent="0.35">
      <c r="A9" s="20">
        <v>6</v>
      </c>
      <c r="B9" s="286" t="s">
        <v>811</v>
      </c>
      <c r="C9" s="16" t="s">
        <v>34</v>
      </c>
      <c r="D9" s="108">
        <f>(0.51*1.55-0.39*1.31)*(1.37+0.45)-1.31*0.225*0.12*2</f>
        <v>0.43813200000000008</v>
      </c>
    </row>
    <row r="10" spans="1:4" x14ac:dyDescent="0.35">
      <c r="A10" s="20">
        <v>7</v>
      </c>
      <c r="B10" s="286" t="s">
        <v>812</v>
      </c>
      <c r="C10" s="16" t="s">
        <v>34</v>
      </c>
      <c r="D10" s="108">
        <f>1.95*1.895-0.66*0.25*0.3</f>
        <v>3.64575</v>
      </c>
    </row>
    <row r="11" spans="1:4" x14ac:dyDescent="0.35">
      <c r="A11" s="20">
        <v>8</v>
      </c>
      <c r="B11" s="286" t="s">
        <v>813</v>
      </c>
      <c r="C11" s="16" t="s">
        <v>34</v>
      </c>
      <c r="D11" s="108">
        <f>(0.38*4.02-0.14*3.78)*1.95</f>
        <v>1.9468799999999997</v>
      </c>
    </row>
    <row r="12" spans="1:4" ht="36" x14ac:dyDescent="0.35">
      <c r="A12" s="20" t="s">
        <v>269</v>
      </c>
      <c r="B12" s="16" t="s">
        <v>772</v>
      </c>
      <c r="C12" s="16" t="s">
        <v>34</v>
      </c>
      <c r="D12" s="19">
        <f>SUM(D4:D11)</f>
        <v>32.796739500000001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65" t="s">
        <v>220</v>
      </c>
      <c r="B1" s="465"/>
      <c r="C1" s="465"/>
      <c r="D1" s="465"/>
    </row>
    <row r="2" spans="1:4" ht="46.8" customHeight="1" x14ac:dyDescent="0.35">
      <c r="A2" s="465" t="s">
        <v>771</v>
      </c>
      <c r="B2" s="465"/>
      <c r="C2" s="465"/>
      <c r="D2" s="465"/>
    </row>
    <row r="3" spans="1:4" s="18" customFormat="1" ht="36" x14ac:dyDescent="0.35">
      <c r="A3" s="21" t="s">
        <v>9</v>
      </c>
      <c r="B3" s="285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773</v>
      </c>
      <c r="C4" s="16" t="s">
        <v>34</v>
      </c>
      <c r="D4" s="108">
        <f>1.17*1.895-0.36*2*0.225</f>
        <v>2.0551499999999998</v>
      </c>
    </row>
    <row r="5" spans="1:4" x14ac:dyDescent="0.35">
      <c r="A5" s="20">
        <v>2</v>
      </c>
      <c r="B5" s="286" t="s">
        <v>774</v>
      </c>
      <c r="C5" s="16" t="s">
        <v>34</v>
      </c>
      <c r="D5" s="108">
        <f>1.04*1.82-0.328*2*0.225</f>
        <v>1.7452000000000001</v>
      </c>
    </row>
    <row r="6" spans="1:4" x14ac:dyDescent="0.35">
      <c r="A6" s="20">
        <v>3</v>
      </c>
      <c r="B6" s="286" t="s">
        <v>775</v>
      </c>
      <c r="C6" s="16" t="s">
        <v>34</v>
      </c>
      <c r="D6" s="108">
        <f>0.2496*1.6-0.3*0.4*0.12</f>
        <v>0.38495999999999997</v>
      </c>
    </row>
    <row r="7" spans="1:4" x14ac:dyDescent="0.35">
      <c r="A7" s="20">
        <v>4</v>
      </c>
      <c r="B7" s="286" t="s">
        <v>776</v>
      </c>
      <c r="C7" s="16" t="s">
        <v>34</v>
      </c>
      <c r="D7" s="108">
        <f>1.95*2.4+0.53*0.9-0.3*0.3*0.25*8</f>
        <v>4.9770000000000003</v>
      </c>
    </row>
    <row r="8" spans="1:4" x14ac:dyDescent="0.35">
      <c r="A8" s="20">
        <v>5</v>
      </c>
      <c r="B8" s="286" t="s">
        <v>777</v>
      </c>
      <c r="C8" s="16" t="s">
        <v>34</v>
      </c>
      <c r="D8" s="108">
        <f>1.575*1.435</f>
        <v>2.2601249999999999</v>
      </c>
    </row>
    <row r="9" spans="1:4" x14ac:dyDescent="0.35">
      <c r="A9" s="20">
        <v>6</v>
      </c>
      <c r="B9" s="286" t="s">
        <v>778</v>
      </c>
      <c r="C9" s="16" t="s">
        <v>34</v>
      </c>
      <c r="D9" s="108">
        <f>1.125*0.442</f>
        <v>0.49725000000000003</v>
      </c>
    </row>
    <row r="10" spans="1:4" ht="36" x14ac:dyDescent="0.35">
      <c r="A10" s="20">
        <v>7</v>
      </c>
      <c r="B10" s="286" t="s">
        <v>779</v>
      </c>
      <c r="C10" s="16" t="s">
        <v>34</v>
      </c>
      <c r="D10" s="108">
        <f>1.85*0.675</f>
        <v>1.2487500000000002</v>
      </c>
    </row>
    <row r="11" spans="1:4" ht="36" x14ac:dyDescent="0.35">
      <c r="A11" s="20" t="s">
        <v>269</v>
      </c>
      <c r="B11" s="16" t="s">
        <v>772</v>
      </c>
      <c r="C11" s="16" t="s">
        <v>34</v>
      </c>
      <c r="D11" s="19">
        <f>SUM(D4:D10)</f>
        <v>13.168434999999999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73.8" customHeight="1" x14ac:dyDescent="0.35">
      <c r="A1" s="465" t="s">
        <v>232</v>
      </c>
      <c r="B1" s="465"/>
      <c r="C1" s="465"/>
      <c r="D1" s="465"/>
    </row>
    <row r="2" spans="1:4" ht="21" customHeight="1" x14ac:dyDescent="0.35">
      <c r="A2" s="465" t="s">
        <v>767</v>
      </c>
      <c r="B2" s="465"/>
      <c r="C2" s="465"/>
      <c r="D2" s="465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6" t="s">
        <v>768</v>
      </c>
      <c r="C4" s="16" t="s">
        <v>23</v>
      </c>
      <c r="D4" s="19">
        <f>2.5*3.15</f>
        <v>7.875</v>
      </c>
    </row>
    <row r="5" spans="1:4" x14ac:dyDescent="0.35">
      <c r="A5" s="20">
        <v>2</v>
      </c>
      <c r="B5" s="16" t="s">
        <v>769</v>
      </c>
      <c r="C5" s="16" t="s">
        <v>23</v>
      </c>
      <c r="D5" s="108">
        <f>6.3 * 3.15</f>
        <v>19.844999999999999</v>
      </c>
    </row>
    <row r="6" spans="1:4" x14ac:dyDescent="0.35">
      <c r="A6" s="20">
        <v>3</v>
      </c>
      <c r="B6" s="16" t="s">
        <v>770</v>
      </c>
      <c r="C6" s="16" t="s">
        <v>23</v>
      </c>
      <c r="D6" s="108">
        <f>6 * 3.15</f>
        <v>18.899999999999999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46.62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H6" sqref="H6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65" t="s">
        <v>232</v>
      </c>
      <c r="B1" s="465"/>
      <c r="C1" s="465"/>
      <c r="D1" s="46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764</v>
      </c>
      <c r="C3" s="16" t="s">
        <v>23</v>
      </c>
      <c r="D3" s="284">
        <f>((((0.79*3)+3.7)*4)*2- 0.65*1.86*5)</f>
        <v>42.515000000000001</v>
      </c>
    </row>
    <row r="4" spans="1:4" x14ac:dyDescent="0.35">
      <c r="A4" s="20">
        <v>2</v>
      </c>
      <c r="B4" s="16" t="s">
        <v>765</v>
      </c>
      <c r="C4" s="16" t="s">
        <v>23</v>
      </c>
      <c r="D4" s="284">
        <f>((((0.79*3)+3.7)*4)*2- 0.65*1.87*5)</f>
        <v>42.482500000000002</v>
      </c>
    </row>
    <row r="5" spans="1:4" x14ac:dyDescent="0.35">
      <c r="A5" s="20">
        <v>3</v>
      </c>
      <c r="B5" s="16" t="s">
        <v>766</v>
      </c>
      <c r="C5" s="16" t="s">
        <v>23</v>
      </c>
      <c r="D5" s="284">
        <f>(3.7+0.85+0.85+0.75)*4 * 0 + (0.79+0.79+0.79+3.7)*4 - 0.65*1.86*3</f>
        <v>20.653000000000002</v>
      </c>
    </row>
    <row r="6" spans="1:4" x14ac:dyDescent="0.35">
      <c r="A6" s="20">
        <v>4</v>
      </c>
      <c r="B6" s="16" t="s">
        <v>760</v>
      </c>
      <c r="C6" s="16" t="s">
        <v>23</v>
      </c>
      <c r="D6" s="19">
        <f>(1.7+4.23+2.4)*4-1.1*2.1</f>
        <v>31.009999999999998</v>
      </c>
    </row>
    <row r="7" spans="1:4" x14ac:dyDescent="0.35">
      <c r="A7" s="20">
        <v>5</v>
      </c>
      <c r="B7" s="16" t="s">
        <v>762</v>
      </c>
      <c r="C7" s="16" t="s">
        <v>23</v>
      </c>
      <c r="D7" s="19">
        <f>(1.98+9.15)*4-1*2.1*2</f>
        <v>40.32</v>
      </c>
    </row>
    <row r="8" spans="1:4" x14ac:dyDescent="0.35">
      <c r="A8" s="20">
        <v>6</v>
      </c>
      <c r="B8" s="16" t="s">
        <v>759</v>
      </c>
      <c r="C8" s="16" t="s">
        <v>23</v>
      </c>
      <c r="D8" s="19">
        <f>(3.2+4.2)*4+2.7*2</f>
        <v>35</v>
      </c>
    </row>
    <row r="9" spans="1:4" x14ac:dyDescent="0.35">
      <c r="A9" s="20">
        <v>7</v>
      </c>
      <c r="B9" s="16" t="s">
        <v>761</v>
      </c>
      <c r="C9" s="16" t="s">
        <v>23</v>
      </c>
      <c r="D9" s="19">
        <f>(4.165+4.96+8.7+1.42+1.9+2.22+0.455+5.4+3.6+6.15+5.6+0.48)*4-1.2*2.1*4</f>
        <v>170.11999999999995</v>
      </c>
    </row>
    <row r="10" spans="1:4" x14ac:dyDescent="0.35">
      <c r="A10" s="20"/>
      <c r="B10" s="16" t="s">
        <v>231</v>
      </c>
      <c r="C10" s="16" t="s">
        <v>23</v>
      </c>
      <c r="D10" s="19">
        <f>SUM(D3:D9)</f>
        <v>382.10049999999995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zoomScaleNormal="100" workbookViewId="0">
      <selection activeCell="C22" sqref="C22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66" t="s">
        <v>233</v>
      </c>
      <c r="B1" s="466"/>
      <c r="C1" s="466"/>
      <c r="D1" s="466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759</v>
      </c>
      <c r="C3" s="16" t="s">
        <v>34</v>
      </c>
      <c r="D3" s="400">
        <f>0.5+0.2</f>
        <v>0.7</v>
      </c>
    </row>
    <row r="4" spans="1:4" ht="18" x14ac:dyDescent="0.3">
      <c r="A4" s="20">
        <v>2</v>
      </c>
      <c r="B4" s="16" t="s">
        <v>825</v>
      </c>
      <c r="C4" s="16" t="s">
        <v>34</v>
      </c>
      <c r="D4" s="400">
        <v>6.3</v>
      </c>
    </row>
    <row r="5" spans="1:4" ht="18" x14ac:dyDescent="0.3">
      <c r="A5" s="20">
        <v>3</v>
      </c>
      <c r="B5" s="16" t="s">
        <v>761</v>
      </c>
      <c r="C5" s="16" t="s">
        <v>34</v>
      </c>
      <c r="D5" s="400">
        <v>2.5</v>
      </c>
    </row>
    <row r="6" spans="1:4" ht="18" x14ac:dyDescent="0.3">
      <c r="A6" s="20">
        <v>4</v>
      </c>
      <c r="B6" s="16" t="s">
        <v>762</v>
      </c>
      <c r="C6" s="16" t="s">
        <v>34</v>
      </c>
      <c r="D6" s="400">
        <v>2.9</v>
      </c>
    </row>
    <row r="7" spans="1:4" ht="18" x14ac:dyDescent="0.3">
      <c r="A7" s="20">
        <v>5</v>
      </c>
      <c r="B7" s="16" t="s">
        <v>763</v>
      </c>
      <c r="C7" s="16" t="s">
        <v>34</v>
      </c>
      <c r="D7" s="400">
        <f>2+3</f>
        <v>5</v>
      </c>
    </row>
    <row r="8" spans="1:4" ht="18" x14ac:dyDescent="0.3">
      <c r="A8" s="20"/>
      <c r="B8" s="283" t="s">
        <v>231</v>
      </c>
      <c r="C8" s="16" t="s">
        <v>34</v>
      </c>
      <c r="D8" s="400">
        <f>SUM(D3:D7)</f>
        <v>17.399999999999999</v>
      </c>
    </row>
  </sheetData>
  <mergeCells count="1">
    <mergeCell ref="A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66" t="s">
        <v>233</v>
      </c>
      <c r="B1" s="466"/>
      <c r="C1" s="466"/>
      <c r="D1" s="466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(0.27*4-0.11*2)+0.6*4-0.24*2</f>
        <v>2.78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0.58*4-0.4*2+(0.15*4-0.11*2)*2</f>
        <v>2.2799999999999998</v>
      </c>
    </row>
    <row r="5" spans="1:4" ht="18" x14ac:dyDescent="0.3">
      <c r="A5" s="20"/>
      <c r="B5" s="16" t="s">
        <v>231</v>
      </c>
      <c r="C5" s="16" t="s">
        <v>34</v>
      </c>
      <c r="D5" s="19">
        <f>SUM(D3:D4)</f>
        <v>5.0599999999999996</v>
      </c>
    </row>
  </sheetData>
  <mergeCells count="1">
    <mergeCell ref="A1:D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B3" sqref="B3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90" customHeight="1" x14ac:dyDescent="0.35">
      <c r="A1" s="467" t="s">
        <v>233</v>
      </c>
      <c r="B1" s="467"/>
      <c r="C1" s="467"/>
      <c r="D1" s="46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34</v>
      </c>
      <c r="D3" s="19">
        <f>5.3*4*0.2-2.2*0.2*2.1</f>
        <v>3.3159999999999998</v>
      </c>
    </row>
    <row r="4" spans="1:4" x14ac:dyDescent="0.35">
      <c r="A4" s="20"/>
      <c r="B4" s="283" t="s">
        <v>231</v>
      </c>
      <c r="C4" s="16" t="s">
        <v>34</v>
      </c>
      <c r="D4" s="19">
        <f>D3</f>
        <v>3.3159999999999998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66" t="s">
        <v>233</v>
      </c>
      <c r="B1" s="466"/>
      <c r="C1" s="466"/>
      <c r="D1" s="466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760</v>
      </c>
      <c r="C3" s="16" t="s">
        <v>34</v>
      </c>
      <c r="D3" s="19">
        <f>2.51*4-0.688*3+(0.79-0.56)*4+0.806*4+1.654*4-0.25*2*4</f>
        <v>16.735999999999997</v>
      </c>
    </row>
    <row r="4" spans="1:4" ht="18" x14ac:dyDescent="0.3">
      <c r="A4" s="20">
        <v>2</v>
      </c>
      <c r="B4" s="16" t="s">
        <v>759</v>
      </c>
      <c r="C4" s="16" t="s">
        <v>34</v>
      </c>
      <c r="D4" s="19">
        <f>1.44*4+0.215*4+3.593*4-0.22*2</f>
        <v>20.552</v>
      </c>
    </row>
    <row r="5" spans="1:4" ht="18" x14ac:dyDescent="0.3">
      <c r="A5" s="20">
        <v>3</v>
      </c>
      <c r="B5" s="16" t="s">
        <v>761</v>
      </c>
      <c r="C5" s="16" t="s">
        <v>34</v>
      </c>
      <c r="D5" s="19">
        <f>0.951*4-0.3*2.2</f>
        <v>3.1439999999999997</v>
      </c>
    </row>
    <row r="6" spans="1:4" ht="18" x14ac:dyDescent="0.3">
      <c r="A6" s="20">
        <v>4</v>
      </c>
      <c r="B6" s="16" t="s">
        <v>762</v>
      </c>
      <c r="C6" s="16" t="s">
        <v>34</v>
      </c>
      <c r="D6" s="19">
        <f>4.832*4-0.5*2.3-0.28*2.1*2</f>
        <v>17.002000000000002</v>
      </c>
    </row>
    <row r="7" spans="1:4" ht="18" x14ac:dyDescent="0.3">
      <c r="A7" s="20">
        <v>5</v>
      </c>
      <c r="B7" s="16" t="s">
        <v>763</v>
      </c>
      <c r="C7" s="16" t="s">
        <v>34</v>
      </c>
      <c r="D7" s="19">
        <f>5.693*4-0.3*2.3*2-0.22*2*2</f>
        <v>20.512</v>
      </c>
    </row>
    <row r="8" spans="1:4" ht="18" x14ac:dyDescent="0.3">
      <c r="A8" s="20"/>
      <c r="B8" s="16" t="s">
        <v>231</v>
      </c>
      <c r="C8" s="16" t="s">
        <v>34</v>
      </c>
      <c r="D8" s="19">
        <f>SUM(D3:D7)</f>
        <v>77.945999999999998</v>
      </c>
    </row>
  </sheetData>
  <mergeCells count="1">
    <mergeCell ref="A1:D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66" t="s">
        <v>233</v>
      </c>
      <c r="B1" s="466"/>
      <c r="C1" s="466"/>
      <c r="D1" s="466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468" t="s">
        <v>302</v>
      </c>
      <c r="B8" s="469"/>
      <c r="C8" s="469"/>
      <c r="D8" s="470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F11" sqref="F1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67" t="s">
        <v>104</v>
      </c>
      <c r="B1" s="467"/>
      <c r="C1" s="467"/>
      <c r="D1" s="46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2.8" customHeight="1" x14ac:dyDescent="0.35">
      <c r="A3" s="20">
        <v>1</v>
      </c>
      <c r="B3" s="16" t="s">
        <v>760</v>
      </c>
      <c r="C3" s="16" t="s">
        <v>23</v>
      </c>
      <c r="D3" s="400">
        <f>20+24.5</f>
        <v>44.5</v>
      </c>
    </row>
    <row r="4" spans="1:4" ht="22.8" customHeight="1" x14ac:dyDescent="0.35">
      <c r="A4" s="20">
        <v>2</v>
      </c>
      <c r="B4" s="16" t="s">
        <v>759</v>
      </c>
      <c r="C4" s="16" t="s">
        <v>23</v>
      </c>
      <c r="D4" s="400">
        <v>17.8</v>
      </c>
    </row>
    <row r="5" spans="1:4" ht="22.8" customHeight="1" x14ac:dyDescent="0.35">
      <c r="A5" s="20">
        <v>2</v>
      </c>
      <c r="B5" s="16" t="s">
        <v>763</v>
      </c>
      <c r="C5" s="16" t="s">
        <v>23</v>
      </c>
      <c r="D5" s="400">
        <v>12</v>
      </c>
    </row>
    <row r="6" spans="1:4" x14ac:dyDescent="0.35">
      <c r="A6" s="20"/>
      <c r="B6" s="283" t="s">
        <v>231</v>
      </c>
      <c r="C6" s="16" t="s">
        <v>23</v>
      </c>
      <c r="D6" s="400">
        <f>SUM(D3:D5)</f>
        <v>74.3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67" t="s">
        <v>104</v>
      </c>
      <c r="B1" s="467"/>
      <c r="C1" s="467"/>
      <c r="D1" s="46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759</v>
      </c>
      <c r="C3" s="16" t="s">
        <v>23</v>
      </c>
      <c r="D3" s="19">
        <f>(2.505*2+2.225*2+1.86) * 4</f>
        <v>45.28</v>
      </c>
    </row>
    <row r="4" spans="1:4" x14ac:dyDescent="0.35">
      <c r="A4" s="20"/>
      <c r="B4" s="283" t="s">
        <v>231</v>
      </c>
      <c r="C4" s="16" t="s">
        <v>23</v>
      </c>
      <c r="D4" s="19">
        <f>SUM(D3:D3)</f>
        <v>45.28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9"/>
  <sheetViews>
    <sheetView workbookViewId="0">
      <selection activeCell="D15" sqref="D15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66" t="s">
        <v>187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2</v>
      </c>
      <c r="D3" s="16" t="s">
        <v>243</v>
      </c>
      <c r="E3" s="16">
        <v>2</v>
      </c>
      <c r="F3" s="16">
        <f>35.8+2+3.1</f>
        <v>40.9</v>
      </c>
      <c r="G3" s="16" t="s">
        <v>158</v>
      </c>
      <c r="H3" s="23">
        <f t="shared" ref="H3:H4" si="0">E3*F3/1000</f>
        <v>8.1799999999999998E-2</v>
      </c>
    </row>
    <row r="4" spans="1:8" ht="18" x14ac:dyDescent="0.3">
      <c r="A4" s="20">
        <v>2</v>
      </c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805</v>
      </c>
      <c r="E5" s="16">
        <v>1</v>
      </c>
      <c r="F5" s="16">
        <f>27+2.15+3.1</f>
        <v>32.25</v>
      </c>
      <c r="G5" s="16" t="s">
        <v>158</v>
      </c>
      <c r="H5" s="23">
        <f t="shared" ref="H5" si="1">E5*F5/1000</f>
        <v>3.2250000000000001E-2</v>
      </c>
    </row>
    <row r="6" spans="1:8" ht="18" x14ac:dyDescent="0.3">
      <c r="A6" s="20"/>
      <c r="B6" s="24"/>
      <c r="C6" s="24"/>
      <c r="D6" s="16"/>
      <c r="E6" s="16"/>
      <c r="F6" s="16"/>
      <c r="G6" s="16"/>
      <c r="H6" s="23"/>
    </row>
    <row r="7" spans="1:8" ht="18" x14ac:dyDescent="0.3">
      <c r="A7" s="20">
        <v>4</v>
      </c>
      <c r="B7" s="24">
        <v>1</v>
      </c>
      <c r="C7" s="24">
        <v>3</v>
      </c>
      <c r="D7" s="16" t="s">
        <v>243</v>
      </c>
      <c r="E7" s="16">
        <v>2</v>
      </c>
      <c r="F7" s="16">
        <f>35.8+2+3.1</f>
        <v>40.9</v>
      </c>
      <c r="G7" s="16" t="s">
        <v>158</v>
      </c>
      <c r="H7" s="23">
        <f t="shared" ref="H7:H8" si="2">E7*F7/1000</f>
        <v>8.1799999999999998E-2</v>
      </c>
    </row>
    <row r="8" spans="1:8" ht="18" x14ac:dyDescent="0.3">
      <c r="A8" s="20">
        <v>5</v>
      </c>
      <c r="B8" s="24">
        <v>1</v>
      </c>
      <c r="C8" s="24">
        <v>3</v>
      </c>
      <c r="D8" s="16" t="s">
        <v>804</v>
      </c>
      <c r="E8" s="16">
        <v>2</v>
      </c>
      <c r="F8" s="16">
        <f>24.5+2.15+3.1</f>
        <v>29.75</v>
      </c>
      <c r="G8" s="16" t="s">
        <v>158</v>
      </c>
      <c r="H8" s="23">
        <f t="shared" si="2"/>
        <v>5.9499999999999997E-2</v>
      </c>
    </row>
    <row r="9" spans="1:8" ht="18" x14ac:dyDescent="0.3">
      <c r="A9" s="20"/>
      <c r="B9" s="16"/>
      <c r="C9" s="16"/>
      <c r="D9" s="16"/>
      <c r="E9" s="16">
        <f>SUM(E3:E8)</f>
        <v>10</v>
      </c>
      <c r="F9" s="16" t="s">
        <v>231</v>
      </c>
      <c r="G9" s="16" t="s">
        <v>158</v>
      </c>
      <c r="H9" s="23">
        <f>SUM(H3:H8)</f>
        <v>0.3785</v>
      </c>
    </row>
  </sheetData>
  <mergeCells count="1"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4"/>
  <sheetViews>
    <sheetView workbookViewId="0">
      <selection activeCell="D24" sqref="D24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66" t="s">
        <v>187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/>
      <c r="B3" s="24">
        <v>1</v>
      </c>
      <c r="C3" s="24">
        <v>2</v>
      </c>
      <c r="D3" s="16" t="s">
        <v>243</v>
      </c>
      <c r="E3" s="16">
        <v>7</v>
      </c>
      <c r="F3" s="16">
        <f>35.8+2+3.1</f>
        <v>40.9</v>
      </c>
      <c r="G3" s="16" t="s">
        <v>158</v>
      </c>
      <c r="H3" s="23">
        <f t="shared" ref="H3:H8" si="0">E3*F3/1000</f>
        <v>0.2863</v>
      </c>
    </row>
    <row r="4" spans="1:8" ht="18" x14ac:dyDescent="0.3">
      <c r="A4" s="20"/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/>
      <c r="B5" s="24"/>
      <c r="C5" s="24"/>
      <c r="D5" s="16"/>
      <c r="E5" s="16"/>
      <c r="F5" s="16"/>
      <c r="G5" s="16"/>
      <c r="H5" s="23"/>
    </row>
    <row r="6" spans="1:8" ht="18" x14ac:dyDescent="0.3">
      <c r="A6" s="20"/>
      <c r="B6" s="24">
        <v>1</v>
      </c>
      <c r="C6" s="24">
        <v>3</v>
      </c>
      <c r="D6" s="16" t="s">
        <v>243</v>
      </c>
      <c r="E6" s="16">
        <v>4</v>
      </c>
      <c r="F6" s="16">
        <f>35.8+2+3.1</f>
        <v>40.9</v>
      </c>
      <c r="G6" s="16" t="s">
        <v>158</v>
      </c>
      <c r="H6" s="23">
        <f t="shared" si="0"/>
        <v>0.1636</v>
      </c>
    </row>
    <row r="7" spans="1:8" ht="18" x14ac:dyDescent="0.3">
      <c r="A7" s="20"/>
      <c r="B7" s="24">
        <v>1</v>
      </c>
      <c r="C7" s="24">
        <v>3</v>
      </c>
      <c r="D7" s="16" t="s">
        <v>245</v>
      </c>
      <c r="E7" s="16">
        <v>2</v>
      </c>
      <c r="F7" s="16">
        <f>35.8+3.1+2.15</f>
        <v>41.05</v>
      </c>
      <c r="G7" s="16" t="s">
        <v>158</v>
      </c>
      <c r="H7" s="23">
        <f t="shared" si="0"/>
        <v>8.2099999999999992E-2</v>
      </c>
    </row>
    <row r="8" spans="1:8" ht="18" x14ac:dyDescent="0.3">
      <c r="A8" s="20"/>
      <c r="B8" s="24">
        <v>1</v>
      </c>
      <c r="C8" s="24">
        <v>3</v>
      </c>
      <c r="D8" s="16" t="s">
        <v>758</v>
      </c>
      <c r="E8" s="16">
        <v>1</v>
      </c>
      <c r="F8" s="16">
        <f>32.9+1.4+0.48</f>
        <v>34.779999999999994</v>
      </c>
      <c r="G8" s="16" t="s">
        <v>158</v>
      </c>
      <c r="H8" s="23">
        <f t="shared" si="0"/>
        <v>3.4779999999999991E-2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/>
      <c r="B10" s="25">
        <v>2</v>
      </c>
      <c r="C10" s="25">
        <v>3</v>
      </c>
      <c r="D10" s="16" t="s">
        <v>272</v>
      </c>
      <c r="E10" s="16">
        <v>4</v>
      </c>
      <c r="F10" s="16">
        <f>29.99+2.1+1.05</f>
        <v>33.139999999999993</v>
      </c>
      <c r="G10" s="16" t="s">
        <v>158</v>
      </c>
      <c r="H10" s="23">
        <f>E10*F10/1000</f>
        <v>0.13255999999999998</v>
      </c>
    </row>
    <row r="11" spans="1:8" ht="18" x14ac:dyDescent="0.3">
      <c r="A11" s="20"/>
      <c r="B11" s="25"/>
      <c r="C11" s="25"/>
      <c r="D11" s="16"/>
      <c r="E11" s="16"/>
      <c r="F11" s="16"/>
      <c r="G11" s="16"/>
      <c r="H11" s="23"/>
    </row>
    <row r="12" spans="1:8" ht="18" x14ac:dyDescent="0.3">
      <c r="A12" s="20"/>
      <c r="B12" s="26">
        <v>3</v>
      </c>
      <c r="C12" s="26">
        <v>2</v>
      </c>
      <c r="D12" s="16" t="s">
        <v>239</v>
      </c>
      <c r="E12" s="16">
        <v>2</v>
      </c>
      <c r="F12" s="16">
        <f>35.4+1.7+3.1</f>
        <v>40.200000000000003</v>
      </c>
      <c r="G12" s="16" t="s">
        <v>158</v>
      </c>
      <c r="H12" s="23">
        <f t="shared" ref="H12:H13" si="1">E12*F12/1000</f>
        <v>8.0399999999999999E-2</v>
      </c>
    </row>
    <row r="13" spans="1:8" ht="18" x14ac:dyDescent="0.3">
      <c r="A13" s="20"/>
      <c r="B13" s="26">
        <v>3</v>
      </c>
      <c r="C13" s="26">
        <v>2</v>
      </c>
      <c r="D13" s="16" t="s">
        <v>240</v>
      </c>
      <c r="E13" s="16">
        <v>7</v>
      </c>
      <c r="F13" s="16">
        <f>35.4+2.15+3.1</f>
        <v>40.65</v>
      </c>
      <c r="G13" s="16" t="s">
        <v>158</v>
      </c>
      <c r="H13" s="23">
        <f t="shared" si="1"/>
        <v>0.28455000000000003</v>
      </c>
    </row>
    <row r="14" spans="1:8" ht="18" x14ac:dyDescent="0.3">
      <c r="A14" s="20"/>
      <c r="B14" s="16"/>
      <c r="C14" s="16"/>
      <c r="D14" s="16"/>
      <c r="E14" s="16">
        <f>SUM(E3:E13)</f>
        <v>30</v>
      </c>
      <c r="F14" s="16" t="s">
        <v>231</v>
      </c>
      <c r="G14" s="16" t="s">
        <v>158</v>
      </c>
      <c r="H14" s="23">
        <f>SUM(H3:H13)</f>
        <v>1.1874400000000001</v>
      </c>
    </row>
  </sheetData>
  <mergeCells count="1"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6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466" t="s">
        <v>187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3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466" t="s">
        <v>187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3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66" t="s">
        <v>187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466" t="s">
        <v>802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362">
        <v>3</v>
      </c>
      <c r="D3" s="16" t="s">
        <v>256</v>
      </c>
      <c r="E3" s="16">
        <v>1</v>
      </c>
      <c r="F3" s="16">
        <f>VLOOKUP(D3,'2.2-Пер2'!$A$2:$C$13,3)</f>
        <v>46.84</v>
      </c>
      <c r="G3" s="16" t="s">
        <v>158</v>
      </c>
      <c r="H3" s="23">
        <f t="shared" ref="H3" si="0">E3*F3/1000</f>
        <v>4.6840000000000007E-2</v>
      </c>
    </row>
    <row r="4" spans="1:8" ht="18" x14ac:dyDescent="0.3">
      <c r="A4" s="20">
        <v>1</v>
      </c>
      <c r="B4" s="24">
        <v>1</v>
      </c>
      <c r="C4" s="362">
        <v>3</v>
      </c>
      <c r="D4" s="16" t="s">
        <v>803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:H6" si="1">E4*F4/1000</f>
        <v>2.24E-2</v>
      </c>
    </row>
    <row r="5" spans="1:8" ht="18" x14ac:dyDescent="0.3">
      <c r="A5" s="20">
        <v>1</v>
      </c>
      <c r="B5" s="24">
        <v>1</v>
      </c>
      <c r="C5" s="362">
        <v>2</v>
      </c>
      <c r="D5" s="16" t="s">
        <v>263</v>
      </c>
      <c r="E5" s="16">
        <v>1</v>
      </c>
      <c r="F5" s="16">
        <f>VLOOKUP(D5,'2.2-Пер2'!$A$2:$C$13,3)</f>
        <v>56.629999999999995</v>
      </c>
      <c r="G5" s="16" t="s">
        <v>158</v>
      </c>
      <c r="H5" s="23">
        <f t="shared" si="1"/>
        <v>5.6629999999999993E-2</v>
      </c>
    </row>
    <row r="6" spans="1:8" ht="18" x14ac:dyDescent="0.3">
      <c r="A6" s="20">
        <v>1</v>
      </c>
      <c r="B6" s="24">
        <v>1</v>
      </c>
      <c r="C6" s="362">
        <v>2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 t="shared" si="1"/>
        <v>1.8690000000000002E-2</v>
      </c>
    </row>
    <row r="7" spans="1:8" ht="18" x14ac:dyDescent="0.3">
      <c r="A7" s="20"/>
      <c r="B7" s="16"/>
      <c r="C7" s="16"/>
      <c r="D7" s="16"/>
      <c r="E7" s="28">
        <f>SUM(E3:E6)</f>
        <v>4</v>
      </c>
      <c r="F7" s="16" t="s">
        <v>231</v>
      </c>
      <c r="G7" s="16" t="s">
        <v>158</v>
      </c>
      <c r="H7" s="23">
        <f>SUM(H3:H6)</f>
        <v>0.14456000000000002</v>
      </c>
    </row>
    <row r="8" spans="1:8" x14ac:dyDescent="0.3">
      <c r="A8" s="471"/>
      <c r="B8" s="471"/>
      <c r="C8" s="471"/>
      <c r="D8" s="471"/>
      <c r="E8" s="471"/>
      <c r="F8" s="471"/>
      <c r="G8" s="471"/>
      <c r="H8" s="471"/>
    </row>
    <row r="9" spans="1:8" ht="15.6" x14ac:dyDescent="0.3">
      <c r="A9" s="29" t="s">
        <v>255</v>
      </c>
      <c r="B9" s="29" t="s">
        <v>254</v>
      </c>
      <c r="C9" s="31" t="s">
        <v>268</v>
      </c>
      <c r="D9" s="31" t="s">
        <v>756</v>
      </c>
      <c r="E9" s="472"/>
      <c r="F9" s="434"/>
      <c r="G9" s="434"/>
      <c r="H9" s="434"/>
    </row>
    <row r="10" spans="1:8" ht="15.6" x14ac:dyDescent="0.3">
      <c r="A10" s="30" t="s">
        <v>256</v>
      </c>
      <c r="B10" s="29">
        <f>SUMIF($D$3:$D$6,A10,$E$3:$E$6)</f>
        <v>1</v>
      </c>
      <c r="C10" s="282">
        <v>46.84</v>
      </c>
      <c r="D10" s="282">
        <f>B10*C10</f>
        <v>46.84</v>
      </c>
      <c r="E10" s="472"/>
      <c r="F10" s="434"/>
      <c r="G10" s="434"/>
      <c r="H10" s="434"/>
    </row>
    <row r="11" spans="1:8" ht="15.6" x14ac:dyDescent="0.3">
      <c r="A11" s="30" t="s">
        <v>803</v>
      </c>
      <c r="B11" s="29">
        <f>SUMIF($D$3:$D$6,A11,$E$3:$E$6)</f>
        <v>1</v>
      </c>
      <c r="C11" s="282">
        <v>22.4</v>
      </c>
      <c r="D11" s="282">
        <f t="shared" ref="D11:D13" si="2">B11*C11</f>
        <v>22.4</v>
      </c>
      <c r="E11" s="472"/>
      <c r="F11" s="434"/>
      <c r="G11" s="434"/>
      <c r="H11" s="434"/>
    </row>
    <row r="12" spans="1:8" ht="15.6" x14ac:dyDescent="0.3">
      <c r="A12" s="30" t="s">
        <v>263</v>
      </c>
      <c r="B12" s="29">
        <f>SUMIF($D$3:$D$6,A12,$E$3:$E$6)</f>
        <v>1</v>
      </c>
      <c r="C12" s="282">
        <v>56.629999999999995</v>
      </c>
      <c r="D12" s="282">
        <f t="shared" si="2"/>
        <v>56.629999999999995</v>
      </c>
      <c r="E12" s="472"/>
      <c r="F12" s="434"/>
      <c r="G12" s="434"/>
      <c r="H12" s="434"/>
    </row>
    <row r="13" spans="1:8" ht="15.6" x14ac:dyDescent="0.3">
      <c r="A13" s="30" t="s">
        <v>265</v>
      </c>
      <c r="B13" s="29">
        <f>SUMIF($D$3:$D$6,A13,$E$3:$E$6)</f>
        <v>1</v>
      </c>
      <c r="C13" s="282">
        <v>18.690000000000001</v>
      </c>
      <c r="D13" s="282">
        <f t="shared" si="2"/>
        <v>18.690000000000001</v>
      </c>
      <c r="E13" s="472"/>
      <c r="F13" s="434"/>
      <c r="G13" s="434"/>
      <c r="H13" s="434"/>
    </row>
    <row r="14" spans="1:8" ht="15.6" x14ac:dyDescent="0.3">
      <c r="A14" s="34"/>
      <c r="B14" s="31">
        <f>SUM(B10:B13)</f>
        <v>4</v>
      </c>
      <c r="C14" s="31" t="s">
        <v>757</v>
      </c>
      <c r="D14" s="31">
        <f>SUM(D10:D13)</f>
        <v>144.56</v>
      </c>
      <c r="E14" s="472"/>
      <c r="F14" s="434"/>
      <c r="G14" s="434"/>
      <c r="H14" s="434"/>
    </row>
  </sheetData>
  <mergeCells count="3">
    <mergeCell ref="A1:H1"/>
    <mergeCell ref="A8:H8"/>
    <mergeCell ref="E9:H1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38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466" t="s">
        <v>253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260</v>
      </c>
      <c r="E3" s="16">
        <v>6</v>
      </c>
      <c r="F3" s="16">
        <f>VLOOKUP(D3,'2.2-Пер2'!$A$2:$C$13,3)</f>
        <v>8.81</v>
      </c>
      <c r="G3" s="16" t="s">
        <v>158</v>
      </c>
      <c r="H3" s="23">
        <f t="shared" ref="H3:H10" si="0">E3*F3/1000</f>
        <v>5.2859999999999997E-2</v>
      </c>
    </row>
    <row r="4" spans="1:8" ht="18" x14ac:dyDescent="0.3">
      <c r="A4" s="20"/>
      <c r="B4" s="24"/>
      <c r="C4" s="24"/>
      <c r="D4" s="16"/>
      <c r="E4" s="16"/>
      <c r="F4" s="16"/>
      <c r="G4" s="16"/>
      <c r="H4" s="23"/>
    </row>
    <row r="5" spans="1:8" ht="18" x14ac:dyDescent="0.3">
      <c r="A5" s="20">
        <v>2</v>
      </c>
      <c r="B5" s="24">
        <v>1</v>
      </c>
      <c r="C5" s="24">
        <v>2</v>
      </c>
      <c r="D5" s="16" t="s">
        <v>264</v>
      </c>
      <c r="E5" s="16">
        <v>3</v>
      </c>
      <c r="F5" s="16">
        <f>VLOOKUP(D5,'2.2-Пер2'!$A$2:$C$13,3)</f>
        <v>22.4</v>
      </c>
      <c r="G5" s="16" t="s">
        <v>158</v>
      </c>
      <c r="H5" s="23">
        <f t="shared" si="0"/>
        <v>6.7199999999999982E-2</v>
      </c>
    </row>
    <row r="6" spans="1:8" ht="18" x14ac:dyDescent="0.3">
      <c r="A6" s="20">
        <v>3</v>
      </c>
      <c r="B6" s="24">
        <v>1</v>
      </c>
      <c r="C6" s="24">
        <v>2</v>
      </c>
      <c r="D6" s="16" t="s">
        <v>257</v>
      </c>
      <c r="E6" s="16">
        <v>2</v>
      </c>
      <c r="F6" s="16">
        <f>VLOOKUP(D6,'2.2-Пер2'!$A$2:$C$13,3)</f>
        <v>21.307692307692303</v>
      </c>
      <c r="G6" s="16" t="s">
        <v>158</v>
      </c>
      <c r="H6" s="23">
        <f t="shared" si="0"/>
        <v>4.2615384615384604E-2</v>
      </c>
    </row>
    <row r="7" spans="1:8" ht="18" x14ac:dyDescent="0.3">
      <c r="A7" s="20">
        <v>4</v>
      </c>
      <c r="B7" s="24">
        <v>1</v>
      </c>
      <c r="C7" s="24">
        <v>2</v>
      </c>
      <c r="D7" s="16" t="s">
        <v>263</v>
      </c>
      <c r="E7" s="16">
        <v>2</v>
      </c>
      <c r="F7" s="16">
        <f>VLOOKUP(D7,'2.2-Пер2'!$A$2:$C$13,3)</f>
        <v>56.629999999999995</v>
      </c>
      <c r="G7" s="16" t="s">
        <v>158</v>
      </c>
      <c r="H7" s="23">
        <f t="shared" si="0"/>
        <v>0.11325999999999999</v>
      </c>
    </row>
    <row r="8" spans="1:8" ht="18" x14ac:dyDescent="0.3">
      <c r="A8" s="20">
        <v>5</v>
      </c>
      <c r="B8" s="24">
        <v>1</v>
      </c>
      <c r="C8" s="24">
        <v>2</v>
      </c>
      <c r="D8" s="16" t="s">
        <v>265</v>
      </c>
      <c r="E8" s="16">
        <v>1</v>
      </c>
      <c r="F8" s="16">
        <f>VLOOKUP(D8,'2.2-Пер2'!$A$2:$C$13,3)</f>
        <v>18.690000000000001</v>
      </c>
      <c r="G8" s="16" t="s">
        <v>158</v>
      </c>
      <c r="H8" s="23">
        <f t="shared" si="0"/>
        <v>1.8690000000000002E-2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6</v>
      </c>
      <c r="B10" s="24">
        <v>1</v>
      </c>
      <c r="C10" s="24">
        <v>3</v>
      </c>
      <c r="D10" s="16" t="s">
        <v>258</v>
      </c>
      <c r="E10" s="16">
        <v>1</v>
      </c>
      <c r="F10" s="16">
        <f>VLOOKUP(D10,'2.2-Пер2'!$A$2:$C$13,3)</f>
        <v>12.170909090909092</v>
      </c>
      <c r="G10" s="16" t="s">
        <v>158</v>
      </c>
      <c r="H10" s="23">
        <f t="shared" si="0"/>
        <v>1.2170909090909092E-2</v>
      </c>
    </row>
    <row r="11" spans="1:8" ht="18" x14ac:dyDescent="0.3">
      <c r="A11" s="20">
        <v>7</v>
      </c>
      <c r="B11" s="24">
        <v>1</v>
      </c>
      <c r="C11" s="24">
        <v>3</v>
      </c>
      <c r="D11" s="16" t="s">
        <v>257</v>
      </c>
      <c r="E11" s="16">
        <v>1</v>
      </c>
      <c r="F11" s="16">
        <f>VLOOKUP(D11,'2.2-Пер2'!$A$2:$C$13,3)</f>
        <v>21.307692307692303</v>
      </c>
      <c r="G11" s="16" t="s">
        <v>158</v>
      </c>
      <c r="H11" s="23">
        <f t="shared" ref="H11" si="1">E11*F11/1000</f>
        <v>2.1307692307692302E-2</v>
      </c>
    </row>
    <row r="12" spans="1:8" ht="18" x14ac:dyDescent="0.3">
      <c r="A12" s="20">
        <v>8</v>
      </c>
      <c r="B12" s="25">
        <v>2</v>
      </c>
      <c r="C12" s="25">
        <v>1</v>
      </c>
      <c r="D12" s="16" t="s">
        <v>260</v>
      </c>
      <c r="E12" s="16">
        <v>6</v>
      </c>
      <c r="F12" s="16">
        <f>VLOOKUP(D12,'2.2-Пер2'!$A$2:$C$13,3)</f>
        <v>8.81</v>
      </c>
      <c r="G12" s="16" t="s">
        <v>158</v>
      </c>
      <c r="H12" s="23">
        <f>E12*F12/1000</f>
        <v>5.2859999999999997E-2</v>
      </c>
    </row>
    <row r="13" spans="1:8" ht="18" x14ac:dyDescent="0.3">
      <c r="A13" s="20"/>
      <c r="B13" s="25"/>
      <c r="C13" s="25"/>
      <c r="D13" s="16"/>
      <c r="E13" s="16"/>
      <c r="F13" s="16"/>
      <c r="G13" s="16"/>
      <c r="H13" s="23"/>
    </row>
    <row r="14" spans="1:8" ht="18" x14ac:dyDescent="0.3">
      <c r="A14" s="20">
        <v>9</v>
      </c>
      <c r="B14" s="25">
        <v>2</v>
      </c>
      <c r="C14" s="25">
        <v>3</v>
      </c>
      <c r="D14" s="16" t="s">
        <v>259</v>
      </c>
      <c r="E14" s="16">
        <v>3</v>
      </c>
      <c r="F14" s="16">
        <f>VLOOKUP(D14,'2.2-Пер2'!$A$2:$C$13,3)</f>
        <v>6.93</v>
      </c>
      <c r="G14" s="16" t="s">
        <v>158</v>
      </c>
      <c r="H14" s="23">
        <f>E14*F14/1000</f>
        <v>2.0789999999999999E-2</v>
      </c>
    </row>
    <row r="15" spans="1:8" ht="18" x14ac:dyDescent="0.3">
      <c r="A15" s="20">
        <v>10</v>
      </c>
      <c r="B15" s="25">
        <v>2</v>
      </c>
      <c r="C15" s="25">
        <v>3</v>
      </c>
      <c r="D15" s="16" t="s">
        <v>260</v>
      </c>
      <c r="E15" s="16">
        <v>1</v>
      </c>
      <c r="F15" s="16">
        <f>VLOOKUP(D15,'2.2-Пер2'!$A$2:$C$13,3)</f>
        <v>8.81</v>
      </c>
      <c r="G15" s="16" t="s">
        <v>158</v>
      </c>
      <c r="H15" s="23">
        <f t="shared" ref="H15:H23" si="2">E15*F15/1000</f>
        <v>8.8100000000000001E-3</v>
      </c>
    </row>
    <row r="16" spans="1:8" ht="18" x14ac:dyDescent="0.3">
      <c r="A16" s="20">
        <v>11</v>
      </c>
      <c r="B16" s="25">
        <v>2</v>
      </c>
      <c r="C16" s="25">
        <v>3</v>
      </c>
      <c r="D16" s="16" t="s">
        <v>262</v>
      </c>
      <c r="E16" s="16">
        <v>2</v>
      </c>
      <c r="F16" s="16">
        <f>VLOOKUP(D16,'2.2-Пер2'!$A$2:$C$13,3)</f>
        <v>5.8500000000000005</v>
      </c>
      <c r="G16" s="16" t="s">
        <v>158</v>
      </c>
      <c r="H16" s="23">
        <f>E16*F16/1000</f>
        <v>1.17E-2</v>
      </c>
    </row>
    <row r="17" spans="1:8" ht="18" x14ac:dyDescent="0.3">
      <c r="A17" s="20"/>
      <c r="B17" s="25"/>
      <c r="C17" s="25"/>
      <c r="D17" s="16"/>
      <c r="E17" s="16"/>
      <c r="F17" s="16"/>
      <c r="G17" s="16"/>
      <c r="H17" s="23"/>
    </row>
    <row r="18" spans="1:8" ht="18" x14ac:dyDescent="0.3">
      <c r="A18" s="20">
        <v>12</v>
      </c>
      <c r="B18" s="26">
        <v>3</v>
      </c>
      <c r="C18" s="26">
        <v>1</v>
      </c>
      <c r="D18" s="16" t="s">
        <v>260</v>
      </c>
      <c r="E18" s="16">
        <v>3</v>
      </c>
      <c r="F18" s="16">
        <f>VLOOKUP(D18,'2.2-Пер2'!$A$2:$C$13,3)</f>
        <v>8.81</v>
      </c>
      <c r="G18" s="16" t="s">
        <v>158</v>
      </c>
      <c r="H18" s="23">
        <f>E18*F18/1000</f>
        <v>2.6429999999999999E-2</v>
      </c>
    </row>
    <row r="19" spans="1:8" ht="18" x14ac:dyDescent="0.3">
      <c r="A19" s="20"/>
      <c r="B19" s="26"/>
      <c r="C19" s="26"/>
      <c r="D19" s="16"/>
      <c r="E19" s="16"/>
      <c r="F19" s="16"/>
      <c r="G19" s="16"/>
      <c r="H19" s="23"/>
    </row>
    <row r="20" spans="1:8" ht="18" x14ac:dyDescent="0.3">
      <c r="A20" s="20">
        <v>13</v>
      </c>
      <c r="B20" s="26">
        <v>3</v>
      </c>
      <c r="C20" s="26">
        <v>2</v>
      </c>
      <c r="D20" s="16" t="s">
        <v>260</v>
      </c>
      <c r="E20" s="16">
        <v>2</v>
      </c>
      <c r="F20" s="16">
        <f>VLOOKUP(D20,'2.2-Пер2'!$A$2:$C$13,3)</f>
        <v>8.81</v>
      </c>
      <c r="G20" s="16" t="s">
        <v>158</v>
      </c>
      <c r="H20" s="23">
        <f t="shared" si="2"/>
        <v>1.762E-2</v>
      </c>
    </row>
    <row r="21" spans="1:8" ht="18" x14ac:dyDescent="0.3">
      <c r="A21" s="20">
        <v>14</v>
      </c>
      <c r="B21" s="26">
        <v>3</v>
      </c>
      <c r="C21" s="26">
        <v>2</v>
      </c>
      <c r="D21" s="16" t="s">
        <v>256</v>
      </c>
      <c r="E21" s="16">
        <v>2</v>
      </c>
      <c r="F21" s="16">
        <f>VLOOKUP(D21,'2.2-Пер2'!$A$2:$C$13,3)</f>
        <v>46.84</v>
      </c>
      <c r="G21" s="16" t="s">
        <v>158</v>
      </c>
      <c r="H21" s="23">
        <f t="shared" si="2"/>
        <v>9.3680000000000013E-2</v>
      </c>
    </row>
    <row r="22" spans="1:8" ht="18" x14ac:dyDescent="0.3">
      <c r="A22" s="20">
        <v>15</v>
      </c>
      <c r="B22" s="26">
        <v>3</v>
      </c>
      <c r="C22" s="26">
        <v>2</v>
      </c>
      <c r="D22" s="16" t="s">
        <v>264</v>
      </c>
      <c r="E22" s="16">
        <v>1</v>
      </c>
      <c r="F22" s="16">
        <f>VLOOKUP(D22,'2.2-Пер2'!$A$2:$C$13,3)</f>
        <v>22.4</v>
      </c>
      <c r="G22" s="16" t="s">
        <v>158</v>
      </c>
      <c r="H22" s="23">
        <f t="shared" si="2"/>
        <v>2.24E-2</v>
      </c>
    </row>
    <row r="23" spans="1:8" ht="18" x14ac:dyDescent="0.3">
      <c r="A23" s="20">
        <v>16</v>
      </c>
      <c r="B23" s="26">
        <v>3</v>
      </c>
      <c r="C23" s="26">
        <v>2</v>
      </c>
      <c r="D23" s="16" t="s">
        <v>755</v>
      </c>
      <c r="E23" s="16">
        <v>1</v>
      </c>
      <c r="F23" s="16">
        <v>21.47</v>
      </c>
      <c r="G23" s="16" t="s">
        <v>158</v>
      </c>
      <c r="H23" s="23">
        <f t="shared" si="2"/>
        <v>2.147E-2</v>
      </c>
    </row>
    <row r="24" spans="1:8" ht="18" x14ac:dyDescent="0.3">
      <c r="A24" s="20">
        <v>17</v>
      </c>
      <c r="B24" s="26">
        <v>3</v>
      </c>
      <c r="C24" s="26">
        <v>3</v>
      </c>
      <c r="D24" s="16" t="s">
        <v>265</v>
      </c>
      <c r="E24" s="16">
        <v>2</v>
      </c>
      <c r="F24" s="16">
        <f>VLOOKUP(D24,'2.2-Пер2'!$A$2:$C$13,3)</f>
        <v>18.690000000000001</v>
      </c>
      <c r="G24" s="16" t="s">
        <v>158</v>
      </c>
      <c r="H24" s="23">
        <f t="shared" ref="H24" si="3">E24*F24/1000</f>
        <v>3.7380000000000004E-2</v>
      </c>
    </row>
    <row r="25" spans="1:8" ht="18" x14ac:dyDescent="0.3">
      <c r="A25" s="20"/>
      <c r="B25" s="16"/>
      <c r="C25" s="16"/>
      <c r="D25" s="16"/>
      <c r="E25" s="28">
        <f>SUM(E3:E24)</f>
        <v>39</v>
      </c>
      <c r="F25" s="16" t="s">
        <v>231</v>
      </c>
      <c r="G25" s="16" t="s">
        <v>158</v>
      </c>
      <c r="H25" s="23">
        <f>SUM(H3:H24)</f>
        <v>0.64124398601398591</v>
      </c>
    </row>
    <row r="26" spans="1:8" x14ac:dyDescent="0.3">
      <c r="A26" s="471"/>
      <c r="B26" s="471"/>
      <c r="C26" s="471"/>
      <c r="D26" s="471"/>
      <c r="E26" s="471"/>
      <c r="F26" s="471"/>
      <c r="G26" s="471"/>
      <c r="H26" s="471"/>
    </row>
    <row r="27" spans="1:8" ht="15.6" x14ac:dyDescent="0.3">
      <c r="A27" s="29" t="s">
        <v>255</v>
      </c>
      <c r="B27" s="29" t="s">
        <v>254</v>
      </c>
      <c r="C27" s="31" t="s">
        <v>268</v>
      </c>
      <c r="D27" s="31" t="s">
        <v>756</v>
      </c>
      <c r="E27" s="472"/>
      <c r="F27" s="434"/>
      <c r="G27" s="434"/>
      <c r="H27" s="434"/>
    </row>
    <row r="28" spans="1:8" ht="15.6" x14ac:dyDescent="0.3">
      <c r="A28" s="30" t="s">
        <v>256</v>
      </c>
      <c r="B28" s="29">
        <f>SUMIF($D$3:$D$24,A28,$E$3:$E$24)</f>
        <v>2</v>
      </c>
      <c r="C28" s="282">
        <v>46.84</v>
      </c>
      <c r="D28" s="282">
        <f>B28*C28</f>
        <v>93.68</v>
      </c>
      <c r="E28" s="472"/>
      <c r="F28" s="434"/>
      <c r="G28" s="434"/>
      <c r="H28" s="434"/>
    </row>
    <row r="29" spans="1:8" ht="15.6" x14ac:dyDescent="0.3">
      <c r="A29" s="30" t="s">
        <v>264</v>
      </c>
      <c r="B29" s="29">
        <f t="shared" ref="B29:B37" si="4">SUMIF($D$3:$D$24,A29,$E$3:$E$24)</f>
        <v>4</v>
      </c>
      <c r="C29" s="282">
        <v>22.4</v>
      </c>
      <c r="D29" s="282">
        <f t="shared" ref="D29:D37" si="5">B29*C29</f>
        <v>89.6</v>
      </c>
      <c r="E29" s="472"/>
      <c r="F29" s="434"/>
      <c r="G29" s="434"/>
      <c r="H29" s="434"/>
    </row>
    <row r="30" spans="1:8" ht="15.6" x14ac:dyDescent="0.3">
      <c r="A30" s="30" t="s">
        <v>257</v>
      </c>
      <c r="B30" s="29">
        <f t="shared" si="4"/>
        <v>3</v>
      </c>
      <c r="C30" s="282">
        <v>21.307692307692303</v>
      </c>
      <c r="D30" s="282">
        <f t="shared" si="5"/>
        <v>63.923076923076906</v>
      </c>
      <c r="E30" s="472"/>
      <c r="F30" s="434"/>
      <c r="G30" s="434"/>
      <c r="H30" s="434"/>
    </row>
    <row r="31" spans="1:8" ht="15.6" x14ac:dyDescent="0.3">
      <c r="A31" s="30" t="s">
        <v>263</v>
      </c>
      <c r="B31" s="29">
        <f t="shared" si="4"/>
        <v>2</v>
      </c>
      <c r="C31" s="282">
        <v>56.629999999999995</v>
      </c>
      <c r="D31" s="282">
        <f t="shared" si="5"/>
        <v>113.25999999999999</v>
      </c>
      <c r="E31" s="472"/>
      <c r="F31" s="434"/>
      <c r="G31" s="434"/>
      <c r="H31" s="434"/>
    </row>
    <row r="32" spans="1:8" ht="15.6" x14ac:dyDescent="0.3">
      <c r="A32" s="30" t="s">
        <v>265</v>
      </c>
      <c r="B32" s="29">
        <f t="shared" si="4"/>
        <v>3</v>
      </c>
      <c r="C32" s="282">
        <v>18.690000000000001</v>
      </c>
      <c r="D32" s="282">
        <f t="shared" si="5"/>
        <v>56.070000000000007</v>
      </c>
      <c r="E32" s="472"/>
      <c r="F32" s="434"/>
      <c r="G32" s="434"/>
      <c r="H32" s="434"/>
    </row>
    <row r="33" spans="1:8" ht="15.6" x14ac:dyDescent="0.3">
      <c r="A33" s="30" t="s">
        <v>755</v>
      </c>
      <c r="B33" s="29">
        <f t="shared" si="4"/>
        <v>1</v>
      </c>
      <c r="C33" s="282">
        <f>18.69+1.7*2-0.31*2</f>
        <v>21.47</v>
      </c>
      <c r="D33" s="282">
        <f t="shared" ref="D33" si="6">B33*C33</f>
        <v>21.47</v>
      </c>
      <c r="E33" s="472"/>
      <c r="F33" s="434"/>
      <c r="G33" s="434"/>
      <c r="H33" s="434"/>
    </row>
    <row r="34" spans="1:8" ht="15.6" x14ac:dyDescent="0.3">
      <c r="A34" s="30" t="s">
        <v>258</v>
      </c>
      <c r="B34" s="29">
        <f t="shared" si="4"/>
        <v>1</v>
      </c>
      <c r="C34" s="282">
        <v>12.170909090909092</v>
      </c>
      <c r="D34" s="282">
        <f t="shared" si="5"/>
        <v>12.170909090909092</v>
      </c>
      <c r="E34" s="472"/>
      <c r="F34" s="434"/>
      <c r="G34" s="434"/>
      <c r="H34" s="434"/>
    </row>
    <row r="35" spans="1:8" ht="15.6" x14ac:dyDescent="0.3">
      <c r="A35" s="30" t="s">
        <v>259</v>
      </c>
      <c r="B35" s="29">
        <f t="shared" si="4"/>
        <v>3</v>
      </c>
      <c r="C35" s="282">
        <v>6.93</v>
      </c>
      <c r="D35" s="282">
        <f t="shared" si="5"/>
        <v>20.79</v>
      </c>
      <c r="E35" s="472"/>
      <c r="F35" s="434"/>
      <c r="G35" s="434"/>
      <c r="H35" s="434"/>
    </row>
    <row r="36" spans="1:8" ht="15.6" x14ac:dyDescent="0.3">
      <c r="A36" s="30" t="s">
        <v>260</v>
      </c>
      <c r="B36" s="29">
        <f t="shared" si="4"/>
        <v>18</v>
      </c>
      <c r="C36" s="282">
        <v>8.81</v>
      </c>
      <c r="D36" s="282">
        <f t="shared" si="5"/>
        <v>158.58000000000001</v>
      </c>
      <c r="E36" s="472"/>
      <c r="F36" s="434"/>
      <c r="G36" s="434"/>
      <c r="H36" s="434"/>
    </row>
    <row r="37" spans="1:8" ht="15.6" x14ac:dyDescent="0.3">
      <c r="A37" s="30" t="s">
        <v>262</v>
      </c>
      <c r="B37" s="29">
        <f t="shared" si="4"/>
        <v>2</v>
      </c>
      <c r="C37" s="282">
        <v>5.8500000000000005</v>
      </c>
      <c r="D37" s="282">
        <f t="shared" si="5"/>
        <v>11.700000000000001</v>
      </c>
      <c r="E37" s="472"/>
      <c r="F37" s="434"/>
      <c r="G37" s="434"/>
      <c r="H37" s="434"/>
    </row>
    <row r="38" spans="1:8" ht="15.6" x14ac:dyDescent="0.3">
      <c r="A38" s="34"/>
      <c r="B38" s="31">
        <f>SUM(B28:B37)</f>
        <v>39</v>
      </c>
      <c r="C38" s="31" t="s">
        <v>757</v>
      </c>
      <c r="D38" s="31">
        <f>SUM(D28:D37)</f>
        <v>641.24398601398605</v>
      </c>
      <c r="E38" s="472"/>
      <c r="F38" s="434"/>
      <c r="G38" s="434"/>
      <c r="H38" s="434"/>
    </row>
  </sheetData>
  <mergeCells count="3">
    <mergeCell ref="A1:H1"/>
    <mergeCell ref="A26:H26"/>
    <mergeCell ref="E27:H38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65" t="s">
        <v>232</v>
      </c>
      <c r="B1" s="465"/>
      <c r="C1" s="465"/>
      <c r="D1" s="465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66" t="s">
        <v>233</v>
      </c>
      <c r="B1" s="466"/>
      <c r="C1" s="466"/>
      <c r="D1" s="466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65" t="s">
        <v>232</v>
      </c>
      <c r="B1" s="465"/>
      <c r="C1" s="465"/>
      <c r="D1" s="465"/>
    </row>
    <row r="2" spans="1:4" ht="42" customHeight="1" x14ac:dyDescent="0.35">
      <c r="A2" s="473" t="s">
        <v>301</v>
      </c>
      <c r="B2" s="473"/>
      <c r="C2" s="473"/>
      <c r="D2" s="473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468" t="s">
        <v>302</v>
      </c>
      <c r="B9" s="469"/>
      <c r="C9" s="469"/>
      <c r="D9" s="470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2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66" t="s">
        <v>274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4"/>
  <sheetViews>
    <sheetView workbookViewId="0">
      <selection sqref="A1:H1"/>
    </sheetView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H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474" t="s">
        <v>187</v>
      </c>
      <c r="B1" s="475"/>
      <c r="C1" s="475"/>
      <c r="D1" s="475"/>
      <c r="E1" s="475"/>
      <c r="F1" s="475"/>
      <c r="G1" s="475"/>
      <c r="H1" s="476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66" t="s">
        <v>253</v>
      </c>
      <c r="B1" s="466"/>
      <c r="C1" s="466"/>
      <c r="D1" s="466"/>
      <c r="E1" s="466"/>
      <c r="F1" s="466"/>
      <c r="G1" s="466"/>
      <c r="H1" s="466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zoomScale="70" zoomScaleNormal="70" workbookViewId="0"/>
  </sheetViews>
  <sheetFormatPr defaultRowHeight="14.4" x14ac:dyDescent="0.3"/>
  <cols>
    <col min="1" max="1" width="15.5546875" style="167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8" t="s">
        <v>728</v>
      </c>
      <c r="B1" s="164" t="s">
        <v>729</v>
      </c>
      <c r="C1" s="162" t="s">
        <v>228</v>
      </c>
      <c r="D1" s="163" t="s">
        <v>14</v>
      </c>
      <c r="E1" s="166" t="s">
        <v>730</v>
      </c>
    </row>
    <row r="2" spans="1:5" ht="126" x14ac:dyDescent="0.3">
      <c r="A2" s="168">
        <v>1</v>
      </c>
      <c r="B2" s="274" t="s">
        <v>313</v>
      </c>
      <c r="C2" s="162" t="s">
        <v>314</v>
      </c>
      <c r="D2" s="163" t="s">
        <v>128</v>
      </c>
      <c r="E2" s="166">
        <v>742.98</v>
      </c>
    </row>
    <row r="3" spans="1:5" ht="72" x14ac:dyDescent="0.3">
      <c r="A3" s="168">
        <v>2</v>
      </c>
      <c r="B3" s="275" t="s">
        <v>406</v>
      </c>
      <c r="C3" s="7" t="s">
        <v>726</v>
      </c>
      <c r="D3" s="9" t="s">
        <v>23</v>
      </c>
      <c r="E3" s="165">
        <f>'3.1.1'!I3+'3.1.1'!I7+'3.1.1'!I8</f>
        <v>346.8</v>
      </c>
    </row>
    <row r="4" spans="1:5" ht="72" x14ac:dyDescent="0.3">
      <c r="A4" s="168">
        <v>3</v>
      </c>
      <c r="B4" s="274" t="s">
        <v>406</v>
      </c>
      <c r="C4" s="162" t="s">
        <v>414</v>
      </c>
      <c r="D4" s="163" t="s">
        <v>23</v>
      </c>
      <c r="E4" s="166">
        <f>'3.1.1'!I4+SUM('3.1.1'!I10:I16)</f>
        <v>446.9</v>
      </c>
    </row>
    <row r="5" spans="1:5" ht="54" x14ac:dyDescent="0.3">
      <c r="A5" s="168">
        <v>4</v>
      </c>
      <c r="B5" s="274" t="s">
        <v>453</v>
      </c>
      <c r="C5" s="162" t="s">
        <v>454</v>
      </c>
      <c r="D5" s="163" t="s">
        <v>23</v>
      </c>
      <c r="E5" s="166">
        <f>'3.1.1'!I6+'3.1.1'!I9</f>
        <v>3098.9</v>
      </c>
    </row>
    <row r="6" spans="1:5" ht="54" x14ac:dyDescent="0.3">
      <c r="A6" s="168">
        <v>5</v>
      </c>
      <c r="B6" s="275" t="s">
        <v>453</v>
      </c>
      <c r="C6" s="7" t="s">
        <v>459</v>
      </c>
      <c r="D6" s="9" t="s">
        <v>23</v>
      </c>
      <c r="E6" s="165">
        <f>'3.1.1'!I5</f>
        <v>1231.0999999999999</v>
      </c>
    </row>
    <row r="7" spans="1:5" ht="18" x14ac:dyDescent="0.3">
      <c r="D7" s="10" t="s">
        <v>727</v>
      </c>
      <c r="E7" s="165">
        <f>SUM(E3:E6)</f>
        <v>5123.7000000000007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selection activeCell="M40" sqref="M40"/>
    </sheetView>
  </sheetViews>
  <sheetFormatPr defaultRowHeight="13.2" x14ac:dyDescent="0.25"/>
  <cols>
    <col min="1" max="1" width="9.109375" style="188" customWidth="1"/>
    <col min="2" max="9" width="8.88671875" style="188"/>
    <col min="10" max="16384" width="8.88671875" style="189"/>
  </cols>
  <sheetData>
    <row r="1" spans="1:9" s="213" customFormat="1" x14ac:dyDescent="0.25">
      <c r="A1" s="209" t="s">
        <v>252</v>
      </c>
      <c r="B1" s="210">
        <v>1</v>
      </c>
      <c r="C1" s="210">
        <v>1</v>
      </c>
      <c r="D1" s="210">
        <v>2</v>
      </c>
      <c r="E1" s="210">
        <v>2</v>
      </c>
      <c r="F1" s="210">
        <v>3</v>
      </c>
      <c r="G1" s="210">
        <v>3</v>
      </c>
      <c r="H1" s="211">
        <v>4</v>
      </c>
      <c r="I1" s="212"/>
    </row>
    <row r="2" spans="1:9" s="213" customFormat="1" ht="13.8" thickBot="1" x14ac:dyDescent="0.3">
      <c r="A2" s="214" t="s">
        <v>251</v>
      </c>
      <c r="B2" s="215" t="s">
        <v>732</v>
      </c>
      <c r="C2" s="215" t="s">
        <v>733</v>
      </c>
      <c r="D2" s="215" t="s">
        <v>741</v>
      </c>
      <c r="E2" s="215" t="s">
        <v>740</v>
      </c>
      <c r="F2" s="215" t="s">
        <v>742</v>
      </c>
      <c r="G2" s="215" t="s">
        <v>743</v>
      </c>
      <c r="H2" s="216" t="s">
        <v>744</v>
      </c>
      <c r="I2" s="217" t="s">
        <v>231</v>
      </c>
    </row>
    <row r="3" spans="1:9" x14ac:dyDescent="0.25">
      <c r="A3" s="203" t="s">
        <v>651</v>
      </c>
      <c r="B3" s="204">
        <f>SUMIF(Таблица4[Марка],A3,Таблица4[Площадь])</f>
        <v>15</v>
      </c>
      <c r="C3" s="204">
        <f>SUMIF(Таблица46[Марка],A3,Таблица46[Площадь])</f>
        <v>19.799999999999997</v>
      </c>
      <c r="D3" s="204">
        <f>SUMIF(Таблица467[Марка],A3,Таблица467[Площадь])</f>
        <v>14.9</v>
      </c>
      <c r="E3" s="204">
        <f>SUMIF(Таблица4678[Марка],A3,Таблица4678[Площадь])</f>
        <v>10.7</v>
      </c>
      <c r="F3" s="204">
        <f>SUMIF(Таблица46789[Марка],A3,Таблица46789[Площадь])</f>
        <v>14.9</v>
      </c>
      <c r="G3" s="204">
        <f>SUMIF(Таблица4678910[Марка],A3,Таблица4678910[Площадь])</f>
        <v>0</v>
      </c>
      <c r="H3" s="205">
        <f>SUMIF(Таблица467891011[Марка],A3,Таблица467891011[Площадь])</f>
        <v>11.7</v>
      </c>
      <c r="I3" s="218">
        <f t="shared" ref="I3:I16" si="0">SUM(B3:H3)</f>
        <v>87</v>
      </c>
    </row>
    <row r="4" spans="1:9" x14ac:dyDescent="0.25">
      <c r="A4" s="206" t="s">
        <v>644</v>
      </c>
      <c r="B4" s="207">
        <f>SUMIF(Таблица4[Марка],A4,Таблица4[Площадь])</f>
        <v>6.1</v>
      </c>
      <c r="C4" s="207">
        <f>SUMIF(Таблица46[Марка],A4,Таблица46[Площадь])</f>
        <v>0</v>
      </c>
      <c r="D4" s="207">
        <f>SUMIF(Таблица467[Марка],A4,Таблица467[Площадь])</f>
        <v>6.1</v>
      </c>
      <c r="E4" s="207">
        <f>SUMIF(Таблица4678[Марка],A4,Таблица4678[Площадь])</f>
        <v>0</v>
      </c>
      <c r="F4" s="207">
        <f>SUMIF(Таблица46789[Марка],A4,Таблица46789[Площадь])</f>
        <v>0</v>
      </c>
      <c r="G4" s="207">
        <f>SUMIF(Таблица4678910[Марка],A4,Таблица4678910[Площадь])</f>
        <v>0</v>
      </c>
      <c r="H4" s="208">
        <f>SUMIF(Таблица467891011[Марка],A4,Таблица467891011[Площадь])</f>
        <v>0</v>
      </c>
      <c r="I4" s="218">
        <f t="shared" si="0"/>
        <v>12.2</v>
      </c>
    </row>
    <row r="5" spans="1:9" x14ac:dyDescent="0.25">
      <c r="A5" s="206" t="s">
        <v>640</v>
      </c>
      <c r="B5" s="207">
        <f>SUMIF(Таблица4[Марка],A5,Таблица4[Площадь])</f>
        <v>261.3</v>
      </c>
      <c r="C5" s="207">
        <f>SUMIF(Таблица46[Марка],A5,Таблица46[Площадь])</f>
        <v>0</v>
      </c>
      <c r="D5" s="207">
        <f>SUMIF(Таблица467[Марка],A5,Таблица467[Площадь])</f>
        <v>352.5</v>
      </c>
      <c r="E5" s="207">
        <f>SUMIF(Таблица4678[Марка],A5,Таблица4678[Площадь])</f>
        <v>93.2</v>
      </c>
      <c r="F5" s="207">
        <f>SUMIF(Таблица46789[Марка],A5,Таблица46789[Площадь])</f>
        <v>143.19999999999999</v>
      </c>
      <c r="G5" s="207">
        <f>SUMIF(Таблица4678910[Марка],A5,Таблица4678910[Площадь])</f>
        <v>155.80000000000001</v>
      </c>
      <c r="H5" s="208">
        <f>SUMIF(Таблица467891011[Марка],A5,Таблица467891011[Площадь])</f>
        <v>225.10000000000002</v>
      </c>
      <c r="I5" s="218">
        <f t="shared" si="0"/>
        <v>1231.0999999999999</v>
      </c>
    </row>
    <row r="6" spans="1:9" x14ac:dyDescent="0.25">
      <c r="A6" s="206" t="s">
        <v>638</v>
      </c>
      <c r="B6" s="207">
        <f>SUMIF(Таблица4[Марка],A6,Таблица4[Площадь])</f>
        <v>622.40000000000009</v>
      </c>
      <c r="C6" s="207">
        <f>SUMIF(Таблица46[Марка],A6,Таблица46[Площадь])</f>
        <v>10.6</v>
      </c>
      <c r="D6" s="207">
        <f>SUMIF(Таблица467[Марка],A6,Таблица467[Площадь])</f>
        <v>554.79999999999995</v>
      </c>
      <c r="E6" s="207">
        <f>SUMIF(Таблица4678[Марка],A6,Таблица4678[Площадь])</f>
        <v>483.4</v>
      </c>
      <c r="F6" s="207">
        <f>SUMIF(Таблица46789[Марка],A6,Таблица46789[Площадь])</f>
        <v>92.8</v>
      </c>
      <c r="G6" s="207">
        <f>SUMIF(Таблица4678910[Марка],A6,Таблица4678910[Площадь])</f>
        <v>344</v>
      </c>
      <c r="H6" s="208">
        <f>SUMIF(Таблица467891011[Марка],A6,Таблица467891011[Площадь])</f>
        <v>152.30000000000001</v>
      </c>
      <c r="I6" s="218">
        <f t="shared" si="0"/>
        <v>2260.3000000000002</v>
      </c>
    </row>
    <row r="7" spans="1:9" x14ac:dyDescent="0.25">
      <c r="A7" s="206" t="s">
        <v>642</v>
      </c>
      <c r="B7" s="207">
        <f>SUMIF(Таблица4[Марка],A7,Таблица4[Площадь])</f>
        <v>55.6</v>
      </c>
      <c r="C7" s="207">
        <f>SUMIF(Таблица46[Марка],A7,Таблица46[Площадь])</f>
        <v>30.9</v>
      </c>
      <c r="D7" s="207">
        <f>SUMIF(Таблица467[Марка],A7,Таблица467[Площадь])</f>
        <v>0</v>
      </c>
      <c r="E7" s="207">
        <f>SUMIF(Таблица4678[Марка],A7,Таблица4678[Площадь])</f>
        <v>26.699999999999996</v>
      </c>
      <c r="F7" s="207">
        <f>SUMIF(Таблица46789[Марка],A7,Таблица46789[Площадь])</f>
        <v>0</v>
      </c>
      <c r="G7" s="207">
        <f>SUMIF(Таблица4678910[Марка],A7,Таблица4678910[Площадь])</f>
        <v>1.8</v>
      </c>
      <c r="H7" s="208">
        <f>SUMIF(Таблица467891011[Марка],A7,Таблица467891011[Площадь])</f>
        <v>6.7</v>
      </c>
      <c r="I7" s="218">
        <f t="shared" si="0"/>
        <v>121.69999999999999</v>
      </c>
    </row>
    <row r="8" spans="1:9" x14ac:dyDescent="0.25">
      <c r="A8" s="206" t="s">
        <v>648</v>
      </c>
      <c r="B8" s="207">
        <f>SUMIF(Таблица4[Марка],A8,Таблица4[Площадь])</f>
        <v>3.1</v>
      </c>
      <c r="C8" s="207">
        <f>SUMIF(Таблица46[Марка],A8,Таблица46[Площадь])</f>
        <v>31.4</v>
      </c>
      <c r="D8" s="207">
        <f>SUMIF(Таблица467[Марка],A8,Таблица467[Площадь])</f>
        <v>3.1</v>
      </c>
      <c r="E8" s="207">
        <f>SUMIF(Таблица4678[Марка],A8,Таблица4678[Площадь])</f>
        <v>28.4</v>
      </c>
      <c r="F8" s="207">
        <f>SUMIF(Таблица46789[Марка],A8,Таблица46789[Площадь])</f>
        <v>0</v>
      </c>
      <c r="G8" s="207">
        <f>SUMIF(Таблица4678910[Марка],A8,Таблица4678910[Площадь])</f>
        <v>9.9</v>
      </c>
      <c r="H8" s="208">
        <f>SUMIF(Таблица467891011[Марка],A8,Таблица467891011[Площадь])</f>
        <v>62.2</v>
      </c>
      <c r="I8" s="218">
        <f t="shared" si="0"/>
        <v>138.10000000000002</v>
      </c>
    </row>
    <row r="9" spans="1:9" x14ac:dyDescent="0.25">
      <c r="A9" s="206" t="s">
        <v>637</v>
      </c>
      <c r="B9" s="207">
        <f>SUMIF(Таблица4[Марка],A9,Таблица4[Площадь])</f>
        <v>189.89999999999998</v>
      </c>
      <c r="C9" s="207">
        <f>SUMIF(Таблица46[Марка],A9,Таблица46[Площадь])</f>
        <v>5.7</v>
      </c>
      <c r="D9" s="207">
        <f>SUMIF(Таблица467[Марка],A9,Таблица467[Площадь])</f>
        <v>216.7</v>
      </c>
      <c r="E9" s="207">
        <f>SUMIF(Таблица4678[Марка],A9,Таблица4678[Площадь])</f>
        <v>86.399999999999991</v>
      </c>
      <c r="F9" s="207">
        <f>SUMIF(Таблица46789[Марка],A9,Таблица46789[Площадь])</f>
        <v>153.6</v>
      </c>
      <c r="G9" s="207">
        <f>SUMIF(Таблица4678910[Марка],A9,Таблица4678910[Площадь])</f>
        <v>132.1</v>
      </c>
      <c r="H9" s="208">
        <f>SUMIF(Таблица467891011[Марка],A9,Таблица467891011[Площадь])</f>
        <v>54.199999999999996</v>
      </c>
      <c r="I9" s="218">
        <f t="shared" si="0"/>
        <v>838.6</v>
      </c>
    </row>
    <row r="10" spans="1:9" x14ac:dyDescent="0.25">
      <c r="A10" s="206" t="s">
        <v>645</v>
      </c>
      <c r="B10" s="207">
        <f>SUMIF(Таблица4[Марка],A10,Таблица4[Площадь])</f>
        <v>53.7</v>
      </c>
      <c r="C10" s="207">
        <f>SUMIF(Таблица46[Марка],A10,Таблица46[Площадь])</f>
        <v>19.3</v>
      </c>
      <c r="D10" s="207">
        <f>SUMIF(Таблица467[Марка],A10,Таблица467[Площадь])</f>
        <v>18.600000000000001</v>
      </c>
      <c r="E10" s="207">
        <f>SUMIF(Таблица4678[Марка],A10,Таблица4678[Площадь])</f>
        <v>19.3</v>
      </c>
      <c r="F10" s="207">
        <f>SUMIF(Таблица46789[Марка],A10,Таблица46789[Площадь])</f>
        <v>16.100000000000001</v>
      </c>
      <c r="G10" s="207">
        <f>SUMIF(Таблица4678910[Марка],A10,Таблица4678910[Площадь])</f>
        <v>18.899999999999999</v>
      </c>
      <c r="H10" s="208">
        <f>SUMIF(Таблица467891011[Марка],A10,Таблица467891011[Площадь])</f>
        <v>30.4</v>
      </c>
      <c r="I10" s="218">
        <f t="shared" si="0"/>
        <v>176.3</v>
      </c>
    </row>
    <row r="11" spans="1:9" x14ac:dyDescent="0.25">
      <c r="A11" s="206" t="s">
        <v>652</v>
      </c>
      <c r="B11" s="207">
        <f>SUMIF(Таблица4[Марка],A11,Таблица4[Площадь])</f>
        <v>19.5</v>
      </c>
      <c r="C11" s="207">
        <f>SUMIF(Таблица46[Марка],A11,Таблица46[Площадь])</f>
        <v>38</v>
      </c>
      <c r="D11" s="207">
        <f>SUMIF(Таблица467[Марка],A11,Таблица467[Площадь])</f>
        <v>19.5</v>
      </c>
      <c r="E11" s="207">
        <f>SUMIF(Таблица4678[Марка],A11,Таблица4678[Площадь])</f>
        <v>7.4</v>
      </c>
      <c r="F11" s="207">
        <f>SUMIF(Таблица46789[Марка],A11,Таблица46789[Площадь])</f>
        <v>0</v>
      </c>
      <c r="G11" s="207">
        <f>SUMIF(Таблица4678910[Марка],A11,Таблица4678910[Площадь])</f>
        <v>8</v>
      </c>
      <c r="H11" s="208">
        <f>SUMIF(Таблица467891011[Марка],A11,Таблица467891011[Площадь])</f>
        <v>37.199999999999996</v>
      </c>
      <c r="I11" s="218">
        <f t="shared" si="0"/>
        <v>129.6</v>
      </c>
    </row>
    <row r="12" spans="1:9" x14ac:dyDescent="0.25">
      <c r="A12" s="206" t="s">
        <v>657</v>
      </c>
      <c r="B12" s="207">
        <f>SUMIF(Таблица4[Марка],A12,Таблица4[Площадь])</f>
        <v>0</v>
      </c>
      <c r="C12" s="207">
        <f>SUMIF(Таблица46[Марка],A12,Таблица46[Площадь])</f>
        <v>40.300000000000004</v>
      </c>
      <c r="D12" s="207">
        <f>SUMIF(Таблица467[Марка],A12,Таблица467[Площадь])</f>
        <v>0</v>
      </c>
      <c r="E12" s="207">
        <f>SUMIF(Таблица4678[Марка],A12,Таблица4678[Площадь])</f>
        <v>22.7</v>
      </c>
      <c r="F12" s="207">
        <f>SUMIF(Таблица46789[Марка],A12,Таблица46789[Площадь])</f>
        <v>0</v>
      </c>
      <c r="G12" s="207">
        <f>SUMIF(Таблица4678910[Марка],A12,Таблица4678910[Площадь])</f>
        <v>0</v>
      </c>
      <c r="H12" s="208">
        <f>SUMIF(Таблица467891011[Марка],A12,Таблица467891011[Площадь])</f>
        <v>0</v>
      </c>
      <c r="I12" s="218">
        <f t="shared" si="0"/>
        <v>63</v>
      </c>
    </row>
    <row r="13" spans="1:9" x14ac:dyDescent="0.25">
      <c r="A13" s="206" t="s">
        <v>643</v>
      </c>
      <c r="B13" s="207">
        <f>SUMIF(Таблица4[Марка],A13,Таблица4[Площадь])</f>
        <v>19.899999999999999</v>
      </c>
      <c r="C13" s="207">
        <f>SUMIF(Таблица46[Марка],A13,Таблица46[Площадь])</f>
        <v>0</v>
      </c>
      <c r="D13" s="207">
        <f>SUMIF(Таблица467[Марка],A13,Таблица467[Площадь])</f>
        <v>0</v>
      </c>
      <c r="E13" s="207">
        <f>SUMIF(Таблица4678[Марка],A13,Таблица4678[Площадь])</f>
        <v>0</v>
      </c>
      <c r="F13" s="207">
        <f>SUMIF(Таблица46789[Марка],A13,Таблица46789[Площадь])</f>
        <v>0</v>
      </c>
      <c r="G13" s="207">
        <f>SUMIF(Таблица4678910[Марка],A13,Таблица4678910[Площадь])</f>
        <v>0</v>
      </c>
      <c r="H13" s="208">
        <f>SUMIF(Таблица467891011[Марка],A13,Таблица467891011[Площадь])</f>
        <v>0</v>
      </c>
      <c r="I13" s="218">
        <f t="shared" si="0"/>
        <v>19.899999999999999</v>
      </c>
    </row>
    <row r="14" spans="1:9" x14ac:dyDescent="0.25">
      <c r="A14" s="206" t="s">
        <v>646</v>
      </c>
      <c r="B14" s="207">
        <f>SUMIF(Таблица4[Марка],A14,Таблица4[Площадь])</f>
        <v>5.7</v>
      </c>
      <c r="C14" s="207">
        <f>SUMIF(Таблица46[Марка],A14,Таблица46[Площадь])</f>
        <v>6.3000000000000007</v>
      </c>
      <c r="D14" s="207">
        <f>SUMIF(Таблица467[Марка],A14,Таблица467[Площадь])</f>
        <v>0</v>
      </c>
      <c r="E14" s="207">
        <f>SUMIF(Таблица4678[Марка],A14,Таблица4678[Площадь])</f>
        <v>0</v>
      </c>
      <c r="F14" s="207">
        <f>SUMIF(Таблица46789[Марка],A14,Таблица46789[Площадь])</f>
        <v>0</v>
      </c>
      <c r="G14" s="207">
        <f>SUMIF(Таблица4678910[Марка],A14,Таблица4678910[Площадь])</f>
        <v>0</v>
      </c>
      <c r="H14" s="208">
        <f>SUMIF(Таблица467891011[Марка],A14,Таблица467891011[Площадь])</f>
        <v>7</v>
      </c>
      <c r="I14" s="218">
        <f t="shared" si="0"/>
        <v>19</v>
      </c>
    </row>
    <row r="15" spans="1:9" x14ac:dyDescent="0.25">
      <c r="A15" s="206" t="s">
        <v>653</v>
      </c>
      <c r="B15" s="207">
        <f>SUMIF(Таблица4[Марка],A15,Таблица4[Площадь])</f>
        <v>7.6</v>
      </c>
      <c r="C15" s="207">
        <f>SUMIF(Таблица46[Марка],A15,Таблица46[Площадь])</f>
        <v>3.5</v>
      </c>
      <c r="D15" s="207">
        <f>SUMIF(Таблица467[Марка],A15,Таблица467[Площадь])</f>
        <v>0</v>
      </c>
      <c r="E15" s="207">
        <f>SUMIF(Таблица4678[Марка],A15,Таблица4678[Площадь])</f>
        <v>0</v>
      </c>
      <c r="F15" s="207">
        <f>SUMIF(Таблица46789[Марка],A15,Таблица46789[Площадь])</f>
        <v>0</v>
      </c>
      <c r="G15" s="207">
        <f>SUMIF(Таблица4678910[Марка],A15,Таблица4678910[Площадь])</f>
        <v>0</v>
      </c>
      <c r="H15" s="208">
        <f>SUMIF(Таблица467891011[Марка],A15,Таблица467891011[Площадь])</f>
        <v>5.5</v>
      </c>
      <c r="I15" s="218">
        <f t="shared" si="0"/>
        <v>16.600000000000001</v>
      </c>
    </row>
    <row r="16" spans="1:9" ht="13.8" thickBot="1" x14ac:dyDescent="0.3">
      <c r="A16" s="206" t="s">
        <v>658</v>
      </c>
      <c r="B16" s="207">
        <f>SUMIF(Таблица4[Марка],A16,Таблица4[Площадь])</f>
        <v>0</v>
      </c>
      <c r="C16" s="207">
        <f>SUMIF(Таблица46[Марка],A16,Таблица46[Площадь])</f>
        <v>6.9</v>
      </c>
      <c r="D16" s="207">
        <f>SUMIF(Таблица467[Марка],A16,Таблица467[Площадь])</f>
        <v>0</v>
      </c>
      <c r="E16" s="207">
        <f>SUMIF(Таблица4678[Марка],A16,Таблица4678[Площадь])</f>
        <v>1.2</v>
      </c>
      <c r="F16" s="207">
        <f>SUMIF(Таблица46789[Марка],A16,Таблица46789[Площадь])</f>
        <v>0</v>
      </c>
      <c r="G16" s="207">
        <f>SUMIF(Таблица4678910[Марка],A16,Таблица4678910[Площадь])</f>
        <v>0</v>
      </c>
      <c r="H16" s="208">
        <f>SUMIF(Таблица467891011[Марка],A16,Таблица467891011[Площадь])</f>
        <v>2.2000000000000002</v>
      </c>
      <c r="I16" s="219">
        <f t="shared" si="0"/>
        <v>10.3</v>
      </c>
    </row>
    <row r="17" spans="8:9" x14ac:dyDescent="0.25">
      <c r="H17" s="188" t="s">
        <v>269</v>
      </c>
      <c r="I17" s="220">
        <f>SUM(I3:I16)</f>
        <v>5123.7000000000007</v>
      </c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"/>
  <sheetViews>
    <sheetView topLeftCell="A15" zoomScale="55" zoomScaleNormal="55" workbookViewId="0">
      <selection activeCell="D15" sqref="D15"/>
    </sheetView>
  </sheetViews>
  <sheetFormatPr defaultRowHeight="14.4" x14ac:dyDescent="0.3"/>
  <cols>
    <col min="1" max="1" width="15.5546875" style="167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68" t="s">
        <v>728</v>
      </c>
      <c r="B1" s="164" t="s">
        <v>729</v>
      </c>
      <c r="C1" s="162" t="s">
        <v>228</v>
      </c>
      <c r="D1" s="163" t="s">
        <v>14</v>
      </c>
      <c r="E1" s="166" t="s">
        <v>730</v>
      </c>
    </row>
    <row r="2" spans="1:5" ht="126" x14ac:dyDescent="0.3">
      <c r="A2" s="168">
        <v>1</v>
      </c>
      <c r="B2" s="164" t="s">
        <v>313</v>
      </c>
      <c r="C2" s="162" t="s">
        <v>314</v>
      </c>
      <c r="D2" s="163" t="s">
        <v>128</v>
      </c>
      <c r="E2" s="166" t="e">
        <f>SUM(E3:E8)/7.61406957765593</f>
        <v>#REF!</v>
      </c>
    </row>
    <row r="3" spans="1:5" ht="72" x14ac:dyDescent="0.3">
      <c r="A3" s="168">
        <v>2</v>
      </c>
      <c r="B3" s="239" t="s">
        <v>396</v>
      </c>
      <c r="C3" s="240" t="s">
        <v>397</v>
      </c>
      <c r="D3" s="241" t="s">
        <v>23</v>
      </c>
      <c r="E3" s="242" t="e">
        <f>'3.1.1'!#REF!+'3.1.1'!#REF!</f>
        <v>#REF!</v>
      </c>
    </row>
    <row r="4" spans="1:5" ht="72" x14ac:dyDescent="0.3">
      <c r="A4" s="168">
        <v>3</v>
      </c>
      <c r="B4" s="8" t="s">
        <v>406</v>
      </c>
      <c r="C4" s="7" t="s">
        <v>726</v>
      </c>
      <c r="D4" s="9" t="s">
        <v>23</v>
      </c>
      <c r="E4" s="165">
        <f>'3.1.1'!I3+'3.1.1'!I7+'3.1.1'!I8</f>
        <v>346.8</v>
      </c>
    </row>
    <row r="5" spans="1:5" ht="72" x14ac:dyDescent="0.3">
      <c r="A5" s="168">
        <v>4</v>
      </c>
      <c r="B5" s="164" t="s">
        <v>406</v>
      </c>
      <c r="C5" s="162" t="s">
        <v>414</v>
      </c>
      <c r="D5" s="163" t="s">
        <v>23</v>
      </c>
      <c r="E5" s="166">
        <f>'3.1.1'!I4+SUM('3.1.1'!I10:I16)</f>
        <v>446.9</v>
      </c>
    </row>
    <row r="6" spans="1:5" ht="54" x14ac:dyDescent="0.3">
      <c r="A6" s="168">
        <v>5</v>
      </c>
      <c r="B6" s="8" t="s">
        <v>445</v>
      </c>
      <c r="C6" s="7" t="s">
        <v>446</v>
      </c>
      <c r="D6" s="9" t="s">
        <v>23</v>
      </c>
      <c r="E6" s="238" t="e">
        <f>'3.1.1'!#REF!</f>
        <v>#REF!</v>
      </c>
    </row>
    <row r="7" spans="1:5" ht="54" x14ac:dyDescent="0.3">
      <c r="A7" s="168">
        <v>6</v>
      </c>
      <c r="B7" s="164" t="s">
        <v>453</v>
      </c>
      <c r="C7" s="162" t="s">
        <v>454</v>
      </c>
      <c r="D7" s="163" t="s">
        <v>23</v>
      </c>
      <c r="E7" s="166">
        <f>'3.1.1'!I6+'3.1.1'!I9</f>
        <v>3098.9</v>
      </c>
    </row>
    <row r="8" spans="1:5" ht="54" x14ac:dyDescent="0.3">
      <c r="A8" s="168">
        <v>7</v>
      </c>
      <c r="B8" s="8" t="s">
        <v>453</v>
      </c>
      <c r="C8" s="7" t="s">
        <v>459</v>
      </c>
      <c r="D8" s="9" t="s">
        <v>23</v>
      </c>
      <c r="E8" s="165">
        <f>'3.1.1'!I5</f>
        <v>1231.0999999999999</v>
      </c>
    </row>
    <row r="9" spans="1:5" ht="18" x14ac:dyDescent="0.3">
      <c r="D9" s="10" t="s">
        <v>727</v>
      </c>
      <c r="E9" s="165" t="e">
        <f>SUM(E3:E8)</f>
        <v>#REF!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68"/>
  <sheetViews>
    <sheetView topLeftCell="A43" workbookViewId="0">
      <selection activeCell="K66" sqref="K66:O68"/>
    </sheetView>
  </sheetViews>
  <sheetFormatPr defaultRowHeight="13.2" x14ac:dyDescent="0.25"/>
  <cols>
    <col min="1" max="1" width="9.109375" style="188" customWidth="1"/>
    <col min="2" max="9" width="8.88671875" style="188"/>
    <col min="10" max="10" width="8.88671875" style="189"/>
    <col min="11" max="11" width="6" style="189" customWidth="1"/>
    <col min="12" max="12" width="6.5546875" style="189" customWidth="1"/>
    <col min="13" max="13" width="11.33203125" style="189" customWidth="1"/>
    <col min="14" max="14" width="8.5546875" style="189" customWidth="1"/>
    <col min="15" max="15" width="10.77734375" style="189" customWidth="1"/>
    <col min="16" max="16" width="47.5546875" style="189" customWidth="1"/>
    <col min="17" max="16384" width="8.88671875" style="189"/>
  </cols>
  <sheetData>
    <row r="1" spans="1:9" s="213" customFormat="1" x14ac:dyDescent="0.25">
      <c r="A1" s="209" t="s">
        <v>252</v>
      </c>
      <c r="B1" s="210">
        <v>1</v>
      </c>
      <c r="C1" s="210">
        <v>1</v>
      </c>
      <c r="D1" s="210">
        <v>2</v>
      </c>
      <c r="E1" s="210">
        <v>2</v>
      </c>
      <c r="F1" s="210">
        <v>3</v>
      </c>
      <c r="G1" s="210">
        <v>3</v>
      </c>
      <c r="H1" s="211">
        <v>4</v>
      </c>
      <c r="I1" s="212"/>
    </row>
    <row r="2" spans="1:9" s="213" customFormat="1" ht="13.8" thickBot="1" x14ac:dyDescent="0.3">
      <c r="A2" s="214" t="s">
        <v>251</v>
      </c>
      <c r="B2" s="215" t="s">
        <v>732</v>
      </c>
      <c r="C2" s="215" t="s">
        <v>733</v>
      </c>
      <c r="D2" s="215" t="s">
        <v>734</v>
      </c>
      <c r="E2" s="215" t="s">
        <v>735</v>
      </c>
      <c r="F2" s="215" t="s">
        <v>736</v>
      </c>
      <c r="G2" s="215" t="s">
        <v>737</v>
      </c>
      <c r="H2" s="216" t="s">
        <v>738</v>
      </c>
      <c r="I2" s="217" t="s">
        <v>231</v>
      </c>
    </row>
    <row r="3" spans="1:9" x14ac:dyDescent="0.25">
      <c r="A3" s="203" t="s">
        <v>651</v>
      </c>
      <c r="B3" s="204">
        <f>SUMIF(Таблица4[Марка],A3,Таблица4[Площадь])</f>
        <v>15</v>
      </c>
      <c r="C3" s="204">
        <f>SUMIF(Таблица46[Марка],A3,Таблица46[Площадь])</f>
        <v>19.799999999999997</v>
      </c>
      <c r="D3" s="204">
        <f>SUMIF(Таблица467[Марка],A3,Таблица467[Площадь])</f>
        <v>14.9</v>
      </c>
      <c r="E3" s="204">
        <f>SUMIF(Таблица4678[Марка],A3,Таблица4678[Площадь])</f>
        <v>10.7</v>
      </c>
      <c r="F3" s="204">
        <f>SUMIF(Таблица46789[Марка],A3,Таблица46789[Площадь])</f>
        <v>14.9</v>
      </c>
      <c r="G3" s="204">
        <f>SUMIF(Таблица4678910[Марка],A3,Таблица4678910[Площадь])</f>
        <v>0</v>
      </c>
      <c r="H3" s="205">
        <f>SUMIF(Таблица467891011[Марка],A3,Таблица467891011[Площадь])</f>
        <v>11.7</v>
      </c>
      <c r="I3" s="218">
        <f t="shared" ref="I3:I19" si="0">SUM(B3:H3)</f>
        <v>87</v>
      </c>
    </row>
    <row r="4" spans="1:9" x14ac:dyDescent="0.25">
      <c r="A4" s="243" t="s">
        <v>649</v>
      </c>
      <c r="B4" s="244">
        <f>SUMIF(Таблица4[Марка],A4,Таблица4[Площадь])</f>
        <v>0</v>
      </c>
      <c r="C4" s="244">
        <f>SUMIF(Таблица46[Марка],A4,Таблица46[Площадь])</f>
        <v>0</v>
      </c>
      <c r="D4" s="244">
        <f>SUMIF(Таблица467[Марка],A4,Таблица467[Площадь])</f>
        <v>0</v>
      </c>
      <c r="E4" s="244">
        <f>SUMIF(Таблица4678[Марка],A4,Таблица4678[Площадь])</f>
        <v>0</v>
      </c>
      <c r="F4" s="244">
        <f>SUMIF(Таблица46789[Марка],A4,Таблица46789[Площадь])</f>
        <v>0</v>
      </c>
      <c r="G4" s="244">
        <f>SUMIF(Таблица4678910[Марка],A4,Таблица4678910[Площадь])</f>
        <v>0</v>
      </c>
      <c r="H4" s="245">
        <f>SUMIF(Таблица467891011[Марка],A4,Таблица467891011[Площадь])</f>
        <v>0</v>
      </c>
      <c r="I4" s="246">
        <f t="shared" si="0"/>
        <v>0</v>
      </c>
    </row>
    <row r="5" spans="1:9" x14ac:dyDescent="0.25">
      <c r="A5" s="206" t="s">
        <v>644</v>
      </c>
      <c r="B5" s="207">
        <f>SUMIF(Таблица4[Марка],A5,Таблица4[Площадь])</f>
        <v>6.1</v>
      </c>
      <c r="C5" s="207">
        <f>SUMIF(Таблица46[Марка],A5,Таблица46[Площадь])</f>
        <v>0</v>
      </c>
      <c r="D5" s="207">
        <f>SUMIF(Таблица467[Марка],A5,Таблица467[Площадь])</f>
        <v>6.1</v>
      </c>
      <c r="E5" s="207">
        <f>SUMIF(Таблица4678[Марка],A5,Таблица4678[Площадь])</f>
        <v>0</v>
      </c>
      <c r="F5" s="207">
        <f>SUMIF(Таблица46789[Марка],A5,Таблица46789[Площадь])</f>
        <v>0</v>
      </c>
      <c r="G5" s="207">
        <f>SUMIF(Таблица4678910[Марка],A5,Таблица4678910[Площадь])</f>
        <v>0</v>
      </c>
      <c r="H5" s="208">
        <f>SUMIF(Таблица467891011[Марка],A5,Таблица467891011[Площадь])</f>
        <v>0</v>
      </c>
      <c r="I5" s="218">
        <f t="shared" si="0"/>
        <v>12.2</v>
      </c>
    </row>
    <row r="6" spans="1:9" x14ac:dyDescent="0.25">
      <c r="A6" s="206" t="s">
        <v>640</v>
      </c>
      <c r="B6" s="207">
        <f>SUMIF(Таблица4[Марка],A6,Таблица4[Площадь])</f>
        <v>261.3</v>
      </c>
      <c r="C6" s="207">
        <f>SUMIF(Таблица46[Марка],A6,Таблица46[Площадь])</f>
        <v>0</v>
      </c>
      <c r="D6" s="207">
        <f>SUMIF(Таблица467[Марка],A6,Таблица467[Площадь])</f>
        <v>352.5</v>
      </c>
      <c r="E6" s="207">
        <f>SUMIF(Таблица4678[Марка],A6,Таблица4678[Площадь])</f>
        <v>93.2</v>
      </c>
      <c r="F6" s="207">
        <f>SUMIF(Таблица46789[Марка],A6,Таблица46789[Площадь])</f>
        <v>143.19999999999999</v>
      </c>
      <c r="G6" s="207">
        <f>SUMIF(Таблица4678910[Марка],A6,Таблица4678910[Площадь])</f>
        <v>155.80000000000001</v>
      </c>
      <c r="H6" s="208">
        <f>SUMIF(Таблица467891011[Марка],A6,Таблица467891011[Площадь])</f>
        <v>225.10000000000002</v>
      </c>
      <c r="I6" s="218">
        <f t="shared" si="0"/>
        <v>1231.0999999999999</v>
      </c>
    </row>
    <row r="7" spans="1:9" x14ac:dyDescent="0.25">
      <c r="A7" s="206" t="s">
        <v>638</v>
      </c>
      <c r="B7" s="207">
        <f>SUMIF(Таблица4[Марка],A7,Таблица4[Площадь])</f>
        <v>622.40000000000009</v>
      </c>
      <c r="C7" s="207">
        <f>SUMIF(Таблица46[Марка],A7,Таблица46[Площадь])</f>
        <v>10.6</v>
      </c>
      <c r="D7" s="207">
        <f>SUMIF(Таблица467[Марка],A7,Таблица467[Площадь])</f>
        <v>554.79999999999995</v>
      </c>
      <c r="E7" s="207">
        <f>SUMIF(Таблица4678[Марка],A7,Таблица4678[Площадь])</f>
        <v>483.4</v>
      </c>
      <c r="F7" s="207">
        <f>SUMIF(Таблица46789[Марка],A7,Таблица46789[Площадь])</f>
        <v>92.8</v>
      </c>
      <c r="G7" s="207">
        <f>SUMIF(Таблица4678910[Марка],A7,Таблица4678910[Площадь])</f>
        <v>344</v>
      </c>
      <c r="H7" s="208">
        <f>SUMIF(Таблица467891011[Марка],A7,Таблица467891011[Площадь])</f>
        <v>152.30000000000001</v>
      </c>
      <c r="I7" s="218">
        <f t="shared" si="0"/>
        <v>2260.3000000000002</v>
      </c>
    </row>
    <row r="8" spans="1:9" x14ac:dyDescent="0.25">
      <c r="A8" s="206" t="s">
        <v>642</v>
      </c>
      <c r="B8" s="207">
        <f>SUMIF(Таблица4[Марка],A8,Таблица4[Площадь])</f>
        <v>55.6</v>
      </c>
      <c r="C8" s="207">
        <f>SUMIF(Таблица46[Марка],A8,Таблица46[Площадь])</f>
        <v>30.9</v>
      </c>
      <c r="D8" s="207">
        <f>SUMIF(Таблица467[Марка],A8,Таблица467[Площадь])</f>
        <v>0</v>
      </c>
      <c r="E8" s="207">
        <f>SUMIF(Таблица4678[Марка],A8,Таблица4678[Площадь])</f>
        <v>26.699999999999996</v>
      </c>
      <c r="F8" s="207">
        <f>SUMIF(Таблица46789[Марка],A8,Таблица46789[Площадь])</f>
        <v>0</v>
      </c>
      <c r="G8" s="207">
        <f>SUMIF(Таблица4678910[Марка],A8,Таблица4678910[Площадь])</f>
        <v>1.8</v>
      </c>
      <c r="H8" s="208">
        <f>SUMIF(Таблица467891011[Марка],A8,Таблица467891011[Площадь])</f>
        <v>6.7</v>
      </c>
      <c r="I8" s="218">
        <f t="shared" si="0"/>
        <v>121.69999999999999</v>
      </c>
    </row>
    <row r="9" spans="1:9" x14ac:dyDescent="0.25">
      <c r="A9" s="243" t="s">
        <v>641</v>
      </c>
      <c r="B9" s="244">
        <f>SUMIF(Таблица4[Марка],A9,Таблица4[Площадь])</f>
        <v>0</v>
      </c>
      <c r="C9" s="244">
        <f>SUMIF(Таблица46[Марка],A9,Таблица46[Площадь])</f>
        <v>0</v>
      </c>
      <c r="D9" s="244">
        <f>SUMIF(Таблица467[Марка],A9,Таблица467[Площадь])</f>
        <v>0</v>
      </c>
      <c r="E9" s="244">
        <f>SUMIF(Таблица4678[Марка],A9,Таблица4678[Площадь])</f>
        <v>0</v>
      </c>
      <c r="F9" s="244">
        <f>SUMIF(Таблица46789[Марка],A9,Таблица46789[Площадь])</f>
        <v>0</v>
      </c>
      <c r="G9" s="244">
        <f>SUMIF(Таблица4678910[Марка],A9,Таблица4678910[Площадь])</f>
        <v>0</v>
      </c>
      <c r="H9" s="245">
        <f>SUMIF(Таблица467891011[Марка],A9,Таблица467891011[Площадь])</f>
        <v>0</v>
      </c>
      <c r="I9" s="246">
        <f t="shared" si="0"/>
        <v>0</v>
      </c>
    </row>
    <row r="10" spans="1:9" x14ac:dyDescent="0.25">
      <c r="A10" s="243" t="s">
        <v>655</v>
      </c>
      <c r="B10" s="244">
        <f>SUMIF(Таблица4[Марка],A10,Таблица4[Площадь])</f>
        <v>0</v>
      </c>
      <c r="C10" s="244">
        <f>SUMIF(Таблица46[Марка],A10,Таблица46[Площадь])</f>
        <v>0</v>
      </c>
      <c r="D10" s="244">
        <f>SUMIF(Таблица467[Марка],A10,Таблица467[Площадь])</f>
        <v>0</v>
      </c>
      <c r="E10" s="244">
        <f>SUMIF(Таблица4678[Марка],A10,Таблица4678[Площадь])</f>
        <v>0</v>
      </c>
      <c r="F10" s="244">
        <f>SUMIF(Таблица46789[Марка],A10,Таблица46789[Площадь])</f>
        <v>0</v>
      </c>
      <c r="G10" s="244">
        <f>SUMIF(Таблица4678910[Марка],A10,Таблица4678910[Площадь])</f>
        <v>0</v>
      </c>
      <c r="H10" s="245">
        <f>SUMIF(Таблица467891011[Марка],A10,Таблица467891011[Площадь])</f>
        <v>0</v>
      </c>
      <c r="I10" s="246">
        <f t="shared" si="0"/>
        <v>0</v>
      </c>
    </row>
    <row r="11" spans="1:9" x14ac:dyDescent="0.25">
      <c r="A11" s="206" t="s">
        <v>648</v>
      </c>
      <c r="B11" s="207">
        <f>SUMIF(Таблица4[Марка],A11,Таблица4[Площадь])</f>
        <v>3.1</v>
      </c>
      <c r="C11" s="207">
        <f>SUMIF(Таблица46[Марка],A11,Таблица46[Площадь])</f>
        <v>31.4</v>
      </c>
      <c r="D11" s="207">
        <f>SUMIF(Таблица467[Марка],A11,Таблица467[Площадь])</f>
        <v>3.1</v>
      </c>
      <c r="E11" s="207">
        <f>SUMIF(Таблица4678[Марка],A11,Таблица4678[Площадь])</f>
        <v>28.4</v>
      </c>
      <c r="F11" s="207">
        <f>SUMIF(Таблица46789[Марка],A11,Таблица46789[Площадь])</f>
        <v>0</v>
      </c>
      <c r="G11" s="207">
        <f>SUMIF(Таблица4678910[Марка],A11,Таблица4678910[Площадь])</f>
        <v>9.9</v>
      </c>
      <c r="H11" s="208">
        <f>SUMIF(Таблица467891011[Марка],A11,Таблица467891011[Площадь])</f>
        <v>62.2</v>
      </c>
      <c r="I11" s="218">
        <f t="shared" si="0"/>
        <v>138.10000000000002</v>
      </c>
    </row>
    <row r="12" spans="1:9" x14ac:dyDescent="0.25">
      <c r="A12" s="206" t="s">
        <v>637</v>
      </c>
      <c r="B12" s="207">
        <f>SUMIF(Таблица4[Марка],A12,Таблица4[Площадь])</f>
        <v>189.89999999999998</v>
      </c>
      <c r="C12" s="207">
        <f>SUMIF(Таблица46[Марка],A12,Таблица46[Площадь])</f>
        <v>5.7</v>
      </c>
      <c r="D12" s="207">
        <f>SUMIF(Таблица467[Марка],A12,Таблица467[Площадь])</f>
        <v>216.7</v>
      </c>
      <c r="E12" s="207">
        <f>SUMIF(Таблица4678[Марка],A12,Таблица4678[Площадь])</f>
        <v>86.399999999999991</v>
      </c>
      <c r="F12" s="207">
        <f>SUMIF(Таблица46789[Марка],A12,Таблица46789[Площадь])</f>
        <v>153.6</v>
      </c>
      <c r="G12" s="207">
        <f>SUMIF(Таблица4678910[Марка],A12,Таблица4678910[Площадь])</f>
        <v>132.1</v>
      </c>
      <c r="H12" s="208">
        <f>SUMIF(Таблица467891011[Марка],A12,Таблица467891011[Площадь])</f>
        <v>54.199999999999996</v>
      </c>
      <c r="I12" s="218">
        <f t="shared" si="0"/>
        <v>838.6</v>
      </c>
    </row>
    <row r="13" spans="1:9" x14ac:dyDescent="0.25">
      <c r="A13" s="206" t="s">
        <v>645</v>
      </c>
      <c r="B13" s="207">
        <f>SUMIF(Таблица4[Марка],A13,Таблица4[Площадь])</f>
        <v>53.7</v>
      </c>
      <c r="C13" s="207">
        <f>SUMIF(Таблица46[Марка],A13,Таблица46[Площадь])</f>
        <v>19.3</v>
      </c>
      <c r="D13" s="207">
        <f>SUMIF(Таблица467[Марка],A13,Таблица467[Площадь])</f>
        <v>18.600000000000001</v>
      </c>
      <c r="E13" s="207">
        <f>SUMIF(Таблица4678[Марка],A13,Таблица4678[Площадь])</f>
        <v>19.3</v>
      </c>
      <c r="F13" s="207">
        <f>SUMIF(Таблица46789[Марка],A13,Таблица46789[Площадь])</f>
        <v>16.100000000000001</v>
      </c>
      <c r="G13" s="207">
        <f>SUMIF(Таблица4678910[Марка],A13,Таблица4678910[Площадь])</f>
        <v>18.899999999999999</v>
      </c>
      <c r="H13" s="208">
        <f>SUMIF(Таблица467891011[Марка],A13,Таблица467891011[Площадь])</f>
        <v>30.4</v>
      </c>
      <c r="I13" s="218">
        <f t="shared" si="0"/>
        <v>176.3</v>
      </c>
    </row>
    <row r="14" spans="1:9" x14ac:dyDescent="0.25">
      <c r="A14" s="206" t="s">
        <v>652</v>
      </c>
      <c r="B14" s="207">
        <f>SUMIF(Таблица4[Марка],A14,Таблица4[Площадь])</f>
        <v>19.5</v>
      </c>
      <c r="C14" s="207">
        <f>SUMIF(Таблица46[Марка],A14,Таблица46[Площадь])</f>
        <v>38</v>
      </c>
      <c r="D14" s="207">
        <f>SUMIF(Таблица467[Марка],A14,Таблица467[Площадь])</f>
        <v>19.5</v>
      </c>
      <c r="E14" s="207">
        <f>SUMIF(Таблица4678[Марка],A14,Таблица4678[Площадь])</f>
        <v>7.4</v>
      </c>
      <c r="F14" s="207">
        <f>SUMIF(Таблица46789[Марка],A14,Таблица46789[Площадь])</f>
        <v>0</v>
      </c>
      <c r="G14" s="207">
        <f>SUMIF(Таблица4678910[Марка],A14,Таблица4678910[Площадь])</f>
        <v>8</v>
      </c>
      <c r="H14" s="208">
        <f>SUMIF(Таблица467891011[Марка],A14,Таблица467891011[Площадь])</f>
        <v>37.199999999999996</v>
      </c>
      <c r="I14" s="218">
        <f t="shared" si="0"/>
        <v>129.6</v>
      </c>
    </row>
    <row r="15" spans="1:9" x14ac:dyDescent="0.25">
      <c r="A15" s="206" t="s">
        <v>657</v>
      </c>
      <c r="B15" s="207">
        <f>SUMIF(Таблица4[Марка],A15,Таблица4[Площадь])</f>
        <v>0</v>
      </c>
      <c r="C15" s="207">
        <f>SUMIF(Таблица46[Марка],A15,Таблица46[Площадь])</f>
        <v>40.300000000000004</v>
      </c>
      <c r="D15" s="207">
        <f>SUMIF(Таблица467[Марка],A15,Таблица467[Площадь])</f>
        <v>0</v>
      </c>
      <c r="E15" s="207">
        <f>SUMIF(Таблица4678[Марка],A15,Таблица4678[Площадь])</f>
        <v>22.7</v>
      </c>
      <c r="F15" s="207">
        <f>SUMIF(Таблица46789[Марка],A15,Таблица46789[Площадь])</f>
        <v>0</v>
      </c>
      <c r="G15" s="207">
        <f>SUMIF(Таблица4678910[Марка],A15,Таблица4678910[Площадь])</f>
        <v>0</v>
      </c>
      <c r="H15" s="208">
        <f>SUMIF(Таблица467891011[Марка],A15,Таблица467891011[Площадь])</f>
        <v>0</v>
      </c>
      <c r="I15" s="218">
        <f t="shared" si="0"/>
        <v>63</v>
      </c>
    </row>
    <row r="16" spans="1:9" x14ac:dyDescent="0.25">
      <c r="A16" s="206" t="s">
        <v>643</v>
      </c>
      <c r="B16" s="207">
        <f>SUMIF(Таблица4[Марка],A16,Таблица4[Площадь])</f>
        <v>19.899999999999999</v>
      </c>
      <c r="C16" s="207">
        <f>SUMIF(Таблица46[Марка],A16,Таблица46[Площадь])</f>
        <v>0</v>
      </c>
      <c r="D16" s="207">
        <f>SUMIF(Таблица467[Марка],A16,Таблица467[Площадь])</f>
        <v>0</v>
      </c>
      <c r="E16" s="207">
        <f>SUMIF(Таблица4678[Марка],A16,Таблица4678[Площадь])</f>
        <v>0</v>
      </c>
      <c r="F16" s="207">
        <f>SUMIF(Таблица46789[Марка],A16,Таблица46789[Площадь])</f>
        <v>0</v>
      </c>
      <c r="G16" s="207">
        <f>SUMIF(Таблица4678910[Марка],A16,Таблица4678910[Площадь])</f>
        <v>0</v>
      </c>
      <c r="H16" s="208">
        <f>SUMIF(Таблица467891011[Марка],A16,Таблица467891011[Площадь])</f>
        <v>0</v>
      </c>
      <c r="I16" s="218">
        <f t="shared" si="0"/>
        <v>19.899999999999999</v>
      </c>
    </row>
    <row r="17" spans="1:16" x14ac:dyDescent="0.25">
      <c r="A17" s="206" t="s">
        <v>646</v>
      </c>
      <c r="B17" s="207">
        <f>SUMIF(Таблица4[Марка],A17,Таблица4[Площадь])</f>
        <v>5.7</v>
      </c>
      <c r="C17" s="207">
        <f>SUMIF(Таблица46[Марка],A17,Таблица46[Площадь])</f>
        <v>6.3000000000000007</v>
      </c>
      <c r="D17" s="207">
        <f>SUMIF(Таблица467[Марка],A17,Таблица467[Площадь])</f>
        <v>0</v>
      </c>
      <c r="E17" s="207">
        <f>SUMIF(Таблица4678[Марка],A17,Таблица4678[Площадь])</f>
        <v>0</v>
      </c>
      <c r="F17" s="207">
        <f>SUMIF(Таблица46789[Марка],A17,Таблица46789[Площадь])</f>
        <v>0</v>
      </c>
      <c r="G17" s="207">
        <f>SUMIF(Таблица4678910[Марка],A17,Таблица4678910[Площадь])</f>
        <v>0</v>
      </c>
      <c r="H17" s="208">
        <f>SUMIF(Таблица467891011[Марка],A17,Таблица467891011[Площадь])</f>
        <v>7</v>
      </c>
      <c r="I17" s="218">
        <f t="shared" si="0"/>
        <v>19</v>
      </c>
    </row>
    <row r="18" spans="1:16" x14ac:dyDescent="0.25">
      <c r="A18" s="206" t="s">
        <v>653</v>
      </c>
      <c r="B18" s="207">
        <f>SUMIF(Таблица4[Марка],A18,Таблица4[Площадь])</f>
        <v>7.6</v>
      </c>
      <c r="C18" s="207">
        <f>SUMIF(Таблица46[Марка],A18,Таблица46[Площадь])</f>
        <v>3.5</v>
      </c>
      <c r="D18" s="207">
        <f>SUMIF(Таблица467[Марка],A18,Таблица467[Площадь])</f>
        <v>0</v>
      </c>
      <c r="E18" s="207">
        <f>SUMIF(Таблица4678[Марка],A18,Таблица4678[Площадь])</f>
        <v>0</v>
      </c>
      <c r="F18" s="207">
        <f>SUMIF(Таблица46789[Марка],A18,Таблица46789[Площадь])</f>
        <v>0</v>
      </c>
      <c r="G18" s="207">
        <f>SUMIF(Таблица4678910[Марка],A18,Таблица4678910[Площадь])</f>
        <v>0</v>
      </c>
      <c r="H18" s="208">
        <f>SUMIF(Таблица467891011[Марка],A18,Таблица467891011[Площадь])</f>
        <v>5.5</v>
      </c>
      <c r="I18" s="218">
        <f t="shared" si="0"/>
        <v>16.600000000000001</v>
      </c>
    </row>
    <row r="19" spans="1:16" ht="13.8" thickBot="1" x14ac:dyDescent="0.3">
      <c r="A19" s="206" t="s">
        <v>658</v>
      </c>
      <c r="B19" s="207">
        <f>SUMIF(Таблица4[Марка],A19,Таблица4[Площадь])</f>
        <v>0</v>
      </c>
      <c r="C19" s="207">
        <f>SUMIF(Таблица46[Марка],A19,Таблица46[Площадь])</f>
        <v>6.9</v>
      </c>
      <c r="D19" s="207">
        <f>SUMIF(Таблица467[Марка],A19,Таблица467[Площадь])</f>
        <v>0</v>
      </c>
      <c r="E19" s="207">
        <f>SUMIF(Таблица4678[Марка],A19,Таблица4678[Площадь])</f>
        <v>1.2</v>
      </c>
      <c r="F19" s="207">
        <f>SUMIF(Таблица46789[Марка],A19,Таблица46789[Площадь])</f>
        <v>0</v>
      </c>
      <c r="G19" s="207">
        <f>SUMIF(Таблица4678910[Марка],A19,Таблица4678910[Площадь])</f>
        <v>0</v>
      </c>
      <c r="H19" s="208">
        <f>SUMIF(Таблица467891011[Марка],A19,Таблица467891011[Площадь])</f>
        <v>2.2000000000000002</v>
      </c>
      <c r="I19" s="219">
        <f t="shared" si="0"/>
        <v>10.3</v>
      </c>
    </row>
    <row r="20" spans="1:16" x14ac:dyDescent="0.25">
      <c r="H20" s="188" t="s">
        <v>269</v>
      </c>
      <c r="I20" s="220">
        <f>SUM(I3:I19)</f>
        <v>5123.7000000000007</v>
      </c>
    </row>
    <row r="22" spans="1:16" ht="26.4" x14ac:dyDescent="0.25">
      <c r="K22" s="247" t="s">
        <v>252</v>
      </c>
      <c r="L22" s="247" t="s">
        <v>251</v>
      </c>
      <c r="M22" s="248" t="s">
        <v>716</v>
      </c>
      <c r="N22" s="249" t="s">
        <v>634</v>
      </c>
      <c r="O22" s="249" t="s">
        <v>635</v>
      </c>
      <c r="P22" s="250" t="s">
        <v>636</v>
      </c>
    </row>
    <row r="23" spans="1:16" x14ac:dyDescent="0.25">
      <c r="K23" s="174">
        <v>1</v>
      </c>
      <c r="L23" s="174">
        <v>1</v>
      </c>
      <c r="M23" s="175">
        <v>1001</v>
      </c>
      <c r="N23" s="176" t="s">
        <v>641</v>
      </c>
      <c r="O23" s="177">
        <v>15</v>
      </c>
      <c r="P23" s="251" t="s">
        <v>739</v>
      </c>
    </row>
    <row r="24" spans="1:16" x14ac:dyDescent="0.25">
      <c r="K24" s="179">
        <v>1</v>
      </c>
      <c r="L24" s="179">
        <v>1</v>
      </c>
      <c r="M24" s="180">
        <v>1002</v>
      </c>
      <c r="N24" s="181" t="s">
        <v>641</v>
      </c>
      <c r="O24" s="182">
        <v>3.8</v>
      </c>
      <c r="P24" s="252" t="s">
        <v>739</v>
      </c>
    </row>
    <row r="25" spans="1:16" x14ac:dyDescent="0.25">
      <c r="K25" s="174">
        <v>1</v>
      </c>
      <c r="L25" s="174">
        <v>1</v>
      </c>
      <c r="M25" s="175">
        <v>1003</v>
      </c>
      <c r="N25" s="176" t="s">
        <v>641</v>
      </c>
      <c r="O25" s="177">
        <v>3.8</v>
      </c>
      <c r="P25" s="251" t="s">
        <v>739</v>
      </c>
    </row>
    <row r="26" spans="1:16" x14ac:dyDescent="0.25">
      <c r="K26" s="174">
        <v>1</v>
      </c>
      <c r="L26" s="174">
        <v>1</v>
      </c>
      <c r="M26" s="175">
        <v>1005</v>
      </c>
      <c r="N26" s="176" t="s">
        <v>641</v>
      </c>
      <c r="O26" s="177">
        <v>3.6</v>
      </c>
      <c r="P26" s="251" t="s">
        <v>739</v>
      </c>
    </row>
    <row r="27" spans="1:16" x14ac:dyDescent="0.25">
      <c r="K27" s="228">
        <v>1</v>
      </c>
      <c r="L27" s="228">
        <v>1</v>
      </c>
      <c r="M27" s="229">
        <v>1007</v>
      </c>
      <c r="N27" s="230" t="s">
        <v>641</v>
      </c>
      <c r="O27" s="231">
        <v>7.3</v>
      </c>
      <c r="P27" s="253" t="s">
        <v>739</v>
      </c>
    </row>
    <row r="28" spans="1:16" x14ac:dyDescent="0.25">
      <c r="K28" s="174">
        <v>1</v>
      </c>
      <c r="L28" s="174">
        <v>1</v>
      </c>
      <c r="M28" s="175">
        <v>1010</v>
      </c>
      <c r="N28" s="176" t="s">
        <v>649</v>
      </c>
      <c r="O28" s="177">
        <v>7.9</v>
      </c>
      <c r="P28" s="251" t="s">
        <v>739</v>
      </c>
    </row>
    <row r="29" spans="1:16" x14ac:dyDescent="0.25">
      <c r="K29" s="228">
        <v>1</v>
      </c>
      <c r="L29" s="228">
        <v>1</v>
      </c>
      <c r="M29" s="229">
        <v>1012</v>
      </c>
      <c r="N29" s="230" t="s">
        <v>649</v>
      </c>
      <c r="O29" s="231">
        <v>39.799999999999997</v>
      </c>
      <c r="P29" s="253" t="s">
        <v>739</v>
      </c>
    </row>
    <row r="30" spans="1:16" x14ac:dyDescent="0.25">
      <c r="K30" s="179">
        <v>1</v>
      </c>
      <c r="L30" s="179">
        <v>1</v>
      </c>
      <c r="M30" s="180">
        <v>1013</v>
      </c>
      <c r="N30" s="181" t="s">
        <v>655</v>
      </c>
      <c r="O30" s="182">
        <v>5.9</v>
      </c>
      <c r="P30" s="252" t="s">
        <v>739</v>
      </c>
    </row>
    <row r="31" spans="1:16" x14ac:dyDescent="0.25">
      <c r="K31" s="228">
        <v>1</v>
      </c>
      <c r="L31" s="228">
        <v>1</v>
      </c>
      <c r="M31" s="229">
        <v>1014</v>
      </c>
      <c r="N31" s="230" t="s">
        <v>649</v>
      </c>
      <c r="O31" s="231">
        <v>18</v>
      </c>
      <c r="P31" s="253" t="s">
        <v>739</v>
      </c>
    </row>
    <row r="32" spans="1:16" x14ac:dyDescent="0.25">
      <c r="K32" s="254">
        <v>2</v>
      </c>
      <c r="L32" s="228">
        <v>1</v>
      </c>
      <c r="M32" s="229">
        <v>2001</v>
      </c>
      <c r="N32" s="230" t="s">
        <v>641</v>
      </c>
      <c r="O32" s="231">
        <v>13.8</v>
      </c>
      <c r="P32" s="255" t="s">
        <v>731</v>
      </c>
    </row>
    <row r="33" spans="11:16" x14ac:dyDescent="0.25">
      <c r="K33" s="256">
        <v>2</v>
      </c>
      <c r="L33" s="179">
        <v>1</v>
      </c>
      <c r="M33" s="180">
        <v>2002</v>
      </c>
      <c r="N33" s="181" t="s">
        <v>641</v>
      </c>
      <c r="O33" s="182">
        <v>3.9</v>
      </c>
      <c r="P33" s="257" t="s">
        <v>731</v>
      </c>
    </row>
    <row r="34" spans="11:16" x14ac:dyDescent="0.25">
      <c r="K34" s="254">
        <v>2</v>
      </c>
      <c r="L34" s="228">
        <v>1</v>
      </c>
      <c r="M34" s="229">
        <v>2003</v>
      </c>
      <c r="N34" s="230" t="s">
        <v>641</v>
      </c>
      <c r="O34" s="231">
        <v>3.9</v>
      </c>
      <c r="P34" s="255" t="s">
        <v>731</v>
      </c>
    </row>
    <row r="35" spans="11:16" x14ac:dyDescent="0.25">
      <c r="K35" s="256">
        <v>2</v>
      </c>
      <c r="L35" s="179">
        <v>1</v>
      </c>
      <c r="M35" s="180">
        <v>2004</v>
      </c>
      <c r="N35" s="181" t="s">
        <v>641</v>
      </c>
      <c r="O35" s="182">
        <v>4</v>
      </c>
      <c r="P35" s="257" t="s">
        <v>731</v>
      </c>
    </row>
    <row r="36" spans="11:16" x14ac:dyDescent="0.25">
      <c r="K36" s="254">
        <v>2</v>
      </c>
      <c r="L36" s="228">
        <v>1</v>
      </c>
      <c r="M36" s="229">
        <v>2005</v>
      </c>
      <c r="N36" s="230" t="s">
        <v>641</v>
      </c>
      <c r="O36" s="231">
        <v>3.6</v>
      </c>
      <c r="P36" s="255" t="s">
        <v>731</v>
      </c>
    </row>
    <row r="37" spans="11:16" x14ac:dyDescent="0.25">
      <c r="K37" s="256">
        <v>2</v>
      </c>
      <c r="L37" s="179">
        <v>1</v>
      </c>
      <c r="M37" s="180">
        <v>2006</v>
      </c>
      <c r="N37" s="181" t="s">
        <v>641</v>
      </c>
      <c r="O37" s="182">
        <v>7.1</v>
      </c>
      <c r="P37" s="257" t="s">
        <v>731</v>
      </c>
    </row>
    <row r="38" spans="11:16" x14ac:dyDescent="0.25">
      <c r="K38" s="258">
        <v>2</v>
      </c>
      <c r="L38" s="232">
        <v>1</v>
      </c>
      <c r="M38" s="233">
        <v>2009</v>
      </c>
      <c r="N38" s="234" t="s">
        <v>655</v>
      </c>
      <c r="O38" s="235">
        <v>7</v>
      </c>
      <c r="P38" s="259" t="s">
        <v>731</v>
      </c>
    </row>
    <row r="39" spans="11:16" x14ac:dyDescent="0.25">
      <c r="K39" s="260">
        <v>2</v>
      </c>
      <c r="L39" s="261">
        <v>1</v>
      </c>
      <c r="M39" s="262">
        <v>2011</v>
      </c>
      <c r="N39" s="263" t="s">
        <v>649</v>
      </c>
      <c r="O39" s="264">
        <v>39.1</v>
      </c>
      <c r="P39" s="265" t="s">
        <v>731</v>
      </c>
    </row>
    <row r="40" spans="11:16" x14ac:dyDescent="0.25">
      <c r="K40" s="254">
        <v>2</v>
      </c>
      <c r="L40" s="228">
        <v>3</v>
      </c>
      <c r="M40" s="236">
        <v>2034</v>
      </c>
      <c r="N40" s="230" t="s">
        <v>641</v>
      </c>
      <c r="O40" s="231">
        <v>2.7</v>
      </c>
      <c r="P40" s="255" t="s">
        <v>731</v>
      </c>
    </row>
    <row r="41" spans="11:16" x14ac:dyDescent="0.25">
      <c r="K41" s="256">
        <v>2</v>
      </c>
      <c r="L41" s="179">
        <v>3</v>
      </c>
      <c r="M41" s="237">
        <v>2035</v>
      </c>
      <c r="N41" s="181" t="s">
        <v>641</v>
      </c>
      <c r="O41" s="182">
        <v>3.6</v>
      </c>
      <c r="P41" s="257" t="s">
        <v>731</v>
      </c>
    </row>
    <row r="42" spans="11:16" x14ac:dyDescent="0.25">
      <c r="K42" s="254">
        <v>2</v>
      </c>
      <c r="L42" s="228">
        <v>3</v>
      </c>
      <c r="M42" s="236">
        <v>2042</v>
      </c>
      <c r="N42" s="230" t="s">
        <v>649</v>
      </c>
      <c r="O42" s="231">
        <v>29</v>
      </c>
      <c r="P42" s="255" t="s">
        <v>731</v>
      </c>
    </row>
    <row r="43" spans="11:16" x14ac:dyDescent="0.25">
      <c r="K43" s="256">
        <v>2</v>
      </c>
      <c r="L43" s="179">
        <v>3</v>
      </c>
      <c r="M43" s="237">
        <v>2043</v>
      </c>
      <c r="N43" s="181" t="s">
        <v>649</v>
      </c>
      <c r="O43" s="182">
        <v>24.6</v>
      </c>
      <c r="P43" s="257" t="s">
        <v>731</v>
      </c>
    </row>
    <row r="44" spans="11:16" x14ac:dyDescent="0.25">
      <c r="K44" s="254">
        <v>2</v>
      </c>
      <c r="L44" s="228">
        <v>3</v>
      </c>
      <c r="M44" s="236">
        <v>2045</v>
      </c>
      <c r="N44" s="230" t="s">
        <v>655</v>
      </c>
      <c r="O44" s="231">
        <v>17.2</v>
      </c>
      <c r="P44" s="255" t="s">
        <v>731</v>
      </c>
    </row>
    <row r="45" spans="11:16" x14ac:dyDescent="0.25">
      <c r="K45" s="256">
        <v>2</v>
      </c>
      <c r="L45" s="179">
        <v>3</v>
      </c>
      <c r="M45" s="237">
        <v>2048</v>
      </c>
      <c r="N45" s="181" t="s">
        <v>655</v>
      </c>
      <c r="O45" s="182">
        <v>18.3</v>
      </c>
      <c r="P45" s="257" t="s">
        <v>731</v>
      </c>
    </row>
    <row r="46" spans="11:16" x14ac:dyDescent="0.25">
      <c r="K46" s="266">
        <v>2</v>
      </c>
      <c r="L46" s="267">
        <v>3</v>
      </c>
      <c r="M46" s="268">
        <v>2049</v>
      </c>
      <c r="N46" s="269" t="s">
        <v>655</v>
      </c>
      <c r="O46" s="270">
        <v>5.2</v>
      </c>
      <c r="P46" s="271" t="s">
        <v>731</v>
      </c>
    </row>
    <row r="47" spans="11:16" x14ac:dyDescent="0.25">
      <c r="K47" s="266">
        <v>3</v>
      </c>
      <c r="L47" s="267">
        <v>1</v>
      </c>
      <c r="M47" s="272">
        <v>3011</v>
      </c>
      <c r="N47" s="269" t="s">
        <v>655</v>
      </c>
      <c r="O47" s="270">
        <v>7.8</v>
      </c>
      <c r="P47" s="271" t="s">
        <v>731</v>
      </c>
    </row>
    <row r="48" spans="11:16" x14ac:dyDescent="0.25">
      <c r="K48" s="254">
        <v>3</v>
      </c>
      <c r="L48" s="228">
        <v>3</v>
      </c>
      <c r="M48" s="236">
        <v>3040</v>
      </c>
      <c r="N48" s="230" t="s">
        <v>641</v>
      </c>
      <c r="O48" s="231">
        <v>3.3</v>
      </c>
      <c r="P48" s="255" t="s">
        <v>731</v>
      </c>
    </row>
    <row r="49" spans="11:16" x14ac:dyDescent="0.25">
      <c r="K49" s="256">
        <v>3</v>
      </c>
      <c r="L49" s="179">
        <v>3</v>
      </c>
      <c r="M49" s="237">
        <v>3041</v>
      </c>
      <c r="N49" s="181" t="s">
        <v>641</v>
      </c>
      <c r="O49" s="182">
        <v>3.7</v>
      </c>
      <c r="P49" s="257" t="s">
        <v>731</v>
      </c>
    </row>
    <row r="50" spans="11:16" x14ac:dyDescent="0.25">
      <c r="K50" s="254">
        <v>3</v>
      </c>
      <c r="L50" s="228">
        <v>3</v>
      </c>
      <c r="M50" s="236">
        <v>3052</v>
      </c>
      <c r="N50" s="230" t="s">
        <v>655</v>
      </c>
      <c r="O50" s="231">
        <v>5.9</v>
      </c>
      <c r="P50" s="255" t="s">
        <v>731</v>
      </c>
    </row>
    <row r="51" spans="11:16" x14ac:dyDescent="0.25">
      <c r="K51" s="260">
        <v>3</v>
      </c>
      <c r="L51" s="261">
        <v>3</v>
      </c>
      <c r="M51" s="273">
        <v>3053</v>
      </c>
      <c r="N51" s="263" t="s">
        <v>655</v>
      </c>
      <c r="O51" s="264">
        <v>17.2</v>
      </c>
      <c r="P51" s="265" t="s">
        <v>731</v>
      </c>
    </row>
    <row r="52" spans="11:16" x14ac:dyDescent="0.25">
      <c r="K52" s="254">
        <v>4</v>
      </c>
      <c r="L52" s="228">
        <v>3</v>
      </c>
      <c r="M52" s="229">
        <v>4011</v>
      </c>
      <c r="N52" s="230" t="s">
        <v>649</v>
      </c>
      <c r="O52" s="231">
        <v>54.5</v>
      </c>
      <c r="P52" s="255" t="s">
        <v>739</v>
      </c>
    </row>
    <row r="53" spans="11:16" x14ac:dyDescent="0.25">
      <c r="K53" s="256">
        <v>4</v>
      </c>
      <c r="L53" s="179">
        <v>3</v>
      </c>
      <c r="M53" s="180">
        <v>4012</v>
      </c>
      <c r="N53" s="181" t="s">
        <v>649</v>
      </c>
      <c r="O53" s="182">
        <v>5.5</v>
      </c>
      <c r="P53" s="257" t="s">
        <v>739</v>
      </c>
    </row>
    <row r="54" spans="11:16" x14ac:dyDescent="0.25">
      <c r="K54" s="254">
        <v>4</v>
      </c>
      <c r="L54" s="228">
        <v>3</v>
      </c>
      <c r="M54" s="229">
        <v>4012</v>
      </c>
      <c r="N54" s="230" t="s">
        <v>655</v>
      </c>
      <c r="O54" s="231">
        <v>4.7</v>
      </c>
      <c r="P54" s="255" t="s">
        <v>739</v>
      </c>
    </row>
    <row r="55" spans="11:16" x14ac:dyDescent="0.25">
      <c r="K55" s="256">
        <v>4</v>
      </c>
      <c r="L55" s="179">
        <v>3</v>
      </c>
      <c r="M55" s="180">
        <v>4013</v>
      </c>
      <c r="N55" s="181" t="s">
        <v>649</v>
      </c>
      <c r="O55" s="182">
        <v>20.399999999999999</v>
      </c>
      <c r="P55" s="257" t="s">
        <v>739</v>
      </c>
    </row>
    <row r="56" spans="11:16" x14ac:dyDescent="0.25">
      <c r="K56" s="254">
        <v>4</v>
      </c>
      <c r="L56" s="228">
        <v>3</v>
      </c>
      <c r="M56" s="229">
        <v>4013</v>
      </c>
      <c r="N56" s="230" t="s">
        <v>655</v>
      </c>
      <c r="O56" s="231">
        <v>17.2</v>
      </c>
      <c r="P56" s="255" t="s">
        <v>739</v>
      </c>
    </row>
    <row r="57" spans="11:16" x14ac:dyDescent="0.25">
      <c r="K57" s="256">
        <v>4</v>
      </c>
      <c r="L57" s="179">
        <v>3</v>
      </c>
      <c r="M57" s="180">
        <v>4015</v>
      </c>
      <c r="N57" s="181" t="s">
        <v>649</v>
      </c>
      <c r="O57" s="182">
        <v>45.3</v>
      </c>
      <c r="P57" s="257" t="s">
        <v>739</v>
      </c>
    </row>
    <row r="58" spans="11:16" x14ac:dyDescent="0.25">
      <c r="K58" s="254">
        <v>4</v>
      </c>
      <c r="L58" s="228">
        <v>3</v>
      </c>
      <c r="M58" s="229">
        <v>4015</v>
      </c>
      <c r="N58" s="230" t="s">
        <v>655</v>
      </c>
      <c r="O58" s="231">
        <v>11.9</v>
      </c>
      <c r="P58" s="255" t="s">
        <v>739</v>
      </c>
    </row>
    <row r="59" spans="11:16" x14ac:dyDescent="0.25">
      <c r="K59" s="256">
        <v>4</v>
      </c>
      <c r="L59" s="179">
        <v>3</v>
      </c>
      <c r="M59" s="180">
        <v>4016</v>
      </c>
      <c r="N59" s="181" t="s">
        <v>649</v>
      </c>
      <c r="O59" s="182">
        <v>18.3</v>
      </c>
      <c r="P59" s="257" t="s">
        <v>739</v>
      </c>
    </row>
    <row r="60" spans="11:16" x14ac:dyDescent="0.25">
      <c r="K60" s="254">
        <v>4</v>
      </c>
      <c r="L60" s="228">
        <v>3</v>
      </c>
      <c r="M60" s="229">
        <v>4016</v>
      </c>
      <c r="N60" s="230" t="s">
        <v>655</v>
      </c>
      <c r="O60" s="231">
        <v>18.3</v>
      </c>
      <c r="P60" s="255" t="s">
        <v>739</v>
      </c>
    </row>
    <row r="61" spans="11:16" x14ac:dyDescent="0.25">
      <c r="K61" s="256">
        <v>4</v>
      </c>
      <c r="L61" s="179">
        <v>3</v>
      </c>
      <c r="M61" s="180">
        <v>4017</v>
      </c>
      <c r="N61" s="181" t="s">
        <v>649</v>
      </c>
      <c r="O61" s="182">
        <v>6.1</v>
      </c>
      <c r="P61" s="257" t="s">
        <v>739</v>
      </c>
    </row>
    <row r="62" spans="11:16" x14ac:dyDescent="0.25">
      <c r="K62" s="266">
        <v>4</v>
      </c>
      <c r="L62" s="267">
        <v>3</v>
      </c>
      <c r="M62" s="272">
        <v>4017</v>
      </c>
      <c r="N62" s="269" t="s">
        <v>655</v>
      </c>
      <c r="O62" s="270">
        <v>5.2</v>
      </c>
      <c r="P62" s="271" t="s">
        <v>739</v>
      </c>
    </row>
    <row r="66" spans="11:15" x14ac:dyDescent="0.25">
      <c r="K66" s="189">
        <v>1</v>
      </c>
      <c r="L66" s="189">
        <v>2</v>
      </c>
      <c r="M66" s="189">
        <v>1042</v>
      </c>
      <c r="N66" s="189" t="s">
        <v>655</v>
      </c>
      <c r="O66" s="189">
        <v>26.9</v>
      </c>
    </row>
    <row r="67" spans="11:15" x14ac:dyDescent="0.25">
      <c r="K67" s="189">
        <v>1</v>
      </c>
      <c r="L67" s="189">
        <v>2</v>
      </c>
      <c r="M67" s="189">
        <v>1041</v>
      </c>
      <c r="N67" s="189" t="s">
        <v>649</v>
      </c>
      <c r="O67" s="189">
        <v>42.3</v>
      </c>
    </row>
    <row r="68" spans="11:15" x14ac:dyDescent="0.25">
      <c r="K68" s="189">
        <v>1</v>
      </c>
      <c r="L68" s="189">
        <v>2</v>
      </c>
      <c r="M68" s="189">
        <v>1040</v>
      </c>
      <c r="N68" s="189" t="s">
        <v>641</v>
      </c>
      <c r="O68" s="189">
        <v>8.4</v>
      </c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37"/>
  <sheetViews>
    <sheetView workbookViewId="0"/>
  </sheetViews>
  <sheetFormatPr defaultRowHeight="13.2" x14ac:dyDescent="0.25"/>
  <cols>
    <col min="1" max="1" width="6" style="188" customWidth="1"/>
    <col min="2" max="2" width="6.5546875" style="188" customWidth="1"/>
    <col min="3" max="3" width="11.33203125" style="188" customWidth="1"/>
    <col min="4" max="4" width="8.5546875" style="188" customWidth="1"/>
    <col min="5" max="5" width="10.77734375" style="188" customWidth="1"/>
    <col min="6" max="6" width="47.5546875" style="189" customWidth="1"/>
    <col min="7" max="16384" width="8.88671875" style="189"/>
  </cols>
  <sheetData>
    <row r="1" spans="1:6" ht="26.4" x14ac:dyDescent="0.25">
      <c r="A1" s="170" t="s">
        <v>252</v>
      </c>
      <c r="B1" s="171" t="s">
        <v>251</v>
      </c>
      <c r="C1" s="172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73">
        <v>1</v>
      </c>
      <c r="B2" s="174">
        <v>1</v>
      </c>
      <c r="C2" s="175">
        <v>1001</v>
      </c>
      <c r="D2" s="176" t="s">
        <v>637</v>
      </c>
      <c r="E2" s="177">
        <v>12.6</v>
      </c>
      <c r="F2" s="276" t="s">
        <v>754</v>
      </c>
    </row>
    <row r="3" spans="1:6" x14ac:dyDescent="0.25">
      <c r="A3" s="178">
        <v>1</v>
      </c>
      <c r="B3" s="179">
        <v>1</v>
      </c>
      <c r="C3" s="180">
        <v>1001</v>
      </c>
      <c r="D3" s="181" t="s">
        <v>638</v>
      </c>
      <c r="E3" s="182">
        <v>55.1</v>
      </c>
      <c r="F3" s="148" t="s">
        <v>753</v>
      </c>
    </row>
    <row r="4" spans="1:6" x14ac:dyDescent="0.25">
      <c r="A4" s="178">
        <v>1</v>
      </c>
      <c r="B4" s="179">
        <v>1</v>
      </c>
      <c r="C4" s="180">
        <v>1001</v>
      </c>
      <c r="D4" s="181" t="s">
        <v>640</v>
      </c>
      <c r="E4" s="182">
        <v>40.4</v>
      </c>
      <c r="F4" s="278" t="s">
        <v>752</v>
      </c>
    </row>
    <row r="5" spans="1:6" x14ac:dyDescent="0.25">
      <c r="A5" s="178">
        <v>1</v>
      </c>
      <c r="B5" s="179">
        <v>1</v>
      </c>
      <c r="C5" s="180">
        <v>1002</v>
      </c>
      <c r="D5" s="181" t="s">
        <v>637</v>
      </c>
      <c r="E5" s="182">
        <v>6.2</v>
      </c>
      <c r="F5" s="148" t="s">
        <v>754</v>
      </c>
    </row>
    <row r="6" spans="1:6" x14ac:dyDescent="0.25">
      <c r="A6" s="173">
        <v>1</v>
      </c>
      <c r="B6" s="174">
        <v>1</v>
      </c>
      <c r="C6" s="175">
        <v>1002</v>
      </c>
      <c r="D6" s="176" t="s">
        <v>638</v>
      </c>
      <c r="E6" s="177">
        <v>81.3</v>
      </c>
      <c r="F6" s="147" t="s">
        <v>753</v>
      </c>
    </row>
    <row r="7" spans="1:6" x14ac:dyDescent="0.25">
      <c r="A7" s="173">
        <v>1</v>
      </c>
      <c r="B7" s="174">
        <v>1</v>
      </c>
      <c r="C7" s="175">
        <v>1002</v>
      </c>
      <c r="D7" s="176" t="s">
        <v>640</v>
      </c>
      <c r="E7" s="177">
        <v>10</v>
      </c>
      <c r="F7" s="278" t="s">
        <v>752</v>
      </c>
    </row>
    <row r="8" spans="1:6" x14ac:dyDescent="0.25">
      <c r="A8" s="173">
        <v>1</v>
      </c>
      <c r="B8" s="174">
        <v>1</v>
      </c>
      <c r="C8" s="175">
        <v>1003</v>
      </c>
      <c r="D8" s="176" t="s">
        <v>637</v>
      </c>
      <c r="E8" s="177">
        <v>7.8</v>
      </c>
      <c r="F8" s="147" t="s">
        <v>754</v>
      </c>
    </row>
    <row r="9" spans="1:6" x14ac:dyDescent="0.25">
      <c r="A9" s="178">
        <v>1</v>
      </c>
      <c r="B9" s="179">
        <v>1</v>
      </c>
      <c r="C9" s="180">
        <v>1003</v>
      </c>
      <c r="D9" s="181" t="s">
        <v>638</v>
      </c>
      <c r="E9" s="182">
        <v>59.9</v>
      </c>
      <c r="F9" s="148" t="s">
        <v>753</v>
      </c>
    </row>
    <row r="10" spans="1:6" x14ac:dyDescent="0.25">
      <c r="A10" s="178">
        <v>1</v>
      </c>
      <c r="B10" s="179">
        <v>1</v>
      </c>
      <c r="C10" s="180">
        <v>1003</v>
      </c>
      <c r="D10" s="181" t="s">
        <v>640</v>
      </c>
      <c r="E10" s="182">
        <v>31.7</v>
      </c>
      <c r="F10" s="278" t="s">
        <v>752</v>
      </c>
    </row>
    <row r="11" spans="1:6" x14ac:dyDescent="0.25">
      <c r="A11" s="173">
        <v>1</v>
      </c>
      <c r="B11" s="174">
        <v>1</v>
      </c>
      <c r="C11" s="175">
        <v>1005</v>
      </c>
      <c r="D11" s="176" t="s">
        <v>637</v>
      </c>
      <c r="E11" s="177">
        <v>3.4</v>
      </c>
      <c r="F11" s="147" t="s">
        <v>754</v>
      </c>
    </row>
    <row r="12" spans="1:6" x14ac:dyDescent="0.25">
      <c r="A12" s="178">
        <v>1</v>
      </c>
      <c r="B12" s="179">
        <v>1</v>
      </c>
      <c r="C12" s="180">
        <v>1005</v>
      </c>
      <c r="D12" s="181" t="s">
        <v>638</v>
      </c>
      <c r="E12" s="182">
        <v>73</v>
      </c>
      <c r="F12" s="148" t="s">
        <v>753</v>
      </c>
    </row>
    <row r="13" spans="1:6" x14ac:dyDescent="0.25">
      <c r="A13" s="178">
        <v>1</v>
      </c>
      <c r="B13" s="179">
        <v>1</v>
      </c>
      <c r="C13" s="180">
        <v>1005</v>
      </c>
      <c r="D13" s="181" t="s">
        <v>640</v>
      </c>
      <c r="E13" s="182">
        <v>8.5</v>
      </c>
      <c r="F13" s="278" t="s">
        <v>752</v>
      </c>
    </row>
    <row r="14" spans="1:6" x14ac:dyDescent="0.25">
      <c r="A14" s="178">
        <v>1</v>
      </c>
      <c r="B14" s="179">
        <v>1</v>
      </c>
      <c r="C14" s="180">
        <v>1007</v>
      </c>
      <c r="D14" s="181" t="s">
        <v>637</v>
      </c>
      <c r="E14" s="182">
        <v>7.8</v>
      </c>
      <c r="F14" s="148" t="s">
        <v>754</v>
      </c>
    </row>
    <row r="15" spans="1:6" x14ac:dyDescent="0.25">
      <c r="A15" s="173">
        <v>1</v>
      </c>
      <c r="B15" s="174">
        <v>1</v>
      </c>
      <c r="C15" s="175">
        <v>1007</v>
      </c>
      <c r="D15" s="176" t="s">
        <v>638</v>
      </c>
      <c r="E15" s="177">
        <v>74</v>
      </c>
      <c r="F15" s="147" t="s">
        <v>753</v>
      </c>
    </row>
    <row r="16" spans="1:6" x14ac:dyDescent="0.25">
      <c r="A16" s="173">
        <v>1</v>
      </c>
      <c r="B16" s="174">
        <v>1</v>
      </c>
      <c r="C16" s="175">
        <v>1007</v>
      </c>
      <c r="D16" s="176" t="s">
        <v>640</v>
      </c>
      <c r="E16" s="177">
        <v>56</v>
      </c>
      <c r="F16" s="278" t="s">
        <v>752</v>
      </c>
    </row>
    <row r="17" spans="1:6" x14ac:dyDescent="0.25">
      <c r="A17" s="178">
        <v>1</v>
      </c>
      <c r="B17" s="179">
        <v>1</v>
      </c>
      <c r="C17" s="180">
        <v>1008</v>
      </c>
      <c r="D17" s="181" t="s">
        <v>642</v>
      </c>
      <c r="E17" s="182">
        <v>55.6</v>
      </c>
      <c r="F17" s="281" t="s">
        <v>746</v>
      </c>
    </row>
    <row r="18" spans="1:6" x14ac:dyDescent="0.25">
      <c r="A18" s="173">
        <v>1</v>
      </c>
      <c r="B18" s="174">
        <v>1</v>
      </c>
      <c r="C18" s="175">
        <v>1008</v>
      </c>
      <c r="D18" s="176" t="s">
        <v>643</v>
      </c>
      <c r="E18" s="177">
        <v>19.899999999999999</v>
      </c>
      <c r="F18" s="147" t="s">
        <v>747</v>
      </c>
    </row>
    <row r="19" spans="1:6" x14ac:dyDescent="0.25">
      <c r="A19" s="178">
        <v>1</v>
      </c>
      <c r="B19" s="179">
        <v>1</v>
      </c>
      <c r="C19" s="180">
        <v>1010</v>
      </c>
      <c r="D19" s="181" t="s">
        <v>645</v>
      </c>
      <c r="E19" s="182">
        <v>14.4</v>
      </c>
      <c r="F19" s="148" t="s">
        <v>747</v>
      </c>
    </row>
    <row r="20" spans="1:6" x14ac:dyDescent="0.25">
      <c r="A20" s="178">
        <v>1</v>
      </c>
      <c r="B20" s="179">
        <v>1</v>
      </c>
      <c r="C20" s="180">
        <v>1010</v>
      </c>
      <c r="D20" s="181" t="s">
        <v>651</v>
      </c>
      <c r="E20" s="182">
        <v>15</v>
      </c>
      <c r="F20" s="281" t="s">
        <v>746</v>
      </c>
    </row>
    <row r="21" spans="1:6" x14ac:dyDescent="0.25">
      <c r="A21" s="178">
        <v>1</v>
      </c>
      <c r="B21" s="179">
        <v>1</v>
      </c>
      <c r="C21" s="180">
        <v>1012</v>
      </c>
      <c r="D21" s="181" t="s">
        <v>644</v>
      </c>
      <c r="E21" s="182">
        <v>6.1</v>
      </c>
      <c r="F21" s="148" t="s">
        <v>747</v>
      </c>
    </row>
    <row r="22" spans="1:6" x14ac:dyDescent="0.25">
      <c r="A22" s="173">
        <v>1</v>
      </c>
      <c r="B22" s="174">
        <v>1</v>
      </c>
      <c r="C22" s="175">
        <v>1012</v>
      </c>
      <c r="D22" s="176" t="s">
        <v>645</v>
      </c>
      <c r="E22" s="177">
        <v>2.5</v>
      </c>
      <c r="F22" s="147" t="s">
        <v>747</v>
      </c>
    </row>
    <row r="23" spans="1:6" x14ac:dyDescent="0.25">
      <c r="A23" s="178">
        <v>1</v>
      </c>
      <c r="B23" s="179">
        <v>1</v>
      </c>
      <c r="C23" s="180">
        <v>1012</v>
      </c>
      <c r="D23" s="181" t="s">
        <v>646</v>
      </c>
      <c r="E23" s="182">
        <v>1.3</v>
      </c>
      <c r="F23" s="148" t="s">
        <v>750</v>
      </c>
    </row>
    <row r="24" spans="1:6" x14ac:dyDescent="0.25">
      <c r="A24" s="173">
        <v>1</v>
      </c>
      <c r="B24" s="174">
        <v>1</v>
      </c>
      <c r="C24" s="175">
        <v>1012</v>
      </c>
      <c r="D24" s="176" t="s">
        <v>652</v>
      </c>
      <c r="E24" s="177">
        <v>19.5</v>
      </c>
      <c r="F24" s="147" t="s">
        <v>749</v>
      </c>
    </row>
    <row r="25" spans="1:6" x14ac:dyDescent="0.25">
      <c r="A25" s="173">
        <v>1</v>
      </c>
      <c r="B25" s="174">
        <v>1</v>
      </c>
      <c r="C25" s="175">
        <v>1012</v>
      </c>
      <c r="D25" s="176" t="s">
        <v>648</v>
      </c>
      <c r="E25" s="177">
        <v>3.1</v>
      </c>
      <c r="F25" s="281" t="s">
        <v>746</v>
      </c>
    </row>
    <row r="26" spans="1:6" x14ac:dyDescent="0.25">
      <c r="A26" s="173">
        <v>1</v>
      </c>
      <c r="B26" s="174">
        <v>1</v>
      </c>
      <c r="C26" s="175">
        <v>1013</v>
      </c>
      <c r="D26" s="176" t="s">
        <v>645</v>
      </c>
      <c r="E26" s="177">
        <v>22.8</v>
      </c>
      <c r="F26" s="147" t="s">
        <v>747</v>
      </c>
    </row>
    <row r="27" spans="1:6" x14ac:dyDescent="0.25">
      <c r="A27" s="178">
        <v>1</v>
      </c>
      <c r="B27" s="179">
        <v>1</v>
      </c>
      <c r="C27" s="180">
        <v>1013</v>
      </c>
      <c r="D27" s="181" t="s">
        <v>653</v>
      </c>
      <c r="E27" s="182">
        <v>4.5999999999999996</v>
      </c>
      <c r="F27" s="148" t="s">
        <v>748</v>
      </c>
    </row>
    <row r="28" spans="1:6" x14ac:dyDescent="0.25">
      <c r="A28" s="173">
        <v>1</v>
      </c>
      <c r="B28" s="174">
        <v>1</v>
      </c>
      <c r="C28" s="175">
        <v>1013</v>
      </c>
      <c r="D28" s="176" t="s">
        <v>646</v>
      </c>
      <c r="E28" s="177">
        <v>1.1000000000000001</v>
      </c>
      <c r="F28" s="147" t="s">
        <v>750</v>
      </c>
    </row>
    <row r="29" spans="1:6" ht="14.4" customHeight="1" x14ac:dyDescent="0.25">
      <c r="A29" s="173">
        <v>1</v>
      </c>
      <c r="B29" s="174">
        <v>1</v>
      </c>
      <c r="C29" s="175">
        <v>1014</v>
      </c>
      <c r="D29" s="176" t="s">
        <v>645</v>
      </c>
      <c r="E29" s="177">
        <v>14</v>
      </c>
      <c r="F29" s="147" t="s">
        <v>747</v>
      </c>
    </row>
    <row r="30" spans="1:6" x14ac:dyDescent="0.25">
      <c r="A30" s="178">
        <v>1</v>
      </c>
      <c r="B30" s="179">
        <v>1</v>
      </c>
      <c r="C30" s="180">
        <v>1014</v>
      </c>
      <c r="D30" s="181" t="s">
        <v>653</v>
      </c>
      <c r="E30" s="182">
        <v>3</v>
      </c>
      <c r="F30" s="148" t="s">
        <v>748</v>
      </c>
    </row>
    <row r="31" spans="1:6" x14ac:dyDescent="0.25">
      <c r="A31" s="173">
        <v>1</v>
      </c>
      <c r="B31" s="174">
        <v>1</v>
      </c>
      <c r="C31" s="175">
        <v>1014</v>
      </c>
      <c r="D31" s="176" t="s">
        <v>646</v>
      </c>
      <c r="E31" s="177">
        <v>3.3</v>
      </c>
      <c r="F31" s="147" t="s">
        <v>750</v>
      </c>
    </row>
    <row r="32" spans="1:6" x14ac:dyDescent="0.25">
      <c r="A32" s="173">
        <v>1</v>
      </c>
      <c r="B32" s="174">
        <v>1</v>
      </c>
      <c r="C32" s="175">
        <v>1015</v>
      </c>
      <c r="D32" s="176" t="s">
        <v>637</v>
      </c>
      <c r="E32" s="177">
        <v>51.4</v>
      </c>
      <c r="F32" s="147" t="s">
        <v>754</v>
      </c>
    </row>
    <row r="33" spans="1:6" x14ac:dyDescent="0.25">
      <c r="A33" s="178">
        <v>1</v>
      </c>
      <c r="B33" s="179">
        <v>1</v>
      </c>
      <c r="C33" s="180">
        <v>1015</v>
      </c>
      <c r="D33" s="181" t="s">
        <v>638</v>
      </c>
      <c r="E33" s="182">
        <v>115.8</v>
      </c>
      <c r="F33" s="148" t="s">
        <v>753</v>
      </c>
    </row>
    <row r="34" spans="1:6" x14ac:dyDescent="0.25">
      <c r="A34" s="178">
        <v>1</v>
      </c>
      <c r="B34" s="179">
        <v>1</v>
      </c>
      <c r="C34" s="180">
        <v>1015</v>
      </c>
      <c r="D34" s="181" t="s">
        <v>640</v>
      </c>
      <c r="E34" s="182">
        <v>69.2</v>
      </c>
      <c r="F34" s="278" t="s">
        <v>752</v>
      </c>
    </row>
    <row r="35" spans="1:6" x14ac:dyDescent="0.25">
      <c r="A35" s="173">
        <v>1</v>
      </c>
      <c r="B35" s="174">
        <v>1</v>
      </c>
      <c r="C35" s="175">
        <v>1016</v>
      </c>
      <c r="D35" s="176" t="s">
        <v>637</v>
      </c>
      <c r="E35" s="177">
        <v>100.7</v>
      </c>
      <c r="F35" s="147" t="s">
        <v>754</v>
      </c>
    </row>
    <row r="36" spans="1:6" x14ac:dyDescent="0.25">
      <c r="A36" s="178">
        <v>1</v>
      </c>
      <c r="B36" s="179">
        <v>1</v>
      </c>
      <c r="C36" s="180">
        <v>1016</v>
      </c>
      <c r="D36" s="181" t="s">
        <v>638</v>
      </c>
      <c r="E36" s="182">
        <v>163.30000000000001</v>
      </c>
      <c r="F36" s="148" t="s">
        <v>753</v>
      </c>
    </row>
    <row r="37" spans="1:6" x14ac:dyDescent="0.25">
      <c r="A37" s="178">
        <v>1</v>
      </c>
      <c r="B37" s="179">
        <v>1</v>
      </c>
      <c r="C37" s="180">
        <v>1016</v>
      </c>
      <c r="D37" s="181" t="s">
        <v>640</v>
      </c>
      <c r="E37" s="182">
        <v>45.5</v>
      </c>
      <c r="F37" s="278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workbookViewId="0"/>
  </sheetViews>
  <sheetFormatPr defaultRowHeight="13.2" x14ac:dyDescent="0.25"/>
  <cols>
    <col min="1" max="1" width="7" style="188" customWidth="1"/>
    <col min="2" max="2" width="8.6640625" style="188" customWidth="1"/>
    <col min="3" max="3" width="7.6640625" style="188" customWidth="1"/>
    <col min="4" max="4" width="7.88671875" style="188" customWidth="1"/>
    <col min="5" max="5" width="10.21875" style="188" customWidth="1"/>
    <col min="6" max="6" width="47.5546875" style="189" customWidth="1"/>
    <col min="7" max="16384" width="8.88671875" style="189"/>
  </cols>
  <sheetData>
    <row r="1" spans="1:6" ht="39.6" x14ac:dyDescent="0.25">
      <c r="A1" s="170" t="s">
        <v>252</v>
      </c>
      <c r="B1" s="171" t="s">
        <v>251</v>
      </c>
      <c r="C1" s="172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83">
        <v>1</v>
      </c>
      <c r="B2" s="184">
        <v>3</v>
      </c>
      <c r="C2" s="185">
        <v>1087</v>
      </c>
      <c r="D2" s="186" t="s">
        <v>646</v>
      </c>
      <c r="E2" s="187">
        <v>2.1</v>
      </c>
      <c r="F2" s="160" t="s">
        <v>750</v>
      </c>
    </row>
    <row r="3" spans="1:6" x14ac:dyDescent="0.25">
      <c r="A3" s="183">
        <v>1</v>
      </c>
      <c r="B3" s="184">
        <v>3</v>
      </c>
      <c r="C3" s="185">
        <v>1087</v>
      </c>
      <c r="D3" s="186" t="s">
        <v>652</v>
      </c>
      <c r="E3" s="187">
        <v>3.2</v>
      </c>
      <c r="F3" s="160" t="s">
        <v>749</v>
      </c>
    </row>
    <row r="4" spans="1:6" x14ac:dyDescent="0.25">
      <c r="A4" s="183">
        <v>1</v>
      </c>
      <c r="B4" s="184">
        <v>3</v>
      </c>
      <c r="C4" s="185">
        <v>1087</v>
      </c>
      <c r="D4" s="186" t="s">
        <v>657</v>
      </c>
      <c r="E4" s="187">
        <v>14.5</v>
      </c>
      <c r="F4" s="160" t="s">
        <v>750</v>
      </c>
    </row>
    <row r="5" spans="1:6" x14ac:dyDescent="0.25">
      <c r="A5" s="183">
        <v>1</v>
      </c>
      <c r="B5" s="184">
        <v>3</v>
      </c>
      <c r="C5" s="185">
        <v>1087</v>
      </c>
      <c r="D5" s="186" t="s">
        <v>651</v>
      </c>
      <c r="E5" s="187">
        <v>9.1999999999999993</v>
      </c>
      <c r="F5" s="277" t="s">
        <v>746</v>
      </c>
    </row>
    <row r="6" spans="1:6" x14ac:dyDescent="0.25">
      <c r="A6" s="183">
        <v>1</v>
      </c>
      <c r="B6" s="184">
        <v>3</v>
      </c>
      <c r="C6" s="185">
        <v>1088</v>
      </c>
      <c r="D6" s="186" t="s">
        <v>652</v>
      </c>
      <c r="E6" s="187">
        <v>24.2</v>
      </c>
      <c r="F6" s="160" t="s">
        <v>749</v>
      </c>
    </row>
    <row r="7" spans="1:6" ht="26.4" x14ac:dyDescent="0.25">
      <c r="A7" s="183">
        <v>1</v>
      </c>
      <c r="B7" s="184">
        <v>3</v>
      </c>
      <c r="C7" s="185">
        <v>1088</v>
      </c>
      <c r="D7" s="186" t="s">
        <v>658</v>
      </c>
      <c r="E7" s="187">
        <v>4.8</v>
      </c>
      <c r="F7" s="160" t="s">
        <v>751</v>
      </c>
    </row>
    <row r="8" spans="1:6" x14ac:dyDescent="0.25">
      <c r="A8" s="183">
        <v>1</v>
      </c>
      <c r="B8" s="184">
        <v>3</v>
      </c>
      <c r="C8" s="185">
        <v>1088</v>
      </c>
      <c r="D8" s="186" t="s">
        <v>642</v>
      </c>
      <c r="E8" s="187">
        <v>4.2</v>
      </c>
      <c r="F8" s="277" t="s">
        <v>746</v>
      </c>
    </row>
    <row r="9" spans="1:6" x14ac:dyDescent="0.25">
      <c r="A9" s="183">
        <v>1</v>
      </c>
      <c r="B9" s="184">
        <v>3</v>
      </c>
      <c r="C9" s="185">
        <v>1088</v>
      </c>
      <c r="D9" s="186" t="s">
        <v>648</v>
      </c>
      <c r="E9" s="187">
        <v>23.3</v>
      </c>
      <c r="F9" s="277" t="s">
        <v>746</v>
      </c>
    </row>
    <row r="10" spans="1:6" x14ac:dyDescent="0.25">
      <c r="A10" s="183">
        <v>1</v>
      </c>
      <c r="B10" s="184">
        <v>3</v>
      </c>
      <c r="C10" s="185">
        <v>1089</v>
      </c>
      <c r="D10" s="186" t="s">
        <v>645</v>
      </c>
      <c r="E10" s="187">
        <v>8.9</v>
      </c>
      <c r="F10" s="160" t="s">
        <v>747</v>
      </c>
    </row>
    <row r="11" spans="1:6" x14ac:dyDescent="0.25">
      <c r="A11" s="183">
        <v>1</v>
      </c>
      <c r="B11" s="184">
        <v>3</v>
      </c>
      <c r="C11" s="185">
        <v>1089</v>
      </c>
      <c r="D11" s="186" t="s">
        <v>653</v>
      </c>
      <c r="E11" s="187">
        <v>1.6</v>
      </c>
      <c r="F11" s="160" t="s">
        <v>748</v>
      </c>
    </row>
    <row r="12" spans="1:6" x14ac:dyDescent="0.25">
      <c r="A12" s="183">
        <v>1</v>
      </c>
      <c r="B12" s="184">
        <v>3</v>
      </c>
      <c r="C12" s="185">
        <v>1089</v>
      </c>
      <c r="D12" s="186" t="s">
        <v>646</v>
      </c>
      <c r="E12" s="187">
        <v>3.2</v>
      </c>
      <c r="F12" s="160" t="s">
        <v>750</v>
      </c>
    </row>
    <row r="13" spans="1:6" x14ac:dyDescent="0.25">
      <c r="A13" s="183">
        <v>1</v>
      </c>
      <c r="B13" s="184">
        <v>3</v>
      </c>
      <c r="C13" s="185">
        <v>1089</v>
      </c>
      <c r="D13" s="186" t="s">
        <v>652</v>
      </c>
      <c r="E13" s="187">
        <v>4.3</v>
      </c>
      <c r="F13" s="160" t="s">
        <v>749</v>
      </c>
    </row>
    <row r="14" spans="1:6" ht="26.4" x14ac:dyDescent="0.25">
      <c r="A14" s="183">
        <v>1</v>
      </c>
      <c r="B14" s="184">
        <v>3</v>
      </c>
      <c r="C14" s="185">
        <v>1089</v>
      </c>
      <c r="D14" s="186" t="s">
        <v>658</v>
      </c>
      <c r="E14" s="187">
        <v>1.2</v>
      </c>
      <c r="F14" s="160" t="s">
        <v>751</v>
      </c>
    </row>
    <row r="15" spans="1:6" x14ac:dyDescent="0.25">
      <c r="A15" s="183">
        <v>1</v>
      </c>
      <c r="B15" s="184">
        <v>3</v>
      </c>
      <c r="C15" s="185">
        <v>1090</v>
      </c>
      <c r="D15" s="186" t="s">
        <v>652</v>
      </c>
      <c r="E15" s="187">
        <v>2.1</v>
      </c>
      <c r="F15" s="160" t="s">
        <v>749</v>
      </c>
    </row>
    <row r="16" spans="1:6" x14ac:dyDescent="0.25">
      <c r="A16" s="183">
        <v>1</v>
      </c>
      <c r="B16" s="184">
        <v>3</v>
      </c>
      <c r="C16" s="185">
        <v>1090</v>
      </c>
      <c r="D16" s="186" t="s">
        <v>657</v>
      </c>
      <c r="E16" s="187">
        <v>20.6</v>
      </c>
      <c r="F16" s="160" t="s">
        <v>750</v>
      </c>
    </row>
    <row r="17" spans="1:6" x14ac:dyDescent="0.25">
      <c r="A17" s="183">
        <v>1</v>
      </c>
      <c r="B17" s="184">
        <v>3</v>
      </c>
      <c r="C17" s="185">
        <v>1090</v>
      </c>
      <c r="D17" s="186" t="s">
        <v>642</v>
      </c>
      <c r="E17" s="187">
        <v>1.9</v>
      </c>
      <c r="F17" s="277" t="s">
        <v>746</v>
      </c>
    </row>
    <row r="18" spans="1:6" x14ac:dyDescent="0.25">
      <c r="A18" s="183">
        <v>1</v>
      </c>
      <c r="B18" s="184">
        <v>3</v>
      </c>
      <c r="C18" s="185">
        <v>1090</v>
      </c>
      <c r="D18" s="186" t="s">
        <v>651</v>
      </c>
      <c r="E18" s="187">
        <v>10.6</v>
      </c>
      <c r="F18" s="277" t="s">
        <v>746</v>
      </c>
    </row>
    <row r="19" spans="1:6" x14ac:dyDescent="0.25">
      <c r="A19" s="183">
        <v>1</v>
      </c>
      <c r="B19" s="184">
        <v>3</v>
      </c>
      <c r="C19" s="185">
        <v>1091</v>
      </c>
      <c r="D19" s="186" t="s">
        <v>637</v>
      </c>
      <c r="E19" s="187">
        <v>5.7</v>
      </c>
      <c r="F19" s="160" t="s">
        <v>747</v>
      </c>
    </row>
    <row r="20" spans="1:6" x14ac:dyDescent="0.25">
      <c r="A20" s="183">
        <v>1</v>
      </c>
      <c r="B20" s="184">
        <v>3</v>
      </c>
      <c r="C20" s="185">
        <v>1091</v>
      </c>
      <c r="D20" s="186" t="s">
        <v>638</v>
      </c>
      <c r="E20" s="187">
        <v>10.6</v>
      </c>
      <c r="F20" s="160" t="s">
        <v>749</v>
      </c>
    </row>
    <row r="21" spans="1:6" x14ac:dyDescent="0.25">
      <c r="A21" s="183">
        <v>1</v>
      </c>
      <c r="B21" s="184">
        <v>3</v>
      </c>
      <c r="C21" s="185">
        <v>1091</v>
      </c>
      <c r="D21" s="186" t="s">
        <v>652</v>
      </c>
      <c r="E21" s="187">
        <v>4.2</v>
      </c>
      <c r="F21" s="160" t="s">
        <v>749</v>
      </c>
    </row>
    <row r="22" spans="1:6" x14ac:dyDescent="0.25">
      <c r="A22" s="183">
        <v>1</v>
      </c>
      <c r="B22" s="184">
        <v>3</v>
      </c>
      <c r="C22" s="185">
        <v>1091</v>
      </c>
      <c r="D22" s="186" t="s">
        <v>642</v>
      </c>
      <c r="E22" s="187">
        <v>22.9</v>
      </c>
      <c r="F22" s="277" t="s">
        <v>746</v>
      </c>
    </row>
    <row r="23" spans="1:6" x14ac:dyDescent="0.25">
      <c r="A23" s="183">
        <v>1</v>
      </c>
      <c r="B23" s="184">
        <v>3</v>
      </c>
      <c r="C23" s="185">
        <v>1092</v>
      </c>
      <c r="D23" s="186" t="s">
        <v>645</v>
      </c>
      <c r="E23" s="187">
        <v>10.4</v>
      </c>
      <c r="F23" s="160" t="s">
        <v>747</v>
      </c>
    </row>
    <row r="24" spans="1:6" x14ac:dyDescent="0.25">
      <c r="A24" s="183">
        <v>1</v>
      </c>
      <c r="B24" s="184">
        <v>3</v>
      </c>
      <c r="C24" s="185">
        <v>1092</v>
      </c>
      <c r="D24" s="186" t="s">
        <v>653</v>
      </c>
      <c r="E24" s="187">
        <v>1.9</v>
      </c>
      <c r="F24" s="160" t="s">
        <v>748</v>
      </c>
    </row>
    <row r="25" spans="1:6" x14ac:dyDescent="0.25">
      <c r="A25" s="183">
        <v>1</v>
      </c>
      <c r="B25" s="184">
        <v>3</v>
      </c>
      <c r="C25" s="185">
        <v>1092</v>
      </c>
      <c r="D25" s="186" t="s">
        <v>646</v>
      </c>
      <c r="E25" s="187">
        <v>1</v>
      </c>
      <c r="F25" s="160" t="s">
        <v>750</v>
      </c>
    </row>
    <row r="26" spans="1:6" x14ac:dyDescent="0.25">
      <c r="A26" s="183">
        <v>1</v>
      </c>
      <c r="B26" s="184">
        <v>3</v>
      </c>
      <c r="C26" s="185">
        <v>1092</v>
      </c>
      <c r="D26" s="186" t="s">
        <v>657</v>
      </c>
      <c r="E26" s="187">
        <v>5.2</v>
      </c>
      <c r="F26" s="160" t="s">
        <v>750</v>
      </c>
    </row>
    <row r="27" spans="1:6" ht="26.4" x14ac:dyDescent="0.25">
      <c r="A27" s="183">
        <v>1</v>
      </c>
      <c r="B27" s="184">
        <v>3</v>
      </c>
      <c r="C27" s="185">
        <v>1092</v>
      </c>
      <c r="D27" s="186" t="s">
        <v>658</v>
      </c>
      <c r="E27" s="187">
        <v>0.9</v>
      </c>
      <c r="F27" s="160" t="s">
        <v>751</v>
      </c>
    </row>
    <row r="28" spans="1:6" x14ac:dyDescent="0.25">
      <c r="A28" s="183">
        <v>1</v>
      </c>
      <c r="B28" s="184">
        <v>3</v>
      </c>
      <c r="C28" s="185">
        <v>1092</v>
      </c>
      <c r="D28" s="186" t="s">
        <v>642</v>
      </c>
      <c r="E28" s="187">
        <v>1.9</v>
      </c>
      <c r="F28" s="277" t="s">
        <v>746</v>
      </c>
    </row>
    <row r="29" spans="1:6" x14ac:dyDescent="0.25">
      <c r="A29" s="183">
        <v>1</v>
      </c>
      <c r="B29" s="184">
        <v>3</v>
      </c>
      <c r="C29" s="185">
        <v>1092</v>
      </c>
      <c r="D29" s="186" t="s">
        <v>648</v>
      </c>
      <c r="E29" s="187">
        <v>8.1</v>
      </c>
      <c r="F29" s="277" t="s">
        <v>746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8" customWidth="1"/>
    <col min="2" max="2" width="8.6640625" style="188" customWidth="1"/>
    <col min="3" max="3" width="7.6640625" style="188" customWidth="1"/>
    <col min="4" max="4" width="7.88671875" style="188" customWidth="1"/>
    <col min="5" max="5" width="10.21875" style="188" customWidth="1"/>
    <col min="6" max="6" width="47.5546875" style="189" customWidth="1"/>
    <col min="7" max="16384" width="8.88671875" style="189"/>
  </cols>
  <sheetData>
    <row r="1" spans="1:6" ht="39.6" x14ac:dyDescent="0.25">
      <c r="A1" s="170" t="s">
        <v>252</v>
      </c>
      <c r="B1" s="171" t="s">
        <v>251</v>
      </c>
      <c r="C1" s="172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83">
        <v>2</v>
      </c>
      <c r="B2" s="184">
        <v>1</v>
      </c>
      <c r="C2" s="185">
        <v>2001</v>
      </c>
      <c r="D2" s="186" t="s">
        <v>637</v>
      </c>
      <c r="E2" s="187">
        <v>20</v>
      </c>
      <c r="F2" s="160" t="s">
        <v>747</v>
      </c>
    </row>
    <row r="3" spans="1:6" x14ac:dyDescent="0.25">
      <c r="A3" s="183">
        <v>2</v>
      </c>
      <c r="B3" s="184">
        <v>1</v>
      </c>
      <c r="C3" s="185">
        <v>2001</v>
      </c>
      <c r="D3" s="186" t="s">
        <v>638</v>
      </c>
      <c r="E3" s="187">
        <v>45.3</v>
      </c>
      <c r="F3" s="160" t="s">
        <v>749</v>
      </c>
    </row>
    <row r="4" spans="1:6" x14ac:dyDescent="0.25">
      <c r="A4" s="190">
        <v>2</v>
      </c>
      <c r="B4" s="191">
        <v>1</v>
      </c>
      <c r="C4" s="185">
        <v>2001</v>
      </c>
      <c r="D4" s="192" t="s">
        <v>640</v>
      </c>
      <c r="E4" s="187">
        <v>36.4</v>
      </c>
      <c r="F4" s="279" t="s">
        <v>752</v>
      </c>
    </row>
    <row r="5" spans="1:6" x14ac:dyDescent="0.25">
      <c r="A5" s="190">
        <v>2</v>
      </c>
      <c r="B5" s="191">
        <v>1</v>
      </c>
      <c r="C5" s="185">
        <v>2002</v>
      </c>
      <c r="D5" s="192" t="s">
        <v>637</v>
      </c>
      <c r="E5" s="187">
        <v>10.9</v>
      </c>
      <c r="F5" s="193" t="s">
        <v>747</v>
      </c>
    </row>
    <row r="6" spans="1:6" x14ac:dyDescent="0.25">
      <c r="A6" s="190">
        <v>2</v>
      </c>
      <c r="B6" s="191">
        <v>1</v>
      </c>
      <c r="C6" s="185">
        <v>2002</v>
      </c>
      <c r="D6" s="192" t="s">
        <v>638</v>
      </c>
      <c r="E6" s="187">
        <v>82.6</v>
      </c>
      <c r="F6" s="193" t="s">
        <v>749</v>
      </c>
    </row>
    <row r="7" spans="1:6" x14ac:dyDescent="0.25">
      <c r="A7" s="194">
        <v>2</v>
      </c>
      <c r="B7" s="195">
        <v>1</v>
      </c>
      <c r="C7" s="199">
        <v>2002</v>
      </c>
      <c r="D7" s="196" t="s">
        <v>640</v>
      </c>
      <c r="E7" s="197">
        <v>8.6</v>
      </c>
      <c r="F7" s="279" t="s">
        <v>752</v>
      </c>
    </row>
    <row r="8" spans="1:6" x14ac:dyDescent="0.25">
      <c r="A8" s="190">
        <v>2</v>
      </c>
      <c r="B8" s="191">
        <v>1</v>
      </c>
      <c r="C8" s="185">
        <v>2003</v>
      </c>
      <c r="D8" s="192" t="s">
        <v>637</v>
      </c>
      <c r="E8" s="187">
        <v>12.3</v>
      </c>
      <c r="F8" s="193" t="s">
        <v>747</v>
      </c>
    </row>
    <row r="9" spans="1:6" x14ac:dyDescent="0.25">
      <c r="A9" s="190">
        <v>2</v>
      </c>
      <c r="B9" s="191">
        <v>1</v>
      </c>
      <c r="C9" s="185">
        <v>2003</v>
      </c>
      <c r="D9" s="192" t="s">
        <v>638</v>
      </c>
      <c r="E9" s="187">
        <v>26.2</v>
      </c>
      <c r="F9" s="193" t="s">
        <v>749</v>
      </c>
    </row>
    <row r="10" spans="1:6" x14ac:dyDescent="0.25">
      <c r="A10" s="190">
        <v>2</v>
      </c>
      <c r="B10" s="191">
        <v>1</v>
      </c>
      <c r="C10" s="185">
        <v>2003</v>
      </c>
      <c r="D10" s="192" t="s">
        <v>640</v>
      </c>
      <c r="E10" s="187">
        <v>31.5</v>
      </c>
      <c r="F10" s="279" t="s">
        <v>752</v>
      </c>
    </row>
    <row r="11" spans="1:6" x14ac:dyDescent="0.25">
      <c r="A11" s="194">
        <v>2</v>
      </c>
      <c r="B11" s="195">
        <v>1</v>
      </c>
      <c r="C11" s="199">
        <v>2004</v>
      </c>
      <c r="D11" s="196" t="s">
        <v>637</v>
      </c>
      <c r="E11" s="197">
        <v>10.9</v>
      </c>
      <c r="F11" s="198" t="s">
        <v>747</v>
      </c>
    </row>
    <row r="12" spans="1:6" x14ac:dyDescent="0.25">
      <c r="A12" s="190">
        <v>2</v>
      </c>
      <c r="B12" s="191">
        <v>1</v>
      </c>
      <c r="C12" s="185">
        <v>2004</v>
      </c>
      <c r="D12" s="192" t="s">
        <v>638</v>
      </c>
      <c r="E12" s="187">
        <v>55.5</v>
      </c>
      <c r="F12" s="193" t="s">
        <v>749</v>
      </c>
    </row>
    <row r="13" spans="1:6" x14ac:dyDescent="0.25">
      <c r="A13" s="190">
        <v>2</v>
      </c>
      <c r="B13" s="191">
        <v>1</v>
      </c>
      <c r="C13" s="185">
        <v>2004</v>
      </c>
      <c r="D13" s="192" t="s">
        <v>640</v>
      </c>
      <c r="E13" s="187">
        <v>33.799999999999997</v>
      </c>
      <c r="F13" s="279" t="s">
        <v>752</v>
      </c>
    </row>
    <row r="14" spans="1:6" x14ac:dyDescent="0.25">
      <c r="A14" s="190">
        <v>2</v>
      </c>
      <c r="B14" s="191">
        <v>1</v>
      </c>
      <c r="C14" s="185">
        <v>2005</v>
      </c>
      <c r="D14" s="192" t="s">
        <v>637</v>
      </c>
      <c r="E14" s="187">
        <v>15.9</v>
      </c>
      <c r="F14" s="193" t="s">
        <v>747</v>
      </c>
    </row>
    <row r="15" spans="1:6" x14ac:dyDescent="0.25">
      <c r="A15" s="194">
        <v>2</v>
      </c>
      <c r="B15" s="195">
        <v>1</v>
      </c>
      <c r="C15" s="199">
        <v>2005</v>
      </c>
      <c r="D15" s="196" t="s">
        <v>638</v>
      </c>
      <c r="E15" s="197">
        <v>47.1</v>
      </c>
      <c r="F15" s="198" t="s">
        <v>749</v>
      </c>
    </row>
    <row r="16" spans="1:6" x14ac:dyDescent="0.25">
      <c r="A16" s="190">
        <v>2</v>
      </c>
      <c r="B16" s="191">
        <v>1</v>
      </c>
      <c r="C16" s="185">
        <v>2005</v>
      </c>
      <c r="D16" s="192" t="s">
        <v>640</v>
      </c>
      <c r="E16" s="187">
        <v>38.5</v>
      </c>
      <c r="F16" s="279" t="s">
        <v>752</v>
      </c>
    </row>
    <row r="17" spans="1:6" x14ac:dyDescent="0.25">
      <c r="A17" s="190">
        <v>2</v>
      </c>
      <c r="B17" s="191">
        <v>1</v>
      </c>
      <c r="C17" s="185">
        <v>2006</v>
      </c>
      <c r="D17" s="192" t="s">
        <v>637</v>
      </c>
      <c r="E17" s="187">
        <v>15.6</v>
      </c>
      <c r="F17" s="193" t="s">
        <v>747</v>
      </c>
    </row>
    <row r="18" spans="1:6" x14ac:dyDescent="0.25">
      <c r="A18" s="190">
        <v>2</v>
      </c>
      <c r="B18" s="191">
        <v>1</v>
      </c>
      <c r="C18" s="185">
        <v>2006</v>
      </c>
      <c r="D18" s="192" t="s">
        <v>638</v>
      </c>
      <c r="E18" s="187">
        <v>49.5</v>
      </c>
      <c r="F18" s="193" t="s">
        <v>749</v>
      </c>
    </row>
    <row r="19" spans="1:6" x14ac:dyDescent="0.25">
      <c r="A19" s="194">
        <v>2</v>
      </c>
      <c r="B19" s="195">
        <v>1</v>
      </c>
      <c r="C19" s="199">
        <v>2006</v>
      </c>
      <c r="D19" s="196" t="s">
        <v>640</v>
      </c>
      <c r="E19" s="197">
        <v>65.7</v>
      </c>
      <c r="F19" s="279" t="s">
        <v>752</v>
      </c>
    </row>
    <row r="20" spans="1:6" x14ac:dyDescent="0.25">
      <c r="A20" s="190">
        <v>2</v>
      </c>
      <c r="B20" s="191">
        <v>1</v>
      </c>
      <c r="C20" s="185">
        <v>2009</v>
      </c>
      <c r="D20" s="192" t="s">
        <v>645</v>
      </c>
      <c r="E20" s="187">
        <v>16.100000000000001</v>
      </c>
      <c r="F20" s="193" t="s">
        <v>747</v>
      </c>
    </row>
    <row r="21" spans="1:6" x14ac:dyDescent="0.25">
      <c r="A21" s="190">
        <v>2</v>
      </c>
      <c r="B21" s="191">
        <v>1</v>
      </c>
      <c r="C21" s="185">
        <v>2009</v>
      </c>
      <c r="D21" s="192" t="s">
        <v>651</v>
      </c>
      <c r="E21" s="187">
        <v>14.9</v>
      </c>
      <c r="F21" s="193" t="s">
        <v>745</v>
      </c>
    </row>
    <row r="22" spans="1:6" x14ac:dyDescent="0.25">
      <c r="A22" s="190">
        <v>2</v>
      </c>
      <c r="B22" s="191">
        <v>1</v>
      </c>
      <c r="C22" s="185">
        <v>2011</v>
      </c>
      <c r="D22" s="192" t="s">
        <v>644</v>
      </c>
      <c r="E22" s="187">
        <v>6.1</v>
      </c>
      <c r="F22" s="193" t="s">
        <v>747</v>
      </c>
    </row>
    <row r="23" spans="1:6" x14ac:dyDescent="0.25">
      <c r="A23" s="194">
        <v>2</v>
      </c>
      <c r="B23" s="195">
        <v>1</v>
      </c>
      <c r="C23" s="199">
        <v>2011</v>
      </c>
      <c r="D23" s="196" t="s">
        <v>645</v>
      </c>
      <c r="E23" s="197">
        <v>2.5</v>
      </c>
      <c r="F23" s="198" t="s">
        <v>747</v>
      </c>
    </row>
    <row r="24" spans="1:6" x14ac:dyDescent="0.25">
      <c r="A24" s="190">
        <v>2</v>
      </c>
      <c r="B24" s="191">
        <v>1</v>
      </c>
      <c r="C24" s="185">
        <v>2011</v>
      </c>
      <c r="D24" s="192" t="s">
        <v>652</v>
      </c>
      <c r="E24" s="187">
        <v>19.5</v>
      </c>
      <c r="F24" s="193" t="s">
        <v>749</v>
      </c>
    </row>
    <row r="25" spans="1:6" x14ac:dyDescent="0.25">
      <c r="A25" s="190">
        <v>2</v>
      </c>
      <c r="B25" s="191">
        <v>1</v>
      </c>
      <c r="C25" s="185">
        <v>2011</v>
      </c>
      <c r="D25" s="192" t="s">
        <v>648</v>
      </c>
      <c r="E25" s="187">
        <v>3.1</v>
      </c>
      <c r="F25" s="193" t="s">
        <v>745</v>
      </c>
    </row>
    <row r="26" spans="1:6" x14ac:dyDescent="0.25">
      <c r="A26" s="194">
        <v>2</v>
      </c>
      <c r="B26" s="195">
        <v>1</v>
      </c>
      <c r="C26" s="199">
        <v>2014</v>
      </c>
      <c r="D26" s="196" t="s">
        <v>637</v>
      </c>
      <c r="E26" s="197">
        <v>51.5</v>
      </c>
      <c r="F26" s="198" t="s">
        <v>747</v>
      </c>
    </row>
    <row r="27" spans="1:6" x14ac:dyDescent="0.25">
      <c r="A27" s="190">
        <v>2</v>
      </c>
      <c r="B27" s="191">
        <v>1</v>
      </c>
      <c r="C27" s="185">
        <v>2014</v>
      </c>
      <c r="D27" s="192" t="s">
        <v>638</v>
      </c>
      <c r="E27" s="187">
        <v>84.2</v>
      </c>
      <c r="F27" s="193" t="s">
        <v>749</v>
      </c>
    </row>
    <row r="28" spans="1:6" x14ac:dyDescent="0.25">
      <c r="A28" s="194">
        <v>2</v>
      </c>
      <c r="B28" s="195">
        <v>1</v>
      </c>
      <c r="C28" s="199">
        <v>2014</v>
      </c>
      <c r="D28" s="196" t="s">
        <v>640</v>
      </c>
      <c r="E28" s="197">
        <v>92.2</v>
      </c>
      <c r="F28" s="279" t="s">
        <v>752</v>
      </c>
    </row>
    <row r="29" spans="1:6" x14ac:dyDescent="0.25">
      <c r="A29" s="190">
        <v>2</v>
      </c>
      <c r="B29" s="191">
        <v>1</v>
      </c>
      <c r="C29" s="185">
        <v>2015</v>
      </c>
      <c r="D29" s="192" t="s">
        <v>637</v>
      </c>
      <c r="E29" s="187">
        <v>79.599999999999994</v>
      </c>
      <c r="F29" s="193" t="s">
        <v>747</v>
      </c>
    </row>
    <row r="30" spans="1:6" x14ac:dyDescent="0.25">
      <c r="A30" s="190">
        <v>2</v>
      </c>
      <c r="B30" s="191">
        <v>1</v>
      </c>
      <c r="C30" s="185">
        <v>2015</v>
      </c>
      <c r="D30" s="192" t="s">
        <v>638</v>
      </c>
      <c r="E30" s="187">
        <v>164.4</v>
      </c>
      <c r="F30" s="193" t="s">
        <v>749</v>
      </c>
    </row>
    <row r="31" spans="1:6" x14ac:dyDescent="0.25">
      <c r="A31" s="194">
        <v>2</v>
      </c>
      <c r="B31" s="195">
        <v>1</v>
      </c>
      <c r="C31" s="199">
        <v>2015</v>
      </c>
      <c r="D31" s="196" t="s">
        <v>640</v>
      </c>
      <c r="E31" s="197">
        <v>45.8</v>
      </c>
      <c r="F31" s="279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88" customWidth="1"/>
    <col min="2" max="2" width="8.6640625" style="188" customWidth="1"/>
    <col min="3" max="3" width="7.6640625" style="188" customWidth="1"/>
    <col min="4" max="4" width="7.88671875" style="188" customWidth="1"/>
    <col min="5" max="5" width="10.21875" style="188" customWidth="1"/>
    <col min="6" max="6" width="47.5546875" style="189" customWidth="1"/>
    <col min="7" max="16384" width="8.88671875" style="189"/>
  </cols>
  <sheetData>
    <row r="1" spans="1:6" ht="39.6" x14ac:dyDescent="0.25">
      <c r="A1" s="170" t="s">
        <v>252</v>
      </c>
      <c r="B1" s="171" t="s">
        <v>251</v>
      </c>
      <c r="C1" s="172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90">
        <v>2</v>
      </c>
      <c r="B2" s="191">
        <v>3</v>
      </c>
      <c r="C2" s="201">
        <v>2034</v>
      </c>
      <c r="D2" s="192" t="s">
        <v>637</v>
      </c>
      <c r="E2" s="187">
        <v>15.6</v>
      </c>
      <c r="F2" s="193" t="s">
        <v>747</v>
      </c>
    </row>
    <row r="3" spans="1:6" x14ac:dyDescent="0.25">
      <c r="A3" s="194">
        <v>2</v>
      </c>
      <c r="B3" s="195">
        <v>3</v>
      </c>
      <c r="C3" s="202">
        <v>2034</v>
      </c>
      <c r="D3" s="196" t="s">
        <v>638</v>
      </c>
      <c r="E3" s="197">
        <v>95.5</v>
      </c>
      <c r="F3" s="198" t="s">
        <v>749</v>
      </c>
    </row>
    <row r="4" spans="1:6" x14ac:dyDescent="0.25">
      <c r="A4" s="190">
        <v>2</v>
      </c>
      <c r="B4" s="191">
        <v>3</v>
      </c>
      <c r="C4" s="201">
        <v>2034</v>
      </c>
      <c r="D4" s="192" t="s">
        <v>640</v>
      </c>
      <c r="E4" s="187">
        <v>8.3000000000000007</v>
      </c>
      <c r="F4" s="279" t="s">
        <v>752</v>
      </c>
    </row>
    <row r="5" spans="1:6" x14ac:dyDescent="0.25">
      <c r="A5" s="190">
        <v>2</v>
      </c>
      <c r="B5" s="191">
        <v>3</v>
      </c>
      <c r="C5" s="201">
        <v>2035</v>
      </c>
      <c r="D5" s="192" t="s">
        <v>637</v>
      </c>
      <c r="E5" s="187">
        <v>20.3</v>
      </c>
      <c r="F5" s="193" t="s">
        <v>747</v>
      </c>
    </row>
    <row r="6" spans="1:6" x14ac:dyDescent="0.25">
      <c r="A6" s="190">
        <v>2</v>
      </c>
      <c r="B6" s="191">
        <v>3</v>
      </c>
      <c r="C6" s="201">
        <v>2035</v>
      </c>
      <c r="D6" s="192" t="s">
        <v>638</v>
      </c>
      <c r="E6" s="187">
        <v>42.6</v>
      </c>
      <c r="F6" s="193" t="s">
        <v>749</v>
      </c>
    </row>
    <row r="7" spans="1:6" x14ac:dyDescent="0.25">
      <c r="A7" s="194">
        <v>2</v>
      </c>
      <c r="B7" s="195">
        <v>3</v>
      </c>
      <c r="C7" s="202">
        <v>2035</v>
      </c>
      <c r="D7" s="196" t="s">
        <v>640</v>
      </c>
      <c r="E7" s="197">
        <v>1.4</v>
      </c>
      <c r="F7" s="279" t="s">
        <v>752</v>
      </c>
    </row>
    <row r="8" spans="1:6" x14ac:dyDescent="0.25">
      <c r="A8" s="190">
        <v>2</v>
      </c>
      <c r="B8" s="191">
        <v>3</v>
      </c>
      <c r="C8" s="201">
        <v>2042</v>
      </c>
      <c r="D8" s="192" t="s">
        <v>657</v>
      </c>
      <c r="E8" s="187">
        <v>22.7</v>
      </c>
      <c r="F8" s="193" t="s">
        <v>750</v>
      </c>
    </row>
    <row r="9" spans="1:6" x14ac:dyDescent="0.25">
      <c r="A9" s="190">
        <v>2</v>
      </c>
      <c r="B9" s="191">
        <v>3</v>
      </c>
      <c r="C9" s="201">
        <v>2042</v>
      </c>
      <c r="D9" s="192" t="s">
        <v>642</v>
      </c>
      <c r="E9" s="187">
        <v>1.9</v>
      </c>
      <c r="F9" s="193" t="s">
        <v>745</v>
      </c>
    </row>
    <row r="10" spans="1:6" x14ac:dyDescent="0.25">
      <c r="A10" s="194">
        <v>2</v>
      </c>
      <c r="B10" s="195">
        <v>3</v>
      </c>
      <c r="C10" s="202">
        <v>2042</v>
      </c>
      <c r="D10" s="196" t="s">
        <v>651</v>
      </c>
      <c r="E10" s="197">
        <v>10.7</v>
      </c>
      <c r="F10" s="198" t="s">
        <v>745</v>
      </c>
    </row>
    <row r="11" spans="1:6" x14ac:dyDescent="0.25">
      <c r="A11" s="190">
        <v>2</v>
      </c>
      <c r="B11" s="191">
        <v>3</v>
      </c>
      <c r="C11" s="201">
        <v>2043</v>
      </c>
      <c r="D11" s="192" t="s">
        <v>638</v>
      </c>
      <c r="E11" s="187">
        <v>17.8</v>
      </c>
      <c r="F11" s="193" t="s">
        <v>749</v>
      </c>
    </row>
    <row r="12" spans="1:6" x14ac:dyDescent="0.25">
      <c r="A12" s="190">
        <v>2</v>
      </c>
      <c r="B12" s="191">
        <v>3</v>
      </c>
      <c r="C12" s="201">
        <v>2043</v>
      </c>
      <c r="D12" s="192" t="s">
        <v>648</v>
      </c>
      <c r="E12" s="187">
        <v>9.3000000000000007</v>
      </c>
      <c r="F12" s="193" t="s">
        <v>745</v>
      </c>
    </row>
    <row r="13" spans="1:6" x14ac:dyDescent="0.25">
      <c r="A13" s="190">
        <v>2</v>
      </c>
      <c r="B13" s="191">
        <v>3</v>
      </c>
      <c r="C13" s="201">
        <v>2045</v>
      </c>
      <c r="D13" s="192" t="s">
        <v>645</v>
      </c>
      <c r="E13" s="187">
        <v>8.9</v>
      </c>
      <c r="F13" s="193" t="s">
        <v>747</v>
      </c>
    </row>
    <row r="14" spans="1:6" x14ac:dyDescent="0.25">
      <c r="A14" s="194">
        <v>2</v>
      </c>
      <c r="B14" s="195">
        <v>3</v>
      </c>
      <c r="C14" s="202">
        <v>2045</v>
      </c>
      <c r="D14" s="196" t="s">
        <v>652</v>
      </c>
      <c r="E14" s="197">
        <v>4.3</v>
      </c>
      <c r="F14" s="198" t="s">
        <v>749</v>
      </c>
    </row>
    <row r="15" spans="1:6" ht="26.4" x14ac:dyDescent="0.25">
      <c r="A15" s="190">
        <v>2</v>
      </c>
      <c r="B15" s="191">
        <v>3</v>
      </c>
      <c r="C15" s="201">
        <v>2045</v>
      </c>
      <c r="D15" s="192" t="s">
        <v>658</v>
      </c>
      <c r="E15" s="187">
        <v>1.2</v>
      </c>
      <c r="F15" s="193" t="s">
        <v>751</v>
      </c>
    </row>
    <row r="16" spans="1:6" x14ac:dyDescent="0.25">
      <c r="A16" s="190">
        <v>2</v>
      </c>
      <c r="B16" s="191">
        <v>3</v>
      </c>
      <c r="C16" s="201">
        <v>2046</v>
      </c>
      <c r="D16" s="192" t="s">
        <v>637</v>
      </c>
      <c r="E16" s="187">
        <v>5.7</v>
      </c>
      <c r="F16" s="193" t="s">
        <v>747</v>
      </c>
    </row>
    <row r="17" spans="1:6" x14ac:dyDescent="0.25">
      <c r="A17" s="190">
        <v>2</v>
      </c>
      <c r="B17" s="191">
        <v>3</v>
      </c>
      <c r="C17" s="201">
        <v>2046</v>
      </c>
      <c r="D17" s="192" t="s">
        <v>638</v>
      </c>
      <c r="E17" s="187">
        <v>14.7</v>
      </c>
      <c r="F17" s="193" t="s">
        <v>749</v>
      </c>
    </row>
    <row r="18" spans="1:6" x14ac:dyDescent="0.25">
      <c r="A18" s="190">
        <v>2</v>
      </c>
      <c r="B18" s="191">
        <v>3</v>
      </c>
      <c r="C18" s="201">
        <v>2046</v>
      </c>
      <c r="D18" s="192" t="s">
        <v>642</v>
      </c>
      <c r="E18" s="187">
        <v>22.9</v>
      </c>
      <c r="F18" s="280" t="s">
        <v>745</v>
      </c>
    </row>
    <row r="19" spans="1:6" x14ac:dyDescent="0.25">
      <c r="A19" s="194">
        <v>2</v>
      </c>
      <c r="B19" s="195">
        <v>3</v>
      </c>
      <c r="C19" s="202">
        <v>2047</v>
      </c>
      <c r="D19" s="196" t="s">
        <v>638</v>
      </c>
      <c r="E19" s="197">
        <v>75.599999999999994</v>
      </c>
      <c r="F19" s="198" t="s">
        <v>749</v>
      </c>
    </row>
    <row r="20" spans="1:6" x14ac:dyDescent="0.25">
      <c r="A20" s="190">
        <v>2</v>
      </c>
      <c r="B20" s="191">
        <v>3</v>
      </c>
      <c r="C20" s="201">
        <v>2048</v>
      </c>
      <c r="D20" s="192" t="s">
        <v>652</v>
      </c>
      <c r="E20" s="187">
        <v>3.1</v>
      </c>
      <c r="F20" s="193" t="s">
        <v>749</v>
      </c>
    </row>
    <row r="21" spans="1:6" x14ac:dyDescent="0.25">
      <c r="A21" s="190">
        <v>2</v>
      </c>
      <c r="B21" s="191">
        <v>3</v>
      </c>
      <c r="C21" s="201">
        <v>2048</v>
      </c>
      <c r="D21" s="192" t="s">
        <v>648</v>
      </c>
      <c r="E21" s="187">
        <v>11</v>
      </c>
      <c r="F21" s="193" t="s">
        <v>745</v>
      </c>
    </row>
    <row r="22" spans="1:6" x14ac:dyDescent="0.25">
      <c r="A22" s="194">
        <v>2</v>
      </c>
      <c r="B22" s="195">
        <v>3</v>
      </c>
      <c r="C22" s="202">
        <v>2049</v>
      </c>
      <c r="D22" s="196" t="s">
        <v>645</v>
      </c>
      <c r="E22" s="197">
        <v>10.4</v>
      </c>
      <c r="F22" s="198" t="s">
        <v>747</v>
      </c>
    </row>
    <row r="23" spans="1:6" x14ac:dyDescent="0.25">
      <c r="A23" s="190">
        <v>2</v>
      </c>
      <c r="B23" s="191">
        <v>3</v>
      </c>
      <c r="C23" s="201">
        <v>2049</v>
      </c>
      <c r="D23" s="192" t="s">
        <v>638</v>
      </c>
      <c r="E23" s="187">
        <v>5.2</v>
      </c>
      <c r="F23" s="193" t="s">
        <v>749</v>
      </c>
    </row>
    <row r="24" spans="1:6" x14ac:dyDescent="0.25">
      <c r="A24" s="190">
        <v>2</v>
      </c>
      <c r="B24" s="191">
        <v>3</v>
      </c>
      <c r="C24" s="201">
        <v>2049</v>
      </c>
      <c r="D24" s="192" t="s">
        <v>642</v>
      </c>
      <c r="E24" s="187">
        <v>1.9</v>
      </c>
      <c r="F24" s="193" t="s">
        <v>745</v>
      </c>
    </row>
    <row r="25" spans="1:6" x14ac:dyDescent="0.25">
      <c r="A25" s="190">
        <v>2</v>
      </c>
      <c r="B25" s="191">
        <v>3</v>
      </c>
      <c r="C25" s="201">
        <v>2049</v>
      </c>
      <c r="D25" s="192" t="s">
        <v>648</v>
      </c>
      <c r="E25" s="187">
        <v>8.1</v>
      </c>
      <c r="F25" s="193" t="s">
        <v>745</v>
      </c>
    </row>
    <row r="26" spans="1:6" x14ac:dyDescent="0.25">
      <c r="A26" s="194">
        <v>2</v>
      </c>
      <c r="B26" s="195">
        <v>3</v>
      </c>
      <c r="C26" s="202" t="s">
        <v>664</v>
      </c>
      <c r="D26" s="196" t="s">
        <v>637</v>
      </c>
      <c r="E26" s="197">
        <v>30.2</v>
      </c>
      <c r="F26" s="198" t="s">
        <v>747</v>
      </c>
    </row>
    <row r="27" spans="1:6" x14ac:dyDescent="0.25">
      <c r="A27" s="190">
        <v>2</v>
      </c>
      <c r="B27" s="191">
        <v>3</v>
      </c>
      <c r="C27" s="201" t="s">
        <v>664</v>
      </c>
      <c r="D27" s="192" t="s">
        <v>638</v>
      </c>
      <c r="E27" s="187">
        <v>189.4</v>
      </c>
      <c r="F27" s="193" t="s">
        <v>749</v>
      </c>
    </row>
    <row r="28" spans="1:6" x14ac:dyDescent="0.25">
      <c r="A28" s="190">
        <v>2</v>
      </c>
      <c r="B28" s="191">
        <v>3</v>
      </c>
      <c r="C28" s="201" t="s">
        <v>664</v>
      </c>
      <c r="D28" s="192" t="s">
        <v>640</v>
      </c>
      <c r="E28" s="187">
        <v>29.8</v>
      </c>
      <c r="F28" s="279" t="s">
        <v>752</v>
      </c>
    </row>
    <row r="29" spans="1:6" x14ac:dyDescent="0.25">
      <c r="A29" s="194">
        <v>2</v>
      </c>
      <c r="B29" s="195">
        <v>3</v>
      </c>
      <c r="C29" s="202" t="s">
        <v>665</v>
      </c>
      <c r="D29" s="196" t="s">
        <v>637</v>
      </c>
      <c r="E29" s="197">
        <v>14.6</v>
      </c>
      <c r="F29" s="198" t="s">
        <v>747</v>
      </c>
    </row>
    <row r="30" spans="1:6" x14ac:dyDescent="0.25">
      <c r="A30" s="190">
        <v>2</v>
      </c>
      <c r="B30" s="191">
        <v>3</v>
      </c>
      <c r="C30" s="201" t="s">
        <v>665</v>
      </c>
      <c r="D30" s="192" t="s">
        <v>638</v>
      </c>
      <c r="E30" s="187">
        <v>42.6</v>
      </c>
      <c r="F30" s="193" t="s">
        <v>749</v>
      </c>
    </row>
    <row r="31" spans="1:6" x14ac:dyDescent="0.25">
      <c r="A31" s="194">
        <v>2</v>
      </c>
      <c r="B31" s="195">
        <v>3</v>
      </c>
      <c r="C31" s="202" t="s">
        <v>665</v>
      </c>
      <c r="D31" s="196" t="s">
        <v>640</v>
      </c>
      <c r="E31" s="197">
        <v>53.7</v>
      </c>
      <c r="F31" s="279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9"/>
  <sheetViews>
    <sheetView workbookViewId="0"/>
  </sheetViews>
  <sheetFormatPr defaultRowHeight="13.2" x14ac:dyDescent="0.25"/>
  <cols>
    <col min="1" max="1" width="7" style="188" customWidth="1"/>
    <col min="2" max="2" width="8.6640625" style="188" customWidth="1"/>
    <col min="3" max="3" width="7.6640625" style="188" customWidth="1"/>
    <col min="4" max="4" width="7.88671875" style="188" customWidth="1"/>
    <col min="5" max="5" width="10.21875" style="188" customWidth="1"/>
    <col min="6" max="6" width="47.5546875" style="189" customWidth="1"/>
    <col min="7" max="16384" width="8.88671875" style="189"/>
  </cols>
  <sheetData>
    <row r="1" spans="1:6" ht="39.6" x14ac:dyDescent="0.25">
      <c r="A1" s="170" t="s">
        <v>252</v>
      </c>
      <c r="B1" s="171" t="s">
        <v>251</v>
      </c>
      <c r="C1" s="172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94">
        <v>3</v>
      </c>
      <c r="B2" s="195">
        <v>1</v>
      </c>
      <c r="C2" s="199">
        <v>3011</v>
      </c>
      <c r="D2" s="196" t="s">
        <v>645</v>
      </c>
      <c r="E2" s="197">
        <v>16.100000000000001</v>
      </c>
      <c r="F2" s="198" t="s">
        <v>747</v>
      </c>
    </row>
    <row r="3" spans="1:6" x14ac:dyDescent="0.25">
      <c r="A3" s="190">
        <v>3</v>
      </c>
      <c r="B3" s="191">
        <v>1</v>
      </c>
      <c r="C3" s="185">
        <v>3011</v>
      </c>
      <c r="D3" s="192" t="s">
        <v>651</v>
      </c>
      <c r="E3" s="187">
        <v>14.9</v>
      </c>
      <c r="F3" s="279" t="s">
        <v>745</v>
      </c>
    </row>
    <row r="4" spans="1:6" x14ac:dyDescent="0.25">
      <c r="A4" s="190">
        <v>3</v>
      </c>
      <c r="B4" s="191">
        <v>1</v>
      </c>
      <c r="C4" s="185">
        <v>3016</v>
      </c>
      <c r="D4" s="192" t="s">
        <v>637</v>
      </c>
      <c r="E4" s="187">
        <v>54.6</v>
      </c>
      <c r="F4" s="193" t="s">
        <v>747</v>
      </c>
    </row>
    <row r="5" spans="1:6" x14ac:dyDescent="0.25">
      <c r="A5" s="194">
        <v>3</v>
      </c>
      <c r="B5" s="195">
        <v>1</v>
      </c>
      <c r="C5" s="199">
        <v>3016</v>
      </c>
      <c r="D5" s="196" t="s">
        <v>638</v>
      </c>
      <c r="E5" s="197">
        <v>25.8</v>
      </c>
      <c r="F5" s="198" t="s">
        <v>749</v>
      </c>
    </row>
    <row r="6" spans="1:6" x14ac:dyDescent="0.25">
      <c r="A6" s="194">
        <v>3</v>
      </c>
      <c r="B6" s="195">
        <v>1</v>
      </c>
      <c r="C6" s="199">
        <v>3016</v>
      </c>
      <c r="D6" s="196" t="s">
        <v>640</v>
      </c>
      <c r="E6" s="197">
        <v>97</v>
      </c>
      <c r="F6" s="279" t="s">
        <v>752</v>
      </c>
    </row>
    <row r="7" spans="1:6" x14ac:dyDescent="0.25">
      <c r="A7" s="190">
        <v>3</v>
      </c>
      <c r="B7" s="191">
        <v>1</v>
      </c>
      <c r="C7" s="185">
        <v>3017</v>
      </c>
      <c r="D7" s="192" t="s">
        <v>637</v>
      </c>
      <c r="E7" s="187">
        <v>99</v>
      </c>
      <c r="F7" s="193" t="s">
        <v>747</v>
      </c>
    </row>
    <row r="8" spans="1:6" x14ac:dyDescent="0.25">
      <c r="A8" s="190">
        <v>3</v>
      </c>
      <c r="B8" s="191">
        <v>1</v>
      </c>
      <c r="C8" s="185">
        <v>3017</v>
      </c>
      <c r="D8" s="192" t="s">
        <v>638</v>
      </c>
      <c r="E8" s="187">
        <v>67</v>
      </c>
      <c r="F8" s="193" t="s">
        <v>749</v>
      </c>
    </row>
    <row r="9" spans="1:6" x14ac:dyDescent="0.25">
      <c r="A9" s="194">
        <v>3</v>
      </c>
      <c r="B9" s="195">
        <v>1</v>
      </c>
      <c r="C9" s="199">
        <v>3017</v>
      </c>
      <c r="D9" s="196" t="s">
        <v>640</v>
      </c>
      <c r="E9" s="197">
        <v>46.2</v>
      </c>
      <c r="F9" s="279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5"/>
  <sheetViews>
    <sheetView workbookViewId="0"/>
  </sheetViews>
  <sheetFormatPr defaultRowHeight="13.2" x14ac:dyDescent="0.25"/>
  <cols>
    <col min="1" max="1" width="7" style="188" customWidth="1"/>
    <col min="2" max="2" width="8.6640625" style="188" customWidth="1"/>
    <col min="3" max="3" width="7.6640625" style="188" customWidth="1"/>
    <col min="4" max="4" width="7.88671875" style="188" customWidth="1"/>
    <col min="5" max="5" width="10.21875" style="188" customWidth="1"/>
    <col min="6" max="6" width="47.5546875" style="189" customWidth="1"/>
    <col min="7" max="16384" width="8.88671875" style="189"/>
  </cols>
  <sheetData>
    <row r="1" spans="1:6" ht="39.6" x14ac:dyDescent="0.25">
      <c r="A1" s="170" t="s">
        <v>252</v>
      </c>
      <c r="B1" s="171" t="s">
        <v>251</v>
      </c>
      <c r="C1" s="200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90">
        <v>3</v>
      </c>
      <c r="B2" s="191">
        <v>3</v>
      </c>
      <c r="C2" s="201">
        <v>3040</v>
      </c>
      <c r="D2" s="192" t="s">
        <v>637</v>
      </c>
      <c r="E2" s="187">
        <v>19.899999999999999</v>
      </c>
      <c r="F2" s="193" t="s">
        <v>754</v>
      </c>
    </row>
    <row r="3" spans="1:6" x14ac:dyDescent="0.25">
      <c r="A3" s="194">
        <v>3</v>
      </c>
      <c r="B3" s="195">
        <v>3</v>
      </c>
      <c r="C3" s="202">
        <v>3040</v>
      </c>
      <c r="D3" s="196" t="s">
        <v>638</v>
      </c>
      <c r="E3" s="197">
        <v>82.3</v>
      </c>
      <c r="F3" s="198" t="s">
        <v>753</v>
      </c>
    </row>
    <row r="4" spans="1:6" x14ac:dyDescent="0.25">
      <c r="A4" s="190">
        <v>3</v>
      </c>
      <c r="B4" s="191">
        <v>3</v>
      </c>
      <c r="C4" s="201">
        <v>3040</v>
      </c>
      <c r="D4" s="192" t="s">
        <v>640</v>
      </c>
      <c r="E4" s="187">
        <v>4.5</v>
      </c>
      <c r="F4" s="280" t="s">
        <v>752</v>
      </c>
    </row>
    <row r="5" spans="1:6" x14ac:dyDescent="0.25">
      <c r="A5" s="190">
        <v>3</v>
      </c>
      <c r="B5" s="191">
        <v>3</v>
      </c>
      <c r="C5" s="201">
        <v>3041</v>
      </c>
      <c r="D5" s="192" t="s">
        <v>637</v>
      </c>
      <c r="E5" s="187">
        <v>25.1</v>
      </c>
      <c r="F5" s="193" t="s">
        <v>754</v>
      </c>
    </row>
    <row r="6" spans="1:6" x14ac:dyDescent="0.25">
      <c r="A6" s="190">
        <v>3</v>
      </c>
      <c r="B6" s="191">
        <v>3</v>
      </c>
      <c r="C6" s="201">
        <v>3041</v>
      </c>
      <c r="D6" s="192" t="s">
        <v>638</v>
      </c>
      <c r="E6" s="187">
        <v>36</v>
      </c>
      <c r="F6" s="198" t="s">
        <v>753</v>
      </c>
    </row>
    <row r="7" spans="1:6" x14ac:dyDescent="0.25">
      <c r="A7" s="194">
        <v>3</v>
      </c>
      <c r="B7" s="195">
        <v>3</v>
      </c>
      <c r="C7" s="202">
        <v>3041</v>
      </c>
      <c r="D7" s="196" t="s">
        <v>640</v>
      </c>
      <c r="E7" s="197">
        <v>1.5</v>
      </c>
      <c r="F7" s="198" t="s">
        <v>752</v>
      </c>
    </row>
    <row r="8" spans="1:6" x14ac:dyDescent="0.25">
      <c r="A8" s="190">
        <v>3</v>
      </c>
      <c r="B8" s="191">
        <v>3</v>
      </c>
      <c r="C8" s="201">
        <v>3046</v>
      </c>
      <c r="D8" s="192" t="s">
        <v>637</v>
      </c>
      <c r="E8" s="187">
        <v>21.8</v>
      </c>
      <c r="F8" s="193" t="s">
        <v>754</v>
      </c>
    </row>
    <row r="9" spans="1:6" x14ac:dyDescent="0.25">
      <c r="A9" s="190">
        <v>3</v>
      </c>
      <c r="B9" s="191">
        <v>3</v>
      </c>
      <c r="C9" s="201">
        <v>3046</v>
      </c>
      <c r="D9" s="192" t="s">
        <v>638</v>
      </c>
      <c r="E9" s="187">
        <v>91.8</v>
      </c>
      <c r="F9" s="198" t="s">
        <v>753</v>
      </c>
    </row>
    <row r="10" spans="1:6" x14ac:dyDescent="0.25">
      <c r="A10" s="190">
        <v>3</v>
      </c>
      <c r="B10" s="191">
        <v>3</v>
      </c>
      <c r="C10" s="201">
        <v>3046</v>
      </c>
      <c r="D10" s="192" t="s">
        <v>640</v>
      </c>
      <c r="E10" s="187">
        <v>10.7</v>
      </c>
      <c r="F10" s="193" t="s">
        <v>752</v>
      </c>
    </row>
    <row r="11" spans="1:6" x14ac:dyDescent="0.25">
      <c r="A11" s="194">
        <v>3</v>
      </c>
      <c r="B11" s="195">
        <v>3</v>
      </c>
      <c r="C11" s="202">
        <v>3047</v>
      </c>
      <c r="D11" s="196" t="s">
        <v>637</v>
      </c>
      <c r="E11" s="197">
        <v>16.5</v>
      </c>
      <c r="F11" s="193" t="s">
        <v>754</v>
      </c>
    </row>
    <row r="12" spans="1:6" x14ac:dyDescent="0.25">
      <c r="A12" s="190">
        <v>3</v>
      </c>
      <c r="B12" s="191">
        <v>3</v>
      </c>
      <c r="C12" s="201">
        <v>3047</v>
      </c>
      <c r="D12" s="192" t="s">
        <v>638</v>
      </c>
      <c r="E12" s="187">
        <v>105.1</v>
      </c>
      <c r="F12" s="198" t="s">
        <v>753</v>
      </c>
    </row>
    <row r="13" spans="1:6" x14ac:dyDescent="0.25">
      <c r="A13" s="190">
        <v>3</v>
      </c>
      <c r="B13" s="191">
        <v>3</v>
      </c>
      <c r="C13" s="201">
        <v>3047</v>
      </c>
      <c r="D13" s="192" t="s">
        <v>640</v>
      </c>
      <c r="E13" s="187">
        <v>43.3</v>
      </c>
      <c r="F13" s="193" t="s">
        <v>752</v>
      </c>
    </row>
    <row r="14" spans="1:6" x14ac:dyDescent="0.25">
      <c r="A14" s="194">
        <v>3</v>
      </c>
      <c r="B14" s="195">
        <v>3</v>
      </c>
      <c r="C14" s="202">
        <v>3052</v>
      </c>
      <c r="D14" s="196" t="s">
        <v>645</v>
      </c>
      <c r="E14" s="197">
        <v>10</v>
      </c>
      <c r="F14" s="198" t="s">
        <v>747</v>
      </c>
    </row>
    <row r="15" spans="1:6" x14ac:dyDescent="0.25">
      <c r="A15" s="190">
        <v>3</v>
      </c>
      <c r="B15" s="191">
        <v>3</v>
      </c>
      <c r="C15" s="201">
        <v>3052</v>
      </c>
      <c r="D15" s="192" t="s">
        <v>652</v>
      </c>
      <c r="E15" s="187">
        <v>3.7</v>
      </c>
      <c r="F15" s="193" t="s">
        <v>749</v>
      </c>
    </row>
    <row r="16" spans="1:6" x14ac:dyDescent="0.25">
      <c r="A16" s="190">
        <v>3</v>
      </c>
      <c r="B16" s="191">
        <v>3</v>
      </c>
      <c r="C16" s="201">
        <v>3052</v>
      </c>
      <c r="D16" s="192" t="s">
        <v>642</v>
      </c>
      <c r="E16" s="187">
        <v>1.8</v>
      </c>
      <c r="F16" s="193" t="s">
        <v>746</v>
      </c>
    </row>
    <row r="17" spans="1:6" x14ac:dyDescent="0.25">
      <c r="A17" s="194">
        <v>3</v>
      </c>
      <c r="B17" s="195">
        <v>3</v>
      </c>
      <c r="C17" s="202">
        <v>3052</v>
      </c>
      <c r="D17" s="196" t="s">
        <v>648</v>
      </c>
      <c r="E17" s="197">
        <v>9.9</v>
      </c>
      <c r="F17" s="198" t="s">
        <v>746</v>
      </c>
    </row>
    <row r="18" spans="1:6" x14ac:dyDescent="0.25">
      <c r="A18" s="190">
        <v>3</v>
      </c>
      <c r="B18" s="191">
        <v>3</v>
      </c>
      <c r="C18" s="201">
        <v>3053</v>
      </c>
      <c r="D18" s="192" t="s">
        <v>645</v>
      </c>
      <c r="E18" s="187">
        <v>8.9</v>
      </c>
      <c r="F18" s="198" t="s">
        <v>747</v>
      </c>
    </row>
    <row r="19" spans="1:6" x14ac:dyDescent="0.25">
      <c r="A19" s="190">
        <v>3</v>
      </c>
      <c r="B19" s="191">
        <v>3</v>
      </c>
      <c r="C19" s="201">
        <v>3053</v>
      </c>
      <c r="D19" s="192" t="s">
        <v>652</v>
      </c>
      <c r="E19" s="187">
        <v>4.3</v>
      </c>
      <c r="F19" s="193" t="s">
        <v>749</v>
      </c>
    </row>
    <row r="20" spans="1:6" x14ac:dyDescent="0.25">
      <c r="A20" s="194">
        <v>3</v>
      </c>
      <c r="B20" s="195">
        <v>3</v>
      </c>
      <c r="C20" s="202" t="s">
        <v>667</v>
      </c>
      <c r="D20" s="196" t="s">
        <v>637</v>
      </c>
      <c r="E20" s="197">
        <v>34.200000000000003</v>
      </c>
      <c r="F20" s="193" t="s">
        <v>754</v>
      </c>
    </row>
    <row r="21" spans="1:6" x14ac:dyDescent="0.25">
      <c r="A21" s="190">
        <v>3</v>
      </c>
      <c r="B21" s="191">
        <v>3</v>
      </c>
      <c r="C21" s="201" t="s">
        <v>667</v>
      </c>
      <c r="D21" s="192" t="s">
        <v>638</v>
      </c>
      <c r="E21" s="187">
        <v>11.6</v>
      </c>
      <c r="F21" s="198" t="s">
        <v>753</v>
      </c>
    </row>
    <row r="22" spans="1:6" x14ac:dyDescent="0.25">
      <c r="A22" s="190">
        <v>3</v>
      </c>
      <c r="B22" s="191">
        <v>3</v>
      </c>
      <c r="C22" s="201" t="s">
        <v>667</v>
      </c>
      <c r="D22" s="192" t="s">
        <v>640</v>
      </c>
      <c r="E22" s="187">
        <v>40</v>
      </c>
      <c r="F22" s="193" t="s">
        <v>752</v>
      </c>
    </row>
    <row r="23" spans="1:6" x14ac:dyDescent="0.25">
      <c r="A23" s="194">
        <v>3</v>
      </c>
      <c r="B23" s="195">
        <v>3</v>
      </c>
      <c r="C23" s="202" t="s">
        <v>668</v>
      </c>
      <c r="D23" s="196" t="s">
        <v>637</v>
      </c>
      <c r="E23" s="197">
        <v>14.6</v>
      </c>
      <c r="F23" s="193" t="s">
        <v>754</v>
      </c>
    </row>
    <row r="24" spans="1:6" x14ac:dyDescent="0.25">
      <c r="A24" s="190">
        <v>3</v>
      </c>
      <c r="B24" s="191">
        <v>3</v>
      </c>
      <c r="C24" s="201" t="s">
        <v>668</v>
      </c>
      <c r="D24" s="192" t="s">
        <v>638</v>
      </c>
      <c r="E24" s="187">
        <v>17.2</v>
      </c>
      <c r="F24" s="198" t="s">
        <v>753</v>
      </c>
    </row>
    <row r="25" spans="1:6" x14ac:dyDescent="0.25">
      <c r="A25" s="190">
        <v>3</v>
      </c>
      <c r="B25" s="191">
        <v>3</v>
      </c>
      <c r="C25" s="201" t="s">
        <v>668</v>
      </c>
      <c r="D25" s="192" t="s">
        <v>640</v>
      </c>
      <c r="E25" s="187">
        <v>55.8</v>
      </c>
      <c r="F25" s="193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88" customWidth="1"/>
    <col min="2" max="2" width="8.6640625" style="188" customWidth="1"/>
    <col min="3" max="3" width="7.6640625" style="188" customWidth="1"/>
    <col min="4" max="4" width="7.88671875" style="188" customWidth="1"/>
    <col min="5" max="5" width="10.21875" style="188" customWidth="1"/>
    <col min="6" max="6" width="47.5546875" style="189" customWidth="1"/>
    <col min="7" max="16384" width="8.88671875" style="189"/>
  </cols>
  <sheetData>
    <row r="1" spans="1:6" ht="39.6" x14ac:dyDescent="0.25">
      <c r="A1" s="170" t="s">
        <v>252</v>
      </c>
      <c r="B1" s="171" t="s">
        <v>251</v>
      </c>
      <c r="C1" s="172" t="s">
        <v>716</v>
      </c>
      <c r="D1" s="169" t="s">
        <v>634</v>
      </c>
      <c r="E1" s="169" t="s">
        <v>635</v>
      </c>
      <c r="F1" s="146" t="s">
        <v>636</v>
      </c>
    </row>
    <row r="2" spans="1:6" x14ac:dyDescent="0.25">
      <c r="A2" s="183">
        <v>4</v>
      </c>
      <c r="B2" s="184">
        <v>3</v>
      </c>
      <c r="C2" s="185">
        <v>4010</v>
      </c>
      <c r="D2" s="186" t="s">
        <v>637</v>
      </c>
      <c r="E2" s="187">
        <v>31</v>
      </c>
      <c r="F2" s="277" t="s">
        <v>754</v>
      </c>
    </row>
    <row r="3" spans="1:6" x14ac:dyDescent="0.25">
      <c r="A3" s="183">
        <v>4</v>
      </c>
      <c r="B3" s="184">
        <v>3</v>
      </c>
      <c r="C3" s="185">
        <v>4010</v>
      </c>
      <c r="D3" s="186" t="s">
        <v>638</v>
      </c>
      <c r="E3" s="187">
        <v>107</v>
      </c>
      <c r="F3" s="160" t="s">
        <v>753</v>
      </c>
    </row>
    <row r="4" spans="1:6" x14ac:dyDescent="0.25">
      <c r="A4" s="183">
        <v>4</v>
      </c>
      <c r="B4" s="184">
        <v>3</v>
      </c>
      <c r="C4" s="185">
        <v>4010</v>
      </c>
      <c r="D4" s="186" t="s">
        <v>640</v>
      </c>
      <c r="E4" s="187">
        <v>117.4</v>
      </c>
      <c r="F4" s="277" t="s">
        <v>752</v>
      </c>
    </row>
    <row r="5" spans="1:6" x14ac:dyDescent="0.25">
      <c r="A5" s="183">
        <v>4</v>
      </c>
      <c r="B5" s="184">
        <v>3</v>
      </c>
      <c r="C5" s="185">
        <v>4011</v>
      </c>
      <c r="D5" s="186" t="s">
        <v>646</v>
      </c>
      <c r="E5" s="187">
        <v>2.1</v>
      </c>
      <c r="F5" s="160" t="s">
        <v>750</v>
      </c>
    </row>
    <row r="6" spans="1:6" x14ac:dyDescent="0.25">
      <c r="A6" s="183">
        <v>4</v>
      </c>
      <c r="B6" s="184">
        <v>3</v>
      </c>
      <c r="C6" s="185">
        <v>4011</v>
      </c>
      <c r="D6" s="186" t="s">
        <v>652</v>
      </c>
      <c r="E6" s="187">
        <v>3.1</v>
      </c>
      <c r="F6" s="160" t="s">
        <v>749</v>
      </c>
    </row>
    <row r="7" spans="1:6" x14ac:dyDescent="0.25">
      <c r="A7" s="183">
        <v>4</v>
      </c>
      <c r="B7" s="184">
        <v>3</v>
      </c>
      <c r="C7" s="185">
        <v>4011</v>
      </c>
      <c r="D7" s="186" t="s">
        <v>648</v>
      </c>
      <c r="E7" s="187">
        <v>26.8</v>
      </c>
      <c r="F7" s="277" t="s">
        <v>746</v>
      </c>
    </row>
    <row r="8" spans="1:6" x14ac:dyDescent="0.25">
      <c r="A8" s="183">
        <v>4</v>
      </c>
      <c r="B8" s="184">
        <v>3</v>
      </c>
      <c r="C8" s="185">
        <v>4012</v>
      </c>
      <c r="D8" s="186" t="s">
        <v>645</v>
      </c>
      <c r="E8" s="187">
        <v>10</v>
      </c>
      <c r="F8" s="160" t="s">
        <v>747</v>
      </c>
    </row>
    <row r="9" spans="1:6" x14ac:dyDescent="0.25">
      <c r="A9" s="183">
        <v>4</v>
      </c>
      <c r="B9" s="184">
        <v>3</v>
      </c>
      <c r="C9" s="185">
        <v>4012</v>
      </c>
      <c r="D9" s="186" t="s">
        <v>653</v>
      </c>
      <c r="E9" s="187">
        <v>1.8</v>
      </c>
      <c r="F9" s="277" t="s">
        <v>748</v>
      </c>
    </row>
    <row r="10" spans="1:6" x14ac:dyDescent="0.25">
      <c r="A10" s="183">
        <v>4</v>
      </c>
      <c r="B10" s="184">
        <v>3</v>
      </c>
      <c r="C10" s="185">
        <v>4012</v>
      </c>
      <c r="D10" s="186" t="s">
        <v>646</v>
      </c>
      <c r="E10" s="187">
        <v>0.9</v>
      </c>
      <c r="F10" s="160" t="s">
        <v>750</v>
      </c>
    </row>
    <row r="11" spans="1:6" x14ac:dyDescent="0.25">
      <c r="A11" s="183">
        <v>4</v>
      </c>
      <c r="B11" s="184">
        <v>3</v>
      </c>
      <c r="C11" s="185">
        <v>4012</v>
      </c>
      <c r="D11" s="186" t="s">
        <v>652</v>
      </c>
      <c r="E11" s="187">
        <v>2.4</v>
      </c>
      <c r="F11" s="160" t="s">
        <v>749</v>
      </c>
    </row>
    <row r="12" spans="1:6" ht="26.4" x14ac:dyDescent="0.25">
      <c r="A12" s="183">
        <v>4</v>
      </c>
      <c r="B12" s="184">
        <v>3</v>
      </c>
      <c r="C12" s="185">
        <v>4012</v>
      </c>
      <c r="D12" s="186" t="s">
        <v>658</v>
      </c>
      <c r="E12" s="187">
        <v>0.9</v>
      </c>
      <c r="F12" s="160" t="s">
        <v>751</v>
      </c>
    </row>
    <row r="13" spans="1:6" x14ac:dyDescent="0.25">
      <c r="A13" s="183">
        <v>4</v>
      </c>
      <c r="B13" s="184">
        <v>3</v>
      </c>
      <c r="C13" s="185">
        <v>4012</v>
      </c>
      <c r="D13" s="186" t="s">
        <v>642</v>
      </c>
      <c r="E13" s="187">
        <v>1.8</v>
      </c>
      <c r="F13" s="277" t="s">
        <v>746</v>
      </c>
    </row>
    <row r="14" spans="1:6" x14ac:dyDescent="0.25">
      <c r="A14" s="183">
        <v>4</v>
      </c>
      <c r="B14" s="184">
        <v>3</v>
      </c>
      <c r="C14" s="185">
        <v>4012</v>
      </c>
      <c r="D14" s="186" t="s">
        <v>648</v>
      </c>
      <c r="E14" s="187">
        <v>9.9</v>
      </c>
      <c r="F14" s="277" t="s">
        <v>746</v>
      </c>
    </row>
    <row r="15" spans="1:6" x14ac:dyDescent="0.25">
      <c r="A15" s="183">
        <v>4</v>
      </c>
      <c r="B15" s="184">
        <v>3</v>
      </c>
      <c r="C15" s="185">
        <v>4013</v>
      </c>
      <c r="D15" s="186" t="s">
        <v>645</v>
      </c>
      <c r="E15" s="187">
        <v>10</v>
      </c>
      <c r="F15" s="160" t="s">
        <v>747</v>
      </c>
    </row>
    <row r="16" spans="1:6" x14ac:dyDescent="0.25">
      <c r="A16" s="183">
        <v>4</v>
      </c>
      <c r="B16" s="184">
        <v>3</v>
      </c>
      <c r="C16" s="185">
        <v>4013</v>
      </c>
      <c r="D16" s="186" t="s">
        <v>653</v>
      </c>
      <c r="E16" s="187">
        <v>1.8</v>
      </c>
      <c r="F16" s="160" t="s">
        <v>748</v>
      </c>
    </row>
    <row r="17" spans="1:6" x14ac:dyDescent="0.25">
      <c r="A17" s="183">
        <v>4</v>
      </c>
      <c r="B17" s="184">
        <v>3</v>
      </c>
      <c r="C17" s="185">
        <v>4013</v>
      </c>
      <c r="D17" s="186" t="s">
        <v>646</v>
      </c>
      <c r="E17" s="187">
        <v>3.1</v>
      </c>
      <c r="F17" s="160" t="s">
        <v>750</v>
      </c>
    </row>
    <row r="18" spans="1:6" x14ac:dyDescent="0.25">
      <c r="A18" s="183">
        <v>4</v>
      </c>
      <c r="B18" s="184">
        <v>3</v>
      </c>
      <c r="C18" s="185">
        <v>4013</v>
      </c>
      <c r="D18" s="186" t="s">
        <v>652</v>
      </c>
      <c r="E18" s="187">
        <v>5</v>
      </c>
      <c r="F18" s="160" t="s">
        <v>749</v>
      </c>
    </row>
    <row r="19" spans="1:6" ht="26.4" x14ac:dyDescent="0.25">
      <c r="A19" s="183">
        <v>4</v>
      </c>
      <c r="B19" s="184">
        <v>3</v>
      </c>
      <c r="C19" s="185">
        <v>4013</v>
      </c>
      <c r="D19" s="186" t="s">
        <v>658</v>
      </c>
      <c r="E19" s="187">
        <v>1.3</v>
      </c>
      <c r="F19" s="160" t="s">
        <v>751</v>
      </c>
    </row>
    <row r="20" spans="1:6" x14ac:dyDescent="0.25">
      <c r="A20" s="183">
        <v>4</v>
      </c>
      <c r="B20" s="184">
        <v>3</v>
      </c>
      <c r="C20" s="185">
        <v>4014</v>
      </c>
      <c r="D20" s="186" t="s">
        <v>637</v>
      </c>
      <c r="E20" s="187">
        <v>12.3</v>
      </c>
      <c r="F20" s="160" t="s">
        <v>754</v>
      </c>
    </row>
    <row r="21" spans="1:6" x14ac:dyDescent="0.25">
      <c r="A21" s="183">
        <v>4</v>
      </c>
      <c r="B21" s="184">
        <v>3</v>
      </c>
      <c r="C21" s="185">
        <v>4014</v>
      </c>
      <c r="D21" s="186" t="s">
        <v>638</v>
      </c>
      <c r="E21" s="187">
        <v>27.9</v>
      </c>
      <c r="F21" s="160" t="s">
        <v>753</v>
      </c>
    </row>
    <row r="22" spans="1:6" x14ac:dyDescent="0.25">
      <c r="A22" s="183">
        <v>4</v>
      </c>
      <c r="B22" s="184">
        <v>3</v>
      </c>
      <c r="C22" s="185">
        <v>4014</v>
      </c>
      <c r="D22" s="186" t="s">
        <v>640</v>
      </c>
      <c r="E22" s="187">
        <v>56.4</v>
      </c>
      <c r="F22" s="160" t="s">
        <v>752</v>
      </c>
    </row>
    <row r="23" spans="1:6" x14ac:dyDescent="0.25">
      <c r="A23" s="183">
        <v>4</v>
      </c>
      <c r="B23" s="184">
        <v>3</v>
      </c>
      <c r="C23" s="185">
        <v>4015</v>
      </c>
      <c r="D23" s="186" t="s">
        <v>652</v>
      </c>
      <c r="E23" s="187">
        <v>22.8</v>
      </c>
      <c r="F23" s="160" t="s">
        <v>749</v>
      </c>
    </row>
    <row r="24" spans="1:6" x14ac:dyDescent="0.25">
      <c r="A24" s="183">
        <v>4</v>
      </c>
      <c r="B24" s="184">
        <v>3</v>
      </c>
      <c r="C24" s="185">
        <v>4015</v>
      </c>
      <c r="D24" s="186" t="s">
        <v>642</v>
      </c>
      <c r="E24" s="187">
        <v>2.1</v>
      </c>
      <c r="F24" s="277" t="s">
        <v>746</v>
      </c>
    </row>
    <row r="25" spans="1:6" x14ac:dyDescent="0.25">
      <c r="A25" s="183">
        <v>4</v>
      </c>
      <c r="B25" s="184">
        <v>3</v>
      </c>
      <c r="C25" s="185">
        <v>4015</v>
      </c>
      <c r="D25" s="186" t="s">
        <v>651</v>
      </c>
      <c r="E25" s="187">
        <v>11.7</v>
      </c>
      <c r="F25" s="277" t="s">
        <v>746</v>
      </c>
    </row>
    <row r="26" spans="1:6" x14ac:dyDescent="0.25">
      <c r="A26" s="183">
        <v>4</v>
      </c>
      <c r="B26" s="184">
        <v>3</v>
      </c>
      <c r="C26" s="185">
        <v>4016</v>
      </c>
      <c r="D26" s="186" t="s">
        <v>652</v>
      </c>
      <c r="E26" s="187">
        <v>3.9</v>
      </c>
      <c r="F26" s="277" t="s">
        <v>749</v>
      </c>
    </row>
    <row r="27" spans="1:6" x14ac:dyDescent="0.25">
      <c r="A27" s="183">
        <v>4</v>
      </c>
      <c r="B27" s="184">
        <v>3</v>
      </c>
      <c r="C27" s="185">
        <v>4016</v>
      </c>
      <c r="D27" s="186" t="s">
        <v>648</v>
      </c>
      <c r="E27" s="187">
        <v>12.3</v>
      </c>
      <c r="F27" s="277" t="s">
        <v>746</v>
      </c>
    </row>
    <row r="28" spans="1:6" x14ac:dyDescent="0.25">
      <c r="A28" s="183">
        <v>4</v>
      </c>
      <c r="B28" s="184">
        <v>3</v>
      </c>
      <c r="C28" s="185">
        <v>4017</v>
      </c>
      <c r="D28" s="186" t="s">
        <v>645</v>
      </c>
      <c r="E28" s="187">
        <v>10.4</v>
      </c>
      <c r="F28" s="160" t="s">
        <v>747</v>
      </c>
    </row>
    <row r="29" spans="1:6" x14ac:dyDescent="0.25">
      <c r="A29" s="183">
        <v>4</v>
      </c>
      <c r="B29" s="184">
        <v>3</v>
      </c>
      <c r="C29" s="185">
        <v>4017</v>
      </c>
      <c r="D29" s="186" t="s">
        <v>653</v>
      </c>
      <c r="E29" s="187">
        <v>1.9</v>
      </c>
      <c r="F29" s="160" t="s">
        <v>748</v>
      </c>
    </row>
    <row r="30" spans="1:6" x14ac:dyDescent="0.25">
      <c r="A30" s="183">
        <v>4</v>
      </c>
      <c r="B30" s="184">
        <v>3</v>
      </c>
      <c r="C30" s="185">
        <v>4017</v>
      </c>
      <c r="D30" s="186" t="s">
        <v>646</v>
      </c>
      <c r="E30" s="187">
        <v>0.9</v>
      </c>
      <c r="F30" s="160" t="s">
        <v>750</v>
      </c>
    </row>
    <row r="31" spans="1:6" x14ac:dyDescent="0.25">
      <c r="A31" s="183">
        <v>4</v>
      </c>
      <c r="B31" s="184">
        <v>3</v>
      </c>
      <c r="C31" s="185">
        <v>4017</v>
      </c>
      <c r="D31" s="186" t="s">
        <v>642</v>
      </c>
      <c r="E31" s="187">
        <v>2.8</v>
      </c>
      <c r="F31" s="277" t="s">
        <v>746</v>
      </c>
    </row>
    <row r="32" spans="1:6" x14ac:dyDescent="0.25">
      <c r="A32" s="183">
        <v>4</v>
      </c>
      <c r="B32" s="184">
        <v>3</v>
      </c>
      <c r="C32" s="185">
        <v>4017</v>
      </c>
      <c r="D32" s="186" t="s">
        <v>648</v>
      </c>
      <c r="E32" s="187">
        <v>13.2</v>
      </c>
      <c r="F32" s="277" t="s">
        <v>746</v>
      </c>
    </row>
    <row r="33" spans="1:6" x14ac:dyDescent="0.25">
      <c r="A33" s="183">
        <v>4</v>
      </c>
      <c r="B33" s="184">
        <v>3</v>
      </c>
      <c r="C33" s="186" t="s">
        <v>669</v>
      </c>
      <c r="D33" s="186" t="s">
        <v>637</v>
      </c>
      <c r="E33" s="187">
        <v>10.9</v>
      </c>
      <c r="F33" s="160" t="s">
        <v>754</v>
      </c>
    </row>
    <row r="34" spans="1:6" x14ac:dyDescent="0.25">
      <c r="A34" s="183">
        <v>4</v>
      </c>
      <c r="B34" s="184">
        <v>3</v>
      </c>
      <c r="C34" s="186" t="s">
        <v>669</v>
      </c>
      <c r="D34" s="186" t="s">
        <v>638</v>
      </c>
      <c r="E34" s="187">
        <v>17.399999999999999</v>
      </c>
      <c r="F34" s="160" t="s">
        <v>753</v>
      </c>
    </row>
    <row r="35" spans="1:6" x14ac:dyDescent="0.25">
      <c r="A35" s="183">
        <v>4</v>
      </c>
      <c r="B35" s="184">
        <v>3</v>
      </c>
      <c r="C35" s="186" t="s">
        <v>669</v>
      </c>
      <c r="D35" s="186" t="s">
        <v>640</v>
      </c>
      <c r="E35" s="187">
        <v>51.3</v>
      </c>
      <c r="F35" s="277" t="s">
        <v>752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51</vt:i4>
      </vt:variant>
    </vt:vector>
  </HeadingPairs>
  <TitlesOfParts>
    <vt:vector size="51" baseType="lpstr">
      <vt:lpstr>4.2ЧНП25в3.1</vt:lpstr>
      <vt:lpstr>4.1ЧНП25</vt:lpstr>
      <vt:lpstr>КП</vt:lpstr>
      <vt:lpstr>Ведомость</vt:lpstr>
      <vt:lpstr>3.5Шт4в</vt:lpstr>
      <vt:lpstr>3.5Шт4вВед</vt:lpstr>
      <vt:lpstr>3.4.1Шт3.1в</vt:lpstr>
      <vt:lpstr>темп</vt:lpstr>
      <vt:lpstr>3.10ШтПдв4в</vt:lpstr>
      <vt:lpstr>3.3Шт3.1в</vt:lpstr>
      <vt:lpstr>3.2Шт3в</vt:lpstr>
      <vt:lpstr>3.2.1Шт</vt:lpstr>
      <vt:lpstr>1.12Крп4в</vt:lpstr>
      <vt:lpstr>1.11КрпКрвл4в</vt:lpstr>
      <vt:lpstr>1.10КрпКрвл3.1в</vt:lpstr>
      <vt:lpstr>1.9КирпКровля3вып</vt:lpstr>
      <vt:lpstr>1.8КирпПодвал3вып</vt:lpstr>
      <vt:lpstr>1.7Кирп3вып</vt:lpstr>
      <vt:lpstr>1.31Блк4в</vt:lpstr>
      <vt:lpstr>1.30Блок3.1в</vt:lpstr>
      <vt:lpstr>1.20-Блок3.1в</vt:lpstr>
      <vt:lpstr>1.6Блок3вып</vt:lpstr>
      <vt:lpstr>1.4-Бл</vt:lpstr>
      <vt:lpstr>1.40ПГП3в</vt:lpstr>
      <vt:lpstr>1.5-ПГП 3 вып</vt:lpstr>
      <vt:lpstr>2.9-Фар3.1в</vt:lpstr>
      <vt:lpstr>2.7-Фар 3 вып</vt:lpstr>
      <vt:lpstr>2.4-Ст</vt:lpstr>
      <vt:lpstr>2.3-Ст</vt:lpstr>
      <vt:lpstr>2.1-Ст</vt:lpstr>
      <vt:lpstr>2.8-Пер3.1в</vt:lpstr>
      <vt:lpstr>2.6-Пер 3 вып</vt:lpstr>
      <vt:lpstr>1.1-Ст</vt:lpstr>
      <vt:lpstr>1.2-Ст</vt:lpstr>
      <vt:lpstr>1.3-Кирп</vt:lpstr>
      <vt:lpstr>2.6-Пер -1</vt:lpstr>
      <vt:lpstr>2.2-Пер2</vt:lpstr>
      <vt:lpstr>Лист2</vt:lpstr>
      <vt:lpstr>2.2-Пер</vt:lpstr>
      <vt:lpstr>3-Ст</vt:lpstr>
      <vt:lpstr>3.1-Шт</vt:lpstr>
      <vt:lpstr>3.1.1</vt:lpstr>
      <vt:lpstr>3.2-Шт Оста</vt:lpstr>
      <vt:lpstr>3.2.1 Ост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2026-05-28T10:47:22Z</dcterms:modified>
</cp:coreProperties>
</file>