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10128" activeTab="6"/>
  </bookViews>
  <sheets>
    <sheet name="4.1ЧНП25" sheetId="46" r:id="rId1"/>
    <sheet name="КП" sheetId="1" r:id="rId2"/>
    <sheet name="3.2Шт3в" sheetId="45" r:id="rId3"/>
    <sheet name="3.2.1Шт" sheetId="44" r:id="rId4"/>
    <sheet name="1.9КирпКровля3вып" sheetId="43" r:id="rId5"/>
    <sheet name="1.8КирпПодвал3вып" sheetId="42" state="hidden" r:id="rId6"/>
    <sheet name="1.7Кирп3вып" sheetId="40" r:id="rId7"/>
    <sheet name="1.6Блок3вып" sheetId="41" state="hidden" r:id="rId8"/>
    <sheet name="1.5-ПГП 3 вып" sheetId="39" state="hidden" r:id="rId9"/>
    <sheet name="2.7-Фар 3 вып" sheetId="38" state="hidden" r:id="rId10"/>
    <sheet name="2.6-Пер 3 вып" sheetId="37" state="hidden" r:id="rId11"/>
    <sheet name="1.1-Ст" sheetId="3" state="hidden" r:id="rId12"/>
    <sheet name="1.2-Ст" sheetId="6" state="hidden" r:id="rId13"/>
    <sheet name="1.3-Кирп" sheetId="17" state="hidden" r:id="rId14"/>
    <sheet name="1.4-Бл" sheetId="18" r:id="rId15"/>
    <sheet name="2.1-Ст" sheetId="8" state="hidden" r:id="rId16"/>
    <sheet name="2.3-Ст" sheetId="14" state="hidden" r:id="rId17"/>
    <sheet name="2.4-Ст" sheetId="13" state="hidden" r:id="rId18"/>
    <sheet name="Лист2" sheetId="15" r:id="rId19"/>
    <sheet name="2.2-Пер" sheetId="10" state="hidden" r:id="rId20"/>
    <sheet name="2.2-Пер2" sheetId="12" state="hidden" r:id="rId21"/>
    <sheet name="3-Ст" sheetId="4" state="hidden" r:id="rId22"/>
    <sheet name="Ведомость" sheetId="21" r:id="rId23"/>
    <sheet name="2.6-Пер -1" sheetId="16" state="hidden" r:id="rId24"/>
    <sheet name="3.1-Шт" sheetId="26" r:id="rId25"/>
    <sheet name="3.1.1" sheetId="34" r:id="rId26"/>
    <sheet name="3.2-Шт Оста" sheetId="35" r:id="rId27"/>
    <sheet name="3.2.1 Ост" sheetId="36" r:id="rId28"/>
    <sheet name="3.1.2-Шт1э1с" sheetId="25" r:id="rId29"/>
    <sheet name="3.1.3-Шт1э3с" sheetId="27" r:id="rId30"/>
    <sheet name="3.1.4-Шт2э1с" sheetId="28" r:id="rId31"/>
    <sheet name="3.1.5-Шт2э3с" sheetId="29" r:id="rId32"/>
    <sheet name="3.1.6-Шт3э1с" sheetId="31" r:id="rId33"/>
    <sheet name="3.1.7-Шт3э3с" sheetId="32" r:id="rId34"/>
    <sheet name="3.1.8-Шт4э3с" sheetId="33" r:id="rId35"/>
  </sheets>
  <definedNames>
    <definedName name="_xlnm._FilterDatabase" localSheetId="4" hidden="1">'1.9КирпКровля3вып'!$A$4:$A$10</definedName>
  </definedNames>
  <calcPr calcId="152511"/>
  <fileRecoveryPr autoRecover="0"/>
</workbook>
</file>

<file path=xl/calcChain.xml><?xml version="1.0" encoding="utf-8"?>
<calcChain xmlns="http://schemas.openxmlformats.org/spreadsheetml/2006/main">
  <c r="D5" i="40" l="1"/>
  <c r="F2" i="46" l="1"/>
  <c r="C6" i="46"/>
  <c r="C5" i="46"/>
  <c r="E2" i="45" l="1"/>
  <c r="E316" i="44"/>
  <c r="E313" i="44"/>
  <c r="E305" i="44"/>
  <c r="E304" i="44"/>
  <c r="E306" i="44"/>
  <c r="E307" i="44"/>
  <c r="E308" i="44"/>
  <c r="E309" i="44"/>
  <c r="E310" i="44"/>
  <c r="E311" i="44"/>
  <c r="E312" i="44"/>
  <c r="E314" i="44"/>
  <c r="E315" i="44"/>
  <c r="E318" i="44"/>
  <c r="E320" i="44"/>
  <c r="E321" i="44"/>
  <c r="E323" i="44"/>
  <c r="E329" i="44"/>
  <c r="E303" i="44"/>
  <c r="E214" i="44"/>
  <c r="E211" i="44"/>
  <c r="E202" i="44"/>
  <c r="E203" i="44"/>
  <c r="E204" i="44"/>
  <c r="E205" i="44"/>
  <c r="E206" i="44"/>
  <c r="E207" i="44"/>
  <c r="E208" i="44"/>
  <c r="E209" i="44"/>
  <c r="E210" i="44"/>
  <c r="E212" i="44"/>
  <c r="E213" i="44"/>
  <c r="E215" i="44"/>
  <c r="E216" i="44"/>
  <c r="E217" i="44"/>
  <c r="E218" i="44"/>
  <c r="E219" i="44"/>
  <c r="E220" i="44"/>
  <c r="E221" i="44"/>
  <c r="E222" i="44"/>
  <c r="E223" i="44"/>
  <c r="E224" i="44"/>
  <c r="E225" i="44"/>
  <c r="E226" i="44"/>
  <c r="E227" i="44"/>
  <c r="E201" i="44"/>
  <c r="E127" i="44"/>
  <c r="E128" i="44"/>
  <c r="E129" i="44"/>
  <c r="E130" i="44"/>
  <c r="E131" i="44"/>
  <c r="E132" i="44"/>
  <c r="E133" i="44"/>
  <c r="E134" i="44"/>
  <c r="E135" i="44"/>
  <c r="E136" i="44"/>
  <c r="E137" i="44"/>
  <c r="E138" i="44"/>
  <c r="E139" i="44"/>
  <c r="E140" i="44"/>
  <c r="E141" i="44"/>
  <c r="E142" i="44"/>
  <c r="E143" i="44"/>
  <c r="E144" i="44"/>
  <c r="E145" i="44"/>
  <c r="E146" i="44"/>
  <c r="E147" i="44"/>
  <c r="E148" i="44"/>
  <c r="E149" i="44"/>
  <c r="E150" i="44"/>
  <c r="E151" i="44"/>
  <c r="E152" i="44"/>
  <c r="E153" i="44"/>
  <c r="E10" i="45"/>
  <c r="E2" i="35"/>
  <c r="H131" i="44"/>
  <c r="D10" i="43" l="1"/>
  <c r="D9" i="43"/>
  <c r="D8" i="43"/>
  <c r="D7" i="43"/>
  <c r="D6" i="43"/>
  <c r="D5" i="43"/>
  <c r="D4" i="43"/>
  <c r="D11" i="43" l="1"/>
  <c r="D6" i="42" l="1"/>
  <c r="D5" i="42"/>
  <c r="D4" i="42"/>
  <c r="D7" i="42"/>
  <c r="D3" i="40"/>
  <c r="D4" i="40"/>
  <c r="D7" i="40"/>
  <c r="D9" i="40"/>
  <c r="D6" i="40"/>
  <c r="D8" i="40"/>
  <c r="D10" i="40" l="1"/>
  <c r="D7" i="41"/>
  <c r="D6" i="41"/>
  <c r="D5" i="41"/>
  <c r="D4" i="41"/>
  <c r="D3" i="41"/>
  <c r="D3" i="39"/>
  <c r="D8" i="41" l="1"/>
  <c r="D4" i="39"/>
  <c r="F13" i="38"/>
  <c r="H13" i="38" s="1"/>
  <c r="F12" i="38"/>
  <c r="H12" i="38" s="1"/>
  <c r="F10" i="38"/>
  <c r="H10" i="38" s="1"/>
  <c r="E14" i="38"/>
  <c r="F8" i="38"/>
  <c r="H8" i="38" s="1"/>
  <c r="F7" i="38"/>
  <c r="F6" i="38"/>
  <c r="F4" i="38"/>
  <c r="H4" i="38" s="1"/>
  <c r="F3" i="38"/>
  <c r="H3" i="38" s="1"/>
  <c r="H7" i="38"/>
  <c r="H6" i="38"/>
  <c r="B29" i="37"/>
  <c r="D29" i="37" s="1"/>
  <c r="B30" i="37"/>
  <c r="D30" i="37" s="1"/>
  <c r="B31" i="37"/>
  <c r="D31" i="37" s="1"/>
  <c r="B32" i="37"/>
  <c r="D32" i="37" s="1"/>
  <c r="B33" i="37"/>
  <c r="B34" i="37"/>
  <c r="D34" i="37" s="1"/>
  <c r="B35" i="37"/>
  <c r="D35" i="37" s="1"/>
  <c r="B36" i="37"/>
  <c r="D36" i="37" s="1"/>
  <c r="B37" i="37"/>
  <c r="D37" i="37" s="1"/>
  <c r="B28" i="37"/>
  <c r="D28" i="37" s="1"/>
  <c r="C33" i="37"/>
  <c r="F18" i="37"/>
  <c r="H18" i="37" s="1"/>
  <c r="F12" i="37"/>
  <c r="H12" i="37" s="1"/>
  <c r="F3" i="37"/>
  <c r="H3" i="37" s="1"/>
  <c r="F24" i="37"/>
  <c r="H24" i="37" s="1"/>
  <c r="F22" i="37"/>
  <c r="H22" i="37" s="1"/>
  <c r="F21" i="37"/>
  <c r="H21" i="37" s="1"/>
  <c r="F20" i="37"/>
  <c r="H20" i="37" s="1"/>
  <c r="F11" i="37"/>
  <c r="F16" i="37"/>
  <c r="H16" i="37" s="1"/>
  <c r="F15" i="37"/>
  <c r="H15" i="37" s="1"/>
  <c r="F14" i="37"/>
  <c r="H14" i="37" s="1"/>
  <c r="H11" i="37"/>
  <c r="F10" i="37"/>
  <c r="H10" i="37" s="1"/>
  <c r="F8" i="37"/>
  <c r="H8" i="37" s="1"/>
  <c r="F6" i="37"/>
  <c r="H6" i="37" s="1"/>
  <c r="F7" i="37"/>
  <c r="H7" i="37" s="1"/>
  <c r="F5" i="37"/>
  <c r="H5" i="37" s="1"/>
  <c r="E25" i="37"/>
  <c r="H23" i="37"/>
  <c r="H14" i="38" l="1"/>
  <c r="D33" i="37"/>
  <c r="B38" i="37"/>
  <c r="D38" i="37"/>
  <c r="H25" i="37"/>
  <c r="B3" i="36"/>
  <c r="C3" i="36"/>
  <c r="D3" i="36"/>
  <c r="E3" i="36"/>
  <c r="F3" i="36"/>
  <c r="G3" i="36"/>
  <c r="H3" i="36"/>
  <c r="B4" i="36"/>
  <c r="C4" i="36"/>
  <c r="D4" i="36"/>
  <c r="E4" i="36"/>
  <c r="F4" i="36"/>
  <c r="G4" i="36"/>
  <c r="H4" i="36"/>
  <c r="B5" i="36"/>
  <c r="C5" i="36"/>
  <c r="D5" i="36"/>
  <c r="E5" i="36"/>
  <c r="F5" i="36"/>
  <c r="G5" i="36"/>
  <c r="H5" i="36"/>
  <c r="B6" i="36"/>
  <c r="C6" i="36"/>
  <c r="D6" i="36"/>
  <c r="E6" i="36"/>
  <c r="F6" i="36"/>
  <c r="G6" i="36"/>
  <c r="H6" i="36"/>
  <c r="B7" i="36"/>
  <c r="C7" i="36"/>
  <c r="D7" i="36"/>
  <c r="E7" i="36"/>
  <c r="F7" i="36"/>
  <c r="G7" i="36"/>
  <c r="H7" i="36"/>
  <c r="B8" i="36"/>
  <c r="C8" i="36"/>
  <c r="D8" i="36"/>
  <c r="E8" i="36"/>
  <c r="F8" i="36"/>
  <c r="G8" i="36"/>
  <c r="H8" i="36"/>
  <c r="B9" i="36"/>
  <c r="C9" i="36"/>
  <c r="D9" i="36"/>
  <c r="E9" i="36"/>
  <c r="F9" i="36"/>
  <c r="G9" i="36"/>
  <c r="H9" i="36"/>
  <c r="B10" i="36"/>
  <c r="C10" i="36"/>
  <c r="D10" i="36"/>
  <c r="E10" i="36"/>
  <c r="F10" i="36"/>
  <c r="G10" i="36"/>
  <c r="H10" i="36"/>
  <c r="B11" i="36"/>
  <c r="C11" i="36"/>
  <c r="D11" i="36"/>
  <c r="E11" i="36"/>
  <c r="F11" i="36"/>
  <c r="G11" i="36"/>
  <c r="H11" i="36"/>
  <c r="B12" i="36"/>
  <c r="C12" i="36"/>
  <c r="D12" i="36"/>
  <c r="E12" i="36"/>
  <c r="F12" i="36"/>
  <c r="G12" i="36"/>
  <c r="H12" i="36"/>
  <c r="B13" i="36"/>
  <c r="C13" i="36"/>
  <c r="D13" i="36"/>
  <c r="E13" i="36"/>
  <c r="F13" i="36"/>
  <c r="G13" i="36"/>
  <c r="H13" i="36"/>
  <c r="B14" i="36"/>
  <c r="C14" i="36"/>
  <c r="D14" i="36"/>
  <c r="E14" i="36"/>
  <c r="F14" i="36"/>
  <c r="G14" i="36"/>
  <c r="H14" i="36"/>
  <c r="B15" i="36"/>
  <c r="C15" i="36"/>
  <c r="D15" i="36"/>
  <c r="E15" i="36"/>
  <c r="F15" i="36"/>
  <c r="G15" i="36"/>
  <c r="H15" i="36"/>
  <c r="B16" i="36"/>
  <c r="C16" i="36"/>
  <c r="D16" i="36"/>
  <c r="E16" i="36"/>
  <c r="F16" i="36"/>
  <c r="G16" i="36"/>
  <c r="H16" i="36"/>
  <c r="B17" i="36"/>
  <c r="C17" i="36"/>
  <c r="D17" i="36"/>
  <c r="E17" i="36"/>
  <c r="F17" i="36"/>
  <c r="G17" i="36"/>
  <c r="H17" i="36"/>
  <c r="B18" i="36"/>
  <c r="C18" i="36"/>
  <c r="D18" i="36"/>
  <c r="E18" i="36"/>
  <c r="F18" i="36"/>
  <c r="G18" i="36"/>
  <c r="H18" i="36"/>
  <c r="B19" i="36"/>
  <c r="C19" i="36"/>
  <c r="D19" i="36"/>
  <c r="E19" i="36"/>
  <c r="F19" i="36"/>
  <c r="G19" i="36"/>
  <c r="H19" i="36"/>
  <c r="I8" i="36" l="1"/>
  <c r="I6" i="36"/>
  <c r="I10" i="36"/>
  <c r="I4" i="36"/>
  <c r="I7" i="36"/>
  <c r="I5" i="36"/>
  <c r="I11" i="36"/>
  <c r="I13" i="36"/>
  <c r="I15" i="36"/>
  <c r="I19" i="36"/>
  <c r="I12" i="36"/>
  <c r="I9" i="36"/>
  <c r="I17" i="36"/>
  <c r="I3" i="36"/>
  <c r="I14" i="36"/>
  <c r="I16" i="36"/>
  <c r="I18" i="36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3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3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I20" i="36" l="1"/>
  <c r="I16" i="34"/>
  <c r="I12" i="34"/>
  <c r="I6" i="34"/>
  <c r="I11" i="34"/>
  <c r="I13" i="34"/>
  <c r="I4" i="34"/>
  <c r="I5" i="34"/>
  <c r="I7" i="34"/>
  <c r="I15" i="34"/>
  <c r="I3" i="34"/>
  <c r="I14" i="34"/>
  <c r="I8" i="34"/>
  <c r="I9" i="34"/>
  <c r="I10" i="34"/>
  <c r="I10" i="1"/>
  <c r="I16" i="1"/>
  <c r="I25" i="1"/>
  <c r="I35" i="1"/>
  <c r="E5" i="35" l="1"/>
  <c r="E7" i="35"/>
  <c r="E3" i="35"/>
  <c r="E6" i="26"/>
  <c r="E8" i="35"/>
  <c r="E4" i="35"/>
  <c r="E6" i="35"/>
  <c r="E5" i="26"/>
  <c r="I17" i="34"/>
  <c r="E3" i="26"/>
  <c r="E4" i="26"/>
  <c r="F12" i="16"/>
  <c r="H12" i="16" s="1"/>
  <c r="E9" i="35" l="1"/>
  <c r="E7" i="26"/>
  <c r="O80" i="1"/>
  <c r="P76" i="1"/>
  <c r="Q80" i="1"/>
  <c r="R80" i="1"/>
  <c r="D5" i="17" l="1"/>
  <c r="D3" i="18"/>
  <c r="D4" i="18"/>
  <c r="D5" i="18"/>
  <c r="D4" i="17" l="1"/>
  <c r="D6" i="17"/>
  <c r="M25" i="1" l="1"/>
  <c r="D13" i="18"/>
  <c r="D6" i="18"/>
  <c r="M10" i="1" s="1"/>
  <c r="D15" i="17"/>
  <c r="D12" i="17"/>
  <c r="D14" i="17"/>
  <c r="L35" i="1"/>
  <c r="D7" i="17"/>
  <c r="L16" i="1" s="1"/>
  <c r="D13" i="17"/>
  <c r="D11" i="17"/>
  <c r="H5" i="16"/>
  <c r="H6" i="16"/>
  <c r="H7" i="16"/>
  <c r="H8" i="16"/>
  <c r="H9" i="16"/>
  <c r="H13" i="16"/>
  <c r="H14" i="16"/>
  <c r="H15" i="16"/>
  <c r="H16" i="16"/>
  <c r="H21" i="16"/>
  <c r="H22" i="16"/>
  <c r="H23" i="16"/>
  <c r="H24" i="16"/>
  <c r="H25" i="16"/>
  <c r="H27" i="16"/>
  <c r="H3" i="16"/>
  <c r="F26" i="16"/>
  <c r="H26" i="16" s="1"/>
  <c r="F28" i="16"/>
  <c r="H28" i="16" s="1"/>
  <c r="F17" i="16"/>
  <c r="H17" i="16" s="1"/>
  <c r="F10" i="16"/>
  <c r="H10" i="16" s="1"/>
  <c r="F15" i="16"/>
  <c r="F8" i="16"/>
  <c r="F23" i="16"/>
  <c r="F7" i="16"/>
  <c r="F20" i="16"/>
  <c r="H20" i="16" s="1"/>
  <c r="F13" i="16"/>
  <c r="F4" i="16"/>
  <c r="H4" i="16" s="1"/>
  <c r="F19" i="16"/>
  <c r="H19" i="16" s="1"/>
  <c r="F3" i="16"/>
  <c r="E29" i="16"/>
  <c r="H29" i="16" l="1"/>
  <c r="S72" i="1" s="1"/>
  <c r="F25" i="15"/>
  <c r="H25" i="15" s="1"/>
  <c r="F24" i="15"/>
  <c r="H24" i="15" s="1"/>
  <c r="F23" i="15"/>
  <c r="H23" i="15" s="1"/>
  <c r="F22" i="15"/>
  <c r="H22" i="15" s="1"/>
  <c r="F21" i="15"/>
  <c r="H21" i="15" s="1"/>
  <c r="F15" i="15"/>
  <c r="H15" i="15" s="1"/>
  <c r="F14" i="15"/>
  <c r="H14" i="15" s="1"/>
  <c r="F13" i="15"/>
  <c r="H13" i="15" s="1"/>
  <c r="F7" i="15"/>
  <c r="H7" i="15" s="1"/>
  <c r="F6" i="15"/>
  <c r="H6" i="15" s="1"/>
  <c r="F20" i="15"/>
  <c r="H20" i="15" s="1"/>
  <c r="F19" i="15"/>
  <c r="H19" i="15" s="1"/>
  <c r="F18" i="15"/>
  <c r="H18" i="15" s="1"/>
  <c r="F12" i="15"/>
  <c r="H12" i="15" s="1"/>
  <c r="F11" i="15"/>
  <c r="H11" i="15" s="1"/>
  <c r="F5" i="15"/>
  <c r="H5" i="15" s="1"/>
  <c r="F4" i="15"/>
  <c r="H4" i="15" s="1"/>
  <c r="F17" i="15"/>
  <c r="H17" i="15" s="1"/>
  <c r="F16" i="15"/>
  <c r="H16" i="15" s="1"/>
  <c r="F10" i="15"/>
  <c r="H10" i="15" s="1"/>
  <c r="F9" i="15"/>
  <c r="H9" i="15" s="1"/>
  <c r="F8" i="15"/>
  <c r="H8" i="15" s="1"/>
  <c r="F3" i="15"/>
  <c r="H3" i="15" s="1"/>
  <c r="H26" i="15" l="1"/>
  <c r="F5" i="13"/>
  <c r="H5" i="13" s="1"/>
  <c r="F4" i="13"/>
  <c r="H4" i="13" s="1"/>
  <c r="F3" i="13"/>
  <c r="F23" i="13"/>
  <c r="F24" i="13"/>
  <c r="H24" i="13" s="1"/>
  <c r="F22" i="13"/>
  <c r="H22" i="13" s="1"/>
  <c r="F21" i="13"/>
  <c r="H21" i="13" s="1"/>
  <c r="F19" i="13"/>
  <c r="F18" i="13"/>
  <c r="F14" i="13"/>
  <c r="H14" i="13" s="1"/>
  <c r="F13" i="13"/>
  <c r="F11" i="13"/>
  <c r="H11" i="13" s="1"/>
  <c r="F11" i="14"/>
  <c r="F10" i="14"/>
  <c r="F8" i="14"/>
  <c r="F7" i="14"/>
  <c r="H7" i="14" s="1"/>
  <c r="F4" i="14"/>
  <c r="F3" i="14"/>
  <c r="H6" i="14"/>
  <c r="H5" i="14"/>
  <c r="H3" i="14"/>
  <c r="F12" i="14"/>
  <c r="H12" i="14" s="1"/>
  <c r="F9" i="14"/>
  <c r="H9" i="14" s="1"/>
  <c r="H4" i="14"/>
  <c r="H8" i="14"/>
  <c r="H11" i="14"/>
  <c r="H10" i="14"/>
  <c r="F6" i="14"/>
  <c r="F5" i="14"/>
  <c r="H6" i="13"/>
  <c r="H7" i="13"/>
  <c r="H8" i="13"/>
  <c r="H9" i="13"/>
  <c r="H10" i="13"/>
  <c r="H12" i="13"/>
  <c r="H13" i="13"/>
  <c r="H15" i="13"/>
  <c r="H16" i="13"/>
  <c r="H17" i="13"/>
  <c r="H18" i="13"/>
  <c r="H19" i="13"/>
  <c r="H20" i="13"/>
  <c r="H23" i="13"/>
  <c r="H25" i="13"/>
  <c r="H3" i="13"/>
  <c r="F17" i="13"/>
  <c r="F10" i="13"/>
  <c r="F25" i="13"/>
  <c r="F20" i="13"/>
  <c r="F16" i="13"/>
  <c r="F15" i="13"/>
  <c r="F12" i="13"/>
  <c r="F9" i="13"/>
  <c r="F6" i="13"/>
  <c r="F8" i="13"/>
  <c r="F7" i="13"/>
  <c r="H13" i="14" l="1"/>
  <c r="H26" i="13"/>
  <c r="F11" i="8"/>
  <c r="H11" i="8" s="1"/>
  <c r="F10" i="8"/>
  <c r="H10" i="8" s="1"/>
  <c r="F12" i="8"/>
  <c r="H12" i="8" s="1"/>
  <c r="B14" i="12" l="1"/>
  <c r="F4" i="10" l="1"/>
  <c r="F5" i="10"/>
  <c r="F6" i="10"/>
  <c r="F7" i="10"/>
  <c r="F8" i="10"/>
  <c r="F10" i="10"/>
  <c r="F11" i="10"/>
  <c r="F12" i="10"/>
  <c r="F13" i="10"/>
  <c r="F14" i="10"/>
  <c r="F15" i="10"/>
  <c r="F17" i="10"/>
  <c r="F19" i="10"/>
  <c r="F20" i="10"/>
  <c r="F21" i="10"/>
  <c r="F22" i="10"/>
  <c r="F24" i="10"/>
  <c r="F25" i="10"/>
  <c r="F26" i="10"/>
  <c r="F27" i="10"/>
  <c r="F29" i="10"/>
  <c r="F30" i="10"/>
  <c r="F31" i="10"/>
  <c r="F32" i="10"/>
  <c r="F34" i="10"/>
  <c r="F35" i="10"/>
  <c r="F36" i="10"/>
  <c r="F37" i="10"/>
  <c r="F39" i="10"/>
  <c r="F40" i="10"/>
  <c r="F41" i="10"/>
  <c r="F3" i="10"/>
  <c r="D3" i="12"/>
  <c r="D4" i="12"/>
  <c r="D5" i="12"/>
  <c r="D6" i="12"/>
  <c r="D7" i="12"/>
  <c r="D8" i="12"/>
  <c r="D9" i="12"/>
  <c r="D10" i="12"/>
  <c r="D11" i="12"/>
  <c r="D12" i="12"/>
  <c r="D13" i="12"/>
  <c r="D2" i="12"/>
  <c r="D14" i="12" l="1"/>
  <c r="E42" i="10"/>
  <c r="H40" i="10"/>
  <c r="H39" i="10"/>
  <c r="H37" i="10"/>
  <c r="H36" i="10"/>
  <c r="H32" i="10"/>
  <c r="H31" i="10"/>
  <c r="H27" i="10"/>
  <c r="H26" i="10"/>
  <c r="H14" i="10"/>
  <c r="H15" i="10"/>
  <c r="H20" i="10"/>
  <c r="H19" i="10"/>
  <c r="H4" i="10"/>
  <c r="H5" i="10"/>
  <c r="H8" i="10"/>
  <c r="H7" i="10"/>
  <c r="H41" i="10"/>
  <c r="H35" i="10"/>
  <c r="H34" i="10"/>
  <c r="H30" i="10"/>
  <c r="H29" i="10"/>
  <c r="H25" i="10"/>
  <c r="H24" i="10"/>
  <c r="H22" i="10"/>
  <c r="H21" i="10"/>
  <c r="H17" i="10"/>
  <c r="H13" i="10"/>
  <c r="H12" i="10"/>
  <c r="H11" i="10"/>
  <c r="H10" i="10"/>
  <c r="H6" i="10"/>
  <c r="H3" i="10"/>
  <c r="H42" i="10" l="1"/>
  <c r="F9" i="8"/>
  <c r="H9" i="8" s="1"/>
  <c r="F8" i="8"/>
  <c r="F7" i="8"/>
  <c r="H7" i="8" s="1"/>
  <c r="F6" i="8"/>
  <c r="H6" i="8" s="1"/>
  <c r="F5" i="8"/>
  <c r="F4" i="8"/>
  <c r="F3" i="8"/>
  <c r="F22" i="8"/>
  <c r="H22" i="8" s="1"/>
  <c r="F21" i="8"/>
  <c r="H21" i="8" s="1"/>
  <c r="F20" i="8"/>
  <c r="H20" i="8" s="1"/>
  <c r="F19" i="8"/>
  <c r="H19" i="8"/>
  <c r="F18" i="8"/>
  <c r="H18" i="8" s="1"/>
  <c r="F17" i="8"/>
  <c r="H17" i="8" s="1"/>
  <c r="F16" i="8"/>
  <c r="H16" i="8" s="1"/>
  <c r="F15" i="8"/>
  <c r="H15" i="8" s="1"/>
  <c r="E5" i="8"/>
  <c r="H8" i="8"/>
  <c r="H5" i="8" l="1"/>
  <c r="F14" i="8"/>
  <c r="H14" i="8" s="1"/>
  <c r="H3" i="8"/>
  <c r="H4" i="8"/>
  <c r="F13" i="8"/>
  <c r="H13" i="8" s="1"/>
  <c r="H23" i="8" l="1"/>
  <c r="D7" i="6"/>
  <c r="D6" i="3"/>
</calcChain>
</file>

<file path=xl/sharedStrings.xml><?xml version="1.0" encoding="utf-8"?>
<sst xmlns="http://schemas.openxmlformats.org/spreadsheetml/2006/main" count="5524" uniqueCount="810">
  <si>
    <t>Указать название организации (на бланке организации)</t>
  </si>
  <si>
    <t>{"estimateId":5150255,"estimateVersionId":7054632}</t>
  </si>
  <si>
    <t>GgAM2FBpWmhyGMfZ9Tf1NMFQ/DyspR4qZ2otftkkqNv2yla3zlQjb/blsiN2pwjuAdlC7VVga3/2oaNB1nYRUHySUe+1/a6iIWG1885s5p9yZTDQhAlICQE6+uskosxBc78CWR1P9cdQfRKseE33QA1QOxblQVhztfLkGiv5gBM=</t>
  </si>
  <si>
    <t>7</t>
  </si>
  <si>
    <t>eF7s/ftzJMeR54v+K2UyWzMJQNbmK/LRa/NDAwR7q9VAVSNRe2xnekxWBRR2aSuSuiR19mVjxmaLEmcpiXrOzKFEUpQ0M/vDvcea/RCb/aLZ/Qdu1r9w/5ITkZVVQBUiIt290qOg2dVMg90AGu0fj0z3b4R7RPz3b7zzX783+ca1b7w++t43dr7xf46++/3JcfWZN77/3e/ufGPyX04m35194htvz79B/v6/3/nGyZuvv/7mG3e+ce2v5B/UT5G/Pf/szp3zH3an/ml3zn9c9b1vn39b9efyD+XT8n75ZXl/+t70x53yRfWHB/Lji/JJ+bhTvpy+Wz6s/6i+64fyv08631Tf2Cm/KJ9VX3pq/M5vVf/eyZtvvnX62hujd2b/6PWg+uzk7Xdee11+7ujN/9w7vWDwG++89s5/vfH91+af+5udZdo3zl77DzTa/37nzvk/K/9N+adrIhB+KMTOxS/9u8lbb7/25hv1d6S+iJMo/BsdyivroMgHgMahs+TVdSx5+7X/QHyAdKbsr2PKWk/z78tfl/9YflL+Q/lx+amnPpS/lf/36/J35T/Lj59Xn/l1p/xMfuLX5a/K38g//p38nfobv5ZP9e/lN3ymf2bDa8NwU1gPux1J8XJ6V75p8t3c6YRe+VVHWn1fvXHT9+Sb9qL64hP16a+n73rlo52O/NZn3U4of/O5xPyf1cvdSVLRKZ+Xj6d3p+9pOaNrw2hTnJ9LlJcS4rliVQFppzO9Nw9Q0nwJMP1IclWM5ePykYw/L8s/yd+poPOkQn5aPpv+dPoj+f2Pp++p75WOeVx+Uf099Vvlhsfyb30xfV9+fKT+temH6tOzGPhu9fHDmbPk3/iw/Fp+27PqL9Uhcf6Jl9L5LzvyH3wpDf5afupx+VT+C/c76ofI2PhS/qC7apR+VX7eCcN/pXV3fG0Yb8rdn9VOfCxd9uPaucrvy2Mwc/bLKqo/UC6rvuXBEqd8dT6TT5l8rbQvz01xrS82Rfnb8o+etO338pX/tPy/OvKD/D+dlQNx7WhTVuapH4RBmCWpzrJCXBtuyjL5/L6sAsa78kGQ+fBfy4+6B1lcu55uysSP1WOpQsWXSpB0ZDD/vPydzspdcW13Y1aqcK3eq8dV7LigsS5EHp3Re+La3saM/rga/cpo+dbfl1bOcoyKfEY3vyKuvXIFLZah693pR/Ljj+SnZFbRmb4vru1vzPRfl49kpleB9nlXZ9yr4tqrGzNO+nX6k+kPutWDerfOnlof3hDXbmzSzPKZpzJVp/y5PtD/W3Ht327Mvk+l8vhb+XA+nimHmak6K3viWm9jVv5TFaWk0pRvzL3yi26jkLmZXPt2silrf1uJ4MfVq35fipkPVZ66c+cNJfPUvFQiPLoYcrUAG/P159L+3+2oSckn+nD67Y2Zhn4MbiXXbm3MWt30AWj3QXLt8M/68T3YnNebHt/DjZk2i7X6ac2OdDD06egn1/obg0C/g4Pk2u0/62d5sDFfNz7LtzdmGvoxOEquHW3M2jVCcZFcO/6zfnyLzXm96fE93phpbYXiYXJtuA7EO2++M/ruJYY733hj9Ppk9mPpHBcWxOCP+ysi4+D53tvfe+tYfe1A/si3Xht9d///9f3Xvve6/GkayrMVyr8ohgffPMi0a3kHzPYWr781eOMtqJGHeiMPmY0cvPXaie5xuWSj8tb2wppVWcFj5TtrDXuh92jBaCtuyI/1Bh4zGggebuWl7WPDcA95LPyPr52eTt5Y713/93qf/nt2i3FD/5d6M/+S3UzwA6A8tv2Xhgfg+vX1DF0rAX9ciZZn5ZPpD2arn1WB/uV5Ve3JbEGqWjQtn8qP88/LT/2gqu4/n/2l6UdaOJFl1+Qjnm0K8Gc6q3ZFlm/KoE9qf/9otsp/f6Yap3flp94915B6b+5t0O5H5f3ON//VtzpVseeFKqPqLHxlcxbqzPm30hz1+G3KpvLn+scv9zdl0C+VDq2esxfLpdwn1R/ulV/L31WffHpBuNYFblVMe1AVh1Ux5dms+D39qf5R3RyjelSbHtONWad/THNfPqYbs6n8heEx3VjLjvExrR6+apKlImf9qH5R95u9rJo5nk7vTX/aqXpg3q1i63vqIe18c/aYz7rZ5hH4ycUIfF+rI/Y26Ab5JH9zTtccejdmp+GZDtQzvSmbyl8anumN9Wt9XiX4px0Vapf7h5Sgmj/cqqniPdVG8171tUfVspO2oLq3QZaqV6xreAw3ZZXhMQzVY7gpm8pfGR7DaFMG/fJiXCy/kv/9sPxKrVvNnk7RUYnd1HOyObNBSX1T1hmevEg9eZuyad/w4MUbsqf8h8tTxo7qx/i66mF9XPU/vJjlZNWI+T+qzkkVCmUKlM+oTNnz8e/MP/Gtqrnz5awXUT7CH9YyVYXSL6VYfTb9cdXto9TC80v/kmmStTkXmThVrUG11TQ9/5sy3PD8x+r535RN5d8ZXgCxKYN+IR/uR/IZvVgQqFqEZ1N+VRp4PO87fqppM5YiVj7j9+RfvdC2VsXv59VLc3mrhfwG+SXDU74xPzxQfrjgBa+S5JomSMNTvinDDU+5asPdmE3l3xue8o0VS/VTt6ov8OtK+tabitQiwsPq+16qLuIHnVoAq2XG2X6i8u/VH+SvL229mXsbZIXE5E0ZZ3haE/W0bsqm8h8MT+vGFsBXlmM/V/sBDE/Zxmysll6ryK86mO8DFgI2ZarhmUvVM7cpm8qPDc/cxmoSn0q9+uH0vYs7gqQouNuRofNj1abxD/I/htWqalVALXD9rfzU+/NNODOhLEOpd2FnVBVl/9UsqlY/omH/5d4GPXJB76tnu3NJIqjP/iudJNJK+Fc2h2J4A1QRbGM2lb8xvAEbK4tceAMuPZxzsaB6q6S2VU959TSo5/vi5jL1N+ZTumeVcphtnAm9qFMJi1nYXH4f6llV9QipbnvRWWwNfKyeLvWvXZx8qn9TmVS9bF+uyBH5RdObtDHPrrxJqzZXn6ucY3hvNmW44b1R1buN2VT+VvveJP7G6jT/XAnoWeHtXF1fqNPdl49ynRqqfa3VZtQqpKrxv/x3dRPQWYH/kXwtPtJGXNJa9QaddmFDjXr67ftrXtmcodpXQJpzbbg5m8pPDK/Axso6v5ot581Sx8O6bP3uefKYb7yeLSHo1z42aP4jGXnVUyiVfB2LHxoew02ZaHgMA/UYbsom/ZxMPoYbK+t8Ouv8tioRmw55eeHvf7NSHjL6yhgttf236o20j6pnuFreUwvB96bvV8t7z2at6NXJDi/VHlY1f/hRFYnrsK5eA2VS6Aexesjkf0X936Q2Sa9bNujPyirvfJJ7LlSaPil9O2uqlh59XH5ZN1ZrAV/ZHKAaA+/OnTfUGNT/TT3DqxaqV21ThpafGV61aFMGfS4f+q/UawYL7ZuyUz6Rd6tqjWGd8pXNmWZ4ziL1nG3KJsNRDIkfb8qgX1YitpKws6NPqsK4DMNPKq1RTQen73audco/dst/6Jafdi+c+jKT09Of7szE8LPuTmfivT567buGp3RTlIZHIVaPwqZsKj83PApiUwap4wIutjy/VKsGahXuh+XLdsZ/U2iG8Rdq/DdlU/l7w/hvrEyhzkCq6pHVkVH1gSxPO7OTwOr57/mkd/aoGAZ6UwyGgU7UQCNt+uvqJ51OBqN3/qP8nLQwGZ+E4/HI9ybxmfDizD/zsiw980Zx5I8iEQenp6PZd7715n+e/Saf/WfBNvnuZLEX5SIceNNdIF+/X9Szv5fzVQ01Tk80n/cu9DivfLs6/k3bpn09u9aDL9lCnfI38i8GEdgZLezYy/U79pjQYjwabrvPoZ7nkIlH4HnA+4IUTl+P02fCgb+Ga24Y1GMVPFihj8PCPXHHepZjJpYAx4J62oZ6lCEDimJJ7iwngVW0tycn77ymyXAyCXz/9fFEN0KX00CgI7quLxpEQeDHcZgEq1iz5Cu9D7ZQZcTvfK9KiY1GJjoTd4kmrr7CFifCMqnqs1k95HKRKZ/M9KzUtrMDHrWr5nv5tR6R5lIuNOO0kAsDf+cgEPKXn+qzIpViNe0BKHBB6FCafihNPzSZfkg1XeBNR8WcvrS8Ly3vmyzvUy2HvwlrJjNJUEiCwkRQEAku5a0GAtwjcyzNPpZmH5vMPqaaDY/jhBQlrR5Kq4cmq4cUq6vn5Y6LbGTIR4G+hDe3OjT6GmwkKiHprdylWgl/E6E56bOqcvJw0Uz61JaU9JPvwL/WowI5TkuBPhuRrXeQjvQmH5JNFniTUXGlb7C4T7YY/tCvm370lhdUy7nTjt7cY7K58EBNSTd6a4ckay9EbPY0Y0o0+iL93O7I6GWwmchE0w11du5S7YS/ddBU86lu44wm2VQrhl/NOqZeqvO+ZIJ6aqhDBoHMPURCx7knNOQeqvUOco/e5EOyyQJvMirI9A0W98kWw9+CdXOP3vKCajl37tGbe0w2Fx69KblHb+2QZK0yt373HOQeU/bR963MLY+NfgYbis4+3Vhn6S7VUvibB80/v6j6C2a7H1/Mr515VDflVmdwTe/KzDM7aPRPto0Pe0Eo0w4RzHHaiQxph2q9g7SjN/mQbLLAm4yKL32DxX2yxfCHf920o7e8oFrOnXb05h6TzYUHbkra0Vs7JFl7ISY6STumxKNvZJvbLoyeBptKSDzdXGfrLtVW+NsHTT2/XTQ6/akz/ajqQb4733U1O/exmgWp7uWqwf6r+caQixux5peiqSyl5ko65r0gkpmJyO04M8WGzES13kFm0pt8SDZZ4E1GhaC+weI+2WL4u7FuZtJbXlAt585MenOPyebCYzslM+mtHZKsrZ6LO4uE9Fe2DPWf33zrP2kQKOnJlKBiK0JqdDjMUlJ2Mhm7SzV2NVCb3IpPTzudqtXy+dJn7lczpxfVFhvdet0skanzzNQE6oEOdY+KuhrVjePyugov33ntbchjpLPwFaqFAmUh0bp9qnUJzLrXJ6O3v/8W6Gl5rl1ofpVqYAozcPJfvjd5422dgW+sGBh0/Xoj54qJN6gmZjAT/883v/t90AunM+7fUo1bzcgG46osAfFelncjnYE9qoHBauY1WKgkTpXGIKJh1Wy/qx/zm2SrgalrYbVRMKyaGqXCYOy3ycYCs9fCWI2Zl5SCdN32UX94+Mo3pV07Hf0a6i2yycAchpppQJ+KA7LVMdJquIycuVq+ZVtLTjc5/pCMIJAI4AdGenV7btalCQfVWmD++l7bgWNAthiY0L6HChoiCbtCa+htsqHAtPY96PgPFgHjtjlgHJHNxSS6Np+EgmrxpSmnzWJ6oLhtDxTHZPOBGRA5/5QPybE+SAxJlv7N3/z136j/7ThrCdHq3+sqrlqMz4xuBhuJm3tqrdylWglf94FOOqv78qrlTzmd/LpaEb3fmR8uoBY41Tz0mbnzQ1zrUWEcL3QmOweRqfuDShDjCeARZrbYmewcGsw+JJst8GbDI0u14Jns9A1W98lWwx9+cPIxLHomO4XB+oJqPffCZ7JzbDD5mGwyPHAjk0+1+JnsDA0WD0kWX1gAZU89plXPxGp3bvQ02Exk8jEteBLthL+ByPQzOwTxy2rJc9Z3qPaiz4/3WUpOOqC9IJFpiAjlOA0ZtmKRrXeQggxbsMgmC7zJqNjSN1jcJ1sMf/DXTT2GLVdUy7nTjmGrFdlceMCmpBzDFiuStRdWpB2kG1PC0Z8zXVue+kY/gw1FJ5xuprN0l2op/M2DppzPqoPo6iPQv1zeDFwdRQfISTrEvSCVSYiI6TgJGe61JlvvIAkZbrkmmyzwJqOiTd9gcZ9sMfxVWDcJGe6/plrOnYQMt2GTzYWHcUoS0ls7JFnrds5jTkP6EzXmtrs+f2KWhkxzH6Kt8LcPmoh+Ub6QU5r36q6O2blbVXpRZ2x92JkdDv+4Pvq3Oj51tgWLkpoymZqI4I5TU75zEApDeqISOEhP+c6hwexDstkCbzYqFvWl1X2D1X2y1fAXZd00le8UBusLqvXcqSrfOTaYfEw2GR7wKekq3xkaLB6SLHafskxJK7daHxr9DTaWlLRMaYtoLfxthKatPyx6D7+an5KkLi1ZyWXT9xe5jJKvcpmviMRu81XoG3IV1Xr+XGUw+ZBsssCbjApCfYPFfbLF8LdizRxlsLygWs6cnwzmHpPNhUd2Qm4yWDskWXshtDvpn18kJ0N6Cq0ncqTgvcWtdNAvcpOxpEQ1F9h/CE1OH1f3+zyqDlBqSEpPVIfDF+p0i9ntVmpLmLoYqzo3t6yu66waIao/vDjvilBlqJUEeP98pvZ8+mH1U55WlzXPr9uqLhlS/fvPq/PVL9z6uqP7eS9npy4/qe7HfVp/61c6v+9R/b6aZlpp6C9/Ie19WO/cvq9cJ4E+ql398/LTeoF16cLr8nlnt3fgyZH7Jx3gK1RAgQKEwM0O6VIj96zbKf9YTcnV4Dyvbij5sON1os70g+l7XXV09ks58n8rwdWD43VC3++oCzy6OsR9KmICQ8RsKtD2nL9KNRDYg9nGpgKqicDuy/U2FVCNW5Upa24qyLuhth2tR7WPZU/BpVzfe3X/6Kh/9M1Zn+VMdQc7B2Eof0XyV/wtdVWOhKj6L/Wa4CYZEZj78RsQ0jT3u742m36bbC0w++N2IIT+fAfCzMc6k2+RTQYqgPXmajP7JclWz8xwQGYAZlPCjK1uM5aGLw2BcT8CGUEgEcCPj/Tq9tys1Qkc2Vpg6gPvRwAEnUIGnUIGnUIGnQIUdAZkPGDixG1eCIIkE4aIc5tsKjCBwrcvLKLNbfObekQ2F5NSSQ/OzPaBPdIUVPt5NzMsosxte5Q5JpsPzKbIxQD5yBzrI8yQZKky1Y/FmQjHgXeWn8VePBqn3ijJAi9ORpN4NIon4mw8gzEuE7xePz8aQOpSgWmxIMBRQvF0CwoWKsyigo5jl5NjVWfYRge42vDb6nrWx9VUXV2j9uHiJuFL03f5ydnNxPfqEzXfK19MP5pdYKwOmvmTnDffm763U13RLefGX9UnzehnZHucjhJwR8FnzzqKfU6KVYVgoUBMkOe3Mj6bLV/oqF7lpFoVBhYqxKxah3GDE2NVNFgw1px5M0KsSgkLxPozdEaOS7N4CwhqJn/pOUuzbqJtD73JyoeI/G3MMudzzUDJJ6kCA/N8k5MaEQDB0yT4iA5Y2bCvHoTNOpqD5tEs2IgrPXoaZHEYjCZeFIvUi8engZcJceZFaSgCMUp8IU7uuNej2nB1vY5iCFfA8JzrUUYORFSC6tGl1vbnRnH6dFEkezITpbMCzcPqyvaXSzWv6svz6oXORXucLhJwF62rRBkpEIG4bSXKSOVSiTJiuFOijBDYdAgYCbMSZeRwpkSjKOyGsY7vJisfIua3qUTDWruEZiXKSY0IgGQlah7RASsb9tWDsDUo0cbRLNiIZ9cu+MnJJDnxvSgKhBfnUeLlJ9HES8NsfJaOotPTvH7OnSpR7ULZ9TDCugKG51yJMnIgohJUiX48X8SsGn4uKcvpPXXCqRKXtdJUW/w/qPqi6muHLmjU7+gcssfpEAF3yLq6k5ECEXZRuvOhjuRVThIWrRkKHccNTg53YpMRApvxIEMR+V3taPQ4QZypzaSbaYuTN1npEFG9Ta0Z1eokMmtNTmpE0CNrTdN4DljJsO8dhKxBaTaOZcFGXCnNSZyOx/ko9QIhQi8IJpmX+ae55/vCF0mWBbmoNZhTpRnrXHG9nn0gXAHDc640GTkQMQmqNH8+6+DXLV+q68W+6ryS+H4nCcX0/VD48oPvm9cyGdEFHH1dTclIgQivCE1pajtnBGGRlEHXFzqSG5wk7kQlIwQ2uQEGI+8mmXY9uccJ4kxUxmkWdX1DNZ0TEBHD29SVca1FjEdaH7BSIwIfWVdahnTACod9+yBwDdKycTgLNuLZWdU77g6qtpfKhRXT+VV+862eWmt3qdauPmEOjyHQHKJT6UX0oQShuNaj8js+lCAxREiq9THeenjz+exQAr3Jh2STBd5keMN5dSiB3uI+2WL4O0IPwrONLHrLC6rl3IcS6M09JpsLj/PIfQjVoQR6a4cka6vnYmativfODiUwHXAdJlYIt9f6LTKVOVsRzV0N1m0eSmDIRlUH1tPqdICv5ccf8Z03UD6t/uKsc2h26pw0YH4ugtrPvlOdizq/+WF6T3saweybZv929Tn1jdMPVB4uH9R7Hd6bbYPvdoLQ1kFGHKXVpHR1jzAgAgoUIARu+QiD5VMKFidjeIvhkt/z8fkjqf7wO2/6rle5oFpMk984fT8RarSD8pPyj9VvwurP4Y6v/iOqj+Uvy0/Lz8vfd0Tke6EfaF/XfaqfVudmLZyDoDXwVaqBwO2cqIUm0zkIRBOB2zjXXEEiGofZtAnwXhKm+oTRoxq4uYMQ0p2DMJO/8p2DyJe/gnpfcmI9DIGKCdQc+MMQgjyPTdcxkq0Fqg7kYQjJ4jCExHwYAtVkoPJYb444X1JLtnpmhgMyAzAvE2aK823KydbSEJgPQ6AiCCQC+PGRXt2em3Vp4ki1Fpj/wOuSgMBTyMBTyMBTyMBTyMBTgALPgIwIzKC4AxHCPA8MQec22VJgIkWch5AszkMwvqxHZHMxqZX07MwXfK3BpqDaz3weQrK15HrzeQhU84EJFbkOIR+ZY32QGZIsrebEZ0kcRNGZF5+mgfxwGnl5NBZefBKNT6J8dBLG9UtqXKF4fdRuL4b5XpTQfpj+JUoonm4tw0KFWc/QcexyciDqeNCFjs+rs/DuTn+sJpP3pu9X6xDTH1ZL7OpQ+/fUQrtXrV3cVasUat6pDkbQoO9xogs4OnxyraPY56RYTfsWCsTU19jfy0jC0owRx91M6FBucKK468ZghMDWgwGjEWZBmHdzw7SbkcVZQ0bSjQzdGJx0iCjexqRxPnVM6/J9ap4+clIjQh941gMdzwErGfbVg5BZx3LQPJYFG3GlLMej8HQcjyaeH6WhF0fhqZel8YkXnchvzfKTcXRaP+VOlaWhXcN+54XGFTA858qSkQMRk6DK0sVJW9oB3+N0lIA7al0dykiBCMYoHQo434CRikWTGs43YMRwp0cZIbBJETASlhoQI4g7MSq6SarDu8mKh4j8barRrFYwmVmNclIjAiBdjZoGdMCKhn3zIGgNcrRxMAs24tnxBmdhJPIw8yZnY6lf83zsZacT4Y3TE5GnZ2d5cja6416ORjpXXA9zrCtgeM7lKCMHIihB5Sj1oC1tn1f1lUR0vCC0bE1jdJCAO2hdGcpIgYjCbctQRiqXMpQRw50MZYTAJkPASFhkKCOIMxkaBFk3z3V8N1n5ECG/TR2a19IlN+tQTmpEBCTrUPOIDljZsO8ehK1BiDaOZsFGPGv8n+SJOMki+cUg9mL/dOzlIz/3xNkkOA1OzvJgVI+4UyEa61xxPbLfs6BxBQzPtRDl5EBEJagQ/bw67EBtLJj+pHxWHah1t3zwnZmmFP6W/H/teO1xcgo455p6kpMCEU0RetLQWc4JwiIh/a7wtU/WDU4UZzKSEwKbygCjEQVJN/C1abnHieJMSIZJ3o2105abrHyIkN2ikIz8mfSIzFfVsVIjQh9ZSJpHdMDKhn37IGx2Idk8mgUbcSUkU5FmwZmfeCfCH3txGIReFp+eeiej09MgOT0RIhzfcS8khc4V16MA6woYnnMhyciBiEpQIbm0z08djfBM9WpWOwKfVcdoTd+dflRtVlUbPL+qFWb53AuEtoF+j5NfwPnXFZiMFIgoCxeY6gJqHcmrnCQsClP4+qnmDU4SdwKTEQKb4gCDIQVm4HczbUNcj5PFncKMu7H+lFZWPEQob1Ng1rcZRea7qVipEaGPLjBNAzpgRcO+fBC0Bn3ZOJgFG/HsLK2/cXuclnYJ5XoUWhmzVUb+g7S0du5S7Vx9sNY/Quvz8rfl76ruR+NBWJ3qZH4pDNUpJOX9zjfrQ0kqaVgfEFI+0T50e1F4rUeFdXteVhTtHAR+YAiEVIQYjwDfoVgdmiXtPjTZfUi2W+Dthm9NVCdnSbP7JrP7ZLPh7wc97lZbn6X5hcn8gmo+8xla0uZjk83HZJvhER65gVUdpCVNHppMHpJMVjbXL6WDJGXYmhpFVstzo7PBhqLTlH6etUu1FP4iQhPVL1aPdSwfL44rUu1WT3THaj01HOMYRTItEdEcp6V45yCWqSmV/81zQ3aikjjITvHOoTT/UJp/aDD/kGy+wJuPCj99aX1fWt+X1vcN1vfJ1sNfkXVzVbxTSIpCUhQGioJKwZ2y4p1jafqxNP3YYPox2XR42KdkrnhnKC0fSsuHBsuHJMurZ+eOuwRmSmGxzfbMN3odbCohhelt3aXaCn9DoUlMd2DxPInpTN+LYpmoiOY7TlRCJir9kT8HZAIHCUrIBKU3+5BstsCbjYoufWl132B1n2w1/HFfNyEJmZD01hdU67kTkZCJSG/yMdlkeNimJCAhE5De4iHJ4gvRWxnu4BziulCsQ7geCStCaHQ6zFJS8jHN93apxq4G8DbPINYdk784/nW2ReWL2bVK1WG+04+qY36fVN/yUk2xOkuXxDMdVKz5eS+1RxHr/L5H9ftq2rmypwpTAQUKEAAXeHFn+pPK5D+VTy6dK+x1Qr8+TljHsU/lWK0htXDqb6Qz8FWqgatVccZTf6kmAg8rXLPUTTRuVZOseepvmMh8oo3RPaqFGzv2N0p2DqJU/srkr3x28qZM+pYjf8mIwPSOP/I3TXO/62sH5Ntka4EpHnfkbyTmR/7OfKwz+RbZZGCiX2+aNq/7i62emeGAzABMmoSJWn0SpzR8aQiMR/6SEQQSAfz4SK9uz826NF+jWgtMfuDmCUDQKWTQKWTQKWTQKUBBZ0DGA6ZO3HG/QZBkwhBxbpNNBaZQ+Hm/i2hz2/ymHpHNxSRV0oMzb0qxRpqCaj/veb+LKHPbHmWOyeYDsylyzi8fmWN9hBmSLFWm+rE4E+E48M7ys9iLR+PUGyWZ1PrJaBKPRvFEnI1nMMaVgNdHbTWNL25f1jFejxIcIxROt2ZgYcKsG+g4djk5VlWGbWyASwouzmTTzsj2OB0l4I6CT5F1FPucFKv6wEKBmCBDDsPgpGLpM9fGlBucGO6azBkhVoWEBaKNGTojibMW8yDNuon+jGBWPkTsb2OWOZ9rJnVbsvmKGVZqRAgET5PgIzpgZcO+fBA262gOmkezYCOu9OhpkMVhMJp4USxSLx6fBl4mxJkXpaEIxCjxhTi541qPhjpHXI+sxyXrHAGDc65HGTkQMQmqR6mHss2qMA/lJ79UFZgLha3qy/Pqhc5Fe5wuEnAXratEGSkQYbhtJcpI5VKJMmK4U6KMENhkCBgJmxJlJHGmRKNI5rBYx3eTlQ8R9dtUovUNB5H5tgpWakQIJCtR84gOWNmwLx+ErUGJNo5mwUY820LiJyeT5MT3oigQXpxHiZefRBMvDbPxWTqKTk/z+jl3qES1C2XXI+tJyTpHwOCcK1FGDkRMgirRj+eLmFVXzyVlOb23I9VodVjbTGmqPZYfVM1Ps/2XFzXqd3QO2eN0iIA7ZF3dyUiBCLoo3flQR/IqJwmL1gyFjuMGJ4c7sckIgc13gKFIRJh2U+149DhRnKnNpJsZTtbgpEPE9Ta1Zn19QWS+i4KVGhH2yFrTNJ4DVjLsmwcha1CajWNZsBFXSnMSp+NxPkq9QIjQC4JJ5mX+ae75vvBFkmVBLmoV5lBpxjpHXI9yrCNgcM6VJiMHIiJBlebPZ236uuXLF9Wxba8kvt9JQjF9PxS+/OCbr5jgRBdw9HU1JSMFIrgiNKWp7ZwRhEVSBl1f6EhucJK4E5WMENjUBhiMMI27QZLoUHqcKM5EZZxmUdc3VNM5ARFRvE1dWd9GEJnvlmClRoQ+sq60DOmAFQ77/kHgGqRl43AWbMTVmW07i5zsdEOnvmAeW48/zuJVVCcbOoVhQyfV2NW4seaGzr+vFghnB7CpTkmp++5O35v1Xr6cvi8l4J+qr8+6L6u9eH+q/qhq4lIbTt/v1FXU59N71T5K+XOmP5z1Y87XH1U5XenI55cK6upv6tyzR3VPDHMPbt+lzsJXqBYKlIVE6/ap1q0GaLbtkFQDgXs6UHrTsB2SaiJwL8d6QpJqHGbnBsB7Qmdcj2rcxnZCxsHOQRzONiPFvm0HJBkNmA/xOyCzXCRd/SP8bbK1wJyI2wEZ+/MdkLHxEoNbZJOBmbENNS1JtnpmhgMyAzB90XdASsOXhsC4A5KMIJAI4MdHenV7btaKtX2ytcB8B56MAIJNIYNNAQo2AzIWMEsidz5GcRQbIs1tsqnAbAnf+biIMrfNb+gR2VxM/iQ9MPXUzh5hCqr9vDsfF9Hltj26HJPNB2ZR5M5H+cgc6yPLkGRpNVE7S+Igis68+DQN5IfTyMujsfDik2h8EuWjkzCu31LjlNmygECbNht2PtYXKIEZoXC6ybWFCTPB1nHscnIg1uugc+/P6+n2j9WpSffkZFsdYyTnzuoEdXUk7Xuqj8erjj66qw45Us3kagukBn2PE13A0dedtTJSIJYeEbNbUycPJwlL2SUW2lX+G5wgzqounBDYVV/AWIShvjOix8nhrOSSdCN9vYWVDhG/25ghzueJ9aUqsfmGHFZqRNADT3Gg4zlgJcO+dhAye7GleSwLNuJZH0+aZkl4lnlxPIoWhZnRJvt4TLfoxCHWETA454qSkQMRkaCKcun6xd9dvGlxR38dY9XNE4TyQyJUDacTlJ+Uf+yUvw2E33lV/prVcKT+vKtE6rtdtVmuG3bKX5afSv36+46IfC/0A+1TsMfpPQH33rqilJECEZ/hotR4eSMnCYsojXKhA7nBCeJOlDJCYLMjYCyC3NBczsnhTJSGQVd/9NVNVjxEDmhTlYa1kgnNqpSTGhH1yKrUOKADVjTsiwdBa5CljYNZsBHP7m3ccXlpo7n7J7JCilVIU/dPu9eJaG3dpdq6+nTxXCeiuQXrZflUB7IXR9d6VBi3l4vE8c6BCOSv1BDwqBQxngJeV6kuGJGmH0rTDw2mH5JNF3jT4TUVdcmItLwvLe8bLO+TLYe/CPQoO6vVxjuFJCgMBAWVgPmyEWn2sTT72GD2MdlseGBHluDUhSPS6qG0emiwekiyunpe7rhMT6YqW2y1PjH6HGwsKUGZ+lOJ1sLfzPZTVH0G09PzVRDV0/pk6RoSHexeHMs0RgR2nMaEIX1RrXeQvvQmH5JNFniTUXGob7C4T7YY/lKsm670lhdUy7nTlN7cY7K58MBOSU96a4ckay+kJRXgHW2dMN/GGAsrBPje+xY3T1j2euxSzV0N1mtun1i6DwuRk3iuuiqfVn9xdp7d7H5jacD8Si51F5T8ni/Pd3xM72kvwpp90+zfrj6nvnH6QVVIeFCfwP3e7HKmbicILecaUkdpNSm1souD4/YsKqBAAQLgGm7PWlzL5i0GTH7PUrno4/J33vRdr3LCxbKQGu+qKlT9Jqz+HO746j+i+giqBe1TPQVs0IVXR8rnWgNfpRoIbLWFFz0sG1KIJgJbbNcsZxCNwzTUQryXJ7HpGByqiZvblpLsHMSp/JXJX/nOgfDrrnHrJV1kTKDuwG9RCfLc1Dj+bbK1QOWB3KKyuKQrNl/SRTYZqD7WmyfOizxiq2dmOCAzAHMzYbY4byJfXNIV2y/pIiMIJAL48ZFe3Z6bdWnySLUWmAHBlTJA4Clk4Clk4Clk4Clk4ClAgWdARgTmUNx2lTDPA+NuFaqlwFSK2K2yuKfL/LIekc3FJFfSszMvQlqDTUG1n3m3yuKeLnugOSabD0yoyLUI+cgc64PMkGRpNS8G9SEqGOMqxeujNnsLbTd3xwmOEoqnW8+wUGHWNHQcu5wciM4S6GJHq/tVGNEFHB0+wdZR7HNSIJpkEJNf434VRhKW1sA47mZCh3KDE8VdcyAjBLZHCTAaWRYEedfXbwToccI46xA0b1vhpEOE8TZmjfO5Y31NU2y+dIuVGhH7wNMe6HgOWMmw7x6EzDqWg+axLNiIK2k5HoWn43g08fwoDb04Ck+9LI1PvOhEfmuWn4yj0/opdyotDV2EKdYVMDzn0pKRAxGToNLSxSWw2gHf43SUgDtqXSHKSIEIxigh2nz1FicViyjVTldvcGK4E6SMENikCBkJWxmIEcWdHBXdJNXh3WTFQ8T+NvVofVlTbL56i5UaEQLpetQ0oANWNOy7B0FrEKSNg1mwEc9u3joLI5GHmTc5G0sFm+djLzudCG+cnog8PTvLk7PRHfeCNNK54npsvxpC4woYnnNBysiBCEpQQUq9BVbb7lV9JREdLwjN9yZwOkjAHbSuEGWkQEThtoUoI5VLIcqI4U6IMkJgkyFkJGxClBHFmRANgqyb5zq+m6x8iKDfphKtL3OKzRdzsVIjYiBZiZpHdMDKhn37IGwNUrRxNAs24tkOgEmeiJMskl8MYi/2T8dePvJzT5xNgtPg5CwPRvWIO5Wisc4V1+Mc6woYnnMpysiBiEpQKfp5dReX2mEw/Un5rLrv9W754DszVSn8Lfn/2vHa4+QUcM51FSUjBSKaIhSlqcGcEYRFRPpd4WufrBucKO6EJCMENpUBRiPP/W4Yacejx4niTEiGSd6NtROXm6x8iJDdppCsr26KzTdxsVIjQh9ZSJpHdMDKhn37IGwNQrJxNAs24kpIpiLNgjM/8U6EP/biMAi9LD499U5Gp6dBcnoiRDi+415ICp0rrgv7meoaV8DwXAtJTg5EVIIKyaXtfrrTIKfvXjwyslaY5XMvENou+j1OfgHnX1NgclIgoixcYBrPd+QkYVGYwtdPNW9wkjgTmJwQ2BQHGAwpMMNIPx49ThR3AjPu6i/5uMmKh4jkLepL4c8UiTDfUsVKjYh8dH1pGtABKxr23YOg2eVl82AWbMQbOuPR0J8pAitmvorp6hAtrbW7VGtXn7ANHKL1dXm//FL++WH1HV+oG1/LB7P7XlWt9IleguyJ4FqPSu32JC1hiopU62O89fAti9VJWgaTD8kmC7zJ8G2K6iQtg8V9ssXwN4Meeqsd0AbLC6rlzCdpGcw9JpsLj+7I3avqJC2DtUOStdVzcWeRkpydpGU651GENog8MLocZisxP5k20+5SzV0N1muepIVOUJ+Vvyw/W/skreqe8/lOgdlBV/fkP/esOupKu/ng/PAt+Y+qXQfVFoNn9Q7Y6qqN89OxlMWdIBDmI7Ko7l/NNlf2iCwqoEABAuAuHZH1mV7iqI6/WuKoTr/P5G9/WX4SeEmSTt8XvjoZy/e196k83umc70mRH9Uj+ePpT9UGlMfqSX1ZPSaP1RFc1c0qD6vjs55HHW9xhlYiw5w6REu7NW2f6svVyRjbIVpUA1dXlxgP0aKaCDz5Y80lI6Jxq7Jo3UO0RKDt/+lR7dvYCVoi2jkQ6uh3IX8ls0NsRGg7PYuMCNQahNOzkjgznZ5FthaoNnCnZ4lwfnqWMN5GcYtsMlBxrDc3nC+fhVs9M8MBmQGYtgkzxPpQG2n40hAYT88iIwgkAvjxkV7dnpt1acJItRaY+sBrkICgU8igUwh1cYCQvyBBZ0DGAyZO5MlZcRqaTs4iWwrMn/CTsxbB5rb5RT0im4vJqKTnZr60aw00BdV+3pOzFkHmtj3IHJPNByZT5NqDfGSO9QFmSLK0kq6neZaI8cgT6WnmxUkcedlJ5ntplp+ejMbBODs7m8EYVyVeH7XbeWE+5VtEOEoonm79wkKFWcPQcexyciDqddDFjfPdZF9d2k2m3UsGWPn45vRutXfpi/L+Tmf6wfReNW3/Wk5BH01/Wi2LPJv+uJqQVmd/1xPWR9XSxp/Ueob2jd3j9KyAexY+rddR7HNSICqbiAk1ZBsaJxVLf4d+GxonhrvmDkYIbIEZMhLGGT0jh7POjiANupm+dZiVD5Eq2piVzuemUd0NEJnnp5zUiAAInlbBR3TAyoZ99SBs1tEcNI9mwUZcCdjTcRKHZ+nEC5PTZHHXZ765a+Vtt3yKGOsKGJ5zAcvIgYhKYAE7q4eootpDKUK/ltqzunmmKqHpyiizL/2ikrQPZ6UQVRtTunP60eXiSfXtSwUWc8GM0XMC7rl1BSojBSI+IwSqqeLDCMKjSbu+luQGJ4k7WcoIgc2NkMEQcW44h7PHieJOmfoi7CZCB3iTFRCRBNqUpnEtZmKzNOWkRoQ+ujQ1D+mAFQ77/kHgGrRp43AWbMQzbTrxT0WutsCJRJ0zm515o2QSeiejSRj6sfxRo8kd99o00rniuhBoV4DwnGtTRg5EWIJqU8LZsap/a3Yq7IPqL89WUN+b3qv06XtqLbW+vEAK3fmlB6YTZDndJeDuWleQMlIgojJCkIJWTBmpeNSpDuMGJ4Y7acoIgU2NkJEwrpgycrjTpTKlafFusuIhwn+bqlTUMsZ8HR4rNSL+0VWpaUAHrGjYFw+C1qBJGwezYCOuNGkWnZ6JWIRelo0SLw5PAi+L47F3mozHJ2fBqR+ntQZ1qkljnSuuiwTrChiec03KyIEISlBN+vH86oFaiVYl++8o7amj2+OkE3C6dSUkIwUihKIk5EMdyaucJCyy0bCiyYjhTjYyQmCzF2AkItMlWJwczmRjbmgLvclKhwjQbarG+uIkYb4Ei5UaEfLIqtE0ngNWMuxrByFrEI2NY1mwES8OUIjv2FVhywcoGBYprVcr5OEqpqsDFGKdtbtUa1efMMcHKHTKL8v70w/KJ9V20/udeq3q+fSeWoWsFhl/OGsG/aWUir/Roe+J9FqPiu/4JIVs5yCJ5a/cECWpFDGeAt7KPjtRIds5lKYfGkw/JJsu8KbD29irkxWynb60vG+wvE+2HP7q0GPzbJdMtlNIgsJAUFAJuE9ayHaOpdnHBrOPyWbD0wFy10N14kK2M5RWDw1WD0lWX8gL6lV1dvJCZNrdYD2rPY+NrofZSkxs5uRGNHc1uK958sKn5RdVd9cPq5au6pzxu1VX1ovZdv/pXfnF2Weel487335j9P2zuoz2uZeESf37B51Qfava/T6vsv3MC9RG+Z95ofZiqz2qA1bzwtU9+4AIKFCAELjLg6xw1IHy5dL17eoU0LvqqAKpZ6qNKB9XhdB70x/I0ZaDvVMfmTH9gXTMM/UNLysp86KSOA+qMuuL2RkKn5WfdALVzRerh+Cz8vPZn4Qv/4WOFEdVY6D0YKIOQ5Di6N905m2GqoRbX6N0f2ZcbdqsXKu+/Pvy1+U/lp9Irp9JE/+gzk4o/6H8uOOpf2T+4z6W3/Az+cU/etXPlc+whJA/8mtl/fTdzjel/Pq8/Mx75dV/G/WOvrXTeecvgnBndliH/Ennz/O/Uf/gk/Lra53yn8tPvFDoRnufOtqrEz2+0xmIBgI3mcKXqyynMxBNBO4uXXMpimgcZi8pwHuJr01/Pap5mzucIZeTBl/+CuSvUP6K6r3SmfWABiomUJIQDmgIQ2E8oIFqLVCUIA9oyBYHNBivvLlFNhkoTNabcs5X57KtnpnhgMwA1BaECed873S2tTQE5gMaqAgCiQB+fKRXt+dmXZpvUq0FZj/wEicg8BQy8BQy8BQy8BQy8BSgwDMgIwLzJ+6QhiCL0q7+YPbbZEuBaRRxSEO2OKTB+LIekc3FJFbSszNfPrYGm4JqP/MhDdnWkuvNhzRQzQcmVORyhXxkjvVBZkiyVJnqR2GcTE4CLzxV1wOHeeCNo8T3RlGSiMQXeTSunyXjAsbro3Z7NiLzIQ05jhKKp1vqsFBhljt0HLucHIiSIHQdBHjl78uVmfSTC8sl1aS1WtKXc8v5kZBVc7HaJSd//6zaG/e0Oo5httYwOzSy/pzpGIeqpCDn3d1v1ZdyXFhqqf+92YrLhbm5+ltyCl4dMagm36ntEErGkRLwkYKvZ+go9jkpEMVYxDwd1MLMSMXSi2JoYWbEcNeLwgixqmUsEGsvFDBiOGtFCYKoq+e7ycqHyDxtTHTn0936gjFhvi6OlRoR/8AzNfiIDljZsG8ehK2hHaVxNAs24lnVbjSKwyg6806SKPDiKDnzRuJs7E2iMEvOojM/GtfPuVM9rF22vp5YrzbRuQKG51oPc3IgohJUD/9WlXW6i7OwVcno91IRv1/VYu6rs9Ir4fukfNrR4e5x4go47pqikpMCEVQRovK5tvHrVU4QFh3pd339WY03OFGcaUlOCGxGA4xGJKOzfjh6nCTO5GTs51E31wLeZAVERO4W9WRS3yiWmK+HY6VGhD6ynrQM6YAVDvv6QeDsgrJ5OAs24tlBDSM/mpyenHnj+DT3Yl9kXp6nkZfJv3Hmj/zUP6294lRQalPh9STAugKG51xQMnIgwhJUUH52cXGy2gyneouqNcv75QO1ulrdp/Ok/Ep9LRVbsb/l78jnVv4pMqxccrpAwF0AF5kX26J0RPucRIioixCc6iy3h3KioB2hVzl5mHRnluhIbnCSuJOdjBDYvAcYDBEkhuHocZI4k51JYtpRx4qHiO5tis6gVimBWXRyUiPCH1l0Ggd0wIqGffUgaA2Ss3EwCzbiSnJORC5G2elEftGX3xuc5N5o4gdePknTUZhO4klwese95Ix1rriehFhXwPCcS05GDkRQoknOWZG8Pov28fRHVaf6V53Zp6XeFJXerCvsseqju+yBPU4PCLgHUIpz0XqvI9rnJEKE3PYUJyMPi+I03CR7gxPEneBkhMBmPcBYBGFiGI4eJ4kzwZkn3USrp2+y4iFie5uCM6w1ivkmP1ZqRPQjC07jgA5Y0bCvHgStQXA2DmbBRlwJThGK8SjOhBfFwakXj5PUG6W+VKix8KOx8JOzyckd94JT6FxxPYmwroDhORecjByIoAQVnL+Z7zM8vyZBnfbwbiU5Z1sjv6p16GLzoerT/E35h/Lj2ecXWxB1/tjj9IeA+wMuP3UU+5wUiKCLkJyGLZWcIExa01BTZwRxpzUZIbAJDzAWQRQahqPHSeJMawZ+2g0Mq5ucfIi43qbYrC9ySszXcrFSI+IeWWyaR3TAyoZ9+SBsDWqzcTQLNmJ1Yth8RB0eqqKNRNeT2EopVimdHaoSaGc9u1R7V4PGFT5VJakOVcl1+HtU/BiGv/kzVaiAAgUIgeMY4tlurvIX1SygOodk5esvZsfJ3a/OZ7kvP/945s7qp3tLh7NUBxCrxV9Rrf1O3498dTbKk9nRLKJqQZh9snt+vsnfl//TC+7ceUPn+32q71dTE9sJJ1QDgTu04TLbfMIJ1UTg1uw1BTTRuNX8vOYJJ2luWoIl2rexI04SsXOQJPJXKn9ls1MGkth2vAkZESgOCMebxL7pnNhvk60FygPc8SZJPD/eJDHeWHWLbDJQIbQxpZAkWz0zwwGZIUYyoE8dkIYvDYHxeBMygkAigB8f6dXtuVkr1vbJ1gJTH3hGBgg6hQw6hQw6hQw6BSjoDMh4wMSJO9okVDsBDUebkC0F5k/40SaLYHPb/KIekc3FZFTSczOf51oDTUG1n/dok0WQuW0PMsdk84HJFHm0iXxkjvUBZkiyVJkK2/apYIzLCJbVFOpSguFok/raTDAlFE+34GChwiw66Dh2OTkQq5fQxYj/hY824RwpAR8p+LKCjmKfkwKxboyYoEOONuGkYimeGdq0GDHclc4YIbCr94CRMK8QMHK4K5yZzzZh5UOknjZmufO5bn2jX2K+npGVGhEAwdM0+IgOWNmwrx6EraFw1jiaBRtxJYhHo9Oz8SQZeaNxoFq6wrE3iseJl8RinIzP8jxI4zvuBbGhupZgXQHDcy6IGTkQUQkniC9uRV3dFaA+J/x6S4B9CyojuoCjr6swGSkQARahMBs2ATDysGhL4yYARhB36pIRApviAGMRJEk3MOhLRhJn+lLiZdorWW6y4iECeZvysr77LzHf48hKjYh+ZHlpHNABKxr21YOgNajLxsEs2IgrdXl2cpKcpeMTL0tPTrw4l5p0HI9OvLNkFIaj8TjL0jqqOlWXkc4V1xP7rV4aV8DwnKtLRg5EUKKrS9tBJ1JiQg46YXSBgLtgXZXJSIGIs+2pTEYeFpXpd7Un69/gBHGnMhkhsKkOMBaJDNza0ehxgjgTmSLqxgaRyYmHiOdtisy01iWpWWRyUiOCH1lkGgd0wIqGffMgaA0is3EwCzbiq7vT1HCN6fUkw7oChudcZDJyIIISVGTy7zRl9IeA+2NdxclIgQi6CMVpam1nBGGRmsadpowg7qQmIwQ24QHGIkjjrq8djh4niTOtadtpysmHiOttis2s1ifm+y9ZqRFxjyw2bTtNOdmwLx+ErUFtNo5mwUas5KZNRba7wdSwSJlb4OIgWoXb+AZTor2rseLPdYMpET+G4V+BDaZEQIEChMBxDHHdU7vJ7aWhcXsp0fOr+YhveynRQOAuGbi2tmwvJZq4qpx5tpcSjVtNymtuL40SY/co0cCN7S9N/Z2DNJC/QvmrvsU6ya37S6mIQG3Q8v5SqrVAdYDcX5ov9pcab267RTYZKBDamEhIkq2emeGAzADM8mvsL823lobAvL+UiiCQCODHR3p1e27WirV9srXA3AeehwGCTiGDTiGDTiGDTgEKOgMyHjBztri/lGopMIEi9pfmi/2lxhf1iGwuJqWSnpv57NYaaAqq/cz7S/OtJdeb95dSzQcmU+z+0nz7WB9ghiRLK2EozpI8ioSXjrPAi0+iU2/si9w7G/vJZJKF8v/ql9S4imBZQ6GuJBj2l6a2S640lFA817UoTg7EmiV0LQJfiyp/hqpFcfpDwP0Bn7vrKPY5KRBrsuvPgzlBnNaiOEGc1aI4IVZlggUCOvvOgtBUi+IkuQq1KFY+RFxvYwpZTyTT+ubJ1HyRKCs1Iu6B50DwER2wsmFfPgibvRbVPJoFG/HV3bxpOho1td1vpXUFDM+52mTkQEQlqNpsc/MmJ7qAo68rLBkpEAEWISztbfWcPEz6Ur95kxPEnb5khMCmOMBYpKkwbd7kJHGmL82bN1nxEIG8TXlZ3zKZmq8MZaVGRD+yvDRv3mRFw756ELQGddk4mAUb8dXdvGnqi0pDrCtgeM7VJSMHIijR1eX6mzc5XSDgLlhXZTJSIOJseyqTkYdFZZo2b3KCuFOZjBDYVAcYizAXpt2bnCTOVKZ59yYrHiKgt6ky66slU/M9oazUiOhHVpnm3ZusaNhXD4LWoDIbB7NgI766JzJHht2baYR1BQzPucpk5EAEJZzK/F/yRGbOkRLwkVpXDDNSINIBQgxDTmTmpGKRxIZlV0YMd4KYEQKblQEjYW6q5wRxpoctRzKz8iFyT5uCuL79MjXfZcpKjYiAZEFsOZKZlQ377kHYGhRx42gWbMTqLtOZLK6fZKPmfXty8s5rb76hcQNB8hqWVGMLZZgnq5SmraZmUzE6dr7bVGvrLtXW1cfL4lagVv2D0pxK65VfVerzgdpS+XWlVx+Xz6cfShkrFYWSjVIM3p++L7/hcbV/UEpNHdpeGl/rUfEuBUQz33rxcLa9SuwcpNnOQRbKX8nOQe7LX5H8JT+fp4bASCWL8WTwznaFcyhxDiXOocQ5lDiHEudQ4hxKnEMDziEZR+Bx4J3ukqYvafqSpi9p+pKmL2n6kqYvafoGmj6ZBv5a0YP2bHON2CkkVSGpCklVSKpCUhWSqjBQFVSqS7soGqhwj9uxRDmWKMcS5ViiHEuUY4lyLFGODSjHZBR4OkFuqpAkQ0kylCRDSTKUJENJMpQkQ0kyNJAMSSTVs3ZnkR8d3f5t3E4hrAiZcTBglpKSpTRXa+wu1djVhLLmuQzgbKmWb9Q++2r1p1qK+bAzvavWfFYXa16qnfZP1Feeqirk9O7sczov7FG9sJp8ruzxDFRAgQKEwKnq4iM5QPfLZ56/44di+t6/6QRe3Jn+pAL5kxwzryO/EgfT97o6mH0qDHDXJ3x1yLQeRLQPuG0Tsc5jPPCAaiJwv+aaazhE41bVxpoHHvhd+XTqDOxRDdzcgQdShafpbM9xKmwHHZDRgHkWf9BBHPqxbzrpgGwuMNniTjpIxfykg9R4j9MtssnAlLveBG6+lCW2emaGAzIDMGESpmr1JmRp+NIQGE86ICMIJAL48ZFe3Z6bdWkGRrUWmPPA64GAaFPIaFOAos2AjAVMlbgTDpLIT0yR5jbZVGDKhB9xsIgyt81v6BHZXEwSJT0w8+VVa4QpqPbzHnGwiC637dHlmGw+MI0iZ+PykTnWR5YhydJKraaRHyf5iTeJg9CL8zz2xifBmXdymo1HWZCeZPnpDMY4F3991GbDhnGSez1NcIxQON2s3cKEmbnrOHY5ORAlM+ik/rxd46tL7RqLZo3Lk/xvyol6dVDexQ6Mb9XtE/XfWlkC0Hlrj9NbAu4t+NxYR7HPSYEoGMInxbCWCUYqly0TjBjuWiYYIbBlW8BIWKbljCDOWiayNAi7WawDvMkKiEgAbUwx5xPN+mq61HzPICs1IgSC50iIIR2wwmHfPgicdTgHzcNZsBHP+iX8k8l4kp14eX428uJgFHh5Ks68JDmNg5PRaRTO32SHqjTUOeJ6mmIdAYNzrkoZORBBCapKf3ZROpb3dUh7nEgCjrSudGSkQMRNuHQ0iUVGDpdikRHDnVhkhMCmK8BIWMQiI4gzsRj7oXHF8iYrISIwt6kW6zvmUvOFgazUiKhHVou2MR2w0mHfPwhdg1xsHM+Cjbjqsd1ZSCWnjUMGQZhZUCPfX0V10jhkOKRnl2ossIoJVXPQxqHnqo9GLTxWO8PkJ6t+oCfT99voHiK6Ioa5Atk99NkSvNr9Nl80fVGdLqu6il7Ir71/YVfcC/kf1U/0ftWc80R66+Vsp5r6rdoj95F08o9nLUjVkQ5fym97LF15vzN7UoRanv1G+cnFf6F8vPgXph+qL9+58wZLbxPR/QLlfpjrF71N3U75x6DjyY+xzuh9qtHAeu76mptoH7Awi9DS5h4moonAguyaOploHKb8CvCe340i7QPYoxq4uR6mfOcg8+WvoO4syKx9TFQ8YNrH9zElvi8yYx8T1Vxg7kf2MWWLPibj9Xq3yCYDFUAb0wZJstUzMxyQGYCpe40+pmxraQjMfUxUBIFEAD8+0qvbc7NWrO2TrQXmPfCsCxBxChlxChlxClDEGZDRgCkT18uU+36WGnuZqKYCUyeilylb9DIZ39IjsrmYZEp6aObTWGuUKaj2M/cyZVtLrjf3MlHNB6ZSbC9Ttn2sjy5DkqWV6gpCfzJJzrxxnI28eBIJL8tOJl4wOclFPD49SeYR37g8YFksoS0RmHqZchwjFE63kGBhwiwm6Dh2OTkQi5PQdQY1tVOnudyd3yeqjpz5cTWl/sjcy6Qj3+MkF3By1Lz2mVoCkdRPqrtOq2tKdWz7nGyIxdf1p7+MHDwlp64f6UhucJK4qzoxQmBXvQGD4Xf9WOhAepwgzqpOuR+r08ITHeFNVkJEYG9j+jifROZ1lcJ89ScrNSLwgec/mDEdsNJh3z8IXUPVqXE8Czbi2Ynavjg5GZ+deafJWebFJ2LsZUkaeOloFGaTeCK/Xksxh3JTX5PKfKwjYHCu5SYnByIqQeXmH8qHM8FZPl2Wm1VdCiU3OckFnBwhNy/CK6kpvCBPd0TUKZ+WD1UR6eI3JNH0/cQLUj8zfUcmf0TqRUHi70Sh9jvy6jtEkOxk2q8HvvyG+h9KRLITJfpvC8X0ffWvSadlOwtjdKOyzzkqiHyxtlDm5HArlDlJnAllTghsogYMht8N81wH0uMEcSaUsziJ/W6ub89iJUSkpBaFclZfhJeZrzVkpUYEPrJQto3pgJUO+/5B6OxCuXk8Czbi2bpsmsufkQUyn6Zn8nulvM6i8Vgm8/gsO4n87OTEvVDWpo/rme0OHv2MAQTnXCgzciCiElQoM+4x/Xq+5KuOFn+i+sY68vtmcu+pYeMAp/cE3Htwsa2j2OekQMRouDgF7TnlpOKRqjqMG5wY7nQqIwQ2TwJGwtxGxQniTKeGeSQTmzav3WQFRCSENmVqfaNeZr4ekZUaEQLJMtUypANWOOzbB4FrUKmNw1mwESuZalOfbW4aMOjO0IIWB/Eq2kY3DVCNXY0T/wI2DVBdEcNc8b83Ddg3DVDdL1Duh7n+4qaBz8rfedW+geo32rdon2o7sIcSLrtNQptoH7AREiGgjXsHqCYCGyDXFMdE4zDtjgDvSdGbCJ2BPaqBG9s7kEU7B1ksf4lZJ28W2vYOkPGA2b/lvQNkc4ESALd3IAvnewcy41WCt8gmA4VAG5MFSbLVMzMckBmAGZy+d0AavjQExr0DZASBRAA/PtKr23OzVqztk60F5j3wXAsQcQoZcQoZcQpQxBmQ0YAps8W9A2RTgakTvndgEWlum9/SI7K5mGRKemjms1drlCmo9vPuHVhEmNv2CHNMNh+YSpF7B+Qjc6yPLkOSpVe0RmW6mSSLcIxQOOc1KkYOxJIkdLnhqtWoGL0n4N6DT5F1FPucFIgFWvhkGVajYqRyWaNixHBXo2KEwK6SA0bCMl1nBLkaNSpOQERCaGPaOZ981rePZua7ZFmpESEQPG9CDOmAFQ779kHgGmpUjcNZsBFf1S0HpmOw6pNyEY6AwTlXqYwciKAEValtbjlgJBdw8nUVJiMFIrzCFaZJUzJy8GhKY4s+I4k7WckIgU1sgMHwu6H2sIUeJ4czVWnv0OckRETwNmVlXOuQ2CwrOakRcY8sK+0d+px02NcPQtegKxvHs2Ajvqonpxg7pQTWETA457qSkQMRlaC6ssWTUzjJBZx8XV3JSIGIr+vrSkYOx7qSkcSdrmSEwCY2wGD4XT/XnjbR4wRxJiytZ6SwEiJCeJvCUtRCxHxpMCs1IvCRhaX1jBRWOuz7B6FrEJaN41mwEbtsqo91aNezxIomVtE221RPNHY1UPxLaKonuiKGueJ/N9U3NNUT3S9Q7ge4PvDizvQnlcl/Kp/obN2n2gpsJlxfXRPtA3YEolSzqYmeaCKwE3BNOUw0DtP3B/BeKL2nnXT0qAZurok+3TnIMvkrr1taE2sTPRUPmO3bbqKnmgtM+cgm+mTRRG+8SPMW2WRg4m9jdiBJtnpmhgMyAzBjr9FEn2wtDYG5iZ6KIJAI4MdHenV7btaKtX2ytcC8B55cASJOISNOISNOAYo4AzIaMGW22URPNRWYOhFN9Mmiid74lh6RzcUkU9JDM5+tWqNMQbWfuYk+2VpyvbmJnmo+MJVim+iT7WN9dBmSLL2iZaTY1ERvu5BQwwiFc15GYuRArEFClxfaLCMxkgs4OXw6q6PY56RYTfYWivUnuowcjstIjCTuykiMENhlbMBg+N3YVEZiBLkiZSROQkQIb2OiOJ8u1hcCZ+YLnlmpEYEPPNPBjOmAlQ77/kHorOM5aB7Pgo34qva9x6a+d9vtVVpHwOCcC0tGDkRUggrLNvveGckFnHxdYclIgYiv6wtLRg7HwpKRxJ2wZITAJjbQYIgk14H0OEGcCUt74zsnISKEtykss1qImC8DZqVGBD6ysLQ3vnPSYd8/CF2DsGwcz4KN+Koe+xGbGt9zrCNgcM6FJSMHIipBheVVO/aD0XsC7r11xSkjBSJGw8Up7NgPRioeqarDuMGJ4U6nMkJg8yRgJCwNRowgznSq9dgPTkBEQmhTptZXU2bmq0ZZqREhkCxTrcd+cMJh3z4IXINKbRzOgo1Y/u+vLygbJT7/yqZG2+yqFzrU67n9rqhwFdVJV73hrLxdqrGrcYOjq/5iC/3LSmC8mH2bFIFPpz+sFOf0B1Jxvi+/X+lL9S0PdmbLmy+VDtmZNY8/lxrzi+oHvVSfkx+lspRfmXWlG35yJTandyvd+bh8MfvX7qrP/aiyS8qdTtWr/7hWPfJbph/t6Hr7nyx19n8gf5Q6B736ft2g7FEHJYYNCrK//49LHr5C3f0a171CdZ1AuQ7kNi/oll97QTb9QMrhO2+oT3hJfOFP3cALLv4xXP5j5IXnfwzVz7rwl0MvvPDNkfqquPBnL8wuflX+wxf/uPQPxZWVF/7sBcnFrwYX/1lx0SYhv3bhj4kXXfiLqZdf/JP81uziH8OLfzPzkvz8T7k0/qKbfC+MLvwxuAgahEv/aBB52cWvLrMEoubUPDj71AcH2DAKn0kZ5k5U+4Bdn4g5kXGjBNVEYLfnevMdqnGY3k6A99Juaji+kGrgxjZK5MHOQR7OWpZz37ZJgowGFG/4TRKBFJZBaNolQbYXKOFwuyRyf75LIjdeUHqLbDJQyLUx+ZMkWz0zwwGZAah76LskpOFLQ2DcJUFGEEgE8OMjvbo9N2vF2j7ZWmDSA8+dAeGmkOGmAIWbARkLmCtxOySCJAwS04as22RbgUkTvkViEWZum1/RI7K5mDRKemLqpQh7iCmo9vNukViEl9v28HJMNh+YSJFbJOQjc6wPLUOSpZVeHfn56SSTKj+bnHhxOo68/PQk804mY5EHIyEyvx4L4xKPZcGLtsxj2CKR269bvMQIhdMtBlmYMAtCOo5dTg7E+jJ0rei3jctCTzrfrP/8RXl/Z7b08HL6A7WUM/3xpe63+TeokuL0PbUcpFZnHlVrNe9VKw+XvkUd6XC3Xt6pfsKiLDlbYLovv7kqhU7vqR9TLf/IH9jVvtV7nP4XcP/D1zZ0FPucFIj1+vUn2owcDouUnBjOipScENgyCWAkLJN7RhBnRco0FLlvELI3WQkRWaSNiep8ulrfuJybL9BmpUZEPfBMCzOmA1Y67PsHobOXKZvHs2AjrrRtdpb74fgs9qI0GHvxRH7vOI1PvWAUJqdBHMb53CsOtW2oc8T1PMQ6AgbnXNsyciCiElTb/kxK0qeq0vadWSdcXR1TldB3lch8Wv3x/qx89uBCUW36o1lFUX8M1B6nGwTcDXCJWX6sRHYl0B/Mtqjcn7umc/Dt485uJ1OVIWmDdFMqvKgq+3RVoafpb/5l53vf/f7bHfW3fS/y1Q/I5e+T1Ef/iPD8RwS+8FKRJLOfoRmDfc4xQKQKhEA21Mpe5SRxKZEZMdxJZEYIbIoGjEQYJvp9zJwczhSyWR1z0iHyUJvqOKzVlPnuaFZqRMgjq+NQREZtzMmGffEgbA3auHE0CzbieQtffGcheZ218GmD0fU8sqJeOvPXSQuf4aSeXaqxwMovVLr+YalX7vF81bVu2Zr15lULobOV1MeqK0x9ZrnL78Iyq+qw0wHvUYFjGDCuPU5n4StUCwXKQoB15cfLDYpqXNQpxO/KT6lTiesOyPn2nIdVW6Rq2pNjYFCxRDRgyRihTg3alGgfsPaL0JzmPimiicCS75p6kmgcpsAL8p7Idfb1qPZtrk0qrnsWImuLFBULmBzxLVJ5kofmDimqucAMieyQihYdUsaLR2+RTQbmyTaktSTZ6pkZDsgMwNS3RodUtLU0BOYOKSqCQCKAHx/p1e25WSvW9snWAtMdeGYCiDQFKNIMyEjADInsjopFlJkmWbfJtgJTJaI7Klp0RxlfzyOyuZjkSXpa5rM8a3gpqPYzd0dFW0uuN3dHUc0H5lBsd1S0fawPK0OSpcrU0/g0jUfBiRcm45EXj5OJl4/SxAvPktP0NArPYuG6OyoxdUfFOEYonG6ebWHCzLV1HLucHKvSwjY2wGk4rDtquV1pcc5C1S21qHVMP9zpTD9QO7+qn6aqH/X8vYu7xEb7uu5xOlbAHQufTOso9jkpEEuc68+bGTlc1nQYMdzVdBghsEvLkJEwztUZOa5ATYeTDpEZ2ph4zqef9T3LufnebFZqRMADz5wuPa2hnHKYW5448bDvHgSvoazTOKAFG7HL+w1THdr1XFjQ4iBZRdtsGYdoLHB5CqofHZZxiMAxDLiNMg7RQoGyEGCdroyjrdnUFxs+rNrEXpZf1CdVvCjvG6o5RELg8tb6qpRoH3CtCqE2zdUcoonAJao1lSTROMyCFMh7QaBdCelRDdxcOSepF1mFtZxDxQImybbLOVRzgZkSWc4Ri3KO8VrmW2STgfmyDVUtSbZ6ZoYDMgMwBa5RzhFbS0NgLudQEQQSAfz4SK9uz81asbZPthaY78CTEkCkKUCRZkBGAqbIVss5VFuBuRJRzhGLco7x9Twim4vJnqSnZT67s4aXgmo/czlHbC253lzOoZoPzKHYco7YPtaHlSHJ0itazklN5ZwExwiFc17OYeRALNpBp+N/RuUcRscKuGPhk2odxT4nBWJ1c/2JMyOHy3IOI4a7cg4jBHZJGTIS5sk6I8gVqOdw0iFSQxszz/n8M6mX/81X07NSIyIeeOqErOdw4mFfPgheQz2ncUALNmKX9ZxMh3Y9t9+hmK6ibbaeQzQWuD4FFZAO6zlE4BgG3EY9h2ihQFkIsK78tPyi2tr/fHljjuYcch3IPhUEuIy1vvok2gdck0KoSnPZhmgicClqTcVINA6z8ATwnt+NEm1lvUc1cHNlm6xeTE2tZRsqFjAXtl22oZoLTIjIsk26KNsYr0G+RTYZmBbbEM+SZKtnZjggMwAz3Rplm3RraQjMZRsqgkAigB8f6dXtuVkr1vbJ1gLzHXjuAYg0BSjSDMhIwBTZatmGaiswVyLKNumibGN8PY/I5mKyJ+lpmU/irOGloNrPXLZJt5Zcby7bUM0H5lBs2SbdPtaHlSHJ0itatslMZRv77bCXGKFwzss2jByItTnorPvPqGzD6FgBdyx87qyj2OekQCxirj9xZuRwWbZhxHBXtmGEwK4cA0bCMllnBLkCZRtOOkRqaGPmOZ9/1re+58Zb3w9YqRERDzx1QpZtOPGwLx8Er6Fs0zigBRtxdbpaFXNqbqMmfXty8s5rb76hcQNBksY6yuvKBiNl5F+6BtZUwTGbilGa8yJObdUlzUk0dvX5svgVKCc/q2o2P6rKBFXd4Av5x/emH+rM3svzaz2q6ZcCntn29eJdtSgb+PrVkQOy+THefPhMWNl8aLL5kGyzwNsMn/5Kk/smk/tkk+FPOD2AVotpJtMLqumXFkkaTMc9Hccme4/J9sKDNHJhRJo7NJk7JJl7YS7t8AxPQ/39elBLCxODeSEKZiot0Rgv4iabCyyMQFON7ibu6b3yy2qZ4vzE+emH1Vn01R3W9RqE/OOfykfl/elPp38rP227WHu52UDnjz2yP1ZTAF87AdlEgTIRYF4lEOrLtaXrVWtHfb3VtU61SfRLNVqd+uby6irv6pu+qi4RON8tOluserwzv+N7erdaUlK9IH87v+G8ugR9+dZ19S8/WWw9fTG9Vy1FPVRPztLClTQhDP3p+0L+imfPgfzC/eo5e1K+6EiHTt8PhF/9Ex9Iq9Ty2POO8H3Vj/JcfTqcXzQ+2/T6Qr+tlTwywIIRfJ2nWtV72O3oe2ZeJRsKLAMhFnKMnRJkG4Hln/VWacjWYao9AP+JrCtEqDOxRzaRpVsCvLBCNxuY7PHdECZbv023FZjtca0Q0px5L4T8rbEZgm41MOmj5mhQZx/QzQbmZsLcrK5SStO2lh1vbIGgUwgkBfi5UZ7dXhi2OlujGwzMauS1POMyHt1kYH7DtTnEwmTpbbqlwCwHb3I4Dx63LcHjiG4xJvO1+TgUZJN5WxvOg8bc4cbmBjoBMCciJ/HqWVkYtTqJpxlbLRdfkG8ulou1uknO4AOr/ZnR2WBL8ZN47c6EXbKp8JU06AT+42pi9EDN33Smyol1cK1Httf1ArGh/EW3f1WCAOyHB5R6hdioOKhGC7zR8BgyWyLW29yn2wx/ssGJxrRGbCipkW1nXyQ2ZheqwfDYjEwws1Vivb1Dmr1V2KufDifJxbhAHFqtz43eBttKSC+mYiTZWvh7CM0wqGqktFulG6LxrtNNZEo3VPtdpBu90Yd0owXeaFRE6Zts7tNthj/ma6cbve0F2Xb2dKM3+JhuMDxak9KN3t4hzV5lcL0A4qwqqeqSpqQT2RiCwOhzmKm0jGO6xGGXbC5wgRKacnRVyeWL7GZdz09VPal8pL7UUaeedqoW6Go6VD7WEe6RCVcjeyt1xvIX0w/rfu4/SZDHEvquKrBWpbWfl59WXeKq3vrF9H+UjyWcajJ/3tntHXjlx+U/6QhfIRMKFCGE7uPF8MiRUYXBFxLwA1VLnL53eby6nfL3qidelZOrL3qdIJyVAnc68mctRl/94Xfe9F2v8k6oyouBqjMmorqZu/yk/GP1m7D6c7hTXdgtqo/lL8tPy8/L33dE5HuhH2hXIvbJLgSuvCLqic8jnYWvki0ELrS2U0gk2ghcYl23kEi0DrOcCvBfLkNyorOwR7aQpY54KXlrdl1Lu3bkB6E+1KdZSgjbDmw6IzCX44uOSWDsU/423VxgPsfWHaPzuqP5KkS61cC0vt5crO6Cl1Zu9SwYB3QMYO4mTMkWJYVoa3kgLHVIKoVAUoCfI+XZ7YVhl+doVIOB2RBchwSEoEKFoEKFoAIYggZ0PmAuxRUt8yAX5qol1VRgSsVULaPzqqX5ikS6xZg0S3p46r0aTWGnICNwVzGjreUBsFQxqQTAJIuc9atnZ2HU5Vk/xdjqkZnkiTjJIm+cBrEX+6djLx/5uSfOJsFpcHKWB6M6IhkXBF4ftbdNu1oUMC4LxDhIKJ1u6cAChVk+0IHssoKsqg/b6AAXFj6vOmKr5tiflM9UepjeLR98p6N+1xH+lvz/WAe6xwoq4KDw2bcOY58VYzXfWzAwM2DtHP1VVhKWvdOxvu/hBiuJs+3TrBSrYsBCAZ13R7mc5enXf3qsLM62UIdJ3o21+ecmLyAibrcxc1zMH+vL7+rf6MAPeMERARA86YGP6oAXDvsOQuCsIzqAjGjBB12JyjDLJn5yEnt5niVeEExSL/NPM8/3hS+SLJOztVpvORSV2qglRaXAegJG515UMoIgghNcVKodU3enP+5Mf1htcqsKHapG5VXX9t2d/qjaO3dflXZ+Gwjt5H6PlVrAqddWmIwYiACLUJhPy4c6lFdZUXgkZix0JDdYSRxKTEYKbHqDjEYQhaH+rtoeK4sziZl0Qy3eTV48RAxvVWCKuRwx3/HHC46If2SBaRrTAS8a9v2DoDXJy+bxLPigK3mZijQLzvzEOxH+2IvDIPSy+PTUOxmdngbJ6YkQ4fiOa3mpXZiV8jLBegJG515eMoIgQhNUXi51vsxOjXyhOnCrXf8fll91pu9OP6rug36guqLqxczyuWdWmowOEHAHrK00GTEQkRauNKcfGM6BZEVhUZqR/m7EG6wkDpUmIwU200FGI0nS3Kg0GVmcKc0w7sbaaHaTlw8Rz1uVmslcmpiv8uIFRwRAstQ0DuqAlw37BkLYmrRm84AWfND1Lt+LR3YZ9WRLW7FMItJ2CHsUhKuI3JuwtGbuks2Eb0uBqr9PpdB7VJ2p9FQdFD47DEnt9pWa8IWUf8t7snaqm7zkn6oToepjwdXXVIv5TCLen90/peOWyjBVu7eI8K53b2WmuEi1P8bbD+/bqXdv6Y0+pBst8EbDW3Vmu7f0NvfpNsNfE3r8rdsB9bYXZNvZd2/pDT6mGwwP8Mg+rtnuLb29Q5q91dNxx02CMvZm2Y5mjoLI6GiwncgUZdysRTQU/vaRkpTa2fO4/JO6hnL6oToXUq1ZXDhTUH/Jocw9mco9RCbXuSc35R6q/S5yj97oQ7rRAm80Krz0TTb36TbDn/61c4/e9oJsO3vu0Rt8TDcYHrtJuUdv75Bm74XVSwe5x5h9cqvpsdHVYEvR2acrdKbukk2Fv4HE/PN5+XH5c53NMsnkKskQDXecZAJ/5yDMsp2DOI13DkSkPmSxKfFQmRwkHglyqEAOFcihAjk0gRzSQQQeBBVv+oqjrzj6iqOvOPomjj6dA/56rJugJE+heArFUyiewsRTkHm4k5aEOFYQxwriWEEcmyCO6RDwREBJZJJhqBiGimGoGIYmhiGNwe3EypzeAusZhYHzG2Gq9GaaYFGNhb/B0AT3WbXm96HOzD1pjcxpVFtd57Rg5yDII5nYgkRlN2FIZ2QcF+ks2DlUDIeK4dDEcEhnEHgGVMDpK4S+QugrhL4JoU9HgL8CayexYKdQKIVC</t>
  </si>
  <si>
    <t>AQxDAzokMKu2t3eVbCkwtyL2robnV8Ka39sjusWYfEt6gBYzP3voKcgIzHtXw/MrYe1h55hOAMyz2L2roboSVh9yhjRjlbWn8Sgd5enEC4IkkHPt8NQbhaMTL5qcZaNsNMlOJiczHuM827LQQJ1rm/auhhEOE8rnvmbECIJY34NO19uoGZV/J7/vmZz5NlSN/v3+rVv9/6OlupH8z2P5T96tqkeqBavai/DIuHbAOCwCPizw6fncQeWnF3x5og6wq3x58uZb9T9wedrOiIpYaG1jes9I4rjUxEjisNTESIFd5IaMRhZ00yTWsfRYWa5IqYmTEJGK2pgSLybG81tRQ8tFt6zgiAgIns0hhnXAS4d9CyF0TaWm5iEt+KArqXw2ivLwLBVeME5CLxYikN+bn3onQog0i0+zbFynC6dSWZsVpVSOsb6A8bmXyowgiPgElcrNmwPcbUPQ/EvlZ+Uvyn9UMni25eCZ1MRe3c8136Vg2HsgE6U22OyxDpGADxFcNusw9lkxEAkBIYmbthswAvEoYx3HDVYOh7qYkQKbkQFjkUU6jB4rhjNJbNttwMmHSDitCuJ4rp4sl9WygiPiH1kQ23YbcLJhXz4IW5Mcbh7Qgg/66h4QExp35QqsL2B87uUwIwgiOkHlsOMDYji9I+DeWVuJMmIgIjFCiRoPiOFEYdGg5gNiOFEcylBGCmwmBAxHGHfTLNGh9FhRnElRywExrHyIYN+qFJ1flhhaLr9kBUcEQLIUtRwQw8qGfQEhbE1StHlACz7oq3sAd2jc+JpgfQHjcy9FGUEQ0QkqRYkHcHNSCjglXFIyHcCt884+q3cQgboVpcqIwqRUtZPdG6wkDoUqIwU2TwJGI5YpP9UW43qsKM6Equ1YbVZARC5oVakmc2GTWJQqJzgiANKVquVYbVY47CsIgWuSqs0jWvBBVxe1K/L4zkKCOrx8VZsrpBpNLbhRnK/iOtrAGsTGHaxEg1ejyAZ2sD6dVeyr8/6eVMufz2ZHAP7rjlrUVN+gxOhPdeB7ZPAYBo7b2Koz8RWyiQJlIsC8C9tWg67O1n2yratBmXHfKtFC4A4buNC07Vsl2gjcW7OuhCRah9lHA/Bf5ofCIJ16ZBs3uHFVXboaqktXI3++Wcx+3yqZEZgS8XtWkyQw71mlWgvMidg9q+f3rYaW+1bJVgMTYxvSWsFs9SwYB3QMYJpbZ8/q+X2rYcN9q2QKgaQAP0fKs9sLw1YM7tMNBqZD8PwEEIEKFYEKFYEKYAQa0PmAyRS3XTWPLdtVqZYCUypmu+r5VavmV/aIbjEmzZKencXEzx51CjIC93bV86tW7RHnmE4ATLHo7arqqlV9tBnSjFXWnsWTcZ4kI28s/+sFwWTsZf7Z2PN94Ysky4Jc1EnYOKu2rDNQZ9bG7ar2G7ouYUL5dPNvCxZmDq4D2WUFQazuQefmi0rPbPr9RPXEV93u96uCz4PZltFH8jf3pu9XXe7Pq299If+WalWq95T+alYnkjPz2Q9SDUpyav++qpm8LB9N7138VNVX7y2vAJRfffPWvzveOZ/3e+cTf/kql39SywLqX63vC7ir+v+VidXawo87gRfsiOmPdma9/nW7vie/5bH8q49nHDudeCcKTFWNPdahE/ChQ0zdl8pX3v5bZ99/652OCLPO/vCoXxxfP+ocXR/0XllUr7qQ6lVHzcF2kuTi9bF/0YmSQHpYWMpbjN5DrO7CFxOmH0zf06G8yorCUt4ybQZg5HBY3GKkwK6sA8Yii9JuHgsdS4+VxVl1yzcsB9zkxUNkvzYm4Itp+PyC0dByZSwrOCL6geeOlyqWaWwa1gEvHfYVhNA1Fbeah7Tgg67UuZjk6STOhHcyOQu8eDxOvHwUTzzhT05FGCZn49N62J2qc+3yulTnOdYXMD736pwRBBGf4Or8shqudgfcn1XMlGB/r9oqUFXGisFe59/1/t31TiH/4cnbnendC8eoVlL9udq/qn7EY/lbfydSolDnqT1WTwm4pxBieLZdV22DUNDlV+WLJRdJ7ftZVYRUX55tm1BfUQft/Pha3QBW/qw+LOepmrFc6+yfnU3+0zujzuCtN88mb7/92ptvjL4r5XHid447t177D//xnTt33th7842TtybvTDqDo35H+P70fflB/mN/v+T4r+aO/6rjdzOdy/dZXY7IIXAFbS7HMZLwCOiub2oQY0RxqKEZKbAJHDAcWZgk3Vg7Ij1WlqugoTnxEDmqVQ09vxk1tFx1ywqOiH9kDR0kvkVDc9JhX0EIXZOGbh7Sgg/66m6rNXaPRT7WFzA+5xqaEwQRn6Aa2vG2Wk7vCLh34LpZh7HPioGIxQgtatyswInCIkbN22o5UdyJUU4KbCYEDEcQ+lE3i7U9CD1WGGdq1LKxlpUPEe7blKPR/ALSyHKjLCs4IgSS5ahlYy0rG/YVhLA1iFHAgBZ80G5v19IOqZSXtrvD4ihbpdv45gSqwasx489ucwIVPIaBt7E5gWqiQJkIMO/C5gTtUuM+2VRgMyZCgJoWQ6kWAtsp4brSsjeBaiOwkXJdwUi0DtM0CfCfKuwnOgt7ZAs3tzMhCtWmBHWvVhTXfcFRYN2ZQGYE5sN2dyaQrQUmROTOhChY7EyIjDeA3qJbDcyKbahoBbPVs2Ac0DGAOW6NnQnS9uWBMO9MIFMIJAX4OVKe3V4YtmJwn24wMBmCpyKACFSoCFSoCFQAI9CAzgdMpe3tTCBbCkyoiJ0Ji8hz2/LKHtEtxiRZ0rOzmOTZo05BRmDembCIOPMBMO9MIBMAUyx2Z4J8dhZGrRg7pBl7Zes2hnmqnFiHOEwon/u6DSMIYiEPOjF3Xbdh9I6Aewc+NdZh7LNiIBYtEdNmc92GEcV13YYRxWHdhpECu2gMGA7RTfJYR9JjJbkSRRtOPkSsb2O6uZh0hvM1fss1zqzgiPgHnimBB3XAy4Z9/yBsTUWb5gEt+KCvbhd+bOrCjyKsL2B87pUoIwgiOkGV6Aa78Dk9JeCegqvSP/8ufE6XIzIIQkEbC0+MJCwC2tyFz4niUEAzUmATOGA4orzr56a2J0YUZwra3ITPiodIUa0K6Pm9oJHlqldWcET4IwtoaxM+Kx32DYTQNUno5iEt+KCv7jEzsbEJP8b6AsbnXkIzgiDiE1xC/+9jZmau2GMdOgEfOoSm5zlmJkp38uVDZoJ0x8/MJ8xwOg6RmuDK3HzCDCcKjzTXcdxg5XCoyxkpsKoAMBZRN0+0+a3HSnIVZDknHiLttSrL5/eTRpYLZ1nBEbGPLMut58uw0mFfQAhdkyxvHtKCD3pxeUI9rkpuO7w8QehwpfIWFtxIBKu4rvYnJMb9CUSDV8NIG/sT5jK5WmRelr/yvw9nWxaqS7qkSr2nmiLq3QgP5ee+qPR09U3nwvrL2Zqo4W/rPLJH9kgM80grGxeIJgqUiQDzFhsXPit/48U6Y/fJxgK7NeE6tXoiHkrV/lxn6KtkQ4FtlwgVatnBQLQR2HC5rsIkWodprgT4Lwu6iTbc9cgWbnAHQ6I2L6Tz1mFh37xAxQMmS/zmhSBJu/rV9W/TrQVmS+zmBXG+ecF4c+ktutXAlNmG6lYwWz0LxgEdA5jn1tm8ILaWB8KyeYFKIZAU4OdIeXZ7YdiKwX26wcB0CJ66AIJPoYJPAQw+AzoaMIHi9i2EUW4IPLfplgLTKGbfgjjft2B8W4/oFmNSK+mxWcwG7QGnICNw71sQW8sDYNm3QCUAZlf0vgWxvTBqxdghzdhKKp6cjqJExF6YjBMvTs5Gcv6dTLzsxB/5WRb6p+nZjMc41bYsPlCn28Z9CwkOE8qnm5RbsDATcx3ILisIYs0POmH/7OJU+lKtSlWxfl0+qFqg1KRbFUfe+47KIklXyFH1E50T9lidIOBOQEyAV/zwtFrDUH1eP5XwlSdUL5janjEv/32tvDL9garFnTtLNZFVfWLyuz+uli++mBXsKhc+qH5q/a2zf2LlH1n5sarE97haUnmqqoGdQLoi6naOrt/qpH6snVvuszofsfja4oSeEYin/KSPcjdYSRwWoBgpsOvfgNHI8m6amtYRGFGcVaCCJOom2v7Qm7yAiHzUxmx4MSee3/YcWe7vZgVHhEHwRA4+qgNeOOwrCIGzjugAMqIFH3Qll6MozU7SQHjB+CTwYv9MeNmpn3uBGOVBOPHjk/z0jnu5HOp8IeWy9Z41nS9gfO7lMiMIIjxB5fLfSRn2qBJjj1W56kFVm3pUPjFs85WS7nEll3Xwe6zwAg4Pl8k6jH1WDESkhQtOS6cTIwqL1PS7vnZx7AYrikOtyUiBTXSA4Ui7kekyLU4Sd1LTDwz3nd/kBUTE8lalZjoXJpabrVnBEQGQLjWNozrghcO+gRC4JqnZPKIFH7TqdtqZ9Zg4bHLSDq0UkdY7w0S4SumuySnWGbxLNhhYsYWKwPWanOo9BeXzajFx8c2Ak1iJ9DGMvpWGJqKJAmUiwLylhqawq7N2n2ztakjm72giGgosyMLVpq2jiWgjsBS7rowkWocpuwL8Fwdh0g21izo9so0b7GnK5x0Fmb2diUoGTIv4dqYwMPV3f5tuLTAvYtuZsvN2JuMFoLfoVgOTYxuqWsFs9SwYB3QMYJZbp50p21oeCEs7E5VCICnAz5Hy7PbCsBWD+3SDgbkQPDUBxJ0CGHcGdCpg4sR1MkXGrd636ZYC0yemkyk772QyvqhHdIsxKZX0xCxmevZYU5ARuDuZsq3lAbB0MlEJgIkV3cmUbS+MWjF2SDNWWXs6kbLp9OzMi8JTX+0kmnijwA+90yBJgtGJPx7ndRIzzqctCwvUObWxkynHYUL5dDNvCxZm9q0D2WUFQSznQWflKx08j2ab76vPVTPux9N7cs59v/PN+Zdell9M/0f5uHw6O7RVbZL/uPz5tzqB71f7wjv/x63q96+M3vpPnRtvjf5rxw/ipPPKm9/97n+avNEB/4PzrzxSO/Cndxf7m6oy0aPqmpbO9IPq0890I7HHOhICPhKI6feKb+Ybu55g26h2Vtw8Pzn3WX3Swv1rnZu31CDJL52fcCD/8Ljayv+RapPSrn7tszoVsWjb4ioBIxBL7crcJsVI4rB0xUiBXTgHjEYsoqyb+6bFCUYYZ9WrSPhd/c2IN3kBEemujXn2YrY9v/U4slxkzQqOCITgKSJ8VAe8cNiXEALXVL1qHtGCD3qxV78Ooo736qc63OthbL0pUcSruK7KWJlprz7VYOBKHVQwfyolmTrc6oeLMlZ1bNQ9dQtB1Zf+VS2JVV2q0lPVuVUPq9+9WOzI/+riiakvq0NLZyfIvld1vdef+6DScw90DtkjOySGOaSNyhbVRIEyEWDeorL1cfk7L5Rq8PMLY/akU2/iqBTwj6o9Bs/lZ8v6Ikj9KN7vfHv/6PrB9c7B9aPrf/mXvZ3Z3oVnlcp+Kp+PJ9OPrtUn4XbK36qhlb9VB97evXPnjdXzb195JfSDLPSP1BLdjSP5w/4oBf67aio0fe9aJ1Kn3SbqQz4/feufZtL9Wmem2+cn39Z6vt578fcXnqj7nb3JW5O3X3uns7cfRR0/Vg+qYnssp3Tvqps01JTOO/9xujHdJ48pcM0ToexNZ+JSLQSuX2KkurHwR7URuHK5pginWodZpQT4LwxFV79Zqkc2cXN1vzjYkR/UlYyxupIxnl+IFvvWMiAZFCgrCGXAyFIHJJsLFBbIOmDsL+qAsfHe6Ft0q4Hqoo35iYLZ6lkwDugYQE2wRh1Q2r48EOY6IJlCICnAz5Hy7PbCsBWD+3SDgTkRPMkDxKFCxaFCxaFCxaECGIcGdEhgWkWWBW11QbKpwOyKqAsu4s9ty4t7RLcYk3FJT9B8Dt0QewoyAnNdcBF35gNgrguSCYCZFlsXlM/OwqgVY4c0YysF6YssGI98b3QWhV4cxL6X+3nmnY1ORXYS5GLsj2Y8xgUKy5INdZHCVBeMbRdQajChfLqlDAsWZjlDB7LLCoJYKIUuc1Dmx0/k1x5fKNWtTJdllvlG+Qs15a2KfQ/Vn6ttXsWNxBdycns0u/rxfP4p/3g+8Q0C8xU6nM4VcOfC1yOWlw70qwSrawKXFgF0vthn9QViYRo+jzfvK+NEYanNxTqOG6wc7ipznBTYogBgLHIpEEPtgPRYUZzV5YIgyLqplvAmLyEi37Qx8V1Mf4O6jBMbLwg/4AVHxD/wnA0xrANeOuxLCKFrqMwBhrTgg6708Dg/jSbBSeAlfhx4cZxNvDzKci8/EVE6SUU8jus32qke1q5tSz0cYn0B43OvhxlBEPEJqocvXG4zq9q9lGL3xVylln+oVO4Pqrqg5tSqr5W4+6z8h/Jjr/y8/H35s/KT8lfy4+/K3+u8s8fqHQH3DlzQ6jD2WTEQsRiuRU0X07zKisKiRQN9CLnBSuJQjTJSYBMhZDRUv01kqmUxsriTo0lX38N+k5cPEexbFaPzm61jy1XlrOCIAEgXo6ZBHfCyYd9ACFuTFG0e0IIPupKi4WkY+WIUen4enM2+d3R2knpBNh5FQZLE47M6wDqVopHOF1KKRlhfwPjcS1FGEER0gkrR5Z6e8p+kLv2yWoOVsrRTfr4fRd+ZHZrQCaotGVKHTt+vuoIely+0m/r3WF0g4C5YW28yYiDCbSt6kxGFRW/63VDoUG6wojgUnIwU2HQHGA6RdMNEOyA9VhRnejP2u3ms47vJy4eI6K3qzfk10LHlZm9WcEQAJOtN46AOeNmwLyCErUlvNg9owQc9W/ocn0xGZ1HuiTg+8eI0O/NGiS+8OBhnp8F4dConrXfc603tAyD1Zoz1BYzPvd5kBEFEJ6je/OX0XXVO62y/72zHg+nY1q865W/Kn1VLnP9Q/lb++qSWouUfyk/Kj8tP5cffq+/5v+UfPu/cGoigU/5M56U9Vi8JuJfWlqSMGIiI3IokZURhkqSqJfQyyg1WFIeSlJECmxEBwxHJ4C60Ww57rCjOJGnuG44pu8nLhwj6rUrS+RXIseVWa1ZwRAAkS1LjoA542bAvIIStSZI2D2jBB600qU1qtrstVjukUmQKC10c5at0m98WSzR4NWb8y9kWS3RIDHNIK9tiiSYKlIkA85a2xUbVITMvy0dLI/cUvRH2wj5Y/C7YxA/9Wcfrndi8s3V2DNG71cr34rFZtfxl+bQz6xyOxX/J612za22INZyISx1O4O4fhHQ37oglWgjcugNX5LYdsUQbgXt21pXaROsw+3Mg/vPTbhbrTOyRTdzgjlh1u3ecqg+Z+jA/oDK23/NNBgUqirZ3xFLNBWoK7I7Y84u+Y8tF32SrgcKijYmIgtnqWTAO6BhAObDOjtjzi77jhou+yRQCSQF+jpRntxeGrRjcpxsMzIng2RwgDhUqDhUqDhUqDhXAODSgQwLTaps7YqmmArMrZkfs+Z3f5hf3iG4xJuOSnqDFbNkeewoyAveO2PM7v+1x55hOAMy06B2x6s5vfcwZ0oy9smUww4T/elifzAnGhPK5L4MxgiBWRKErHJsqgzF6ScC9BF9T0GHss2IgVoERc2lzGYwRxXUZjBHFYRmMkQK7Cg8YjiDpBqlpJwAjypUog3HyIYJ+G7PPxRx0fg1zbLlYmxUcEQDBEyfwoA542bAvIIStqQzWPKAFH/TV3QmQGTel2i5+1PoCxudekjKCIKITVJKy7ARgdIGAu2BtvcmIgQi3rehNRhQmvWncCcCI4lBvMlJg0x1gOMKkm5vkJiOJM7lp2wjAyYcI6K3KzflVzLHlcm1WcET8I8tN20YATjbs+wdha5KbzQNa8EFf3TNQMuPG0wzrCxife7nJCIKITlC56foMFEbvCLh31laijBiISNyKEmVEYVGi5jNQGEkcClFGCmwiBIxGEqddX5vUe6wozpSo7QgUTj5ErG9ViWZz4WK5mpoVHBH/yErUdgQKJxv2BYSwNSnR5gEt+KBnC5/j0yhK5LeNT86EF4/ikTcahb534ifhWRpl/uRkdMe9EtVGLalEc6wvYHzulSgjCCI6QZUorE2deh51Z+lA6uXzqAMBOo+a0Z0C7k64dAWeR73UnX/eW287jZrRE4joD1e/ltOoGVFY1K82aN1g5XCofRkpsKkXMhZRYD7+jxHFmfaNkrDrCx3gTV5ARHppVfzO7xSNLbfEsoIjwh9Z/JpHdcALh30FIXBN6rd5RAs+aLe7X3Md3fVQNSCY6WJ/lW7ju1+pBq8GjX8xu1+pDolhDmlj9yvVRIEyEWDe0u5X0VX/1Y5N59uTt0avjzoHo7dG/+2/vbbTWd22Wv6x2jT6UI2U0sKPy0dqhKp17+JG6gepnEusXumaKfkczmYSlYDufHO5oePaYnuqfHZ+3YmiHbVFdTYdMW5RVbfQqi9XX5AGXuuE1Q/XhrN98lis5h6+ratUC4F7bOBq2rJ1lWrjqlrm2bpKtW41Ba+7dTVNjQqYauLmtq4KdZmrUJe5CnWZq5hfoijsl7mSQYFyoOWtq2RzgYIAuXVVnF/mKiyXuZKtBqqCNqYRCmarZ8E4oGMAc/kaW1fF+WWuouEyVzKFQFKAnyPl2e2FYSsG9+kGA3MieC4GiEOFikOFikOFikMFMA4N6JDAtNri1lWyqcDsiti6Ks4vczW/uEd0izEZl/QEzae6DbGnICMwb10V55e52uPOMZ0AmGmxW1eFusxVH3OGNGMrBQm66ErxGBcWLCsr1MUF09ZVEeAwoXzOy2WcIIj1TOjyxJ/XZa6czhVw58LXEZaXB2CrAUvTf50f9ln9gFg7hs/hzaUzThSXpTNODnelM04K7Lo9YCxSP+/G2gHpsaI4K51ZL3JlJUTkmjYmvYup7/zWT2G5yJUVHBH/wPM1xLAOeOmwLyGErqF4BhjSgg/66m5iyE17ZkWI9QWMz70WZgRBxCeoFna8iYHTOwLuHbiY1WHss2IgYjFci5o3MXCisGhR4yYGThKHapSRApsIIaPhJ3E3MNWxGFncyVHzLgZWPkSwb1WMzu/9FJaLXFnBEQGQLkbNuxhY2bBvIIStSYo2D2jBB311j2/JTftpRYT1BYzPvRRlBEFEJ6gU5Ti+hdMFAu6CtfUmIwYi3LaiNxlRWPSm+fgWThSHgpORApvuAMMRx90o1pH0WEmcyU3L8S2sfIiA3qrcnF/7KSz3uLKCI+IfWW5ajm9hZcO+fxC2JrnZPKAFH/TVPcA6N22aFTHWFzA+93KTEQQRnaByc0MHWHN6ScC9tLYiZcRARORWFCkjCpMiNR1gzYniUJEyUmAzImA4wqSbmM5x4URxJkktB1iz8iGCfquSdH7tp7Dc48oKjgiAZElqOcCalQ37AkLYmiRp84AWfNBud7IGvg5PqkxhxQtW8Ta/lZVo8GrQ+JezlZXokBjmkFa2shJNFCgTAeYttrL+xgv+19zIShwJ4KYdhOw2bmQlWgjccQNX07aNrEQbgVtt1pXJROsw22oA/guzbqw9P6FHtnCD+1jVFaxCXcEq1BWsYn71obBfwUoGBYqBtvexUs0FqgHsPtbzK1iF5QpWstVASdDGHELBbPUsGAd0DGAiX2cf6/kVrKLhClYyhUBSgJ8j5dnthWErBvfpBgNTIngiBohDhYpDhYpDhYpDBTAODeiQwKza5j5WqqnA5IrZx3p+Bav5xT2iW4xJuKQnaDHRtceegozAvY/1/ApWe9w5phMAMy16H6u6glUfc4Y0Y69sBUsKCu1c/bqMVjhOKKD7EhYjCGI1E7o4sakSFqOXBNxL8OUAHcY+KwZiBRcxlzaXsBhRXJewGFEclrAYKbAr6IDhiLuhfmdej5XkSlSwOPkQMb+N2ediDjq/sVNYrmBlBUfEP/DECTyoA1427PsHYWuqYDUPaMEHfXV7+KUk1S4vS0lqvSBM5wwYoHtJygiCCE9QScrSxM/oAgF3wdp6kxEDEW9b0ZuMKEx609jEz4jiUG8yUmDzHWA40m4QRjqSHiuJM71pa+Ln5EME9Fb15vzKTmG5g5UVHBH/yHrT1sTPyYZ9/yBsTXqzeUALPuire3yJ1JvasCX1ZoZ1BgzQvd5kBEGEJ6jedH1+CaN3BNw7a0tRRgxEKG5FijKisEhR8/kljCQOlSgjBTYTQkYjNWX1HiuKMylqO76Ekw8R61uVovM7O4XlElZWcET8I0tR2/ElnGzYFxDC1iRFmwe04IO+upewSimqDVtSiuZYZ8AA3UtRRhBEeIJK0at+CyunOwXcnXDtynWQNKMfEMEfLn4tB0kzorCIX23IusHK4VD6MlJgMy9gLIIg6uaJDqXHiuJM+truYGUFRCSXVrXv/MZOYbmDlRUcEf7I2td2BysrHPYVhMA1id/mES34oOX//voiuRK1f2VTuS1vZTV0mya+hTcSySqvq62shntedskGr4aRNbey/qHSpmoN9KtqF+EDpT6rZVPVQjq9p/pFL8nVhq2sT+rdrzrwPTJ4DANvY8sq1USBMhFg3mLL6mf1ptXPLo5Mw7jc73x7/+j6wfXOwfWj63/5lz21W1R+y7Nqcfxptfb9kfrRavQ75W+VglYtGfJLdy/ven3llcQPw3qikewer25wrSYauZC/qh2oO6rLQzUcv6f2sFa/kf/sywt33XS+ubx3tRPWf+/LpWaR+a7Yvf0oUjti5ZNl2xH7LW23yD55RFdz1/pbX79WoyRH8rnO0FfJhgL36sBFuWUHLNXGVdHNswOWah1mQw7Ef0Gc6GN/j2zi5rbAJuoq10Rd5Zqoq1yT+RWKif0qVzIoUETgt8DGadjNc52136ZbCxQRyB2wyflNronlJley1UAl0cZkRMFs9SwYB3QMoC5YYwdscn6Ta9JwkyuZQiApwM+R8uz2wrAVg/t0g4GZETyjA4ShQoWhQoWhQoWhAhiGBnRIYFbF7YBNUtFNtcNxm24pMLciNsAm5xe5mt/bI7rFmHxLeoDm8+WG0FOQEZg3wCbnF7naw84xnQCYZ7EbYBN1kas+5Axpxs5CvS/ESSq8NItPvXh0lnqj+HTk5UkS+1mciMSvc5pxMcKyPENekDBtgE0CHCcUULdsYeHCLF3oQHZZQRCrotAlDfscmVJq66zc09qZ196CcF57S+Rf+v3s82oW3Fh34/SpgPsUvhShw9hnxUCsG8Pn3+ayGScKS9ks6GaxDuUGK4q7yhknBXbZHjAcYeBn3SzUDkmPFcZZ7SyIfEmoA7zJC4jIEm1MVxeT1vmFnYnlDlZWcEQMBM+04KM64IXDvoQQuIbaGWBECz7o2R6GSZqM0zPfO83CwIvDIPJG/lh4p/FpPvazLMjOatXqVsVqnwCpYkOsM2CA7lUsIwgiPqFU7MWtC0rEVtsazs9oaXcbA6eDBNxBa0tSRgxEOIZLUvM2Bk4UFknqd1MdyQ1WEoeKlJECmwwBo5H5YTfUDkiPFcWdHjVvY2DlQ4T7VuXo/NLOxHILKys4Iv7R5ah5GwMrG/YFhLA1qdHmAS34oK/wCS6BaUdtEmGdAQN0r0YZQRDhCapGOU5w4XSBgLtgbb3JiIGIt63oTUYUJr2pv2PpBiuKQ8HJSIHNd4DhiEU3i7UD0mNFcSY4LUe4sPIhInqrgnN+bWdiuYeVFRwRAMmC03KECysb9gWEsDUJzuYBLfigK8GZnGV+cnbqe2ehL7/3JMm97DTPvZPJJPaT6Gzkx3WqcCs4tU+AFJwx1hkwQPeCkxEEEZ6ggrONU6xvDTzLgdWcDhFwh6wtPxkxENG3FfnJiMIlP00nVnOyONSfjBTY9AcYjyDtBrm2jtVjRXGmPy1HVrPyIQJ8q/pzfkdnYrl0lRUcEQHJ+tNyZDUrG/YFhLA16c/mAS34oB1fumoqqAsLXhyHq3ib36lKNHg1aPz57VQlgscw8FZ2qhJNFCgTAeYt7VRNeHaqzj73pPprLy9vUS1u5EHk+/7h6t7UqGrGVR8yxs2pQdSplr3VM3q/svk9425U4qgB99wgtHjTblSiocB9M3ClbduNSrQRuGNmXQVNtA6zOwbivzhMukGss7FHtnGD21HVjayJupE1UTeyJvObEBP7jaxkUKBSaHk7KtVaoFLAbkc9v5A1sVzISrYaKBfamF8omK2eBeOAjgFM/utsRz2/kDVpuJCVTCGQFODnSHl2e2HYisF9usHA1AiepAHCUKHCUKHCUKHCUAEMQwM6JDCttrgdlWopMLlitqOe38dqfm+P6BZjEi7pAVrMge2hpyAjcG9HPb+P1R52jukEwDyL3o6q7mPVh5whzdirW8kKjdtRExwnFNB9JYsRBLHQCV23cFDJYnSIgDsEvligw9hnxUCs4yJmz+ZKFiOK80oWI4vDShYjBXYhHTAeoYzlxkoWI8qVqGRx8iECfBszzcV8c35XZ2K5fJUVHBEBwZMk8KAOeNmwLyCEramS1TygBR/0rHVfiEk4nggvPxkHXjwWoZfFp6EX51EchFlwkuUbaN0PjRtJU6wzYIDu9ScjCCI8QfUnoHW/ui5AlS8uFi908Hus8AIOv7bWZMRARNpWtCYjCpfWjHUoN1hRHEpNRgpspgMMh0jleCQ6lB4rijOpGWdd/b2yN3n5ELG8Vak5v6Yzsdy7ygqOCIBkqWkc1AEvG/YFhLA1Sc3mAS34oK/wmSWhcZdohnUGDNC91GQEQYQnqNTcwJkljA4ScAetLUcZMRDRuBU5yojCJEdTHckNVhKHapSRApsMAaOR5zKx59pFpB4rizM5aju0hJMPEe9blaPzqzoTy92rrOCIAEiWo7ZDSzjZsG8ghK1JjjYPaMEHXcnR08mJyNJR5iVn8UQdtzf2xqfyQz5KUj/ITkZpeHJnA3I01jlDytEc6wwYoHs5ygiCCE9QOfqx5tDn+9OPLm4AuH/eaV73lc+V6uerhz3XzeWzP8rfbqlfmeWEZ0ZnCbiz1pamjBiIyIyQps+1BYhXWUmYlKn+trsbrCgOpSkjBTYxAoYjEEk3S4WOpcfK4kyaxiLuZtql4Ju8gIjg36o2nd+kmVjuRmUFR0RAsjY1j+qAFw77DkLgmsRp84gWfNDzu1HnnbhKdLq8G9WwHJraL1zJVnkd7TgNfdOOU6rBq2GEZ8fpy/KpUoZVUf2j2SeeKSFZ7STtqM2OF3cJVjtOn6iez8XfKh+Xzzvlr8pflJ/VYhO9a/WRNMXfCZXWkT/AdKnFHtmTMcyTbWxhpZooUCYCzFtsYf24/J0XdzsX5g9LA+Jgs2p0vlkVuxV1sSW1E0U7mE2p1HFYTWHrb0o1CXiqhavinHM3KtXGVdXNsxuVah1mcwzEf2GQdiOhs7FHtnFzu1FTdTlqqi5HTdXlqOn8VsLUfjkqGRSoIvC7UYNEiK7+yf423VygjEBuR03Pb0dNLbejkq0Gaok2piMKZqtnwTigYwAT+RrbUdPz21HThttRyRQCSQF+jpRntxeGrRjcpxsMTIrgOR0gDhUqDhUqDhUqDhXAODSgQwLzKm47ahglcTfMdabeppsKTK+I/ajp+fWo5hf3iG4xJuWSnqD5lLkh9hRkBOb9qOn59aj2uHNMJwBmWux+1FRdj6qPOUOasZW1+Wic+37kiXEceXE+Sr1sPFJdXUkSZr6IT9PJjMe4HmFZoSGvSZj2o6YBjhMKqFu5sHBhVi90ILusIIiFUeiqxsezjqzzBYVFtxZPixanewTcPfB1AB3GPisGYhUYMY02tmhxorAUwgwNWpwc7qpgnBTYFXjAWGQiDLqx0LH0WFmcVcEsDVqsfIhY38asczH3nF+JmVouOWUFR4Q/8IQJPKgDXjbsGwhha6iBAQa04IO+wg1akWlrahpinQEDdC9FGUEQ4QkuRTfZoMXpLAF31trClBEDEZkRwtRY32EkYdGlQdc3SVNGFIfSlJECmxghwxH5YVfoz/nqscI406a2Di1WQET0b1Wczm/ITC1XnrKCI0IgWZzaOrRY4bAvIQSuSZ02j2jBB32FD06JTLtZ0wjrDBige3XKCIKIT1B12u7BKZzwAg6/ttpkxECEWoTaNC+DMqKwyE2/Gwodyg1WFIdyk5ECm+kAwxH5cTfSLyr1WFncqU3zySmsfIhg3qrYnN+OmVquO2UFR0RAutg0n5zCyoZ9AyFsTVqzeUALPugrfEh0ZNqqmsZYZ8AA3WtNRhBEeIJqTf5DojkdIuAOWVt/MmIgom8r+pMRhUl/ms6I5kRxqD8ZKbDZDzAcQRZ2E1+bynusLM70p+WQaFY+RIBvVX/Ob8dMLdedsoIjIiBZf1oOiWZlw76BELYm/dk8oAUftNqNujOTXS43ocY6TKkshRUzX8V0twlVW43cJRu8Gjz+5W5CfTl9D7YJlejJGObJVjahEk0UKBMB5i1tQg3W3YT6mXpwOnKWMFugVrtP717ei/rKK4kfyv87unPnjeXNqInah1p9yFUfRXdxceq1i5elnl+iSr071Y/rfg5p/RfVCrv6yy+983/EuGuVOHDADToInW/saiBaCNxdA5fvtl2rRBuB22rW1eVE6zBbaAD+C9XuSKFNbz2yjRvctaruUE3VHaqpukM1nV9emNrvUCWDAmUHfteqtN+ya5VqLlB3YHetnl+imlouUSVbDRQfbcxaFMxWz4JxQMcAZv51dq2eX6KaNlyiSqYQSArwc6Q8u70wbMXgPt1gYFIET/0AcahQcahQcahQcagAxqEBHRKYV3G7VqM8zbpC2wx4m24qML1idq2e36JqfnGP6BZjUi7pCVpMre2xpyAjcO9aPb9F1R53jukEwEyL3rWqblHVx5whzVhl7Tg/FaM4yrxwFORenGRn3liobQVJnJ2eBqenodhAM1Zs3LWa4DihgLqlDgsXZrlDB7LLCoJYP4UugzReLcCwcZXRQwLuIfjagQ5jnxUDsV6MmEmbK2aMKCwVs0C/uHiDlcRhwYyRArtcDxkNkUdRN4x1MD1WGGcVM9veVU4+RMRvY+65mIHOb+FMLdeqsoIjIiB42gQe1AEvG/YVhLA1VcyaB7Tgg64EaTQ6ybNJlHji5FR48egk9fIgSLwsT0+Ck5NgfJqM7mxAkGoziRSkKdYZMED3gpQRBBGeoIJUt3f1idKZS0WayVuj10ed10dvjf7bf3vt8s7VlcpJvZE1CeLMV9WYO/9aatT7s+LevPur+uzHVZHmZSWAH5xvm31Uf/pheX/2sxLf31K/9OfI77H6XMB9vrbEZcRABHiExDUWixhJHCtcRhKHCpeRApteAaMRBVnSlTlNB9NjhXGncLMo70baeHaTlxCRRFrVuPPrP1PLfa6s4IgQSNe45mEd8NJhX0MIXZPKbR7Sgg+6UrknYR6FYTD2TvPoxIvjMPay0Pe9STDO83EaJOmkft7dqlxtO6tUuRnWGTBA9yqXEQQRoKAqF7gH1o/rfiBj/47OG3us3hBwb6ytPxkxEMEXoT/NS6yMKCwC1LIplhHFoQJlpMCmPsBwJEnUzTLtiPRYWZwJ0Njv5rGO7yYvHyK6tyo/59d9ppb7W1nBERGQLD+NgzrgZcO+gRC2JvHZPKAFH/QV3hQbGzfF5lhnwADdi09GEER4gopPB5tiGR0i4A5ZW38yYiCibyv6kxGFSX8aN8UyojjUn4wU2OwHGI4oz7qRfh2px8riTH/aNsVy8iECfKv6c36jZ2q5o5UVHBEByfrTtimWkw37BkLYmvRn84AWfNBKgNp0ZcubYYUO73qY2e54kYCreBvfDEs1eDVo/O/NsFRPxjBPtrEZlmqiQJkIMG9pM2yy7mbYX5V/kj/uufz1Yvrj6Uf6e1lfeSWJw7CtvbCVJfJRlA/rXfWll+XX6umt/sEHlXkvqke2auGYNXn8qf7kTztHQeB2Ly113FcTJN9eWqqFq8qfcy8t1cZVSc+zl5ZqHWZjD8B/kVTpic7C/4e9v++RJLnOPNGvErjAAmRkRsDfzF840B9dpWQhipWZUemZM8NWC4N8vUtAIhcUB9g7wABsNilSlxw1XyQMt8lmq1uzIwF3sFvdzRKr34H9AHsjv8L9JNfNI9yj0tPM/Dkn/FgESWmG0VWVWVnnd8z92GN2HnebsSPc3pO0uT7/Ndfnv+b6/Ne8OXcxd5//ygYFNcvAT9KywwVFC/FJ2nx9/mvuOP+VHTWoXIZY6miY8cyBccjHAGXDBk/S5uvzX/Oe81/ZFIpIAV9HOrN7bWCdgI/5AYNTIrxeBOpQqetQqetQqetQCdahOR8SnFUHfJKWHSo4uRKepM3X57/ab9wTfsSUCZd1BTXr8Z7aU7IRhJ+kzdfnv7rrzimfAJxpqU/S5vr8V3PNOeMFu7tdNWV7kjYPaZwooPeumiQIYdMV3UOR76pJJkThCcH3GUwYB6IYhD1lwrLZ2lWTRPHcVZNE8ddVk6Sg7ukDw6Gmme3FV5Iku9BTE+UjlPchFprtcrM5ITR3HPkqCk6of/AaCR7UuSwb9f5D2Hp6asCAlnLQO/xAgbI9NptH1GRggP7VpyAIoTyh6lP4gQLJbCg8GxtLT0EMQukdRHoKoghJT9sDBZIoHqWnIAV16gOGo5iqwgQyEwXxpjwdTxOI8hFK+6DKszn9M3ec5yoKTih/bOXpeJpAlI16+yFsfcqzf0BLOegdfmGLsj3KmsfUZGCA/pWnIAihPKHK8w/ihS2SOVd4zjfWt4IYhAJP0LdWR5IgiYi8tb6wRZLEo7oVpKBOr8BoJOk0iI0DMhNF8aZvna9rESUkTCGDKtzmzNHccYisKDihALIVrvN1LaJ01JsQoevTuP1DWspB7/BbspXtidk8oSYDA/SvcQVBCAUK1bhbeEu2ZIYUnqGNFakgBqEgExSpfcdVEMWzJBUk8ShJBSmosyEwGlEcTEObN18QxZ8ktb8jW5SPUO8HFaTNIaS541RZUXBC/eMLUvs7skXZqDcgwtYnR/sHtJSD1qfK1pI0ec2tN//q+vI73/jWNw2JYMnNxMRZKU3l4IzToMtpe5LWHi1FRK4fpjWG+4AdbvcycyQXlYp1V/3Nxad6G3Rfb2wue+zPF5/e/rjeFK2++Lu6Pf/s9m+0qrz9sYmpUoDqKzM22L2qaCfbrCiuHtVKbQWQG39Cjx/3uuugj2xBH/GDVvSgcXt7FfOxLeZjfsz4LcAvtKvnaMyxl+zY7z0J0RM77QI5tQV8yg8YL+bEZx+qeM9s8Z7x4q2vjtfaOcjbWefWM8Ly1EkRWbOOBcuckHTMpngfsOPtlu5NX+5Q71U8W/x2+VDCSxOSZToaLT7THrK622Yie8gm6xZ1yZctMENUpBCB8NqXLfxi8Q8T44L8gB1sdwUg+IYAZoTgs4yUTQ37GwKYMYIPMW66XcGMjvLAIpC/KJmmiSnCGTvCLb4hIGsexU3drwTgkoHzHP2VAHmcTgPjvPE1frTgREd9I0C6fiOA9fSoJ/yowelus2VKu2uTjmcOjEM+Bji3MVYr7ZO56fjuQDjeCMClUEQK+DrSmd1rA7u/fOEGDE6B8AYYUHdKsO7M+VTgtEl7BUAYFsk0Nk6eT/mhgrMn5RUA6foVANY79YQfMWVGZV0y7Y6iu9iUbATpVwCk47sD4HgFAJcAnFmJy2B97bRB3V8Gc4LV0d5kNxeXWXA1CZPzy0mSXoWTvPppkzBOr26iizQ7j6+XPNYV8l+e27vQzFWydZ2c0TBRPtNa2oFFWU+bQB6IghC6RuhC+xf3F9N6JX375mhUr7hXLwCo/6R++9yPasvrx41JdfFu803L3+dBHMSrL/20+mP9CoEPtbPVlK2HotlSeLbwlbEJ40AUoysWHBhDrJkFSWQMAyaOR6IcHu0CghTUbiUwFq51uiCJN7dAkap8GhsJH8sSEir/EGvOduXZHE6XO84bFAUnVD94uUQY1rksHfUeROicQzpHhrSUg146Bl4SZVbtOahlwDjZVaIzd2LeM0b4MQwYg33ADhbvlaKa8d26E/OZ1QOQaw8AM1rfHoBi/zDOYltl40IkdAh8xbsyAhT7R7bIj/iRK3rk+Ep36QYo9o9tgR/zA8cvc34lXW2kFfulDaBkA4j7Aor9U1vUp/yo8bJN3BVZmgOK/TNb0Ge8oOuL5TWfc491y6Nwhp9Ycw5Hy5p9rM4AZrj4jYnOP/9UP72rD1744PbHi+ej+pnd9/Wr9LUP4IvmHIjlOwx/oL9x+c780cpD8JkJsJq3Cj1vMSk9z1tFsF996DeMF1k1gwWB/kj0R159hJH+SPWHnt+iWH/o38b6+2L921j/tSTUH0p/6O9T+gtKfyHVX0j1F9LCNjdyE+Vhbqyyc6Szc6Szc6Szc6Szc6Szc6Szc6Szc6Szc6Szc6Szc6Szc6Szc6Szc6Szc6Szc6Szc6Szc6Szc6Szc6Szc2TLzhE/O4qeHVJNPdbJOdbJOdbJOdbJOdbJOdbJOdbJOdbJOdbJOdbJOdbJOdbJOdbJOdbJOdbJOdbJOdbJOdbJOdbJOdbJOdbJObYl55ifHLyUbDrHV0kqdZJKnaRSJ6nUSSp1kkqdpFInqdRJKnWSSp2kUiep1EkqdZJKnaRSJ6nUSSp1kkqdpFInqdRJKm1JKtlJktYRVWZOdWZOdWZOdWZOdWZOdWZOdWZOdWZOdWZOdWZOdWZOdWZOdWZOdWZOdWZOdWZOdWZOdWZOdWZOdWZOdWZObZk55WcGn+Y5WqVKzJlOzJlOzJlOzJlOzJlOzJlOzJlOzJlOzJlOzJlOzJlOzJlOzJlOzJlOzJlOzJlOzJlOzJlOzJlOzJlOzJktMWe8xLykhzw6JiN7J6hwvfM6TlPr8GLBMjWR3THJjRe0kKCi6DfN051Lx+SP9HlYiw/ag4Zu32xPE3pzVIml5/U7n+tHPW9/oI/AWvy2fhf0h9U3/MCsn57X7zxZKqh9/S3LV/J9uHpvyW/10VujL+n3lyx+V/26/Tf29UOkv1i8U/8d/Xjpc/1kqm4PvVVF/d7i7xdvNQFMv9z8Cxrm8+of1y9PqV/3t/jUlP6H7PR3ZYigrZMboiKFCIRXjcNyzH470oeS6VPP9CsYb99Yn4VWn0m1upS0sfYn9aVU6WrjhVQr79/VV8jyElhdTrbL50t3rop7V0rz4PH7evAXH+/rJ5b1c8lf6Nf0NJfRl1cHtn2o37uzfDPk91bR37l26ibl8ni2fQ2hf9CLl1zCOqy7vB/Vp7eFKtir/vcnVQUfLU/Yuv2hDq/OwKon+kH1b7+p/+FRFPxPy/Pe6lf5PG+Ogvv89m9q93J9GFw31S/qx6yf1yeXfWRZq0xNl9IB+1ICHUeEBqKO+sPpyHxbfpUdKGgiIvQH7d5bboyge2jD3h83OopTCMhfFOah9Rlgbozbc98W+nyuIlpZ4Qr3qVxsPFA40S24UW49k4sdLCiciA7cYn0mV+E4k4sdNSifNttsafqghT4Xx45xyMcAZQhjK6QxxhXrM7mKnjO52BSKSAFfRzqze21g93YS2AGD8yHcUgZqT6lrTwnWnjkfDZxBaTbcJLDUnaf8QMFplGDCLdbncNlv1hN+xJSplXXVNE36nnpTshGETbjF+hwud6055ROAcytxC0dfO21Q93ZWWMHqaC8CVYRBfj1J08vrSXKu0kmRpWpyWUTJdXIZXOQXq/vVuunyl+dDmnAdWxmvVAWKhonymbZnHFiULRoTyANREIIVC927+ed7a/FnenX8olqdvr58Kdftm837Z63v7Fq+Rdbxzq79URzY3hT1UDRlCk8Zvplx+73p4uNpZ2X/rPrlp9Pladp1O7BZxY++tFrXf3mkdxxu/9/1s8SGXZAXoz/RS579MB1H42A/CP+kot+P4khvRnxoW5YLJo/ggCMs361vDJNEETEAB+Zq9kiUxJ8FWJKiq2ccFOh2QRXSNLK9xVaSxZsJOJsWRrzHsniEaWeINW+78m1Okyocx4OJghPqH7xcQ8d0LotGvf8QtB77LzCepRx0rYmvz6/jq4sinKRFcjlJYn2eQ5xdTNTlRXQepnkSZNev+dfEFo/w6sIg5ALj86+JBUEIxQnVxL9aSrhW1GmVV0m0v9WNlUrofqk5E+yL2zcr6VcpuC/Xh4VVCk/LPVMKHoqmQOEpwDVutxdlwjoQxSJUX4L67GseCQKJaFDLivqRKIlHDSpIQZ0DgdFIsiKfKmUToYIwHkWo+VSYx7J4hDo/qAhtDpYqHCeFiYITyuAGItQ8pnNZNOoNiKD1idD+8SzloOtn0PZb0eLZ9WaTmbGTNu/SenK9xVbXGzNesG2LqkTjzukHlXB8o/qD79Y+pc9qR1tjXFvukOovV7/7YnVEwvPFJ7d/u/qKyUL0vDbTfbQ2Gz1fbsbWrqVPbv9mWp/eNQpd0pOZrwTL1yA2NWaIihQiEN7ivfpotvf1iN7+uEquaZTvbd1+tvh8sjJyvTRen+rT3W5/oof3veqXtcNKXxK1Y+yT259MojAYfan6fW1J1IP9rDaffThavLX46eLni79f/MPinWo18svq9++OTh+GYfZl10X04uWrxH01vaHfa7ncq1761EbV4uZ5/b31oXT15fXRyts2WV1e/2bUvpzxnxZvT8J8f/WLwjSqB+xRBTvkBNFve+UEN0Kw0U1R8XarGDNGsMe9qT5nRkfpZwP5U9lUmQKcsQPcok8s0T4xpT/SxrARu81iXEZQb9DNYlmYTQtjWfgaP1pQcFDdYvHaLWY9WOsJP2pQdgyxaNEw45kD45CPAaqBTdxi8fjuQDjcYlwKRaSAryOd2b02sE7Ax/yAwbkQXvkBFajUFajUFagEK9CczwfOpDTLWBhEaprZTGPcUMEJlWIai9emMes9e8KPmDLJsi6edlXtLjslG0HaNBaP7w6AwzTGJQDnWLJpLN5rg+oEe8YLVkd7kV9cqavr68n5xXU4SZLifJKnlxeT86ssv1Lq4urq5mrJY92zcGzicPctrKaxhIaJ8pl2NxxYlB0OE8gDUZCu/nCND3Pro7P+rV/Y2K5/G/fYbxbvLt6uPn9erWffcyxxTRl6KJohhWcI30kwYRyIYhA2iglLZ7tbSxBFqFOmTCSPREk8dsoEKagb9cBo5GlkXbILknhrk8XxNDHyPZblI5T7IZac7cKzOQ2wcBzvKApOKH/wagke1LksG/X+Q9j6GmX9A1rKQS/fDRHeZJdXN+kkvIyiSRheF5M8uM4mQaACleZ5WKiVSvMqRm1tNEXNBcbnX4wKghCqEypG323fCm5teWhBGsZBpWQqJbr4NNof3b6p+xyrN1aEwe0PnA00wYQoPCEba09BDELxJWhPa9tGkERIetpMWoIkHqWnIAV16gNGI42nkTKRzERJvEnPqJqnchPfY1k+QnEfVHqqRqkoh/SUBCdUP7b0tA7qXJaNev8hbH3Ss39ASzno5T5ofHEe5mEwicP0epKEYT4pguuLyeV1VFypyzwOstWge5Wexu3eSnqm1FxgfP6lpyAIoTqh0lMfXv65fiC2PoSmEpDPal2pXTP69bAf1Y8FLN5Z/Do14T4UxVU47sbCUhCDUFoJwrLvIQBBICF9GSgTyiNRFI8CU5CCOsEBw5EG0zgzDshMFMWbwgzTaWBcmz2W5SPU8EEVZtoIEsdJqKLghDLIVpjWQZ3LslFvQIStT2H2D2gpB908BaBea4Wjx6cAbBoyc9FmQZfW01MAyvoUADPebgnZ8CmAf9SbjvW7UD6qtx8/0O7sxpv9+WTxu0oJvlErwhf1C0c/qRTiX1e/Xp8IsGqPfzAKddNcG8A/MhE/ZBMnGPEgPn5miIoUIhBeNS7NINQvjF08H9XW998tfnv7Rv1uX/07/d7gD/QXlq9s+VGl339w+71KF/66fqnL8/ods5+sXoPzvdUrYg3e+5+MvvS//EmYqPo9Lcs95uni42rc35/uL9/z+rz6t6rvXL30tVojrE+GWL49Rp8g8d3q538w+v/9zf8e1j/pncWzL4++vD/6zp+EqnkfbP3O4v+99lG8XZsmfrP41eJ/6Evo//HSl/7b4qeLd/Wf2d4Zwxym7iwkaMxnRgjaCUnK2mrMZ8YI+gg3lczM6CieQSB/UZJMg9Ro6pmxY9yiNz/XtvyiMcVmbls+Fw8UAHRbvkoTuy2fGy2oAKi2/Gxty7ceF/iEHzWoA4ZYRmiY8cyBccjHACf3TWz52fjuQDhs+VwKRaSAryOd2b02sE7Ax/yAwZkQXosBxafUxacEi8+cjwZOoTRHfh5k09C48njKjxScSCmG/GxtyLferSf8iCmTK+uyaRe47oJTshGkDfnZ+O4AOAz5XAJwdiUb8rO9NqhOsGe8YGs5VoTn11EWT87TPJ4k11kxyfPrq0l8ERZxcXF9kzS3gXX7wLGfwt1CsBryncci3sdE+UwbDQ4symaDCeSBKAhhExPdhXhntRh99tLeQ2fD4fP1i1o/Na9uX37V6/qB9dXiWPv3v9DrVd3lMuXsoWjOFJ4zfJPAhHEgikHYxqUsoo0T61dFSaTaWEaUR6IoHttYghTUXXRgOOJsmgVGz8lMFMVbG0ulcTFNbW+zkiQkzAFDrEDbdWje9D1yx1pUEpxQAeHFE2FY57J01JsQoetrZfUPaSkHXWvUOE9VfpOpyWX9vfH15eQ8OU8m12F0c14ElxfV52v+Napxa7nSqAU1Fxiff40qCEKoT6hG/bvbv9XH7S2tUr+tuyTdltjs1SeT09Ht67WKrd+8+rk+43ElUuuXES3ftBroz8i8Mf9QNDEKT8zGQlQQg1CGcSGq34tlQvmqKIqIEjUu4x+JcniUoYIU1BkQGIuwEqHTJDW2LWaiMN6EaCVXUhPeY1k8QpUfVIUWjWQpHCpUEpxQ/tgq1Damc1k06g2IoPVJ0P7xLOWgtQZ1Scth3VOJie6VOHCd0lX9X5duy+4pdrxg1xTVhP7cU2ziBCMewD3FDlGRQgTCW+4QT0etyenZSzvCt99fPNPHV7+0HzwyvcT0S//f1/8kDMJJGLxki4r3R//3J38S7AdJOFr8vJKL9Z/+X8++PFoenrByQ5nfpar/BeKbVCfmF8288rB+l6qq/0kN83Ht0XrJLqZD+bA+3Ov9+kHiKiP7zUHb1ZJkpJTxjaimgT1gDyzYZcYVus1vxY4QbBbjwtvut2LH2BXWIn4rdnTd+XpTv1VgeasKO8Ctma3iINyvPiL9ES9NDxWEy3HFZwRFw6COK360oGqgOa6qcBrH1SrNpqif8KMGtcMQKw0NM545MA75GKAg4DuudOx3B8LquOJTKCIFfB3pzO61gXUCPuYHDM6F8HINqEClrkClrkAlWIHmfD5wJh3MdsWPFJxPcdvVuvI8ddyyJ/yIKXMs69pZrYT7qk7JRpC1Xa0rTjMAVtsVnwCcYom2K33ttEF1gj3jBVsr78voRuVFMclvLotJktwEk/Pr4KL67XkRRdfXmYpXI2Ldd3BsvHD3Hiy2q6pM0TBRPt8tLVEQwmYnun0xeEsrjMwtLdHEKDwx+BaCCeNAFIOwp4svmK0tLVEUjy0tUQ5vLS1RCuqOOjAWYRJbl+mCJN76Wfk0Skx4j2XxCCV+iFVmu9ZcHWy8+oUJ/FAWnFD74AUSOqZzWTTq3YeguftZyHiWctC1/ry8jK+vzqObSfWlbJKcp+kkT6KLyXV0nl+oICjOL1d606v+NFuq4tVrIwi5wPj8609BEEJxQvXnW5u/cr/uhJiS8VA0GQpPxsaaUxCDUHdxzWl95b4oiojmNBogHolyeNScghTUWQ8YizAybgTORDm8Kc4omMY2ySnJR6jqg0rOqJEo9mOpZcEJpY8tOa2DOpdlo959CFuf5uwf0FIOencfNU0s76uKV0+KEXKB8fnXnIIghOqEas5deNRUNGcKz9nG0lQQg1CfCdLU8qipKImIMrU+aiqK4lGcClJQp0dsOJRxsTATJfEmT11PmsoSEqaAQQVq3OgZ+2HEsuCEAsgWqK4nTWXpqPcgQtcnUfuHtJSD9mvzVya6SnQmTjrVpdu6zZ8Zb7do/B7Z/JnECUY8iM2fGaIihQiEtw2bf/h75vMPaUZ/5tCC5kaKUDe2ar7KjhC0J5IEuNXoz4wRNCZuqqyZ0VFMiED+YmPXZsYOb4s2f6Ud/qn+yBqTbeK2+XMZQdEwsM2fGy2oGqg2/2Rt87ce7fmEHzWoHYZYbGiY8cyBccjHSIgYDNNtMr47EA6bP5dCESng60hndq8NrBPwMT9gcCaEV2xABSp1BSp1BSrBCjTn84Hz6IA2f26k4GxKsfkna5u/9ZY94UdMmWFZ1067EnZXnZKNIG3zT8Z3B8Bh8+cSgFMs2eaf7LVBdYI94wW7sy0vy2r+lXh1xheMifL5b3kJghD2O9Hti91oeQnmTOE5w3cXTBgHohiEHV/KStrW8hIk8d3yEkTx2PISpKButwPDoaaZ2Xk5EyXZkZaXJCFhChhiFdquRVXTH7GfQy0LTiiA8AKKMKxzWTrqPYjQ9bW8+oe0lIPe3ScBlPVJgJSaC4zPv0QVBCHUJ1SiCj8JIJgMhSdjY+0piEEovQTtaX8SQBBFRHzangQQ5PCoPAUpqLMeMBZRZKzeM1EOb7rT9SSAJB+hqg+qOtNGotjPppYFJ5Q+tup0PQkgyUa9+xC2Ps3ZP6ClHHStOa+C6zA7D5JJfHkVTBKln1RNb/LJxXmWnl/mSfWxmiS8ak7j7kWlOV1naxlzgfH515yCIITqhGrOwd9+ElnffiKYGIUnZmP9KYhBKMK4/nS8/UQQRUR/2t5+IsjhUX8KUlBnQGAsImV0ysxEObzpzzCcms8qeCzLR6jwg+rPrJEr9uONZcEJpY+tP62DOpdlo959CFuf/uwf0FIOuvq/P3+peCbVf/7MpTOHtf0bdykqhZk7aOMs6tJ6sv3n5tMIHrDjBa17qEB8p9J3v9V6r1J/S733THvN66737XdXNnNt8H8xWry7eGvxs+VmZcfz/4vqK7/aH1U/7ReLd5Z/FmlLtgn9IRs9wdAH8f8zQ1SkEIHwVgP0gTYqTEeLf67G5tnKkr8arLdq38Ibt9+fLP7b7RvVUOphqcbhxeK3+nEObbt/v/o7WvR/cPvjpYW/fjhjetcvH6nXXvumKRsH7GyARkFc7Not88wIuzpW1DLPjBE0+W2qT5nRUQx9QP7SwNi2nLHj26Jnvtg/jMNAf4SNYzV3e+a5jOCMS/fM60ay+Xr+Gj9acMqleubztWfeeszmE37U4MQ7hG7XMOOZA+OQjwFOopt45vPx3YFweOa5FIpIAV9HOrN7bWCdgI/5AYNTIbz4ASpQqStQqStQCVagOZ8PnEhpnvkijKa5Ue8/5UcKTqcUz3y+9sxbb9kTfsSUKZZ17bTLSnfVKdkI0p75fHx3AByeeS4BOMWSPfP5XhtUJ9gzXrD1MiRUN9lVEk/i4jqcJHGaTs6Lq2ISXVzHV0kYXFa/W/JYF+2OXQzuwt3qmS9omCifaXnvwKIs8U0gD0RBCFuH6Nq/XkxW6/j1YvL2r/XT1ku/+9IObwJ9KAqqcFDCMrpnlWzCPBDFJOyIEtbHdjOSIIpIM8i40H8kyuGxGSRIQd2OBsYijAKbG0kQxFs3KIqnsa0bJMlHKOlDrCrbtWXRNA/sRzvLghNqH7wgggd1LstGvf0Qtr5uUP+AlnLQteBM8uCmuEzSSZKreJJk1V84v4yDSZwEV1l0fRMkWziLKbU54MOAmguMz7vglAQhVCdUcP5jayz6WD+D+ax2IX23Eps/XnmMKkGqu07fX3yuX/dTv43qg/odQvW31P4jNa7+fxwEgb2/JJkVhWcFV6cmjANRDEIFxtWn3YokiSKiPgOzkfGRKIk//SlJQZ0AgdEIc8t4zERJvAnQLJnGxqnqsSwfocQPKUDDYKVXQsfZv6LghPLHFqDWQZ3LslHvP4StR4ACA1rKQS8PA73Jg/TmKpjcRMHNJLlMi0l+VRSTy+vrJEjjm/MgWU0UXgWosWpVAjSk5gLj8y9ABUEI1QkVoL+oxOUb9eZm43XSv128WLmdXq8l6U+WanO0+NXip4t3F+8tfrn4dfW/t1fPaT6ZT1Q4WvzUlJCHoglReEI21p6CGITii2tP+86nJIqQ9tTt7fsoj0RRPIpPQQrq5AcMR2Ebj5koiTfxWfFFxv7jY1k+QnkfVHw2B0eGjoNARcEJ9Y8tPq2DOpdlo95/CFuf+Owf0FIO2u8r7zMTXSUnIwddkqRdum1737nxghY8VA1uw/vORU8w9CG879wQFSlEILxwkoxu/4t+qd/iX8ze9w+1f72S7Z+vXqqydrrr33YM7mGyv3K6R1anO5cdtPcR9KzN6c6NEDTo4TLV4XTnxgha8zbVn8zoKDY8IH/J6p1U91UlM77tOd3DWJvcE/2hVj7TMHI63dmM4Pw6rNOdHS04wRKd7mHUOt1D60mUT/hRg9PsEKpcw4xnDoxDPgY4ZW7gdK9ivzsQdqc7m0IRKeDrSGd2rw2sE/AxP2BwKoSXNkAFKnUFKnUFKsEKNOfzgRPpcE53dqTgdEpwureV56njlj3hR0yZYlnXTrtodFedko0g7HRvK04zAHanO5sAnGKpTvfq2mmD6gR7xgt2Z/s+mc3pvjoAAsZE+fz3fQRBCBuD6ErfQ99HMCEKTwi+uDZhHIhiEPY9Cetke99HEMV330cQxWPfR5CCuu8MDEcaTDPjeMxESXai7yPJRyjvQ6ww23VmczJu6DjsWBScUP/gxRE8qHNZNur9h7D19X36B7SUg95d13tmdb0n1FxgfP7FpyAIoTqh4tOX610wKwrPysYKVBCDUIFxBepwvQuiCCnQ2ETySJTEowAVpKBOgMBohJHljPuZKIk3AepyvUvyEUr8oAI0afSK4yhcUXBC+WMLUJfrXZKNev8hbH0CtH9ASzno5cFD6vqqCPJicnGt1CS5uM4rsXoRT4KbKE/Po6uLi3P1mn8BapxFKgGqqLnA+PwLUEEQQnVCBej993x0jTPNEUT1q+JrJ83y9/+oN0krYfpCvyv+ZWG6dNt8sfhc+55+uXhrUm+Y/nTx9uLvqs9/WLy3P4oD297cQ9EEKjyBG2tVQQxCsca1qmO3VBBFRKtatNEjURKPWlWQgjpXAqORBplVqwqSeNOqYTSNjO35x7J8hNlgUK3anKkYOo7JFAUnlD+2VrUO6lyWjXr/IWx9WrV/QEs5aL8meeP+d6U+Uydd1qXbukmeGW+3ZPw+muSZ6AmGPohJnhmiIoUIhEc3yWs9X+v6Hy11vMMmb0A/YKODxkCCmrV65JkRgtY+iki1e+SZMYKmvk3lJzM6ioEPyJ/dI8+Mb4se+Uzb4/PGnJq67fFcPHBmHdgez40WnFqp9vh0bY+3Hs/4hB81OMEOocc1zHjmwDjkY4CT5Sb2+HR8dyAc9nguhSJSwNeRzuxeG1gn4GN+wOAsCC9qgOJT6uJTgsVnzkcDp88BnfHcSMFJlOKMT9fOeOvdesKPmDKxsi6bdqXoLjglG0HaGZ+O7w6AwxnPJQBnV7IzPt1rg+oEe8YLdmd7Q7nVGZ/RMFE+/70hQRDCbiC6vN/B3pBgAhWeQHwFbsI4EMXoaggHBmE1be8NCaJ47g0JknjsDQlSUPemgdFw9YYESXaiNyTJR5gNhliLtivS5uzZ0HGYsCg4ofzByyh4UOeybNT7D2FzDugcGdBSDnp3n+LMrUZ617FMxlxgfP61qiAIoTqhWtXDU5yCCVF4QjbWnoIYhOI7iPYURBHRno6nOAVRPIpPQQrq5AcMh+spTkESb+LT9RSnJB+hvA8qPvNGqzjOxhUFJ9Q/tvh0PcUpyUa9/xC2PvHZP6ClHHT1f3++v5ya/8wlLoc1KBUmykpWFg7KOIu7lN4MSsb6+YAdL9g/RVXhMAYlvV2pn+SrFOXHekP09o3b71a/et7vVWJmIcGyMIhXiRmiIoUIhEf3Kjlf6KlWRqV09d989d/Q2GM4YOcBbNkS5K7VuMSMEOy84irWZVxixgj2XDeVp8zoKP1VJH8qKGLz/sGMHeP2zEtRsF99hPojakwEhdvBxGUEp166g0kFud3BxI0WnHupDqZi7WCyHun4hB81OAMPIdw1zHjmwDjkY4BT6CYOpmJ8dyAcDiYuhSJSwNeRzuxeG1gn4GN+wOB0CK9+gApU6gpU6gpUghVozucDJ1OajSmL1DQz6pKn/EjBKZViYyrWNibrLXvCj5gyzbKunXZd6a46JRtB2sZUjO8OgMPGxCUAp1iyjanYa4PqBHvGC1ZHexHm52laXE6UuigmyXl8MSkuri8neRJf31wXcXATXy55rKt3xzYGdwVvszFFAQ0T5TOt8x1YlLW+CeSBKAhh7xDdBNg9G5NkAhWeQHxxbsI4EMUgbKUS1tbWVpIkikgryfIo4yNREn+dJEmKrs5wUKBL+igL02yaGU0hM1EYb80kh5NJlI8wIQyxJm1WplFzbG3kOIdYFJxQAeHlFDyoc1k26i2IsPU0k4ABLeWgl06m8/P8Iq6+LUvjZJIEN8XkXF1WH0EUXl7H6iZrFvxe5arFyRS5j8Uz5ALj8y9XBUEI1QmVq85Xgq6MSn8SLz4dLV/+efuDSI3sLShJeIXDbyw1BTEIhRaXmvY3f0qiiEhN65s/JUk8Sk1BCuo8B4xGoqJsWtiUpiCLN6XpePenKB+hlg+qNJszaiPHocOi4IQCyFaajnd/irJR70CErU9p9g9oKQe9u575wvbuz9XLZCi5gPj8K01BEEJ1QpWmvGdeMiEKT8jG6lMQg1B8cfXp2OgURBFSnzbPvCSKR/kpSEGd/IDhiKI0nhbGveeZKIs3+elwzYvyEQr8oPIzatSK45xdUXBCBWTLT4drXpSNegcibH3ys39ASzlov6/zDI2evUpRxg68JMm7eNu2y3Pj7daM32+7PDcLCZaFIezy3BAVKUQgPLpdvufVnlTDPDcToEOQoHVthnluhKDHD5ewDsM8N0bQ3bepNmVGR3HyIflzGea5MW7RMJ9or3xzFH0UO73ybDxw4h3WK8+OFpx4iV75KG698pH1IMgn/KjB6XcIua5hxjMHxiEfA5w/N/DKV7HfHQi7V55NoYgU8HWkM7vXBtYJ+JgfMDgTwmseoPiUuviUYPGZ89HAKXQ4mzw7UnAiJdjk26Lz1HG3nvAjpkyurMumXUi6C07JRhC2ybfFphkAu02eTQDOrlSbfHXttEF1gj3jBbuz3aAwsPrkExonCui/HSQI0pUergECV/8e2kGCCVF4QvBVtgnjQBSDsBlKWCLb20GCKL7bQYIoHttBghTUzWhgONztIEGWnWgHSfIRCvwQ68t2ldkcXBs5TiIWBSdUQHhpBA/qXJaNegcibH3toP4BLeWgd/cxzUp/GncUK/2pqMnAAP3rT0EQQnlC9ecOPqcpmECFJ3BjvSqIQajWg+hVQRQRvWp/TlOQxKNcFaSgTpbAaPQ8pykI402vup7TlOQjTAiD6tXm8NrIcRqxKDihArL1qus5TUk26i2IsPXp1f4BLeWgPduXbDugqROv6OJt3b7EjLdbM37P7UvMLCRYFgaxLzFDVKQQgfB67UuVkn9epfp5vR/9Wf/7PrPGrtT4l8wvGzpgpwDs1hJErtW3xIwQbLpStKvdt8SMEWy3bqpKmdFRWqtA/uKiiMwnuM/YIW7RtqQPKY5y/VE09gH3ScVsRnDWHdi7xI0WnHWp3qX1ScWR46RidtTg3DuEVtcw45kD45CPAU6em3iX1icVRz0nFbMpFJECvo50ZvfawDoBH/MDBmdDeMEDVKBSV6BSV6ASrEBzPh84lw5oYOJGCs6oFAPT+rhi+y17wo+YMsuyrp12KemuOiUbQdrAtD6u2F1xTvkE4BRLNjDp44rN1eaMF2y9/AjVTXaVxJO4uK5WDnGaTs6Lq2ISXVzHV0kYXFa/W/JYF+6OnQv24t1qYMponCig/waSIAhhvxBd/99vIN1fRZpAH4qCKhwUXz+bMA5EMbozvgODsAa2N3oEUUQaPcbF/CNRDo9tHkEK6h4zMBZZkSfmvttMFMVbkyeKp7Fxf+uxLB+haA+xcGyXj80ptJHjWGFRcEL1g9c88KDOZdmoNyDC5hzQOTKgpRz07r6Ms9KUNlOS+5g7QzIwQP+aUhCEUJ5QTTnw2zgF4RUOv7HOFMQgVFpcZzreximIIqIz7W/jFCTxqDQFKagTHTAaYVhk08xYs2eiLN6kputtnJJ8hFo+qNRszpyNHIcIi4ITCiBbarrexinJRr0DEbY+qdk/oKUc9A4/fxlaX8dZkJMBAfqXmoIghPKESk0Pz18KJkThCdlYfgpiEKovLj8d25yCKELy0/r8pSCKR/0pSEGd/YDhUEU+zY3ttpkoijf56Xr8UpKPUN8HlZ9Fo1Ych+KKghMKIFt+uh6/lGSj3oAIW5/87B/QUg7as53dsncZu05VSlTQxdu2nZ0bL2ipQ/Xglu3s3CwkWBaGsLNzQ1SkEIHwOHb2nvdxwoZ2bhJACx9B5doM7dwIuwJW0tDOjRG0322oSrnRUax2QP5chnZuiNsztMfhfvXRnBgfB04vOxsPnHKH9bKzowWnXKKXPQ5aL3tsPX3xCT9qcOIdQqhrmPHMgXHIxwBnzg287FXsdwfC7mVnUygiBXwd6czutYF1Aj7mBwxOhPBqByg+pS4+JVh85nw0cAYdzsbOjhScRwk29rboPHXcrSf8iClzK+uyaZaQPQWnZCMI29jbYtMMgN3GziYAZ1eqjb26dtqgOsGe8YLd3T5QZLOxx64j6gycKKD3PpAkCGGfEF33y/eBJBOi8ITg62sTxoEoBmEblLBCtvaBJFE894EkUfz1gSQpqNvQwHC4+kCSKLvQBxLlI9T3IZaX7SKzOUM2dhwKLApOKIDwygge1LksG/UGRNh6+kDAgJZy0Dv8FGVkc7yvDGqEZGCA/uWnIAihPKHyk/8UpSSowkE3lpWCGISqOoisFEQRkZXGWvBIlMOjphSkoE5pwFi4nqKURPGmKR1PUYryEYr2oJqyORg2dpz0KwpOqH5sTel4ilKUjXoDImx9mrJ/QEs56Or//vzl21VrxT9ziceBzUaxibeSjbGDN85Ul9eT2ch23NEDdsBg0xOWffcsQs/WVqK7CvD2x4tP97uq8PNJpRufV3/jh/rV6/pbRtVPeVb/iA8Wn9dvZa/+6PXR4ovq188Xv61f4/jdxYv6n6g3NKvv+GhUfXzY2QDVf7y0Nuk/+eT2b6aj6q9/PoqC+lHLldHpg9sf6zfF19/z0fIbEv315xVQ/Up4U/ofstOfYOkfxObEDFGRQgTCe9nmtHihjU6Gi6Z53f4vFu8s7Wq/1WP6frWe0K/nr0f09g39lU/qsV8ObzVyn9ZXz09u/3b0tW+e/8ebm8nt9/W3LH5XX4Hhaqz1BWS6Ppq/8z19EED1N6u/03zf4rcda1W0clTZDFXMdIN9ZIKutxqqmBGC7WBcrrsMVcwYwUbwplKcGR2l6YvkL8hj87wwY4e4RUOVPtg4VvojbYwN7tON2YygtqC7qvIstruquNGC2oLqqlqfbhw7TjdmRw0KjCGWKBpmPHNgHPIxwIl6E1fV+nTjuOd0YzaFIlLA15HO7F4bWCfgY37A4GwIr/OAClTqClTqClSCFWjO5wPnUpq1KoySbKqv2PuhPuWHCk6pFG/V+oxj+z17wo+YMs2yLp52Ce0uOyUbQdpbtT7j2F1yTvkE4BxL9lbpM47N5eaMF2wtvmP9DH4RT/IguZokKj2fnAcX15P4IgqK5OIqzm5WF5V1f8KxY8Peo7B6qxIaJwpo2slwcFF2M0wgD0RBugLENUCb7HKg7S1BVIWj4st1wzraRHYgSkbY8yWsjO0dL0EUkY6X5TUcj0RJPPa8BCmoW+7IaCRBbnnD1kyUxVvTK59myoT3WBaPUMuHWFC2y8rm9NvYcZyxKDih/sFrIXRM57Jo1PsPQetrefWPZykHvTzNOL44D/MwmMRhej1JwjCfFMH1xeTyOiqu1GUeB9lqzP0qTeNecaU0FTUZGKB/pSkIQqhOqNJ8Rzed6me8P7n9Sf3q0Ns3b39Ydys+qF8eqrcnFu8s</t>
  </si>
  <si>
    <t>ТЕХНИКО-КОММЕРЧЕСКОЕ ПРЕДЛОЖЕНИЕ (ТКП)</t>
  </si>
  <si>
    <t>г. Москва, 2-й Нагатинский пр-д, вл. 2, СОШ на 675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</si>
  <si>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</si>
  <si>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</si>
  <si>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</si>
  <si>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</si>
  <si>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</si>
  <si>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</si>
  <si>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</si>
  <si>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</si>
  <si>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Общее кол-во</t>
  </si>
  <si>
    <t>1.1.1.1.1.1</t>
  </si>
  <si>
    <t>6.1.2.4.9</t>
  </si>
  <si>
    <t>Монтаж ярусных конструкций для работ на высоте</t>
  </si>
  <si>
    <t>1.1.1.1.1.1.1</t>
  </si>
  <si>
    <t>6.1.2.4.9.1.1</t>
  </si>
  <si>
    <t>Монтаж, демонтаж, аренда строительных лесов</t>
  </si>
  <si>
    <t>м2</t>
  </si>
  <si>
    <t>1.1.2.1.1.1</t>
  </si>
  <si>
    <t>6.2.1.8.1</t>
  </si>
  <si>
    <t>Внутренние стены и перегородки подземной части</t>
  </si>
  <si>
    <t>1.1.2.1.1.1.1</t>
  </si>
  <si>
    <t>6.2.1.8.1.1</t>
  </si>
  <si>
    <t>Устройство внутренних стен подземной части</t>
  </si>
  <si>
    <t>1.1.2.1.1.1.1.1</t>
  </si>
  <si>
    <t>6.2.1.8.1.1.2.1</t>
  </si>
  <si>
    <t>Кладка внутренних стен из блоков ячеистого бетона без устройства перемычек, включая армирование, устройство примыканий</t>
  </si>
  <si>
    <t>Подвал. Форкамеры - 3 шт. Толщина - 200 мм.</t>
  </si>
  <si>
    <t>м3</t>
  </si>
  <si>
    <t>1.1.2.1.1.1.1.1.1</t>
  </si>
  <si>
    <t>Материалы для примыкания / уплотняющий жгут, клей на м3</t>
  </si>
  <si>
    <t>комплект</t>
  </si>
  <si>
    <t>1.1.2.1.1.1.1.1.2</t>
  </si>
  <si>
    <t>Прочие материалы для кладки / из газобетона / 200 мм</t>
  </si>
  <si>
    <t>1.1.2.1.1.1.1.1.3</t>
  </si>
  <si>
    <t>Клей по газобетону, д/тонкошовной кладки_</t>
  </si>
  <si>
    <t>кг</t>
  </si>
  <si>
    <t>1.1.2.1.1.1.1.1.4</t>
  </si>
  <si>
    <t>Блок газобетонный D600 625х250х200мм</t>
  </si>
  <si>
    <t>1.1.2.1.1.1.2</t>
  </si>
  <si>
    <t>6.2.1.8.1.2</t>
  </si>
  <si>
    <t>Устройство внутренних перегородок подземной части</t>
  </si>
  <si>
    <t>1.1.2.1.1.1.2.1</t>
  </si>
  <si>
    <t>6.2.1.8.1.2.1.2</t>
  </si>
  <si>
    <t>Кладка перегородок из кирпича без устройства перемычек, включая армирование, крепление к стенам, заделку примыканий, зачеканку швов / толщ. 120 мм</t>
  </si>
  <si>
    <t>Подвал. Толщина стен - 120 мм. Кирпич КР-р-по 250х120х65/1НФ/125/2,0/50/ГОСТ 530-2012</t>
  </si>
  <si>
    <t>1.1.2.1.1.1.2.1.1</t>
  </si>
  <si>
    <t xml:space="preserve">Смесь сухая цементно-песчаная </t>
  </si>
  <si>
    <t>1.1.2.1.1.1.2.1.2</t>
  </si>
  <si>
    <t>Материалы для примыкания / уплотняющий жгут, клей на м2</t>
  </si>
  <si>
    <t>1.1.2.1.1.1.2.1.3</t>
  </si>
  <si>
    <t>Прочие материалы для кладки /  из кирпича / 65 -120мм</t>
  </si>
  <si>
    <t>1.1.2.1.1.1.2.1.4</t>
  </si>
  <si>
    <t>Сетка эл/св_ / 50*50*4</t>
  </si>
  <si>
    <t>1.1.2.1.1.1.2.1.5</t>
  </si>
  <si>
    <t>Кирпич полнотелый рядовой_ / м-150</t>
  </si>
  <si>
    <t>шт</t>
  </si>
  <si>
    <t>1.1.2.2</t>
  </si>
  <si>
    <t>6.2.2</t>
  </si>
  <si>
    <t>СМР надземной части корпуса (без отделки)</t>
  </si>
  <si>
    <t>1.1.2.2.1</t>
  </si>
  <si>
    <t>6.2.2.4</t>
  </si>
  <si>
    <t>Внутренние стены и перегородки</t>
  </si>
  <si>
    <t>1.1.2.2.1.1</t>
  </si>
  <si>
    <t>6.2.2.4.1</t>
  </si>
  <si>
    <t>Устройство стен</t>
  </si>
  <si>
    <t>1.1.2.2.1.1.1</t>
  </si>
  <si>
    <t>6.2.2.4.1.2.1</t>
  </si>
  <si>
    <t>1-4 этажи. Толщина - 200 мм.</t>
  </si>
  <si>
    <t>1.1.2.2.1.1.1.1</t>
  </si>
  <si>
    <t>1.1.2.2.1.1.1.2</t>
  </si>
  <si>
    <t>1.1.2.2.1.1.1.3</t>
  </si>
  <si>
    <t>1.1.2.2.1.1.1.4</t>
  </si>
  <si>
    <t>1.1.2.2.1.1.2</t>
  </si>
  <si>
    <t>6.2.2.4.1.5.1</t>
  </si>
  <si>
    <t>Заделка мест прохождения инженерных коммуникаций кладочным материалом</t>
  </si>
  <si>
    <t>1.1.2.2.1.1.2.1</t>
  </si>
  <si>
    <t>1.1.2.2.1.1.2.2</t>
  </si>
  <si>
    <t>Кирпич Рядовой, полнотелый 250х120х65мм 1НФ М150 F50 класс ср.пл.2 ГОСТ 530-2012</t>
  </si>
  <si>
    <t>1.1.2.2.1.2</t>
  </si>
  <si>
    <t>6.2.2.4.2</t>
  </si>
  <si>
    <t>Устройство перегородок</t>
  </si>
  <si>
    <t>1.1.2.2.1.2.1</t>
  </si>
  <si>
    <t>6.2.2.4.2.1</t>
  </si>
  <si>
    <t>Устройство перегородок из кирпича и блоков</t>
  </si>
  <si>
    <t>1.1.2.2.1.2.1.1</t>
  </si>
  <si>
    <t>6.2.2.4.2.1.1.2</t>
  </si>
  <si>
    <t>1-4 этажи. Толщина стен - 120 мм. Кирпич КР-р-по 250х120х65/1НФ/125/2,0/50/ГОСТ 530-2012</t>
  </si>
  <si>
    <t>1.1.2.2.1.2.1.1.1</t>
  </si>
  <si>
    <t>1.1.2.2.1.2.1.1.2</t>
  </si>
  <si>
    <t>1.1.2.2.1.2.1.1.3</t>
  </si>
  <si>
    <t>1.1.2.2.1.2.1.1.4</t>
  </si>
  <si>
    <t>1.1.2.2.1.2.1.1.5</t>
  </si>
  <si>
    <t>1.1.2.2.1.2.2</t>
  </si>
  <si>
    <t>6.2.2.4.2.2</t>
  </si>
  <si>
    <t>Устройство перегородок из пазогребневых плит</t>
  </si>
  <si>
    <t>1.1.2.2.1.2.2.1</t>
  </si>
  <si>
    <t>6.2.2.4.2.2.1.1</t>
  </si>
  <si>
    <t>Устройство перегородок из ПГП без устройства перемычек, включая проклейку углов примыкания армирующей лентой, толщ. до 115 мм</t>
  </si>
  <si>
    <t>1-4 этажи. Пазогребневые плиты ПлГН1-667х500х100, полнотелые, плотностью не более 1200 кг/м3 -ГОСТ 6428-2018</t>
  </si>
  <si>
    <t>1.1.2.2.1.2.2.1.1</t>
  </si>
  <si>
    <t>Прочий материал для кладки перегородок из ПГП (скоба, шуруп, дюбель, пена, подложка)</t>
  </si>
  <si>
    <t>1.1.2.2.1.2.2.1.2</t>
  </si>
  <si>
    <t>Плита гипсовая пазогребневая Влагостойкая, полнотелая 667х500х100мм</t>
  </si>
  <si>
    <t>1.1.2.2.1.2.2.1.3</t>
  </si>
  <si>
    <t>Материалы для примыкания / мина вата, штукатурная смесь м2</t>
  </si>
  <si>
    <t>1.1.2.2.1.2.2.1.4</t>
  </si>
  <si>
    <t>Клей для ПГП_/</t>
  </si>
  <si>
    <t>1.1.2.2.1.2.3</t>
  </si>
  <si>
    <t>6.2.2.4.2.4</t>
  </si>
  <si>
    <t>Устройство перегородок и зашивка коммуникаций ГКЛ</t>
  </si>
  <si>
    <t>1.1.2.2.1.2.3.1</t>
  </si>
  <si>
    <t>6.2.2.4.2.4.2.4</t>
  </si>
  <si>
    <t>Облицовка стен по системе Knauf / С-626 / в 2 слоя / А-10, А-27</t>
  </si>
  <si>
    <t>Облицовка поэлементной сборки Кнауф С626, профили оцинкованные ПН 100х40, ПС 100х50 с шагом 600 мм; Плиты из каменной ваты ТЕХНОАКУСТИК - 100 мм; КНАУФ-лист Сапфир (ГСП-DFH3IR), t=12,5 мм - 2 слоя; Тип: ЧН-25</t>
  </si>
  <si>
    <t>1.1.2.2.1.2.3.1.1</t>
  </si>
  <si>
    <t>Прочие материалы для облицовки стен из ГКЛ (лента, шпатлевка, грунтовка, шуруп, дюбель и пр.)_ / 2 слоя ГКЛ / профиль ПН/ПС 75 мм</t>
  </si>
  <si>
    <t>1.1.2.2.1.2.3.1.2</t>
  </si>
  <si>
    <t xml:space="preserve">Мин. плита Техноакустик </t>
  </si>
  <si>
    <t>1.1.2.2.1.2.3.1.3</t>
  </si>
  <si>
    <t>Профиль_/направляющий/75*40*0,60/3м</t>
  </si>
  <si>
    <t>ПН 100х40</t>
  </si>
  <si>
    <t>пог. м</t>
  </si>
  <si>
    <t>1.1.2.2.1.2.3.1.4</t>
  </si>
  <si>
    <t>Профиль_ / стоечный  / 75*50*0,6 / 2415</t>
  </si>
  <si>
    <t>ПС 100х50</t>
  </si>
  <si>
    <t>1.1.2.2.1.2.3.1.5</t>
  </si>
  <si>
    <t>Лист гипсокартонный_ / ГСП-DF ПЛУК / 12,5 мм</t>
  </si>
  <si>
    <t>1.1.2.2.1.2.3.2</t>
  </si>
  <si>
    <t>6.2.2.4.2.4.2.16</t>
  </si>
  <si>
    <t>Облицовка стен по системе Knauf / С-626 / в 2 слоя / А-6, А-9</t>
  </si>
  <si>
    <t xml:space="preserve">Облицовка стен по системе Knauf / С-626 / в 2 слоя ГКЛВ 12,5мм в 2 слоя на каркасе из Knauf-профилей ПС 50х50х3000 и ПН 50х40х3000. Тип: ЗШ-1
</t>
  </si>
  <si>
    <t>1.1.2.2.1.2.3.2.1</t>
  </si>
  <si>
    <t>1.1.2.2.1.2.3.2.2</t>
  </si>
  <si>
    <t>Профиль_/стоечный/50*50*0,60/3м</t>
  </si>
  <si>
    <t>1.1.2.2.1.2.3.2.3</t>
  </si>
  <si>
    <t>Профиль_/направляющий/50*40*0,60/3м</t>
  </si>
  <si>
    <t>1.1.2.2.1.2.3.2.4</t>
  </si>
  <si>
    <t>1.1.2.2.1.2.3.3</t>
  </si>
  <si>
    <t xml:space="preserve">Облицовка стен по системе Knauf / С-626 / в 2 слоя ГКЛ 12,5мм в 2 слоя на каркасе из Knauf-профилей ПС 50х50х3000 и ПН 50х40х3000. Тип: ЗШ-2
</t>
  </si>
  <si>
    <t>1.1.2.2.1.2.3.3.1</t>
  </si>
  <si>
    <t>Лист гипсокартонный_ / ГСП-А ПЛУК / 12,5 мм</t>
  </si>
  <si>
    <t>1.1.2.2.1.2.3.3.2</t>
  </si>
  <si>
    <t>1.1.2.2.1.2.3.3.3</t>
  </si>
  <si>
    <t>1.1.2.2.1.2.3.3.4</t>
  </si>
  <si>
    <t>1.1.2.2.1.3</t>
  </si>
  <si>
    <t>6.2.2.4.3</t>
  </si>
  <si>
    <t>Устройство перемычек и фахверков</t>
  </si>
  <si>
    <t>1.1.2.2.1.3.1</t>
  </si>
  <si>
    <t>6.2.2.4.3.1.1</t>
  </si>
  <si>
    <t>Устройство перемычек из арматуры с огрунтовкой и окраской</t>
  </si>
  <si>
    <t>подвал-0,025т; 1-4 этажи - 0,041т.</t>
  </si>
  <si>
    <t>т</t>
  </si>
  <si>
    <t>1.1.2.2.1.3.1.1</t>
  </si>
  <si>
    <t>Прочий материал для перемычек (клей, грунт) / для арматуры</t>
  </si>
  <si>
    <t>1.1.2.2.1.3.1.2</t>
  </si>
  <si>
    <t>Арматура</t>
  </si>
  <si>
    <t>1.1.2.2.1.3.2</t>
  </si>
  <si>
    <t>6.2.2.4.3.2.1</t>
  </si>
  <si>
    <t>Устройство перемычек металлических с огрунтовкой и окраской</t>
  </si>
  <si>
    <t>Подвал. Ф1 - Ф4</t>
  </si>
  <si>
    <t>1.1.2.2.1.3.2.1</t>
  </si>
  <si>
    <t>Полоса стальная для перемычек</t>
  </si>
  <si>
    <t>Пластина 50х4</t>
  </si>
  <si>
    <t>1.1.2.2.1.3.2.2</t>
  </si>
  <si>
    <t>Уголок стальной для перемычек</t>
  </si>
  <si>
    <t xml:space="preserve">Уголок 50х5-197,53 кг
Уголок 63х6-1708,53 кг
Уголок 80х7-3160,32 кг
Уголок 90х7-516,8 кг
Уголок 100х63х6-1656,36 кг
Уголок 125х80х8-48,3 кг
</t>
  </si>
  <si>
    <t>1.1.2.2.1.3.2.3</t>
  </si>
  <si>
    <t>Прочий материал для перемычек (клей, грунт) / для полосы или уголка</t>
  </si>
  <si>
    <t>1.1.2.2.1.3.3</t>
  </si>
  <si>
    <t>Подвал. ПР-1 - ПР-11</t>
  </si>
  <si>
    <t>1.1.2.2.1.3.3.1</t>
  </si>
  <si>
    <t>1.1.2.2.1.3.3.2</t>
  </si>
  <si>
    <t>1.1.2.2.1.3.3.3</t>
  </si>
  <si>
    <t>1.1.2.2.1.3.4</t>
  </si>
  <si>
    <t>1-4 этажи</t>
  </si>
  <si>
    <t>1.1.2.2.1.3.4.1</t>
  </si>
  <si>
    <t>1.1.2.2.1.3.4.2</t>
  </si>
  <si>
    <t>1.1.2.2.1.3.4.3</t>
  </si>
  <si>
    <t>1.1.2.2.1.3.5</t>
  </si>
  <si>
    <t>6.2.2.4.3.3.1</t>
  </si>
  <si>
    <t>Устройство металлоконструкций фахверков, стоек, рам, балок, опорных конструкций и усилений с учетом крепления, огрунтовки и окрашивания</t>
  </si>
  <si>
    <t>Фахверки для наружных стен необходимо применять из раздела 6.2.2.5 "Наружные стены"</t>
  </si>
  <si>
    <t>1.1.2.2.1.3.5.1</t>
  </si>
  <si>
    <t>Металлоконструкции (труба, профиль стальной, прокат квадратный, прокат листовой, уголок, арматура и др.)</t>
  </si>
  <si>
    <t>1.1.2.2.1.3.5.2</t>
  </si>
  <si>
    <t>Анкер_ / размер указать в примечании</t>
  </si>
  <si>
    <t>Клиновой анкер MKT B 8-10-19/75-35шт.
Клиновой анкер MKT BZ plus 10-10-30/90-1670шт.
Клиновой анкер MKT BZ plus 12-10-30/105-7566шт.</t>
  </si>
  <si>
    <t>1.1.2.2.1.3.6</t>
  </si>
  <si>
    <t>6.2.2.4.3.4.1</t>
  </si>
  <si>
    <t>Усиление простенков и проемов металлопрокатом</t>
  </si>
  <si>
    <t>Крепление кирпичных перегородок.</t>
  </si>
  <si>
    <t>1.1.2.2.1.3.6.1</t>
  </si>
  <si>
    <t>Металлоконструкции (уголок, полоса, анкеры, швеллер и пр. с огрунтовкой и окраской)</t>
  </si>
  <si>
    <t>1.1.2.2.1.3.7</t>
  </si>
  <si>
    <t>Крепление перегородок из газобетона.</t>
  </si>
  <si>
    <t>1.1.2.2.1.3.7.1</t>
  </si>
  <si>
    <t>1.1.2.2.1.3.8</t>
  </si>
  <si>
    <t>Обрамление конструкций</t>
  </si>
  <si>
    <t>1.1.2.2.1.3.8.1</t>
  </si>
  <si>
    <t>1.1.2.2.1.4</t>
  </si>
  <si>
    <t>6.2.2.4.99</t>
  </si>
  <si>
    <t>Прочие работы</t>
  </si>
  <si>
    <t>1.1.2.2.1.4.1</t>
  </si>
  <si>
    <t>6.2.2.4.99.3.1</t>
  </si>
  <si>
    <t>Устройство узлов примыкания ограждающих конструкций и проемов</t>
  </si>
  <si>
    <t>Применительно: резка четвертей в газоблоке, для совмещения с фахверкими из гнутого швеллера 220х50х4 и пластин 100х150 с шагом 500 мм с 2х сторон.</t>
  </si>
  <si>
    <t>1.1.2.2.2</t>
  </si>
  <si>
    <t>6.2.2.8</t>
  </si>
  <si>
    <t>Кровля</t>
  </si>
  <si>
    <t>1.1.2.2.2.1</t>
  </si>
  <si>
    <t>6.2.2.8.99</t>
  </si>
  <si>
    <t>1.1.2.2.2.1.1</t>
  </si>
  <si>
    <t>6.2.2.8.99.6.1</t>
  </si>
  <si>
    <t>Устройство кирпичной кладки на кровле</t>
  </si>
  <si>
    <t>Кладка вентшахт на кровле. Толщина - 120 мм, Кирпич КР-р-по 250х120х65/1НФ/125/2,0/50/ГОСТ 530-2012</t>
  </si>
  <si>
    <t>1.1.2.2.2.1.1.1</t>
  </si>
  <si>
    <t>1.1.2.2.2.1.1.2</t>
  </si>
  <si>
    <t>Смесь цементно-песчаная М150</t>
  </si>
  <si>
    <t>1.1.2.2.2.1.1.3</t>
  </si>
  <si>
    <t>Ф-1.п-18шт Ф-1-64шт Ф-1.1-1шт   Ф-1.2-1шт Ф-1.3-2шт Ф-2.п-4шт Ф-2-21шт Ф-3.п-5шт Ф-3-28шт Ф-3.1-6шт Ф-3.2-1шт Ф-4.п-1шт Ф-4-16шт Ф-4.1-4шт Ф-5-2шт Ф-5.1-2шт Ф-6-36шт Ф-7-96шт Ф-7.1-8шт Ф-7.2-2шт Ф-8-69шт Ф-9-284шт Ф-10-23шт  Ф-11-5шт Ф-12-36шт Ф-13-85шт Ф-14-16шт Ф-15-1шт</t>
  </si>
  <si>
    <t xml:space="preserve">Перемычки для наружных стен необходимо применять из раздела 6.2.2.5 "Наружные стены"
</t>
  </si>
  <si>
    <t>Описание</t>
  </si>
  <si>
    <t>2 этаж. 1 секция.
Толщина - 200 мм.</t>
  </si>
  <si>
    <t>3 этаж. 1 секция.
Толщина - 200 мм.</t>
  </si>
  <si>
    <t>Итог:</t>
  </si>
  <si>
    <t>Кладка перегородок из кирпича без устройства перемычек, включая армирование, 
крепление к стенам, заделку примыканий, зачеканку швов / толщ. 120 мм (Толщина стен - 120 мм.)</t>
  </si>
  <si>
    <t>Кладка внутренних стен из блоков ячеистого бетона без устройства перемычек, включая армирование, устройство примыканий. (Толщина - 200 мм.)</t>
  </si>
  <si>
    <t xml:space="preserve">1 этаж. 1 секция.
</t>
  </si>
  <si>
    <t xml:space="preserve">2 этаж. 1 секция.
</t>
  </si>
  <si>
    <t xml:space="preserve">3 этаж. 1 секция.
</t>
  </si>
  <si>
    <t xml:space="preserve">1 этаж. 2, 3 секция.
</t>
  </si>
  <si>
    <t xml:space="preserve">4 этаж. 3 секция.
</t>
  </si>
  <si>
    <t>Ф-12</t>
  </si>
  <si>
    <t>Ф-13</t>
  </si>
  <si>
    <t>шт.</t>
  </si>
  <si>
    <t>Тип</t>
  </si>
  <si>
    <t>Ф-1</t>
  </si>
  <si>
    <t>Ф-4</t>
  </si>
  <si>
    <t>Ф-2</t>
  </si>
  <si>
    <t>кг/1шт</t>
  </si>
  <si>
    <t>Ф-3</t>
  </si>
  <si>
    <t>Ф-3.1</t>
  </si>
  <si>
    <t>Ф-3.2</t>
  </si>
  <si>
    <t>Ф-4.1</t>
  </si>
  <si>
    <t>Секция</t>
  </si>
  <si>
    <t>Этаж</t>
  </si>
  <si>
    <t>Устройство перемычек металлических с огрунтовкой и окраской.
1-4 этажи.</t>
  </si>
  <si>
    <t>Количество</t>
  </si>
  <si>
    <t>Содержимое</t>
  </si>
  <si>
    <t>ПР-Г1</t>
  </si>
  <si>
    <t>ПР-Г4</t>
  </si>
  <si>
    <t>ПР-К1</t>
  </si>
  <si>
    <t>ПР-К2</t>
  </si>
  <si>
    <t>ПР-К3</t>
  </si>
  <si>
    <t>ПР-К6</t>
  </si>
  <si>
    <t>ПР-К9</t>
  </si>
  <si>
    <t>ПР-Г5</t>
  </si>
  <si>
    <t>ПР-Г2</t>
  </si>
  <si>
    <t>ПР-Г6</t>
  </si>
  <si>
    <t>ПР-Г6*</t>
  </si>
  <si>
    <t>ПР-К13</t>
  </si>
  <si>
    <t>кг/шт</t>
  </si>
  <si>
    <t>Сумма:</t>
  </si>
  <si>
    <t>Ф-7</t>
  </si>
  <si>
    <t>Ф-5.1</t>
  </si>
  <si>
    <t>Ф-14</t>
  </si>
  <si>
    <t>Ф-15</t>
  </si>
  <si>
    <t>Устройство перемычек металлических с огрунтовкой и окраской.
Повдал.</t>
  </si>
  <si>
    <t>ПР-2</t>
  </si>
  <si>
    <t>ПР-А1</t>
  </si>
  <si>
    <t>ПР-А4</t>
  </si>
  <si>
    <t>ПР-А6</t>
  </si>
  <si>
    <t>ПР-4</t>
  </si>
  <si>
    <t>ПР-5</t>
  </si>
  <si>
    <t>ПР-6</t>
  </si>
  <si>
    <t>ПР-1</t>
  </si>
  <si>
    <t>ПР-А2</t>
  </si>
  <si>
    <t>ПР-8</t>
  </si>
  <si>
    <t>ПР-9</t>
  </si>
  <si>
    <t>ПР-А3</t>
  </si>
  <si>
    <t>1.1-Ст</t>
  </si>
  <si>
    <t>1.2-Ст</t>
  </si>
  <si>
    <t>1.3-Ст</t>
  </si>
  <si>
    <t>1.4-Ст</t>
  </si>
  <si>
    <t>1.5-Ст</t>
  </si>
  <si>
    <t>2.1-Ст2</t>
  </si>
  <si>
    <t>2.2-Ст</t>
  </si>
  <si>
    <t>2.3-Ст</t>
  </si>
  <si>
    <t>2.4-Ст</t>
  </si>
  <si>
    <t>2.5-Ст</t>
  </si>
  <si>
    <t xml:space="preserve">Подвал. 1 секция.
</t>
  </si>
  <si>
    <t xml:space="preserve">Подвал. 3 секция.
</t>
  </si>
  <si>
    <t xml:space="preserve">1 этаж. 3 секция.
</t>
  </si>
  <si>
    <t xml:space="preserve">3 этаж. 3 секция.
</t>
  </si>
  <si>
    <t>Подвал</t>
  </si>
  <si>
    <t>1-3 этаж</t>
  </si>
  <si>
    <t xml:space="preserve">2 этаж. 3 секция.
</t>
  </si>
  <si>
    <t xml:space="preserve">Подвал. 2 секция.
</t>
  </si>
  <si>
    <t>1.1.3.1.1.2</t>
  </si>
  <si>
    <t>6.3.1.5.2</t>
  </si>
  <si>
    <t>Стены</t>
  </si>
  <si>
    <t>1.1.3.1.1.2.1</t>
  </si>
  <si>
    <t>6.3.1.5.2.1</t>
  </si>
  <si>
    <t>Черновые работы по поверхности стен</t>
  </si>
  <si>
    <t>1.1.3.1.1.2.1.1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</si>
  <si>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</si>
  <si>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</si>
  <si>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Перед штукатуркой проклеить швы сопряжения разнородных поверхностей (бетон, газобетонный блок, кирпич, ПГП) и углы сеткой стеклотканой, ширина полос проклейки 150+150=300 мм, что составляет 20% от всей площади оштукатуриваемой поверхности.</t>
  </si>
  <si>
    <t>1.1.3.1.1.2.1.1.1</t>
  </si>
  <si>
    <t>Штукатурка гипсовая_ / Унифицированная по ПИК-СТАНДАРТ, 30кг</t>
  </si>
  <si>
    <t>т.к. ширина арм.ленты 300 мм (150+150) объем штукатурки =2181,16*2*0,01=436,232 кг.</t>
  </si>
  <si>
    <t>1.1.3.1.1.2.1.1.2</t>
  </si>
  <si>
    <t>Лента армирующая ( серпянка)_/150мм</t>
  </si>
  <si>
    <t>150+150=300 мм</t>
  </si>
  <si>
    <t>1.1.3.1.1.2.1.2</t>
  </si>
  <si>
    <t>6.3.1.5.2.1.3.1</t>
  </si>
  <si>
    <t>Штукатурка внутренних стен по утеплителю по стеклотканевой сетке / толщ. до 10мм</t>
  </si>
  <si>
    <t>Тамбуры. Штукатурка штукатурно-клеевой смесью Технониколь-210 (или аналог КАВЕРПЛИКС TC117) по утеплителю и сетке стеклотканевой усиленной щелочестойкой - 10мм; Тип: ЧН-18, ЧН-19</t>
  </si>
  <si>
    <t>1.1.3.1.1.2.1.2.1</t>
  </si>
  <si>
    <t>Штукатурно-клеевая смесь_ / ОСНОВИТ КАВЕРПЛИКС TC117</t>
  </si>
  <si>
    <t>1.1.3.1.1.2.1.2.2</t>
  </si>
  <si>
    <t>Сетка стеклотканевая 130г/м2, ячейка 10х10мм</t>
  </si>
  <si>
    <t>1.1.3.1.1.2.1.2.3</t>
  </si>
  <si>
    <t>Профиль маячковый_/ПМ6</t>
  </si>
  <si>
    <t>1.1.3.1.1.2.1.3</t>
  </si>
  <si>
    <t>6.3.1.5.2.1.5.1</t>
  </si>
  <si>
    <t>Устройство тепло-звукоизоляции стен / в 1 слой</t>
  </si>
  <si>
    <t>Утепление воздуховодов вентшахт. Минераловатный утеплитель (p=145 кг/м.куб., предел прочности на отрыв ≥15 кПа) ), t=150 мм, ТЕХНОНИКОЛЬ "ТЕХНОФАС".</t>
  </si>
  <si>
    <t>1.1.3.1.1.2.1.3.1</t>
  </si>
  <si>
    <t>Плита теплоизоляционная минераловатная_ / Техновент Оптима</t>
  </si>
  <si>
    <t>1.1.3.1.1.2.1.3.2</t>
  </si>
  <si>
    <t>Дюбель д/изоляции IZL-T с термоголовкой_/10/200</t>
  </si>
  <si>
    <t>1.1.3.1.1.2.1.4</t>
  </si>
  <si>
    <t>мин. плита Технофас Оптима или аналог (ρ=101-10 кг/м3, λ=0,041 Вт/м°) 50мм на клеевой смеси Технониколь-210 (или аналог - КАВЕРПЛИКС AC117) 5мм с креплением грибками, всего 55мм; Тип: ЧН-18</t>
  </si>
  <si>
    <t>1.1.3.1.1.2.1.4.1</t>
  </si>
  <si>
    <t>Дюбель д/изоляции IZL-T с термоголовкой_/10/120</t>
  </si>
  <si>
    <t>1.1.3.1.1.2.1.4.2</t>
  </si>
  <si>
    <t>Клеевая смесь_ / ОСНОВИТ КАВЕРПЛИКС AC117</t>
  </si>
  <si>
    <t>1.1.3.1.1.2.1.4.3</t>
  </si>
  <si>
    <t>1.1.3.1.1.2.1.5</t>
  </si>
  <si>
    <t>мин. плита Технофас Оптима или аналог (ρ=101-10 кг/м3, λ=0,041 Вт/м°) 150мм на клеевой смеси Технониколь-210 (или аналог - КАВЕРПЛИКС AC117) 5мм с креплением грибками, всего 155мм; Тип: ЧН-18</t>
  </si>
  <si>
    <t>1.1.3.1.1.2.1.5.1</t>
  </si>
  <si>
    <t>1.1.3.1.1.2.1.5.2</t>
  </si>
  <si>
    <t>1.1.3.1.1.2.1.5.3</t>
  </si>
  <si>
    <t>Дюбель д/изоляции IZL-T с термоголовкой_/10/220</t>
  </si>
  <si>
    <t>1.1.3.1.1.2.1.6</t>
  </si>
  <si>
    <t>6.3.1.5.2.1.8.4</t>
  </si>
  <si>
    <t>Подготовка поверхности СКБ / стен / ГКЛ, ПГП / 2мм</t>
  </si>
  <si>
    <t xml:space="preserve">Подвал. Шпаклевка Кнауф-Фуген Гидро - базовый слой. Тип: ЧН-25
</t>
  </si>
  <si>
    <t>1.1.3.1.1.2.1.6.1</t>
  </si>
  <si>
    <t>Шпатлевка цементная</t>
  </si>
  <si>
    <t>Кнауф-Фуген Гидро</t>
  </si>
  <si>
    <t>1.1.3.1.1.2.1.6.2</t>
  </si>
  <si>
    <t>Уголок малярный_/перфорированный/25*25*3000мм</t>
  </si>
  <si>
    <t>1.1.3.1.1.2.1.6.3</t>
  </si>
  <si>
    <t>Грунтовка универсальный ЛАСТИМИН_ / LP-51 А</t>
  </si>
  <si>
    <t>1.1.3.1.1.2.1.7</t>
  </si>
  <si>
    <t xml:space="preserve">1-4 этаж. Шпаклевка гипсовая базовая. Тип: ЧН-14, ЧН-22
</t>
  </si>
  <si>
    <t>1.1.3.1.1.2.1.7.1</t>
  </si>
  <si>
    <t>1.1.3.1.1.2.1.7.2</t>
  </si>
  <si>
    <t>1.1.3.1.1.2.1.7.3</t>
  </si>
  <si>
    <t>Шпатлевка гипсовая_ / белая / Унифицированная по ПИК-СТАНДАРТ, 30кг</t>
  </si>
  <si>
    <t>1.1.3.1.1.2.1.8</t>
  </si>
  <si>
    <t>1-4 этаж. Шпаклевка гипсовая финишная. Тип: ЧН-14, ЧН-22</t>
  </si>
  <si>
    <t>1.1.3.1.1.2.1.8.1</t>
  </si>
  <si>
    <t>1.1.3.1.1.2.1.8.2</t>
  </si>
  <si>
    <t>1.1.3.1.1.2.1.9</t>
  </si>
  <si>
    <t>6.3.1.5.2.1.8.5</t>
  </si>
  <si>
    <t>Подготовка поверхности СКБ / стен / по штукатурке / 2мм</t>
  </si>
  <si>
    <t>1-4 этаж. Шпаклевка гипсовая базовая. Тип: ЧН-5, ЧН-6, ЧН-8, ЧН-11</t>
  </si>
  <si>
    <t>1.1.3.1.1.2.1.9.1</t>
  </si>
  <si>
    <t>1.1.3.1.1.2.1.9.2</t>
  </si>
  <si>
    <t>Уголок малярный_ / L=3м /25х25 мм</t>
  </si>
  <si>
    <t>1.1.3.1.1.2.1.9.3</t>
  </si>
  <si>
    <t>1.1.3.1.1.2.1.10</t>
  </si>
  <si>
    <t>1-4 этаж. Шпаклевка гипсовая финишная. Тип: ЧН-5, ЧН-6, ЧН-8, ЧН-11</t>
  </si>
  <si>
    <t>1.1.3.1.1.2.1.10.1</t>
  </si>
  <si>
    <t>1.1.3.1.1.2.1.10.2</t>
  </si>
  <si>
    <t>1.1.3.1.1.2.1.11</t>
  </si>
  <si>
    <t>1-4 этаж. Шпаклевка цементная базовая. Тип: ЧН-7, ЧН-16, ЧН-19</t>
  </si>
  <si>
    <t>1.1.3.1.1.2.1.11.1</t>
  </si>
  <si>
    <t>1.1.3.1.1.2.1.11.2</t>
  </si>
  <si>
    <t>1.1.3.1.1.2.1.11.3</t>
  </si>
  <si>
    <t>1.1.3.1.1.2.1.12</t>
  </si>
  <si>
    <t>1-4 этаж. Шпаклевка цементная финишная. Тип: ЧН-7, ЧН-16, ЧН-19</t>
  </si>
  <si>
    <t>1.1.3.1.1.2.1.12.1</t>
  </si>
  <si>
    <t>1.1.3.1.1.2.1.12.2</t>
  </si>
  <si>
    <t>1.1.3.1.1.2.1.13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</si>
  <si>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</si>
  <si>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</si>
  <si>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1-4 этажи. Штукатурка по ПГП под облицовку плиткой смесью Knauff-флизен 10 мм с грунтовкой Knauff-тиффенгрунд. Тип: ЧН-2, ЧН-9</t>
  </si>
  <si>
    <t>1.1.3.1.1.2.1.13.1</t>
  </si>
  <si>
    <t>Штукатурка цементная</t>
  </si>
  <si>
    <t>Knauff-флизен</t>
  </si>
  <si>
    <t>1.1.3.1.1.2.1.13.2</t>
  </si>
  <si>
    <t>1.1.3.1.1.2.1.13.3</t>
  </si>
  <si>
    <t xml:space="preserve">Knauff-тиффенгрунд
</t>
  </si>
  <si>
    <t>1.1.3.1.1.2.1.14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</si>
  <si>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</si>
  <si>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</si>
  <si>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1-4 этажи. Штукатурка по ж/б. Тип: ЧН-1, ЧН-7, ЧН-10</t>
  </si>
  <si>
    <t>1.1.3.1.1.2.1.14.1</t>
  </si>
  <si>
    <t>РД, Примечания, п.2 - 32,5 мм</t>
  </si>
  <si>
    <t>1.1.3.1.1.2.1.14.2</t>
  </si>
  <si>
    <t>1.1.3.1.1.2.1.14.3</t>
  </si>
  <si>
    <t>Грунтовка БЕТОН-КОНТАКТ_/</t>
  </si>
  <si>
    <t>1.1.3.1.1.2.1.15</t>
  </si>
  <si>
    <t>1-4 этажи. Штукатурка по блоку и кирпичу. Тип: ЧН-4, ЧН-12, ЧН-13, ЧН-15, ЧН-16, ЧН-20, ЧН-21, ЧН-23</t>
  </si>
  <si>
    <t>1.1.3.1.1.2.1.15.1</t>
  </si>
  <si>
    <t>1.1.3.1.1.2.1.15.2</t>
  </si>
  <si>
    <t>1.1.3.1.1.2.1.15.3</t>
  </si>
  <si>
    <t>1.1.3.1.1.2.1.16</t>
  </si>
  <si>
    <t>Подвал. Штукатурка по кирпичу. Тип: ЧН-26</t>
  </si>
  <si>
    <t>1.1.3.1.1.2.1.16.1</t>
  </si>
  <si>
    <t>1.1.3.1.1.2.1.16.2</t>
  </si>
  <si>
    <t>1.1.3.1.1.2.1.16.3</t>
  </si>
  <si>
    <t>1.1.3.1.1.2.1.17</t>
  </si>
  <si>
    <t>Подвал. Штукатурка по ж/б. Тип: ЧН-7</t>
  </si>
  <si>
    <t>1.1.3.1.1.2.1.17.1</t>
  </si>
  <si>
    <t>1.1.3.1.1.2.1.17.2</t>
  </si>
  <si>
    <t>1.1.3.1.1.2.1.17.3</t>
  </si>
  <si>
    <t>1.1.3.1.1.2.1.18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</si>
  <si>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</si>
  <si>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</si>
  <si>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</si>
  <si>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Штукатурка по ж/б зенитных фонарей. Тип: ЧН-7</t>
  </si>
  <si>
    <t>1.1.3.1.1.2.1.18.1</t>
  </si>
  <si>
    <t>1.1.3.1.1.2.1.18.2</t>
  </si>
  <si>
    <t>1.1.3.1.1.2.1.18.3</t>
  </si>
  <si>
    <t>1.1.3.1.1.2.1.19</t>
  </si>
  <si>
    <t>6.3.1.5.2.1.10.8</t>
  </si>
  <si>
    <t>Штукатурка стен цементным, цементно-песчаным раствором с предварительной огрунтовкой / толщ. от 21 до 40 мм / высотой свыше 8,01 метров</t>
  </si>
  <si>
    <t>Штукатурка по кирпичу лазов на кровлю с ЛК. Тип: ЧН-16</t>
  </si>
  <si>
    <t>1.1.3.1.1.2.1.19.1</t>
  </si>
  <si>
    <t>1.1.3.1.1.2.1.19.2</t>
  </si>
  <si>
    <t>1.1.3.1.1.2.1.19.3</t>
  </si>
  <si>
    <t>1.1.3.1.1.2.1.20</t>
  </si>
  <si>
    <t>6.3.1.5.2.1.12.1</t>
  </si>
  <si>
    <t>Штукатурка стен гипсовыми смесями с предварительной огрунтовкой СКБ / до 20 мм / высотой от 4,01 до 8 метров</t>
  </si>
  <si>
    <t xml:space="preserve">1-4 этажи. Штукатурка гипсовая по ПГП. Тип: ЧН-8
</t>
  </si>
  <si>
    <t>1.1.3.1.1.2.1.20.1</t>
  </si>
  <si>
    <t>10 мм</t>
  </si>
  <si>
    <t>1.1.3.1.1.2.1.20.2</t>
  </si>
  <si>
    <t>1.1.3.1.1.2.1.20.3</t>
  </si>
  <si>
    <t>1.1.3.1.1.2.1.21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</si>
  <si>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</si>
  <si>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</si>
  <si>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1-4 этажи. Штукатурка гипсовая по блоку. Тип: ЧН-6, ЧН-11</t>
  </si>
  <si>
    <t>1.1.3.1.1.2.1.21.1</t>
  </si>
  <si>
    <t>1.1.3.1.1.2.1.21.2</t>
  </si>
  <si>
    <t>1.1.3.1.1.2.1.21.3</t>
  </si>
  <si>
    <t>1.1.3.1.1.2.1.22</t>
  </si>
  <si>
    <t>1-4 этажи. Штукатурка гипсовая по ж/б. Тип: ЧН-5</t>
  </si>
  <si>
    <t>1.1.3.1.1.2.1.22.1</t>
  </si>
  <si>
    <t>1.1.3.1.1.2.1.22.2</t>
  </si>
  <si>
    <t>1.1.3.1.1.2.1.22.3</t>
  </si>
  <si>
    <t>1.1.3.1.1.2.2</t>
  </si>
  <si>
    <t>6.3.1.5.2.2</t>
  </si>
  <si>
    <t>Чистовые работы по поверхности стен</t>
  </si>
  <si>
    <t>1.1.3.1.1.2.2.1</t>
  </si>
  <si>
    <t>6.3.1.5.2.2.5.2</t>
  </si>
  <si>
    <t>Монтаж стеновых панелей / ПВХ</t>
  </si>
  <si>
    <t>Тип: СТ-13.1. Панели перфорированные звукопоглощающие САУНДЛАЙН-Акустика НГ Формат: 600х600х100 мм</t>
  </si>
  <si>
    <t>1.1.3.1.1.2.2.1.1</t>
  </si>
  <si>
    <t>Панель ПВХ / 2700x375x5</t>
  </si>
  <si>
    <t>Панели перфорированные звукопоглощающие САУНДЛАЙН-Акустика НГ Формат: 600х600х100 мм (цена указана за кв.м.)</t>
  </si>
  <si>
    <t>1.1.3.1.1.2.2.2</t>
  </si>
  <si>
    <t>Тип: СТ-13.2. Панели звукопоглощающие без перфорации САУНДЛАЙН-Акустика НГ б/п Формат: 600х600х100мм</t>
  </si>
  <si>
    <t>1.1.3.1.1.2.2.2.1</t>
  </si>
  <si>
    <t>Панели звукопоглощающие без перфорации САУНДЛАЙН-Акустика НГ б/п Формат: 600х600х100мм (цена указана за кв.м.)</t>
  </si>
  <si>
    <t>1.1.3.1.1.2.2.3</t>
  </si>
  <si>
    <t>Тип: СТ-13.3. Панели звукопоглощающие без перфорации САУНДЛАЙН-Акустика НГ б/п Формат: 600х600х50 мм</t>
  </si>
  <si>
    <t>1.1.3.1.1.2.2.3.1</t>
  </si>
  <si>
    <t>Панели звукопоглощающие без перфорации САУНДЛАЙН-Акустика НГ б/п Формат: 600х600х50 мм (цена указана за кв.м.)</t>
  </si>
  <si>
    <t>1.1.3.1.1.2.2.4</t>
  </si>
  <si>
    <t>6.3.1.5.2.2.8.1</t>
  </si>
  <si>
    <t>Лакокрасочные работы СКБ / окраска стен / в 2 слоя</t>
  </si>
  <si>
    <t>Подвал, 1-4 этажи. Матовая водно-дисперсионная краска моющаяся ANTEGA СТРОИТЕЛЬ Класс ПБ: KM1, Износостойкость: 2 класс истирания, Цвет: RAL 9003/Белый, Тип: СТ-1.1</t>
  </si>
  <si>
    <t>1.1.3.1.1.2.2.4.1</t>
  </si>
  <si>
    <t>Краска негорючая моющаяся Protect Decor_ / RAL 9003</t>
  </si>
  <si>
    <t>RAL 9003/Белый</t>
  </si>
  <si>
    <t>1.1.3.1.1.2.2.4.2</t>
  </si>
  <si>
    <t>1.1.3.1.1.2.2.5</t>
  </si>
  <si>
    <t>Подвал, 1-4 этажи. Матовая водно-дисперсионная краска моющаяся ANTEGA СТРОИТЕЛЬ Класс ПБ: KM1, Износостойкость: 2 класс истирания, Цвет: NCS S 1070-Y60R, Тип: СТ-1.2</t>
  </si>
  <si>
    <t>1.1.3.1.1.2.2.5.1</t>
  </si>
  <si>
    <t>1.1.3.1.1.2.2.5.2</t>
  </si>
  <si>
    <t>NCS S 1070-Y60R</t>
  </si>
  <si>
    <t>1.1.3.1.1.2.2.6</t>
  </si>
  <si>
    <t>Подвал, 1-4 этажи. Матовая водно-дисперсионная краска моющаяся ANTEGA СТРОИТЕЛЬ Класс ПБ: KM1, Износостойкость: 2 класс истирания, Цвет: NCS S 0570-Y, Тип: СТ-1.5</t>
  </si>
  <si>
    <t>1.1.3.1.1.2.2.6.1</t>
  </si>
  <si>
    <t>NCS S 0570-Y</t>
  </si>
  <si>
    <t>1.1.3.1.1.2.2.6.2</t>
  </si>
  <si>
    <t>1.1.3.1.1.2.2.7</t>
  </si>
  <si>
    <t>Подвал, 1-4 этажи. Матовая водно-дисперсионная краска моющаяся ANTEGA СТРОИТЕЛЬ Класс ПБ: KM1, Износостойкость: 2 класс истирания, Цвет: NCS S 3040-G30Y, Тип: СТ-1.6</t>
  </si>
  <si>
    <t>1.1.3.1.1.2.2.7.1</t>
  </si>
  <si>
    <t>1.1.3.1.1.2.2.7.2</t>
  </si>
  <si>
    <t>NCS S 3040-G30Y</t>
  </si>
  <si>
    <t>1.1.3.1.1.2.2.8</t>
  </si>
  <si>
    <t>Подвал, 1-4 этажи. Матовая водно-дисперсионная краска моющаяся ANTEGA СТРОИТЕЛЬ Класс ПБ: KM1, Износостойкость: 2 класс истирания, Цвет: NCS S 5020-R70B, Тип: СТ-1.9</t>
  </si>
  <si>
    <t>1.1.3.1.1.2.2.8.1</t>
  </si>
  <si>
    <t>NCS S 5020-R70B</t>
  </si>
  <si>
    <t>1.1.3.1.1.2.2.8.2</t>
  </si>
  <si>
    <t>1.1.3.1.1.2.2.9</t>
  </si>
  <si>
    <t>Подвал, 1-4 этажи. Матовая водно-дисперсионная краска моющаяся ANTEGA СТРОИТЕЛЬ Класс ПБ: KM1, Износостойкость: 2 класс истирания, Цвет: NCS S 5030-R90B, Тип: СТ-1.12</t>
  </si>
  <si>
    <t>1.1.3.1.1.2.2.9.1</t>
  </si>
  <si>
    <t>1.1.3.1.1.2.2.9.2</t>
  </si>
  <si>
    <t>NCS S 5030-R90B</t>
  </si>
  <si>
    <t>1.1.3.1.1.2.2.10</t>
  </si>
  <si>
    <t>Подвал, 1-4 этажи. Матовая водно-дисперсионная краска моющаяся ANTEGA СТРОИТЕЛЬ Класс ПБ: KM1, Износостойкость: 2 класс истирания, Цвет: NCS S 4020-R90B, Тип: СТ-1.13</t>
  </si>
  <si>
    <t>1.1.3.1.1.2.2.10.1</t>
  </si>
  <si>
    <t>1.1.3.1.1.2.2.10.2</t>
  </si>
  <si>
    <t>NCS S 4020-R90B</t>
  </si>
  <si>
    <t>1.1.3.1.1.2.2.11</t>
  </si>
  <si>
    <t>Подвал, 1-4 этажи. Матовая водно-дисперсионная краска моющаяся ANTEGA СТРОИТЕЛЬ Класс ПБ: KM1, Износостойкость: 2 класс истирания, Цвет: NCS S 2030-R90B, Тип: СТ-1.14</t>
  </si>
  <si>
    <t>1.1.3.1.1.2.2.11.1</t>
  </si>
  <si>
    <t>1.1.3.1.1.2.2.11.2</t>
  </si>
  <si>
    <t>NCS S 2030-R90B</t>
  </si>
  <si>
    <t>1.1.3.1.1.2.2.12</t>
  </si>
  <si>
    <t>Подвал, 1-4 этажи. Матовая водно-дисперсионная краска моющаяся ANTEGA СТРОИТЕЛЬ Класс ПБ: KM1, Износостойкость: 2 класс истирания, Цвет: RAL 9005, Тип: СТ-1.16</t>
  </si>
  <si>
    <t>1.1.3.1.1.2.2.12.1</t>
  </si>
  <si>
    <t>RAL 9005</t>
  </si>
  <si>
    <t>1.1.3.1.1.2.2.12.2</t>
  </si>
  <si>
    <t>1.1.3.1.1.2.2.13</t>
  </si>
  <si>
    <t>Подвал, 1-4 этажи. Матовая водно-дисперсионная краска моющаяся ANTEGA СТРОИТЕЛЬ Класс ПБ: KM1, Износостойкость: 2 класс истирания, Цвет: NCS S 1502-Y, Тип: СТ-1.20</t>
  </si>
  <si>
    <t>1.1.3.1.1.2.2.13.1</t>
  </si>
  <si>
    <t>1.1.3.1.1.2.2.13.2</t>
  </si>
  <si>
    <t>NCS S 1502-Y</t>
  </si>
  <si>
    <t>1.1.3.1.1.2.2.14</t>
  </si>
  <si>
    <t>Подвал, 1-4 этажи. Матовая водно-дисперсионная краска моющаяся ANTEGA СТРОИТЕЛЬ Класс ПБ: НГ, Износостойкость: 1 класс истирания, Цвет: RAL 9003/Белый, Тип: СТ-2.1</t>
  </si>
  <si>
    <t>1.1.3.1.1.2.2.14.1</t>
  </si>
  <si>
    <t>1.1.3.1.1.2.2.14.2</t>
  </si>
  <si>
    <t>1.1.3.1.1.2.2.15</t>
  </si>
  <si>
    <t>Подвал, 1-4 этажи. Матовая водно-дисперсионная краска моющаяся ANTEGA СТРОИТЕЛЬ Класс ПБ: НГ, Износостойкость: 1 класс истирания, Цвет: NCS S 2060-Y30R, Тип: СТ-2.19</t>
  </si>
  <si>
    <t>1.1.3.1.1.2.2.15.1</t>
  </si>
  <si>
    <t>1.1.3.1.1.2.2.15.2</t>
  </si>
  <si>
    <t>NCS S 2060-Y30R</t>
  </si>
  <si>
    <t>1.1.3.1.1.2.2.16</t>
  </si>
  <si>
    <t>Подвал, 1-4 этажи. Матовая водно-дисперсионная влагостойкая краска ANTEGA СТРОИТЕЛЬ Класс ПБ: КМ1, Износостойкость: 2 класс истирания, Цвет: RAL 9003/Белый, Тип: СТ-3</t>
  </si>
  <si>
    <t>1.1.3.1.1.2.2.16.1</t>
  </si>
  <si>
    <t>1.1.3.1.1.2.2.16.2</t>
  </si>
  <si>
    <t>1.1.3.1.1.2.2.17</t>
  </si>
  <si>
    <t>Подвал, 1-4 этажи. Полуматовая водно-дисперсионная влагостойкая краска ANTEGA СТРОИТЕЛЬ Класс ПБ: КМ1, Износостойкость: 2 класс истирания, Цвет: RAL 9003/Белый, Тип: СТ-5</t>
  </si>
  <si>
    <t>1.1.3.1.1.2.2.17.1</t>
  </si>
  <si>
    <t>1.1.3.1.1.2.2.17.2</t>
  </si>
  <si>
    <t>1.1.3.1.1.2.2.18</t>
  </si>
  <si>
    <t>Подвал, 1-4 этажи. Полуматовая водно-дисперсионная влагостойкая краска ANTEGA СТРОИТЕЛЬ Класс ПБ: НГ, Износостойкость: 1 класс истирания, Цвет: RAL 9003/Белый, Тип: СТ-5*</t>
  </si>
  <si>
    <t>1.1.3.1.1.2.2.18.1</t>
  </si>
  <si>
    <t>1.1.3.1.1.2.2.18.2</t>
  </si>
  <si>
    <t>1.1.3.1.1.2.2.19</t>
  </si>
  <si>
    <t>6.3.1.5.2.2.9.1</t>
  </si>
  <si>
    <t>Облицовка поверхности стен СКБ с затиркой швов / керамической, керамогранитной плиткой до 0,2м2/шт</t>
  </si>
  <si>
    <t>Керамическая плитка KERAMA MARAZZI, Коллекция: Калейдоскоп, Артикул: 5009
Формат: 200х200х6,9 мм RAL 9003/Белый (Крестик 2мм, Затирка Ceresit СE 33, 04 Cеребристо-серая). Тип: СТ-6.1</t>
  </si>
  <si>
    <t>1.1.3.1.1.2.2.19.1</t>
  </si>
  <si>
    <t>Затирка Цезерит СE33_/04 серебристо-серый</t>
  </si>
  <si>
    <t>1.1.3.1.1.2.2.19.2</t>
  </si>
  <si>
    <t>Грунтовка _ / универсальная водно-дисперсионная</t>
  </si>
  <si>
    <t>1.1.3.1.1.2.2.19.3</t>
  </si>
  <si>
    <t>Плиточный клей_ /  Унифицированный по ПИК-СТАНДАРТ</t>
  </si>
  <si>
    <t>1.1.3.1.1.2.2.19.4</t>
  </si>
  <si>
    <t>Керамический гранит Kerama marazzi_ / Белый / 5009/ Калейдоскоп / 200х200</t>
  </si>
  <si>
    <t>1.1.3.1.1.2.2.20</t>
  </si>
  <si>
    <t>Керамическая плитка KERAMA MARAZZI, Коллекция: Калейдоскоп, Артикул: 5281
Формат: 200х200х6,9 мм, Аквамарин (Крестик 2мм, Затирка Ceresit СE 33, 04 Cеребристо-серая). Тип: СТ-6.2</t>
  </si>
  <si>
    <t>1.1.3.1.1.2.2.20.1</t>
  </si>
  <si>
    <t>Керамический гранит Kerama marazzi_ / Синий /  SG1547N /  200х200 мм</t>
  </si>
  <si>
    <t>1.1.3.1.1.2.2.20.2</t>
  </si>
  <si>
    <t>1.1.3.1.1.2.2.20.3</t>
  </si>
  <si>
    <t>1.1.3.1.1.2.2.20.4</t>
  </si>
  <si>
    <t>1.1.3.1.1.2.2.21</t>
  </si>
  <si>
    <t>Керамическая плитка KERAMA MARAZZI, Коллекция: Калейдоскоп, Артикул: 5187
Формат: 200х200х6,9 мм, Оранжевый (Крестик 2мм, Затирка Ceresit СE 33, 04 Cеребристо-серая). Тип: СТ-6.3</t>
  </si>
  <si>
    <t>1.1.3.1.1.2.2.21.1</t>
  </si>
  <si>
    <t>1.1.3.1.1.2.2.21.2</t>
  </si>
  <si>
    <t>1.1.3.1.1.2.2.21.3</t>
  </si>
  <si>
    <t>1.1.3.1.1.2.2.21.4</t>
  </si>
  <si>
    <t>Керамический гранит Kerama marazzi_ / Рыжий / 5187/ Калейдоскоп / 200х200</t>
  </si>
  <si>
    <t>1.1.3.1.1.2.2.22</t>
  </si>
  <si>
    <t>Керамическая плитка KERAMA MARAZZI, Коллекция: Калейдоскоп, Артикул: 5111
Формат: 200х200х6,9 мм, Зеленый (Крестик 2мм, Затирка Ceresit СE 33, 04 Cеребристо-серая). Тип: СТ-6.4</t>
  </si>
  <si>
    <t>1.1.3.1.1.2.2.22.1</t>
  </si>
  <si>
    <t>Керамический гранит Kerama marazzi_ / Зеленый/ Калейдоскоп / 5111 / 200х200</t>
  </si>
  <si>
    <t>1.1.3.1.1.2.2.22.2</t>
  </si>
  <si>
    <t>1.1.3.1.1.2.2.22.3</t>
  </si>
  <si>
    <t>1.1.3.1.1.2.2.22.4</t>
  </si>
  <si>
    <t>1.1.3.1.1.2.2.23</t>
  </si>
  <si>
    <t>Керамическая плитка KERAMA MARAZZI, Коллекция: Калейдоскоп, Артикул: 5109
Формат: 200х200х6,9 мм, Ярко-желтый (Крестик 2мм, Затирка Ceresit СE 33, 04 Cеребристо-серая). Тип: СТ-6.5</t>
  </si>
  <si>
    <t>1.1.3.1.1.2.2.23.1</t>
  </si>
  <si>
    <t>1.1.3.1.1.2.2.23.2</t>
  </si>
  <si>
    <t>1.1.3.1.1.2.2.23.3</t>
  </si>
  <si>
    <t>1.1.3.1.1.2.2.23.4</t>
  </si>
  <si>
    <t>Керамический гранит Kerama marazzi_ / Оранжевый / 5108/Калейдоскоп / 200х200</t>
  </si>
  <si>
    <t>KERAMA MARAZZI, Коллекция: Калейдоскоп, Артикул: 5109, Ярко-желтый</t>
  </si>
  <si>
    <t>1.1.3.1.1.2.2.24</t>
  </si>
  <si>
    <t>Керамическая плитка Creto, Коллекция: Mono cloud, Артикул: 00-00-5-18-00-00-2430
Формат: 300х600х9 мм, Белый глянцевый (Крестик 2мм, Затирка Ceresit СE 33, 04 Cеребристо-серая). Тип: СТ-7</t>
  </si>
  <si>
    <t>1.1.3.1.1.2.2.24.1</t>
  </si>
  <si>
    <t>1.1.3.1.1.2.2.24.2</t>
  </si>
  <si>
    <t>1.1.3.1.1.2.2.24.3</t>
  </si>
  <si>
    <t>1.1.3.1.1.2.2.24.4</t>
  </si>
  <si>
    <t>Керамическая плитка Pietra Pienza_ / светло-серый Матовый / K909010R0001VTP0/настенная / 300*600*8мм</t>
  </si>
  <si>
    <t>Керамическая плитка Creto, Коллекция: Mono cloud, Артикул: 00-00-5-18-00-00-2430
Формат: 300х600х9 мм, Белый глянцевый</t>
  </si>
  <si>
    <t>1.1.3.1.1.2.2.25</t>
  </si>
  <si>
    <t>Керамическая плитка KERAMA MARAZZI, Коллекция: Белое Солнце, Артикул: 8000
Формат: 300х200х6,9 мм, Белое солнце (Крестик 2мм, Затирка Ceresit СE 33, 04 Cеребристо-серая). Тип: СТ-8</t>
  </si>
  <si>
    <t>1.1.3.1.1.2.2.25.1</t>
  </si>
  <si>
    <t>1.1.3.1.1.2.2.25.2</t>
  </si>
  <si>
    <t>1.1.3.1.1.2.2.25.3</t>
  </si>
  <si>
    <t>1.1.3.1.1.2.2.25.4</t>
  </si>
  <si>
    <t>KERAMA MARAZZI, 300х200х6,9 мм Коллекция: Белое Солнце, Артикул: 8000</t>
  </si>
  <si>
    <t>1.1.3.1.1.2.2.26</t>
  </si>
  <si>
    <t>Керамическая плитка с преднарезкой KERAMA MARAZZI, Коллекция: Мечты о Париже, Артикул: OS\C314\11259R Формат: 300х600х9 мм, (Крестик 2мм, Затирка Ceresit СE 33, 04 Cеребристо-серая). Тип: СТ-10</t>
  </si>
  <si>
    <t>1.1.3.1.1.2.2.26.1</t>
  </si>
  <si>
    <t>1.1.3.1.1.2.2.26.2</t>
  </si>
  <si>
    <t>1.1.3.1.1.2.2.26.3</t>
  </si>
  <si>
    <t>Керамическая плитка с преднарезкой KERAMA MARAZZI, Коллекция: Мечты о Париже, Артикул: OS\C314\11259R Формат: 300х600х9 мм</t>
  </si>
  <si>
    <t>1.1.3.1.1.2.2.27</t>
  </si>
  <si>
    <t>Керамическая плитка KERAMA MARAZZI, Коллекция: Мечты о Париже, Артикул: 11259R Формат: 300х600х9 мм, (Крестик 2мм, Затирка Ceresit СE 33, 04 Cеребристо-серая). Тип: СТ-11</t>
  </si>
  <si>
    <t>1.1.3.1.1.2.2.27.1</t>
  </si>
  <si>
    <t>KERAMA MARAZZI, Коллекция: Мечты о Париже, Артикул: 11259R Формат: 300х600х9 мм</t>
  </si>
  <si>
    <t>1.1.3.1.1.2.2.27.2</t>
  </si>
  <si>
    <t>1.1.3.1.1.2.2.27.3</t>
  </si>
  <si>
    <t>1.1.3.1.1.2.2.27.4</t>
  </si>
  <si>
    <t>1.1.3.1.1.2.2.28</t>
  </si>
  <si>
    <t>6.3.1.5.2.2.9.2</t>
  </si>
  <si>
    <t>Облицовка поверхности стен СКБ с затиркой швов / керамической, керамогранитной плиткой от 0,2м2/шт</t>
  </si>
  <si>
    <t>Керамическая плитка KERAMA MARAZZI, Коллекция: Про Матрикс, Артикул: DD602020R Формат: 600х600х9 мм, серый светлый (Крестик 2мм, Затирка Ceresit СE 33, 04 Cеребристо-серая). Тип: СТ-14</t>
  </si>
  <si>
    <t>1.1.3.1.1.2.2.28.1</t>
  </si>
  <si>
    <t>Керамический гранит Kerama marazzi_ / Светлый серый /  DD600300R, Estima LF01 UnitileVento grey PG  / 600х600х10мм</t>
  </si>
  <si>
    <t>Керамическая плитка KERAMA MARAZZI, Коллекция: Про Матрикс, Артикул: DD602020R Формат: 600х600х9 мм</t>
  </si>
  <si>
    <t>1.1.3.1.1.2.2.28.2</t>
  </si>
  <si>
    <t>1.1.3.1.1.2.2.28.3</t>
  </si>
  <si>
    <t>1.1.3.1.1.2.2.28.4</t>
  </si>
  <si>
    <t>Марка</t>
  </si>
  <si>
    <t>Площадь</t>
  </si>
  <si>
    <t>Примечание</t>
  </si>
  <si>
    <t>ЧН-11</t>
  </si>
  <si>
    <t>ЧН-6</t>
  </si>
  <si>
    <t>ЧН-14</t>
  </si>
  <si>
    <t>ЧН-5</t>
  </si>
  <si>
    <t>ЧН-8</t>
  </si>
  <si>
    <t>ЧН-7</t>
  </si>
  <si>
    <t>ЧН-16</t>
  </si>
  <si>
    <t>ЧН-4</t>
  </si>
  <si>
    <t>ЧН-12</t>
  </si>
  <si>
    <t>ЧН-20</t>
  </si>
  <si>
    <t>ЧН-17</t>
  </si>
  <si>
    <t>ЧН-10</t>
  </si>
  <si>
    <t>ЧН-2</t>
  </si>
  <si>
    <t>ЧН-3</t>
  </si>
  <si>
    <t>ЧН-1</t>
  </si>
  <si>
    <t>ЧН-13</t>
  </si>
  <si>
    <t>ЧН-21</t>
  </si>
  <si>
    <t>ЧН-22</t>
  </si>
  <si>
    <t>ЧН-9</t>
  </si>
  <si>
    <t>ЧН-19</t>
  </si>
  <si>
    <t>ЧН-15</t>
  </si>
  <si>
    <t>ЧН-23</t>
  </si>
  <si>
    <t>ЧНА-1</t>
  </si>
  <si>
    <t>ЧНА-2</t>
  </si>
  <si>
    <t>ЧНА-3</t>
  </si>
  <si>
    <t>1.094а</t>
  </si>
  <si>
    <t>ЧН-18</t>
  </si>
  <si>
    <t>2.047а</t>
  </si>
  <si>
    <t>2.047б</t>
  </si>
  <si>
    <t>2.051.1</t>
  </si>
  <si>
    <t>3.047а</t>
  </si>
  <si>
    <t>3.047б</t>
  </si>
  <si>
    <t>4.010а</t>
  </si>
  <si>
    <t>ЧО-2</t>
  </si>
  <si>
    <t>ЧНП-4</t>
  </si>
  <si>
    <t>ЧНП-5</t>
  </si>
  <si>
    <t>ЧНП-2</t>
  </si>
  <si>
    <t>ЧНП-8</t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</si>
  <si>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стен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из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кирпича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</si>
  <si>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стен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из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газобетона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</si>
  <si>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ГКЛ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</si>
  <si>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стен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из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железобетона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</si>
  <si>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ПГП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</si>
  <si>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стен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из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Газобетона,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Кирпича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</si>
  <si>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ГКЛВ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</si>
  <si>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стен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из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кирпича.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Выше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уровня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плитки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</si>
  <si>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ГКЛ.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Выше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уровня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плитки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</si>
  <si>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стен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из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Газобетона,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Кирпича.
Мокрые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помещения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</si>
  <si>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ММП.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Акустические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панели</t>
    </r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</si>
  <si>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стен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из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Газобетона,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Кирпича.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Мокрые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помещения</t>
    </r>
  </si>
  <si>
    <r>
      <rPr>
        <i/>
        <sz val="8"/>
        <rFont val="ГОСТ тип А"/>
        <family val="2"/>
        <charset val="204"/>
      </rPr>
      <t>Состав</t>
    </r>
    <r>
      <rPr>
        <sz val="8"/>
        <rFont val="ГОСТ тип А"/>
        <family val="2"/>
        <charset val="204"/>
      </rPr>
      <t xml:space="preserve">  </t>
    </r>
    <r>
      <rPr>
        <i/>
        <sz val="8"/>
        <rFont val="ГОСТ тип А"/>
        <family val="2"/>
        <charset val="204"/>
      </rPr>
      <t>отделки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</si>
  <si>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</si>
  <si>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окраска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предварительным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</si>
  <si>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заделка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швов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серпянкой;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Knauff-тиффенгрунд;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 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</si>
  <si>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Бетонконтактом;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окраска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предварительным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</si>
  <si>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окраска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предварительным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</si>
  <si>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штукатурными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</si>
  <si>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мастикой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Флихендихт,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разведенной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1:4;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гидроизоляция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полимерной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мастикой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Флихендихт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необходимости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использованием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углах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Plitonit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ГидроЛента;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выравнивание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плиточный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</si>
  <si>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выравнивание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плиточный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</si>
  <si>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штукатурными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Шпаклёвка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Шпаклёвка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</si>
  <si>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заделка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швов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серпянкой;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Knauf-тиффенгрунд;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Knauf-Флизен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</si>
  <si>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выравнивание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плиточный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</si>
  <si>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мастикой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Флихендихт,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разведенной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1:4;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гидроизоляция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полимерной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мастикой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Флихендихт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необходимости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использованием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углах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Plitonit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ГидроЛента;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выравнивание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смесью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Knauf-Флизен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Knauf-тиффенгрунд;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Knauf-Флизен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</si>
  <si>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заделка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швов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серпянкой;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мастикой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Флихендихт,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разведенной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1:4;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гидроизоляция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полимерной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мастикой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Флихендихт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необходимости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использованием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углах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Plitonit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ГидроЛента;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Knauf-Флизен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</si>
  <si>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Knauff-тиффенгрунд;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выравнивание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смесью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Knauff-флизен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Knauff-тиффенгрунд;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смесь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Knauff-флизен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</si>
  <si>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мин.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плита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Технофас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Оптима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или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аналог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(ρ=101-10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кг/м3,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λ=0,041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Вт/м°)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150мм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клеевой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Технониколь-210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(или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аналог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КАВЕРПЛИКС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AC117)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5мм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креплением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грибками,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всего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155мм;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штукатурно-клеевой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смесью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Технониколь-210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(или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аналог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КАВЕРПЛИКС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TC117)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утеплителю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сетке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стеклотканевой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усиленной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щелочестойкой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10мм;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штукатурно-клеевой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Технониколь-210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или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аналог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5мм;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окраска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предварительным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</si>
  <si>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Бетонконтактом;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окраска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предварительным
грунтованием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</si>
  <si>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
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</si>
  <si>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окраска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предварительным
грунтованием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</si>
  <si>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окраска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предварительным
грунтованием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</si>
  <si>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окраска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предварительным
грунтованием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</si>
  <si>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окраска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предварительным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краски.</t>
    </r>
  </si>
  <si>
    <r>
      <rPr>
        <i/>
        <sz val="8"/>
        <rFont val="ГОСТ тип А"/>
        <family val="2"/>
        <charset val="204"/>
      </rPr>
      <t>Панели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перфорированные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звукопоглощающие</t>
    </r>
  </si>
  <si>
    <r>
      <rPr>
        <i/>
        <sz val="8"/>
        <rFont val="ГОСТ тип А"/>
        <family val="2"/>
        <charset val="204"/>
      </rPr>
      <t>Панели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звукопоглощающие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без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перфорации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</si>
  <si>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мин.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плита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Технофас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Оптима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или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аналог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(ρ=101-10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кг/м3,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λ=0,041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Вт/м°)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50мм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клеевой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Технониколь-210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(или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аналог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КАВЕРПЛИКС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AC117)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5мм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креплением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грибками,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всего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55мм;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штукатурно-клеевой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смесью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Технониколь-210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(или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аналог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КАВЕРПЛИКС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TC117)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утеплителю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сетке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стеклотканевой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усиленной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щелочестойкой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10мм;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плиточный</t>
    </r>
  </si>
  <si>
    <r>
      <rPr>
        <i/>
        <sz val="8"/>
        <rFont val="ГОСТ тип А"/>
        <family val="2"/>
        <charset val="204"/>
      </rPr>
      <t>1)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плиточный;
2)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Мастика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гидроизоляционная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высоту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1800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3)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основе;
4)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ЦПР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М100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мм.</t>
    </r>
  </si>
  <si>
    <r>
      <rPr>
        <i/>
        <sz val="8"/>
        <rFont val="ГОСТ тип А"/>
        <family val="2"/>
        <charset val="204"/>
      </rPr>
      <t>1)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Грунтовка;
2)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основе;
3)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ЦПР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М100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20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</t>
    </r>
  </si>
  <si>
    <r>
      <rPr>
        <i/>
        <sz val="8"/>
        <rFont val="ГОСТ тип А"/>
        <family val="2"/>
        <charset val="204"/>
      </rPr>
      <t>1)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Грунтовка;
2)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гисповой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основе;
3)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ГКЛ</t>
    </r>
  </si>
  <si>
    <r>
      <rPr>
        <i/>
        <sz val="8"/>
        <rFont val="ГОСТ тип А"/>
        <family val="2"/>
        <charset val="204"/>
      </rPr>
      <t>1)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Грунтовка;
2)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основе;
3)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ЦПР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М100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</t>
    </r>
  </si>
  <si>
    <r>
      <rPr>
        <i/>
        <sz val="8"/>
        <rFont val="ГОСТ тип А"/>
        <family val="2"/>
        <charset val="204"/>
      </rPr>
      <t>1)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Грунтовка;
2)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гисповой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основе</t>
    </r>
  </si>
  <si>
    <r>
      <rPr>
        <i/>
        <sz val="8"/>
        <rFont val="ГОСТ тип А"/>
        <family val="2"/>
        <charset val="204"/>
      </rPr>
      <t>1)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плиточный;
2)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Мастика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гидроизоляционная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высоту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1800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3)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Грунтовка</t>
    </r>
  </si>
  <si>
    <r>
      <rPr>
        <i/>
        <sz val="8"/>
        <rFont val="ГОСТ тип А"/>
        <family val="2"/>
        <charset val="204"/>
      </rPr>
      <t>1)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плиточный;
2)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основе;
3)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ЦПР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М100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мм.</t>
    </r>
  </si>
  <si>
    <r>
      <rPr>
        <i/>
        <sz val="8"/>
        <rFont val="ГОСТ тип А"/>
        <family val="2"/>
        <charset val="204"/>
      </rPr>
      <t>1)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Клей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плиточный;
2)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Мастика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гидроизоляционная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высоту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1800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3)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на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цементной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основе;
4)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Штукатурка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ЦПР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М100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10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</si>
  <si>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обеспыливание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1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слой.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</si>
  <si>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Бетонконтактом;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выравнивание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гипсовая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</si>
  <si>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выравнивание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цементными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смесями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до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5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базовая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шпаклевка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цементная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финишная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т.2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мм;
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глубокого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проникновения;</t>
    </r>
  </si>
  <si>
    <r>
      <rPr>
        <i/>
        <sz val="8"/>
        <rFont val="ГОСТ тип А"/>
        <family val="2"/>
        <charset val="204"/>
      </rPr>
      <t>-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грунтование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грунтом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по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типу</t>
    </r>
    <r>
      <rPr>
        <sz val="8"/>
        <rFont val="ГОСТ тип А"/>
        <family val="2"/>
        <charset val="204"/>
      </rPr>
      <t xml:space="preserve"> </t>
    </r>
    <r>
      <rPr>
        <i/>
        <sz val="8"/>
        <rFont val="ГОСТ тип А"/>
        <family val="2"/>
        <charset val="204"/>
      </rPr>
      <t>краски</t>
    </r>
  </si>
  <si>
    <r>
      <rPr>
        <i/>
        <sz val="10"/>
        <rFont val="ГОСТ тип А"/>
        <family val="2"/>
        <charset val="204"/>
      </rPr>
      <t>№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
ния</t>
    </r>
  </si>
  <si>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перегородок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стен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из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кирпича</t>
    </r>
  </si>
  <si>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перегородок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стен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из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газобетона</t>
    </r>
  </si>
  <si>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перегородок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ГКЛ</t>
    </r>
  </si>
  <si>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стен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из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железобетона</t>
    </r>
  </si>
  <si>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перегородок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ПГП</t>
    </r>
  </si>
  <si>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перегородок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стен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из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Газобетона,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Кирпича</t>
    </r>
  </si>
  <si>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перегородок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стен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из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кирпича.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Выше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уровня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плитки</t>
    </r>
  </si>
  <si>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перегородок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ГКЛВ</t>
    </r>
  </si>
  <si>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перегородок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ГКЛ.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Выше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уровня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плитки</t>
    </r>
  </si>
  <si>
    <t>1-4 этажи. Штукатурка по ж/б. Тип: 
ЧН-1, ЧН-7, ЧН-10</t>
  </si>
  <si>
    <t>Сумма</t>
  </si>
  <si>
    <t>№ п.п</t>
  </si>
  <si>
    <t>Наименование</t>
  </si>
  <si>
    <t>Объем:</t>
  </si>
  <si>
    <r>
      <rPr>
        <sz val="10"/>
        <color theme="1"/>
        <rFont val="ГОСТ тип А"/>
        <family val="2"/>
        <charset val="204"/>
      </rPr>
      <t>Отделка перегородок ПГП</t>
    </r>
  </si>
  <si>
    <t>1</t>
  </si>
  <si>
    <t>3</t>
  </si>
  <si>
    <t>12</t>
  </si>
  <si>
    <t>33</t>
  </si>
  <si>
    <t>14</t>
  </si>
  <si>
    <t>35</t>
  </si>
  <si>
    <t>36</t>
  </si>
  <si>
    <r>
      <rPr>
        <sz val="10"/>
        <rFont val="ГОСТ тип А"/>
        <family val="2"/>
        <charset val="204"/>
      </rPr>
      <t>Отделка перегородок ПГП</t>
    </r>
  </si>
  <si>
    <t>3с</t>
  </si>
  <si>
    <t xml:space="preserve">1с </t>
  </si>
  <si>
    <t xml:space="preserve">1 с </t>
  </si>
  <si>
    <t>3 с</t>
  </si>
  <si>
    <t>3  с</t>
  </si>
  <si>
    <t>Штукатурка по ж/б.</t>
  </si>
  <si>
    <t>Штукатурка по ж/б</t>
  </si>
  <si>
    <t>Штукатурка по кирпичу</t>
  </si>
  <si>
    <t>Штукатурка по кирпичу. Выше уровня плитки</t>
  </si>
  <si>
    <t>Штукатурка по блоку</t>
  </si>
  <si>
    <t>Штукатурка по блоку, Кирпича</t>
  </si>
  <si>
    <t>Штукатурка по блоку, Кирпича.
Мокрые помещения</t>
  </si>
  <si>
    <t>Штукатурка гипсовая по ж/б</t>
  </si>
  <si>
    <t>Штукатурка гипсовая по блоку</t>
  </si>
  <si>
    <t>Штукатурка гипсовая по кирпичу</t>
  </si>
  <si>
    <t>ПР-Г7</t>
  </si>
  <si>
    <t>Итог, кг:</t>
  </si>
  <si>
    <t>Сумма, кг:</t>
  </si>
  <si>
    <t>Ф-5</t>
  </si>
  <si>
    <t>1 этаж. 3 секция.</t>
  </si>
  <si>
    <t>1 этаж. 2 секция.</t>
  </si>
  <si>
    <t>2 этаж. 3 секция.</t>
  </si>
  <si>
    <t>3 этаж. 2 секция.</t>
  </si>
  <si>
    <t>3 этаж. 3 секция.</t>
  </si>
  <si>
    <t>1 этаж. 1 секция.</t>
  </si>
  <si>
    <t>2 этаж. 1 секция.</t>
  </si>
  <si>
    <t>3 этаж. 1 секция.</t>
  </si>
  <si>
    <t>Описание: Подвал</t>
  </si>
  <si>
    <t>Подвал. 1 секция.</t>
  </si>
  <si>
    <t>Подвал. 2 секция.</t>
  </si>
  <si>
    <t>Подвал. 3 секция.</t>
  </si>
  <si>
    <t>Описание: Кладка вентшахт на кровле. Толщина - 120 мм, Кирпич КР-р-по 250х120х65</t>
  </si>
  <si>
    <t>Кровля. 3 секция.</t>
  </si>
  <si>
    <t>ВШ-51</t>
  </si>
  <si>
    <t>ВШ-43</t>
  </si>
  <si>
    <t>ВШ-42</t>
  </si>
  <si>
    <t>ВШ-41</t>
  </si>
  <si>
    <t>ВШ-40</t>
  </si>
  <si>
    <t>ВШ-35</t>
  </si>
  <si>
    <t>Люк на кровлю, 
лестница Л-1</t>
  </si>
  <si>
    <t>Отделка перегородок и стен из кирпича</t>
  </si>
  <si>
    <t>Отделка перегородок и стен из газобетона</t>
  </si>
  <si>
    <t>Отделка перегородок ГКЛ</t>
  </si>
  <si>
    <t>Отделка стен из железобетона</t>
  </si>
  <si>
    <t>Отделка перегородок и стен из Газобетона, Кирпича</t>
  </si>
  <si>
    <t>Отделка перегородок ПГП</t>
  </si>
  <si>
    <t>№ помеще
ния</t>
  </si>
  <si>
    <t>Отделка перегородок и стен из Газобетона, Кирпича.</t>
  </si>
  <si>
    <r>
      <rPr>
        <i/>
        <sz val="12"/>
        <rFont val="ГОСТ тип А"/>
        <family val="2"/>
        <charset val="204"/>
      </rPr>
      <t>Отделка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перегородок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стен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из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Газобетона,</t>
    </r>
    <r>
      <rPr>
        <sz val="12"/>
        <rFont val="ГОСТ тип А"/>
        <family val="2"/>
        <charset val="204"/>
      </rPr>
      <t xml:space="preserve"> </t>
    </r>
    <r>
      <rPr>
        <i/>
        <sz val="12"/>
        <rFont val="ГОСТ тип А"/>
        <family val="2"/>
        <charset val="204"/>
      </rPr>
      <t>Кирпича.</t>
    </r>
  </si>
  <si>
    <t>ЧН-1, ЧН-7, ЧН-10</t>
  </si>
  <si>
    <t xml:space="preserve"> ЧН-4, ЧН-12, ЧН-13, ЧН-15, ЧН-16, ЧН-20, ЧН-21, ЧН-23</t>
  </si>
  <si>
    <t>Штукатурка по ПГП под облицовку плиткой смесью Knauff-флизен 10 мм с грунтовкой Knauff-тиффенгрунд. Тип: ЧН-2, ЧН-9</t>
  </si>
  <si>
    <t>Штукатурка гипсовая по ПГП. Тип: ЧН-8</t>
  </si>
  <si>
    <t xml:space="preserve"> Штукатурка гипсовая по ж/б. Тип: ЧН-5</t>
  </si>
  <si>
    <t>Штукатурка гипсовая по блоку. Тип: ЧН-6, ЧН-11</t>
  </si>
  <si>
    <t>Штукатурка по блоку и кирпичу. Тип: ЧН-4, ЧН-12, ЧН-13, ЧН-15, ЧН-16, ЧН-20, ЧН-21, ЧН-23</t>
  </si>
  <si>
    <t>Штукатурка по ж/б. Тип: 
ЧН-1, ЧН-7, ЧН-10</t>
  </si>
  <si>
    <t>Облицовка поэлементной сборки Кнауф С626, профили оцинкованные; Плиты из каменной ваты; КНАУФ-лист; Тип: ЧН-25</t>
  </si>
  <si>
    <t>пом</t>
  </si>
  <si>
    <t>объем</t>
  </si>
  <si>
    <t>0.015</t>
  </si>
  <si>
    <t>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</si>
</sst>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"/>
    <numFmt numFmtId="165" formatCode="0.000"/>
    <numFmt numFmtId="166" formatCode="0.0"/>
    <numFmt numFmtId="167" formatCode="#,##0.0"/>
  </numFmts>
  <fonts count="48" x14ac:knownFonts="1">
    <font>
      <sz val="11"/>
      <color theme="1"/>
      <name val="Calibri"/>
      <family val="2"/>
      <scheme val="minor"/>
    </font>
    <font>
      <b/>
      <sz val="11"/>
      <color rgb="FFFFFFFF"/>
      <name val="ГОСТ тип А"/>
      <family val="2"/>
      <charset val="204"/>
    </font>
    <font>
      <sz val="11"/>
      <color theme="1"/>
      <name val="ГОСТ тип А"/>
      <family val="2"/>
      <charset val="204"/>
    </font>
    <font>
      <sz val="12"/>
      <color rgb="FF2F5487"/>
      <name val="ГОСТ тип А"/>
      <family val="2"/>
      <charset val="204"/>
    </font>
    <font>
      <b/>
      <sz val="16"/>
      <color rgb="FF000000"/>
      <name val="ГОСТ тип А"/>
      <family val="2"/>
      <charset val="204"/>
    </font>
    <font>
      <b/>
      <sz val="16"/>
      <color rgb="FFFFFFFF"/>
      <name val="ГОСТ тип А"/>
      <family val="2"/>
      <charset val="204"/>
    </font>
    <font>
      <sz val="12"/>
      <color rgb="FF000000"/>
      <name val="ГОСТ тип А"/>
      <family val="2"/>
      <charset val="204"/>
    </font>
    <font>
      <sz val="14"/>
      <color rgb="FF000000"/>
      <name val="ГОСТ тип А"/>
      <family val="2"/>
      <charset val="204"/>
    </font>
    <font>
      <i/>
      <sz val="14"/>
      <color rgb="FF000000"/>
      <name val="ГОСТ тип А"/>
      <family val="2"/>
      <charset val="204"/>
    </font>
    <font>
      <sz val="14"/>
      <color rgb="FF800000"/>
      <name val="ГОСТ тип А"/>
      <family val="2"/>
      <charset val="204"/>
    </font>
    <font>
      <b/>
      <sz val="14"/>
      <color rgb="FFFF0000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sz val="12"/>
      <color theme="1"/>
      <name val="ГОСТ тип А"/>
      <family val="2"/>
      <charset val="204"/>
    </font>
    <font>
      <sz val="12"/>
      <color rgb="FF00B050"/>
      <name val="ГОСТ тип А"/>
      <family val="2"/>
      <charset val="204"/>
    </font>
    <font>
      <sz val="16"/>
      <color theme="1"/>
      <name val="ГОСТ тип А"/>
      <family val="2"/>
      <charset val="204"/>
    </font>
    <font>
      <b/>
      <sz val="14"/>
      <name val="ГОСТ тип А"/>
      <family val="2"/>
      <charset val="204"/>
    </font>
    <font>
      <sz val="12"/>
      <color rgb="FF000000"/>
      <name val="ГОСТ тип А"/>
      <family val="2"/>
      <charset val="204"/>
    </font>
    <font>
      <i/>
      <sz val="14"/>
      <color rgb="FF000000"/>
      <name val="ГОСТ тип А"/>
      <family val="2"/>
      <charset val="204"/>
    </font>
    <font>
      <sz val="14"/>
      <color rgb="FF000000"/>
      <name val="ГОСТ тип А"/>
      <family val="2"/>
      <charset val="204"/>
    </font>
    <font>
      <sz val="16"/>
      <color theme="1"/>
      <name val="ГОСТ тип А"/>
      <family val="2"/>
      <charset val="204"/>
    </font>
    <font>
      <b/>
      <i/>
      <sz val="14"/>
      <color rgb="FF000000"/>
      <name val="ГОСТ тип А"/>
      <family val="2"/>
      <charset val="204"/>
    </font>
    <font>
      <sz val="10"/>
      <color rgb="FF000000"/>
      <name val="Times New Roman"/>
      <family val="1"/>
      <charset val="204"/>
    </font>
    <font>
      <i/>
      <sz val="12"/>
      <name val="ГОСТ тип А"/>
      <family val="2"/>
      <charset val="204"/>
    </font>
    <font>
      <sz val="12"/>
      <name val="ГОСТ тип А"/>
      <family val="2"/>
      <charset val="204"/>
    </font>
    <font>
      <i/>
      <sz val="12"/>
      <color rgb="FF000000"/>
      <name val="ГОСТ тип А"/>
      <family val="2"/>
      <charset val="204"/>
    </font>
    <font>
      <sz val="8"/>
      <color rgb="FF000000"/>
      <name val="Times New Roman"/>
      <family val="1"/>
      <charset val="204"/>
    </font>
    <font>
      <sz val="8"/>
      <color rgb="FF000000"/>
      <name val="ГОСТ тип А"/>
      <family val="2"/>
      <charset val="204"/>
    </font>
    <font>
      <i/>
      <sz val="8"/>
      <name val="ГОСТ тип А"/>
      <family val="2"/>
      <charset val="204"/>
    </font>
    <font>
      <sz val="8"/>
      <name val="ГОСТ тип А"/>
      <family val="2"/>
      <charset val="204"/>
    </font>
    <font>
      <b/>
      <sz val="10"/>
      <color rgb="FF000000"/>
      <name val="ГОСТ тип А"/>
      <family val="2"/>
      <charset val="204"/>
    </font>
    <font>
      <i/>
      <sz val="10"/>
      <name val="ГОСТ тип А"/>
      <family val="2"/>
      <charset val="204"/>
    </font>
    <font>
      <sz val="10"/>
      <name val="ГОСТ тип А"/>
      <family val="2"/>
      <charset val="204"/>
    </font>
    <font>
      <b/>
      <i/>
      <sz val="10"/>
      <name val="ГОСТ тип А"/>
      <family val="2"/>
      <charset val="204"/>
    </font>
    <font>
      <sz val="10"/>
      <color rgb="FF000000"/>
      <name val="ГОСТ тип А"/>
      <family val="2"/>
      <charset val="204"/>
    </font>
    <font>
      <i/>
      <sz val="10"/>
      <color rgb="FF000000"/>
      <name val="ГОСТ тип А"/>
      <family val="2"/>
      <charset val="204"/>
    </font>
    <font>
      <sz val="10"/>
      <color rgb="FF000000"/>
      <name val="Times New Roman"/>
      <family val="1"/>
      <charset val="204"/>
    </font>
    <font>
      <sz val="10"/>
      <color theme="1"/>
      <name val="ГОСТ тип А"/>
      <family val="2"/>
      <charset val="204"/>
    </font>
    <font>
      <b/>
      <sz val="10"/>
      <name val="ГОСТ тип А"/>
      <family val="2"/>
      <charset val="204"/>
    </font>
    <font>
      <sz val="14"/>
      <color rgb="FF00B050"/>
      <name val="ГОСТ тип А"/>
      <family val="2"/>
      <charset val="204"/>
    </font>
    <font>
      <sz val="14"/>
      <color rgb="FFFF0000"/>
      <name val="ГОСТ тип А"/>
      <family val="2"/>
      <charset val="204"/>
    </font>
    <font>
      <i/>
      <sz val="14"/>
      <color rgb="FFFF0000"/>
      <name val="ГОСТ тип А"/>
      <family val="2"/>
      <charset val="204"/>
    </font>
    <font>
      <sz val="10"/>
      <color rgb="FFFF0000"/>
      <name val="ГОСТ тип А"/>
      <family val="2"/>
      <charset val="204"/>
    </font>
    <font>
      <sz val="12"/>
      <color rgb="FF000000"/>
      <name val="ГОСТ тип А"/>
    </font>
    <font>
      <i/>
      <sz val="12"/>
      <color rgb="FF000000"/>
      <name val="ГОСТ тип А"/>
    </font>
    <font>
      <i/>
      <sz val="12"/>
      <name val="ГОСТ тип А"/>
    </font>
    <font>
      <b/>
      <i/>
      <sz val="10"/>
      <color rgb="FF000000"/>
      <name val="ГОСТ тип А"/>
      <family val="2"/>
      <charset val="204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2" fillId="0" borderId="0"/>
  </cellStyleXfs>
  <cellXfs count="38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 wrapText="1"/>
    </xf>
    <xf numFmtId="0" fontId="2" fillId="0" borderId="0" xfId="0" applyFont="1"/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right" vertical="center" wrapText="1"/>
    </xf>
    <xf numFmtId="164" fontId="9" fillId="0" borderId="3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12" fillId="0" borderId="0" xfId="0" applyFont="1"/>
    <xf numFmtId="0" fontId="11" fillId="5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165" fontId="11" fillId="0" borderId="4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righ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right" vertical="center" wrapText="1"/>
    </xf>
    <xf numFmtId="164" fontId="9" fillId="0" borderId="1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/>
    </xf>
    <xf numFmtId="164" fontId="7" fillId="0" borderId="9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64" fontId="7" fillId="0" borderId="0" xfId="0" applyNumberFormat="1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wrapText="1"/>
    </xf>
    <xf numFmtId="0" fontId="6" fillId="0" borderId="29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" fontId="15" fillId="0" borderId="15" xfId="0" applyNumberFormat="1" applyFont="1" applyBorder="1" applyAlignment="1">
      <alignment horizontal="center" vertical="center"/>
    </xf>
    <xf numFmtId="16" fontId="15" fillId="0" borderId="16" xfId="0" applyNumberFormat="1" applyFont="1" applyBorder="1" applyAlignment="1">
      <alignment horizontal="center" vertical="center"/>
    </xf>
    <xf numFmtId="16" fontId="15" fillId="0" borderId="17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164" fontId="15" fillId="0" borderId="27" xfId="0" applyNumberFormat="1" applyFont="1" applyBorder="1" applyAlignment="1">
      <alignment horizontal="center" vertical="center"/>
    </xf>
    <xf numFmtId="4" fontId="16" fillId="0" borderId="3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4" fontId="11" fillId="0" borderId="5" xfId="0" applyNumberFormat="1" applyFont="1" applyBorder="1" applyAlignment="1">
      <alignment horizontal="center" vertical="center" wrapText="1"/>
    </xf>
    <xf numFmtId="4" fontId="16" fillId="0" borderId="11" xfId="0" applyNumberFormat="1" applyFont="1" applyBorder="1" applyAlignment="1">
      <alignment horizontal="center" vertical="center" wrapText="1"/>
    </xf>
    <xf numFmtId="0" fontId="7" fillId="8" borderId="4" xfId="0" applyFont="1" applyFill="1" applyBorder="1" applyAlignment="1">
      <alignment horizontal="left" vertical="center" wrapText="1"/>
    </xf>
    <xf numFmtId="4" fontId="15" fillId="0" borderId="2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righ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164" fontId="19" fillId="0" borderId="3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64" fontId="19" fillId="0" borderId="0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64" fontId="19" fillId="0" borderId="4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right" vertical="center" wrapText="1"/>
    </xf>
    <xf numFmtId="0" fontId="22" fillId="0" borderId="0" xfId="1" applyFill="1" applyBorder="1" applyAlignment="1">
      <alignment horizontal="left" vertical="top"/>
    </xf>
    <xf numFmtId="0" fontId="6" fillId="0" borderId="6" xfId="1" applyFont="1" applyFill="1" applyBorder="1" applyAlignment="1">
      <alignment horizontal="left" vertical="top"/>
    </xf>
    <xf numFmtId="0" fontId="6" fillId="0" borderId="4" xfId="1" applyFont="1" applyFill="1" applyBorder="1" applyAlignment="1">
      <alignment horizontal="left" vertical="top"/>
    </xf>
    <xf numFmtId="3" fontId="25" fillId="0" borderId="4" xfId="1" applyNumberFormat="1" applyFont="1" applyFill="1" applyBorder="1" applyAlignment="1">
      <alignment horizontal="left" vertical="top" shrinkToFit="1"/>
    </xf>
    <xf numFmtId="0" fontId="23" fillId="0" borderId="4" xfId="1" applyFont="1" applyFill="1" applyBorder="1" applyAlignment="1">
      <alignment horizontal="left" vertical="top" wrapText="1"/>
    </xf>
    <xf numFmtId="166" fontId="25" fillId="0" borderId="4" xfId="1" applyNumberFormat="1" applyFont="1" applyFill="1" applyBorder="1" applyAlignment="1">
      <alignment horizontal="left" vertical="top" shrinkToFit="1"/>
    </xf>
    <xf numFmtId="0" fontId="6" fillId="0" borderId="9" xfId="1" applyFont="1" applyFill="1" applyBorder="1" applyAlignment="1">
      <alignment horizontal="left" vertical="top" wrapText="1"/>
    </xf>
    <xf numFmtId="0" fontId="6" fillId="0" borderId="35" xfId="1" applyFont="1" applyFill="1" applyBorder="1" applyAlignment="1">
      <alignment horizontal="left" vertical="top"/>
    </xf>
    <xf numFmtId="0" fontId="6" fillId="0" borderId="36" xfId="1" applyFont="1" applyFill="1" applyBorder="1" applyAlignment="1">
      <alignment horizontal="left" vertical="top"/>
    </xf>
    <xf numFmtId="3" fontId="25" fillId="0" borderId="36" xfId="1" applyNumberFormat="1" applyFont="1" applyFill="1" applyBorder="1" applyAlignment="1">
      <alignment horizontal="left" vertical="top" shrinkToFit="1"/>
    </xf>
    <xf numFmtId="0" fontId="23" fillId="0" borderId="36" xfId="1" applyFont="1" applyFill="1" applyBorder="1" applyAlignment="1">
      <alignment horizontal="left" vertical="top" wrapText="1"/>
    </xf>
    <xf numFmtId="166" fontId="25" fillId="0" borderId="36" xfId="1" applyNumberFormat="1" applyFont="1" applyFill="1" applyBorder="1" applyAlignment="1">
      <alignment horizontal="left" vertical="top" shrinkToFit="1"/>
    </xf>
    <xf numFmtId="0" fontId="6" fillId="0" borderId="37" xfId="1" applyFont="1" applyFill="1" applyBorder="1" applyAlignment="1">
      <alignment horizontal="left" vertical="top" wrapText="1"/>
    </xf>
    <xf numFmtId="0" fontId="6" fillId="0" borderId="9" xfId="1" applyFont="1" applyFill="1" applyBorder="1" applyAlignment="1">
      <alignment horizontal="left" wrapText="1"/>
    </xf>
    <xf numFmtId="0" fontId="26" fillId="0" borderId="4" xfId="1" applyFont="1" applyFill="1" applyBorder="1" applyAlignment="1">
      <alignment horizontal="left" vertical="top"/>
    </xf>
    <xf numFmtId="0" fontId="27" fillId="0" borderId="4" xfId="1" applyFont="1" applyFill="1" applyBorder="1" applyAlignment="1">
      <alignment horizontal="left" vertical="center"/>
    </xf>
    <xf numFmtId="0" fontId="27" fillId="0" borderId="4" xfId="1" applyFont="1" applyFill="1" applyBorder="1" applyAlignment="1">
      <alignment horizontal="left" vertical="top"/>
    </xf>
    <xf numFmtId="0" fontId="33" fillId="0" borderId="34" xfId="1" applyNumberFormat="1" applyFont="1" applyBorder="1" applyAlignment="1">
      <alignment horizontal="left" vertical="center" wrapText="1" indent="4"/>
    </xf>
    <xf numFmtId="0" fontId="34" fillId="9" borderId="9" xfId="1" applyNumberFormat="1" applyFont="1" applyFill="1" applyBorder="1" applyAlignment="1">
      <alignment horizontal="left" vertical="top" wrapText="1"/>
    </xf>
    <xf numFmtId="0" fontId="34" fillId="0" borderId="9" xfId="1" applyNumberFormat="1" applyFont="1" applyBorder="1" applyAlignment="1">
      <alignment horizontal="left" vertical="top" wrapText="1"/>
    </xf>
    <xf numFmtId="0" fontId="34" fillId="0" borderId="7" xfId="1" applyFont="1" applyFill="1" applyBorder="1" applyAlignment="1">
      <alignment horizontal="left" vertical="top"/>
    </xf>
    <xf numFmtId="0" fontId="34" fillId="0" borderId="8" xfId="1" applyFont="1" applyFill="1" applyBorder="1" applyAlignment="1">
      <alignment horizontal="left" vertical="top"/>
    </xf>
    <xf numFmtId="0" fontId="34" fillId="0" borderId="8" xfId="1" applyFont="1" applyFill="1" applyBorder="1" applyAlignment="1">
      <alignment horizontal="left" vertical="top" wrapText="1"/>
    </xf>
    <xf numFmtId="0" fontId="31" fillId="0" borderId="8" xfId="1" applyFont="1" applyFill="1" applyBorder="1" applyAlignment="1">
      <alignment horizontal="left" vertical="center" wrapText="1" indent="2"/>
    </xf>
    <xf numFmtId="0" fontId="31" fillId="0" borderId="8" xfId="1" applyFont="1" applyFill="1" applyBorder="1" applyAlignment="1">
      <alignment horizontal="left" vertical="center" wrapText="1" indent="1"/>
    </xf>
    <xf numFmtId="0" fontId="31" fillId="0" borderId="34" xfId="1" applyFont="1" applyFill="1" applyBorder="1" applyAlignment="1">
      <alignment horizontal="left" vertical="center" wrapText="1" indent="4"/>
    </xf>
    <xf numFmtId="0" fontId="34" fillId="0" borderId="6" xfId="1" applyFont="1" applyFill="1" applyBorder="1" applyAlignment="1">
      <alignment horizontal="left" vertical="top"/>
    </xf>
    <xf numFmtId="0" fontId="34" fillId="0" borderId="4" xfId="1" applyFont="1" applyFill="1" applyBorder="1" applyAlignment="1">
      <alignment horizontal="left" vertical="top"/>
    </xf>
    <xf numFmtId="3" fontId="35" fillId="0" borderId="4" xfId="1" applyNumberFormat="1" applyFont="1" applyFill="1" applyBorder="1" applyAlignment="1">
      <alignment horizontal="left" vertical="top" shrinkToFit="1"/>
    </xf>
    <xf numFmtId="0" fontId="31" fillId="0" borderId="4" xfId="1" applyFont="1" applyFill="1" applyBorder="1" applyAlignment="1">
      <alignment horizontal="left" vertical="top" wrapText="1"/>
    </xf>
    <xf numFmtId="166" fontId="35" fillId="0" borderId="4" xfId="1" applyNumberFormat="1" applyFont="1" applyFill="1" applyBorder="1" applyAlignment="1">
      <alignment horizontal="left" vertical="top" shrinkToFit="1"/>
    </xf>
    <xf numFmtId="0" fontId="34" fillId="0" borderId="9" xfId="1" applyFont="1" applyFill="1" applyBorder="1" applyAlignment="1">
      <alignment horizontal="left" vertical="top" wrapText="1"/>
    </xf>
    <xf numFmtId="0" fontId="36" fillId="0" borderId="0" xfId="1" applyFont="1" applyFill="1" applyBorder="1" applyAlignment="1">
      <alignment horizontal="left" vertical="top"/>
    </xf>
    <xf numFmtId="0" fontId="7" fillId="10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right" vertical="center" wrapText="1"/>
    </xf>
    <xf numFmtId="164" fontId="7" fillId="0" borderId="4" xfId="0" applyNumberFormat="1" applyFont="1" applyBorder="1" applyAlignment="1">
      <alignment horizontal="center" vertical="center"/>
    </xf>
    <xf numFmtId="164" fontId="7" fillId="10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10" borderId="3" xfId="0" applyFont="1" applyFill="1" applyBorder="1" applyAlignment="1">
      <alignment horizontal="center" vertical="center"/>
    </xf>
    <xf numFmtId="0" fontId="33" fillId="0" borderId="8" xfId="1" applyNumberFormat="1" applyFont="1" applyBorder="1" applyAlignment="1">
      <alignment horizontal="center" vertical="center" wrapText="1"/>
    </xf>
    <xf numFmtId="0" fontId="30" fillId="0" borderId="7" xfId="1" applyNumberFormat="1" applyFont="1" applyBorder="1" applyAlignment="1">
      <alignment horizontal="center" vertical="center"/>
    </xf>
    <xf numFmtId="0" fontId="30" fillId="0" borderId="8" xfId="1" applyNumberFormat="1" applyFont="1" applyBorder="1" applyAlignment="1">
      <alignment horizontal="center" vertical="center"/>
    </xf>
    <xf numFmtId="0" fontId="30" fillId="0" borderId="8" xfId="1" applyNumberFormat="1" applyFont="1" applyBorder="1" applyAlignment="1">
      <alignment horizontal="center" vertical="center" wrapText="1"/>
    </xf>
    <xf numFmtId="0" fontId="34" fillId="9" borderId="6" xfId="1" applyNumberFormat="1" applyFont="1" applyFill="1" applyBorder="1" applyAlignment="1">
      <alignment horizontal="center" vertical="center"/>
    </xf>
    <xf numFmtId="0" fontId="34" fillId="9" borderId="4" xfId="1" applyNumberFormat="1" applyFont="1" applyFill="1" applyBorder="1" applyAlignment="1">
      <alignment horizontal="center" vertical="center"/>
    </xf>
    <xf numFmtId="3" fontId="35" fillId="9" borderId="4" xfId="1" applyNumberFormat="1" applyFont="1" applyFill="1" applyBorder="1" applyAlignment="1">
      <alignment horizontal="center" vertical="center" shrinkToFit="1"/>
    </xf>
    <xf numFmtId="0" fontId="31" fillId="9" borderId="4" xfId="1" applyNumberFormat="1" applyFont="1" applyFill="1" applyBorder="1" applyAlignment="1">
      <alignment horizontal="center" vertical="center" wrapText="1"/>
    </xf>
    <xf numFmtId="166" fontId="35" fillId="9" borderId="4" xfId="1" applyNumberFormat="1" applyFont="1" applyFill="1" applyBorder="1" applyAlignment="1">
      <alignment horizontal="center" vertical="center" shrinkToFit="1"/>
    </xf>
    <xf numFmtId="0" fontId="34" fillId="0" borderId="6" xfId="1" applyNumberFormat="1" applyFont="1" applyBorder="1" applyAlignment="1">
      <alignment horizontal="center" vertical="center"/>
    </xf>
    <xf numFmtId="0" fontId="34" fillId="0" borderId="4" xfId="1" applyNumberFormat="1" applyFont="1" applyBorder="1" applyAlignment="1">
      <alignment horizontal="center" vertical="center"/>
    </xf>
    <xf numFmtId="3" fontId="35" fillId="0" borderId="4" xfId="1" applyNumberFormat="1" applyFont="1" applyBorder="1" applyAlignment="1">
      <alignment horizontal="center" vertical="center" shrinkToFit="1"/>
    </xf>
    <xf numFmtId="0" fontId="31" fillId="0" borderId="4" xfId="1" applyNumberFormat="1" applyFont="1" applyBorder="1" applyAlignment="1">
      <alignment horizontal="center" vertical="center" wrapText="1"/>
    </xf>
    <xf numFmtId="166" fontId="35" fillId="0" borderId="4" xfId="1" applyNumberFormat="1" applyFont="1" applyBorder="1" applyAlignment="1">
      <alignment horizontal="center" vertical="center" shrinkToFit="1"/>
    </xf>
    <xf numFmtId="0" fontId="34" fillId="0" borderId="6" xfId="1" applyFont="1" applyFill="1" applyBorder="1" applyAlignment="1">
      <alignment horizontal="center" vertical="center"/>
    </xf>
    <xf numFmtId="0" fontId="34" fillId="0" borderId="4" xfId="1" applyFont="1" applyFill="1" applyBorder="1" applyAlignment="1">
      <alignment horizontal="center" vertical="center"/>
    </xf>
    <xf numFmtId="3" fontId="35" fillId="0" borderId="4" xfId="1" applyNumberFormat="1" applyFont="1" applyFill="1" applyBorder="1" applyAlignment="1">
      <alignment horizontal="center" vertical="center" shrinkToFit="1"/>
    </xf>
    <xf numFmtId="0" fontId="31" fillId="0" borderId="4" xfId="1" applyFont="1" applyFill="1" applyBorder="1" applyAlignment="1">
      <alignment horizontal="center" vertical="center" wrapText="1"/>
    </xf>
    <xf numFmtId="166" fontId="35" fillId="0" borderId="4" xfId="1" applyNumberFormat="1" applyFont="1" applyFill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37" fillId="0" borderId="0" xfId="0" applyFont="1"/>
    <xf numFmtId="0" fontId="34" fillId="0" borderId="6" xfId="1" applyNumberFormat="1" applyFont="1" applyFill="1" applyBorder="1" applyAlignment="1">
      <alignment horizontal="center" vertical="center"/>
    </xf>
    <xf numFmtId="0" fontId="34" fillId="0" borderId="4" xfId="1" applyNumberFormat="1" applyFont="1" applyFill="1" applyBorder="1" applyAlignment="1">
      <alignment horizontal="center" vertical="center"/>
    </xf>
    <xf numFmtId="0" fontId="31" fillId="0" borderId="4" xfId="1" applyNumberFormat="1" applyFont="1" applyFill="1" applyBorder="1" applyAlignment="1">
      <alignment horizontal="center" vertical="center" wrapText="1"/>
    </xf>
    <xf numFmtId="0" fontId="34" fillId="0" borderId="9" xfId="1" applyNumberFormat="1" applyFont="1" applyFill="1" applyBorder="1" applyAlignment="1">
      <alignment horizontal="left" vertical="top" wrapText="1"/>
    </xf>
    <xf numFmtId="0" fontId="34" fillId="0" borderId="35" xfId="1" applyNumberFormat="1" applyFont="1" applyFill="1" applyBorder="1" applyAlignment="1">
      <alignment horizontal="center" vertical="center"/>
    </xf>
    <xf numFmtId="0" fontId="34" fillId="0" borderId="36" xfId="1" applyNumberFormat="1" applyFont="1" applyFill="1" applyBorder="1" applyAlignment="1">
      <alignment horizontal="center" vertical="center"/>
    </xf>
    <xf numFmtId="0" fontId="31" fillId="0" borderId="36" xfId="1" applyNumberFormat="1" applyFont="1" applyFill="1" applyBorder="1" applyAlignment="1">
      <alignment horizontal="center" vertical="center" wrapText="1"/>
    </xf>
    <xf numFmtId="166" fontId="35" fillId="0" borderId="36" xfId="1" applyNumberFormat="1" applyFont="1" applyFill="1" applyBorder="1" applyAlignment="1">
      <alignment horizontal="center" vertical="center" shrinkToFit="1"/>
    </xf>
    <xf numFmtId="0" fontId="34" fillId="0" borderId="37" xfId="1" applyNumberFormat="1" applyFont="1" applyFill="1" applyBorder="1" applyAlignment="1">
      <alignment horizontal="left" vertical="top" wrapText="1"/>
    </xf>
    <xf numFmtId="3" fontId="35" fillId="0" borderId="36" xfId="1" applyNumberFormat="1" applyFont="1" applyFill="1" applyBorder="1" applyAlignment="1">
      <alignment horizontal="center" vertical="center" shrinkToFit="1"/>
    </xf>
    <xf numFmtId="0" fontId="38" fillId="0" borderId="8" xfId="1" applyNumberFormat="1" applyFont="1" applyBorder="1" applyAlignment="1">
      <alignment horizontal="center" vertical="center" wrapText="1"/>
    </xf>
    <xf numFmtId="3" fontId="31" fillId="0" borderId="4" xfId="1" applyNumberFormat="1" applyFont="1" applyFill="1" applyBorder="1" applyAlignment="1">
      <alignment horizontal="center" vertical="center" shrinkToFit="1"/>
    </xf>
    <xf numFmtId="3" fontId="31" fillId="0" borderId="36" xfId="1" applyNumberFormat="1" applyFont="1" applyFill="1" applyBorder="1" applyAlignment="1">
      <alignment horizontal="center" vertical="center" shrinkToFit="1"/>
    </xf>
    <xf numFmtId="0" fontId="37" fillId="0" borderId="7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34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39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0" borderId="43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7" fillId="0" borderId="38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left" vertical="center"/>
    </xf>
    <xf numFmtId="164" fontId="7" fillId="0" borderId="48" xfId="0" applyNumberFormat="1" applyFont="1" applyBorder="1" applyAlignment="1">
      <alignment horizontal="center" vertical="center" wrapText="1"/>
    </xf>
    <xf numFmtId="164" fontId="39" fillId="0" borderId="49" xfId="0" applyNumberFormat="1" applyFont="1" applyBorder="1" applyAlignment="1">
      <alignment horizontal="center" vertical="center" wrapText="1"/>
    </xf>
    <xf numFmtId="164" fontId="39" fillId="0" borderId="40" xfId="0" applyNumberFormat="1" applyFont="1" applyBorder="1" applyAlignment="1">
      <alignment horizontal="center" vertical="center" wrapText="1"/>
    </xf>
    <xf numFmtId="164" fontId="39" fillId="0" borderId="48" xfId="0" applyNumberFormat="1" applyFont="1" applyBorder="1" applyAlignment="1">
      <alignment horizontal="center" vertical="center" wrapText="1"/>
    </xf>
    <xf numFmtId="164" fontId="39" fillId="0" borderId="47" xfId="0" applyNumberFormat="1" applyFont="1" applyBorder="1" applyAlignment="1">
      <alignment horizontal="center" vertical="center" wrapText="1"/>
    </xf>
    <xf numFmtId="164" fontId="7" fillId="0" borderId="49" xfId="0" applyNumberFormat="1" applyFont="1" applyBorder="1" applyAlignment="1">
      <alignment horizontal="center" vertical="center" wrapText="1"/>
    </xf>
    <xf numFmtId="0" fontId="34" fillId="10" borderId="4" xfId="1" applyNumberFormat="1" applyFont="1" applyFill="1" applyBorder="1" applyAlignment="1">
      <alignment horizontal="center" vertical="center"/>
    </xf>
    <xf numFmtId="3" fontId="35" fillId="10" borderId="4" xfId="1" applyNumberFormat="1" applyFont="1" applyFill="1" applyBorder="1" applyAlignment="1">
      <alignment horizontal="center" vertical="center" shrinkToFit="1"/>
    </xf>
    <xf numFmtId="0" fontId="31" fillId="10" borderId="4" xfId="1" applyNumberFormat="1" applyFont="1" applyFill="1" applyBorder="1" applyAlignment="1">
      <alignment horizontal="center" vertical="center" wrapText="1"/>
    </xf>
    <xf numFmtId="166" fontId="35" fillId="10" borderId="4" xfId="1" applyNumberFormat="1" applyFont="1" applyFill="1" applyBorder="1" applyAlignment="1">
      <alignment horizontal="center" vertical="center" shrinkToFit="1"/>
    </xf>
    <xf numFmtId="0" fontId="34" fillId="10" borderId="36" xfId="1" applyNumberFormat="1" applyFont="1" applyFill="1" applyBorder="1" applyAlignment="1">
      <alignment horizontal="center" vertical="center"/>
    </xf>
    <xf numFmtId="3" fontId="35" fillId="10" borderId="36" xfId="1" applyNumberFormat="1" applyFont="1" applyFill="1" applyBorder="1" applyAlignment="1">
      <alignment horizontal="center" vertical="center" shrinkToFit="1"/>
    </xf>
    <xf numFmtId="0" fontId="31" fillId="10" borderId="36" xfId="1" applyNumberFormat="1" applyFont="1" applyFill="1" applyBorder="1" applyAlignment="1">
      <alignment horizontal="center" vertical="center" wrapText="1"/>
    </xf>
    <xf numFmtId="166" fontId="35" fillId="10" borderId="36" xfId="1" applyNumberFormat="1" applyFont="1" applyFill="1" applyBorder="1" applyAlignment="1">
      <alignment horizontal="center" vertical="center" shrinkToFit="1"/>
    </xf>
    <xf numFmtId="3" fontId="31" fillId="10" borderId="4" xfId="1" applyNumberFormat="1" applyFont="1" applyFill="1" applyBorder="1" applyAlignment="1">
      <alignment horizontal="center" vertical="center" shrinkToFit="1"/>
    </xf>
    <xf numFmtId="3" fontId="31" fillId="0" borderId="4" xfId="1" applyNumberFormat="1" applyFont="1" applyBorder="1" applyAlignment="1">
      <alignment horizontal="center" vertical="center" shrinkToFit="1"/>
    </xf>
    <xf numFmtId="164" fontId="40" fillId="0" borderId="4" xfId="0" applyNumberFormat="1" applyFont="1" applyBorder="1" applyAlignment="1">
      <alignment horizontal="center" vertical="center"/>
    </xf>
    <xf numFmtId="0" fontId="41" fillId="10" borderId="3" xfId="0" applyFont="1" applyFill="1" applyBorder="1" applyAlignment="1">
      <alignment horizontal="right" vertical="center" wrapText="1"/>
    </xf>
    <xf numFmtId="0" fontId="40" fillId="10" borderId="3" xfId="0" applyFont="1" applyFill="1" applyBorder="1" applyAlignment="1">
      <alignment horizontal="center" vertical="center" wrapText="1"/>
    </xf>
    <xf numFmtId="0" fontId="40" fillId="10" borderId="3" xfId="0" applyFont="1" applyFill="1" applyBorder="1" applyAlignment="1">
      <alignment horizontal="center" vertical="center"/>
    </xf>
    <xf numFmtId="164" fontId="40" fillId="10" borderId="4" xfId="0" applyNumberFormat="1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30" fillId="0" borderId="4" xfId="1" applyNumberFormat="1" applyFont="1" applyBorder="1" applyAlignment="1">
      <alignment horizontal="center" vertical="center"/>
    </xf>
    <xf numFmtId="0" fontId="30" fillId="0" borderId="4" xfId="1" applyNumberFormat="1" applyFont="1" applyBorder="1" applyAlignment="1">
      <alignment horizontal="center" vertical="center" wrapText="1"/>
    </xf>
    <xf numFmtId="0" fontId="33" fillId="0" borderId="4" xfId="1" applyNumberFormat="1" applyFont="1" applyBorder="1" applyAlignment="1">
      <alignment horizontal="center" vertical="center" wrapText="1"/>
    </xf>
    <xf numFmtId="0" fontId="33" fillId="0" borderId="4" xfId="1" applyNumberFormat="1" applyFont="1" applyBorder="1" applyAlignment="1">
      <alignment horizontal="left" vertical="center" wrapText="1" indent="4"/>
    </xf>
    <xf numFmtId="0" fontId="34" fillId="9" borderId="4" xfId="1" applyNumberFormat="1" applyFont="1" applyFill="1" applyBorder="1" applyAlignment="1">
      <alignment horizontal="left" vertical="top" wrapText="1"/>
    </xf>
    <xf numFmtId="0" fontId="34" fillId="0" borderId="4" xfId="1" applyNumberFormat="1" applyFont="1" applyBorder="1" applyAlignment="1">
      <alignment horizontal="left" vertical="top" wrapText="1"/>
    </xf>
    <xf numFmtId="0" fontId="34" fillId="10" borderId="4" xfId="1" applyNumberFormat="1" applyFont="1" applyFill="1" applyBorder="1" applyAlignment="1">
      <alignment horizontal="left" vertical="top" wrapText="1"/>
    </xf>
    <xf numFmtId="0" fontId="34" fillId="10" borderId="50" xfId="1" applyNumberFormat="1" applyFont="1" applyFill="1" applyBorder="1" applyAlignment="1">
      <alignment horizontal="center" vertical="center"/>
    </xf>
    <xf numFmtId="0" fontId="34" fillId="10" borderId="51" xfId="1" applyNumberFormat="1" applyFont="1" applyFill="1" applyBorder="1" applyAlignment="1">
      <alignment horizontal="left" vertical="top" wrapText="1"/>
    </xf>
    <xf numFmtId="0" fontId="34" fillId="0" borderId="50" xfId="1" applyNumberFormat="1" applyFont="1" applyBorder="1" applyAlignment="1">
      <alignment horizontal="center" vertical="center"/>
    </xf>
    <xf numFmtId="0" fontId="34" fillId="0" borderId="51" xfId="1" applyNumberFormat="1" applyFont="1" applyBorder="1" applyAlignment="1">
      <alignment horizontal="left" vertical="top" wrapText="1"/>
    </xf>
    <xf numFmtId="0" fontId="34" fillId="10" borderId="55" xfId="1" applyNumberFormat="1" applyFont="1" applyFill="1" applyBorder="1" applyAlignment="1">
      <alignment horizontal="center" vertical="center"/>
    </xf>
    <xf numFmtId="0" fontId="34" fillId="10" borderId="56" xfId="1" applyNumberFormat="1" applyFont="1" applyFill="1" applyBorder="1" applyAlignment="1">
      <alignment horizontal="left" vertical="top" wrapText="1"/>
    </xf>
    <xf numFmtId="0" fontId="34" fillId="0" borderId="52" xfId="1" applyNumberFormat="1" applyFont="1" applyBorder="1" applyAlignment="1">
      <alignment horizontal="center" vertical="center"/>
    </xf>
    <xf numFmtId="0" fontId="34" fillId="0" borderId="53" xfId="1" applyNumberFormat="1" applyFont="1" applyBorder="1" applyAlignment="1">
      <alignment horizontal="center" vertical="center"/>
    </xf>
    <xf numFmtId="3" fontId="35" fillId="0" borderId="53" xfId="1" applyNumberFormat="1" applyFont="1" applyBorder="1" applyAlignment="1">
      <alignment horizontal="center" vertical="center" shrinkToFit="1"/>
    </xf>
    <xf numFmtId="0" fontId="31" fillId="0" borderId="53" xfId="1" applyNumberFormat="1" applyFont="1" applyBorder="1" applyAlignment="1">
      <alignment horizontal="center" vertical="center" wrapText="1"/>
    </xf>
    <xf numFmtId="166" fontId="35" fillId="0" borderId="53" xfId="1" applyNumberFormat="1" applyFont="1" applyBorder="1" applyAlignment="1">
      <alignment horizontal="center" vertical="center" shrinkToFit="1"/>
    </xf>
    <xf numFmtId="0" fontId="34" fillId="0" borderId="54" xfId="1" applyNumberFormat="1" applyFont="1" applyBorder="1" applyAlignment="1">
      <alignment horizontal="left" vertical="top" wrapText="1"/>
    </xf>
    <xf numFmtId="0" fontId="34" fillId="10" borderId="52" xfId="1" applyNumberFormat="1" applyFont="1" applyFill="1" applyBorder="1" applyAlignment="1">
      <alignment horizontal="center" vertical="center"/>
    </xf>
    <xf numFmtId="0" fontId="34" fillId="10" borderId="53" xfId="1" applyNumberFormat="1" applyFont="1" applyFill="1" applyBorder="1" applyAlignment="1">
      <alignment horizontal="center" vertical="center"/>
    </xf>
    <xf numFmtId="3" fontId="31" fillId="10" borderId="53" xfId="1" applyNumberFormat="1" applyFont="1" applyFill="1" applyBorder="1" applyAlignment="1">
      <alignment horizontal="center" vertical="center" shrinkToFit="1"/>
    </xf>
    <xf numFmtId="0" fontId="31" fillId="10" borderId="53" xfId="1" applyNumberFormat="1" applyFont="1" applyFill="1" applyBorder="1" applyAlignment="1">
      <alignment horizontal="center" vertical="center" wrapText="1"/>
    </xf>
    <xf numFmtId="166" fontId="35" fillId="10" borderId="53" xfId="1" applyNumberFormat="1" applyFont="1" applyFill="1" applyBorder="1" applyAlignment="1">
      <alignment horizontal="center" vertical="center" shrinkToFit="1"/>
    </xf>
    <xf numFmtId="0" fontId="34" fillId="10" borderId="54" xfId="1" applyNumberFormat="1" applyFont="1" applyFill="1" applyBorder="1" applyAlignment="1">
      <alignment horizontal="left" vertical="top" wrapText="1"/>
    </xf>
    <xf numFmtId="3" fontId="35" fillId="10" borderId="53" xfId="1" applyNumberFormat="1" applyFont="1" applyFill="1" applyBorder="1" applyAlignment="1">
      <alignment horizontal="center" vertical="center" shrinkToFit="1"/>
    </xf>
    <xf numFmtId="3" fontId="31" fillId="0" borderId="53" xfId="1" applyNumberFormat="1" applyFont="1" applyBorder="1" applyAlignment="1">
      <alignment horizontal="center" vertical="center" shrinkToFit="1"/>
    </xf>
    <xf numFmtId="0" fontId="8" fillId="10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32" fillId="9" borderId="9" xfId="1" applyNumberFormat="1" applyFont="1" applyFill="1" applyBorder="1" applyAlignment="1">
      <alignment horizontal="left" vertical="top" wrapText="1"/>
    </xf>
    <xf numFmtId="0" fontId="32" fillId="0" borderId="9" xfId="1" applyFont="1" applyFill="1" applyBorder="1" applyAlignment="1">
      <alignment horizontal="left" vertical="top" wrapText="1"/>
    </xf>
    <xf numFmtId="0" fontId="32" fillId="0" borderId="9" xfId="1" applyNumberFormat="1" applyFont="1" applyBorder="1" applyAlignment="1">
      <alignment horizontal="left" vertical="top" wrapText="1"/>
    </xf>
    <xf numFmtId="0" fontId="37" fillId="0" borderId="9" xfId="1" applyNumberFormat="1" applyFont="1" applyFill="1" applyBorder="1" applyAlignment="1">
      <alignment horizontal="left" vertical="top" wrapText="1"/>
    </xf>
    <xf numFmtId="0" fontId="34" fillId="11" borderId="51" xfId="0" applyFont="1" applyFill="1" applyBorder="1" applyAlignment="1">
      <alignment horizontal="left" vertical="top" wrapText="1"/>
    </xf>
    <xf numFmtId="0" fontId="32" fillId="11" borderId="51" xfId="0" applyFont="1" applyFill="1" applyBorder="1" applyAlignment="1">
      <alignment horizontal="left" vertical="top" wrapText="1"/>
    </xf>
    <xf numFmtId="2" fontId="13" fillId="0" borderId="4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 wrapText="1"/>
    </xf>
    <xf numFmtId="2" fontId="11" fillId="0" borderId="3" xfId="0" applyNumberFormat="1" applyFont="1" applyBorder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3" fillId="0" borderId="9" xfId="1" applyNumberFormat="1" applyFont="1" applyFill="1" applyBorder="1" applyAlignment="1">
      <alignment horizontal="left" vertical="top" wrapText="1"/>
    </xf>
    <xf numFmtId="0" fontId="43" fillId="0" borderId="37" xfId="1" applyNumberFormat="1" applyFont="1" applyFill="1" applyBorder="1" applyAlignment="1">
      <alignment horizontal="left" vertical="top" wrapText="1"/>
    </xf>
    <xf numFmtId="0" fontId="46" fillId="0" borderId="7" xfId="1" applyNumberFormat="1" applyFont="1" applyBorder="1" applyAlignment="1">
      <alignment horizontal="center" vertical="center"/>
    </xf>
    <xf numFmtId="0" fontId="46" fillId="0" borderId="8" xfId="1" applyNumberFormat="1" applyFont="1" applyBorder="1" applyAlignment="1">
      <alignment horizontal="center" vertical="center"/>
    </xf>
    <xf numFmtId="0" fontId="43" fillId="0" borderId="6" xfId="1" applyNumberFormat="1" applyFont="1" applyFill="1" applyBorder="1" applyAlignment="1">
      <alignment horizontal="center" vertical="center"/>
    </xf>
    <xf numFmtId="0" fontId="43" fillId="0" borderId="4" xfId="1" applyNumberFormat="1" applyFont="1" applyFill="1" applyBorder="1" applyAlignment="1">
      <alignment horizontal="center" vertical="center"/>
    </xf>
    <xf numFmtId="0" fontId="45" fillId="0" borderId="4" xfId="1" applyNumberFormat="1" applyFont="1" applyFill="1" applyBorder="1" applyAlignment="1">
      <alignment horizontal="left" vertical="center" wrapText="1"/>
    </xf>
    <xf numFmtId="0" fontId="6" fillId="0" borderId="6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23" fillId="0" borderId="4" xfId="1" applyFont="1" applyFill="1" applyBorder="1" applyAlignment="1">
      <alignment horizontal="left" vertical="center" wrapText="1"/>
    </xf>
    <xf numFmtId="0" fontId="43" fillId="0" borderId="35" xfId="1" applyNumberFormat="1" applyFont="1" applyFill="1" applyBorder="1" applyAlignment="1">
      <alignment horizontal="center" vertical="center"/>
    </xf>
    <xf numFmtId="0" fontId="43" fillId="0" borderId="36" xfId="1" applyNumberFormat="1" applyFont="1" applyFill="1" applyBorder="1" applyAlignment="1">
      <alignment horizontal="center" vertical="center"/>
    </xf>
    <xf numFmtId="0" fontId="45" fillId="0" borderId="36" xfId="1" applyNumberFormat="1" applyFont="1" applyFill="1" applyBorder="1" applyAlignment="1">
      <alignment horizontal="left" vertical="center" wrapText="1"/>
    </xf>
    <xf numFmtId="3" fontId="44" fillId="0" borderId="4" xfId="1" applyNumberFormat="1" applyFont="1" applyFill="1" applyBorder="1" applyAlignment="1">
      <alignment horizontal="center" vertical="center" shrinkToFit="1"/>
    </xf>
    <xf numFmtId="166" fontId="44" fillId="0" borderId="4" xfId="1" applyNumberFormat="1" applyFont="1" applyFill="1" applyBorder="1" applyAlignment="1">
      <alignment horizontal="center" vertical="center" shrinkToFit="1"/>
    </xf>
    <xf numFmtId="3" fontId="25" fillId="0" borderId="4" xfId="1" applyNumberFormat="1" applyFont="1" applyFill="1" applyBorder="1" applyAlignment="1">
      <alignment horizontal="center" vertical="center" shrinkToFit="1"/>
    </xf>
    <xf numFmtId="166" fontId="25" fillId="0" borderId="4" xfId="1" applyNumberFormat="1" applyFont="1" applyFill="1" applyBorder="1" applyAlignment="1">
      <alignment horizontal="center" vertical="center" shrinkToFit="1"/>
    </xf>
    <xf numFmtId="3" fontId="44" fillId="0" borderId="36" xfId="1" applyNumberFormat="1" applyFont="1" applyFill="1" applyBorder="1" applyAlignment="1">
      <alignment horizontal="center" vertical="center" shrinkToFit="1"/>
    </xf>
    <xf numFmtId="166" fontId="44" fillId="0" borderId="36" xfId="1" applyNumberFormat="1" applyFont="1" applyFill="1" applyBorder="1" applyAlignment="1">
      <alignment horizontal="center" vertical="center" shrinkToFit="1"/>
    </xf>
    <xf numFmtId="0" fontId="6" fillId="0" borderId="9" xfId="1" applyNumberFormat="1" applyFont="1" applyFill="1" applyBorder="1" applyAlignment="1">
      <alignment horizontal="left" vertical="top" wrapText="1"/>
    </xf>
    <xf numFmtId="0" fontId="33" fillId="0" borderId="8" xfId="1" applyNumberFormat="1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24" fillId="0" borderId="9" xfId="1" applyFont="1" applyFill="1" applyBorder="1" applyAlignment="1">
      <alignment horizontal="left" vertical="top" wrapText="1"/>
    </xf>
    <xf numFmtId="0" fontId="43" fillId="10" borderId="4" xfId="1" applyNumberFormat="1" applyFont="1" applyFill="1" applyBorder="1" applyAlignment="1">
      <alignment horizontal="center" vertical="center"/>
    </xf>
    <xf numFmtId="3" fontId="44" fillId="10" borderId="4" xfId="1" applyNumberFormat="1" applyFont="1" applyFill="1" applyBorder="1" applyAlignment="1">
      <alignment horizontal="center" vertical="center" shrinkToFit="1"/>
    </xf>
    <xf numFmtId="0" fontId="45" fillId="10" borderId="4" xfId="1" applyNumberFormat="1" applyFont="1" applyFill="1" applyBorder="1" applyAlignment="1">
      <alignment horizontal="left" vertical="center" wrapText="1"/>
    </xf>
    <xf numFmtId="166" fontId="44" fillId="10" borderId="4" xfId="1" applyNumberFormat="1" applyFont="1" applyFill="1" applyBorder="1" applyAlignment="1">
      <alignment horizontal="center" vertical="center" shrinkToFit="1"/>
    </xf>
    <xf numFmtId="0" fontId="43" fillId="0" borderId="4" xfId="1" applyNumberFormat="1" applyFont="1" applyBorder="1" applyAlignment="1">
      <alignment horizontal="center" vertical="center"/>
    </xf>
    <xf numFmtId="3" fontId="44" fillId="0" borderId="4" xfId="1" applyNumberFormat="1" applyFont="1" applyBorder="1" applyAlignment="1">
      <alignment horizontal="center" vertical="center" shrinkToFit="1"/>
    </xf>
    <xf numFmtId="0" fontId="45" fillId="0" borderId="4" xfId="1" applyNumberFormat="1" applyFont="1" applyBorder="1" applyAlignment="1">
      <alignment horizontal="left" vertical="center" wrapText="1"/>
    </xf>
    <xf numFmtId="166" fontId="44" fillId="0" borderId="4" xfId="1" applyNumberFormat="1" applyFont="1" applyBorder="1" applyAlignment="1">
      <alignment horizontal="center" vertical="center" shrinkToFit="1"/>
    </xf>
    <xf numFmtId="0" fontId="6" fillId="0" borderId="4" xfId="1" applyNumberFormat="1" applyFont="1" applyBorder="1" applyAlignment="1">
      <alignment horizontal="center" vertical="center"/>
    </xf>
    <xf numFmtId="3" fontId="25" fillId="0" borderId="4" xfId="1" applyNumberFormat="1" applyFont="1" applyBorder="1" applyAlignment="1">
      <alignment horizontal="center" vertical="center" shrinkToFit="1"/>
    </xf>
    <xf numFmtId="0" fontId="23" fillId="0" borderId="4" xfId="1" applyNumberFormat="1" applyFont="1" applyBorder="1" applyAlignment="1">
      <alignment horizontal="left" vertical="center" wrapText="1"/>
    </xf>
    <xf numFmtId="166" fontId="25" fillId="0" borderId="4" xfId="1" applyNumberFormat="1" applyFont="1" applyBorder="1" applyAlignment="1">
      <alignment horizontal="center" vertical="center" shrinkToFit="1"/>
    </xf>
    <xf numFmtId="0" fontId="6" fillId="10" borderId="4" xfId="1" applyNumberFormat="1" applyFont="1" applyFill="1" applyBorder="1" applyAlignment="1">
      <alignment horizontal="center" vertical="center"/>
    </xf>
    <xf numFmtId="3" fontId="25" fillId="10" borderId="4" xfId="1" applyNumberFormat="1" applyFont="1" applyFill="1" applyBorder="1" applyAlignment="1">
      <alignment horizontal="center" vertical="center" shrinkToFit="1"/>
    </xf>
    <xf numFmtId="0" fontId="23" fillId="10" borderId="4" xfId="1" applyNumberFormat="1" applyFont="1" applyFill="1" applyBorder="1" applyAlignment="1">
      <alignment horizontal="left" vertical="center" wrapText="1"/>
    </xf>
    <xf numFmtId="166" fontId="25" fillId="10" borderId="4" xfId="1" applyNumberFormat="1" applyFont="1" applyFill="1" applyBorder="1" applyAlignment="1">
      <alignment horizontal="center" vertical="center" shrinkToFit="1"/>
    </xf>
    <xf numFmtId="166" fontId="37" fillId="0" borderId="0" xfId="0" applyNumberFormat="1" applyFont="1" applyAlignment="1">
      <alignment horizontal="center" vertical="center"/>
    </xf>
    <xf numFmtId="166" fontId="37" fillId="0" borderId="0" xfId="0" applyNumberFormat="1" applyFont="1"/>
    <xf numFmtId="0" fontId="19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43" fillId="10" borderId="50" xfId="1" applyNumberFormat="1" applyFont="1" applyFill="1" applyBorder="1" applyAlignment="1">
      <alignment horizontal="center" vertical="center"/>
    </xf>
    <xf numFmtId="0" fontId="43" fillId="0" borderId="50" xfId="1" applyNumberFormat="1" applyFont="1" applyBorder="1" applyAlignment="1">
      <alignment horizontal="center" vertical="center"/>
    </xf>
    <xf numFmtId="0" fontId="6" fillId="0" borderId="50" xfId="1" applyNumberFormat="1" applyFont="1" applyBorder="1" applyAlignment="1">
      <alignment horizontal="center" vertical="center"/>
    </xf>
    <xf numFmtId="0" fontId="6" fillId="10" borderId="50" xfId="1" applyNumberFormat="1" applyFont="1" applyFill="1" applyBorder="1" applyAlignment="1">
      <alignment horizontal="center" vertical="center"/>
    </xf>
    <xf numFmtId="0" fontId="6" fillId="10" borderId="52" xfId="1" applyNumberFormat="1" applyFont="1" applyFill="1" applyBorder="1" applyAlignment="1">
      <alignment horizontal="center" vertical="center"/>
    </xf>
    <xf numFmtId="0" fontId="6" fillId="10" borderId="53" xfId="1" applyNumberFormat="1" applyFont="1" applyFill="1" applyBorder="1" applyAlignment="1">
      <alignment horizontal="center" vertical="center"/>
    </xf>
    <xf numFmtId="3" fontId="25" fillId="10" borderId="53" xfId="1" applyNumberFormat="1" applyFont="1" applyFill="1" applyBorder="1" applyAlignment="1">
      <alignment horizontal="center" vertical="center" shrinkToFit="1"/>
    </xf>
    <xf numFmtId="0" fontId="23" fillId="10" borderId="53" xfId="1" applyNumberFormat="1" applyFont="1" applyFill="1" applyBorder="1" applyAlignment="1">
      <alignment horizontal="left" vertical="center" wrapText="1"/>
    </xf>
    <xf numFmtId="166" fontId="25" fillId="10" borderId="53" xfId="1" applyNumberFormat="1" applyFont="1" applyFill="1" applyBorder="1" applyAlignment="1">
      <alignment horizontal="center" vertical="center" shrinkToFit="1"/>
    </xf>
    <xf numFmtId="3" fontId="44" fillId="0" borderId="36" xfId="1" applyNumberFormat="1" applyFont="1" applyBorder="1" applyAlignment="1">
      <alignment horizontal="center" vertical="center" shrinkToFit="1"/>
    </xf>
    <xf numFmtId="0" fontId="45" fillId="0" borderId="36" xfId="1" applyNumberFormat="1" applyFont="1" applyBorder="1" applyAlignment="1">
      <alignment horizontal="left" vertical="center" wrapText="1"/>
    </xf>
    <xf numFmtId="166" fontId="44" fillId="0" borderId="36" xfId="1" applyNumberFormat="1" applyFont="1" applyBorder="1" applyAlignment="1">
      <alignment horizontal="center" vertical="center" shrinkToFit="1"/>
    </xf>
    <xf numFmtId="3" fontId="44" fillId="10" borderId="53" xfId="1" applyNumberFormat="1" applyFont="1" applyFill="1" applyBorder="1" applyAlignment="1">
      <alignment horizontal="center" vertical="center" shrinkToFit="1"/>
    </xf>
    <xf numFmtId="0" fontId="45" fillId="10" borderId="53" xfId="1" applyNumberFormat="1" applyFont="1" applyFill="1" applyBorder="1" applyAlignment="1">
      <alignment horizontal="left" vertical="center" wrapText="1"/>
    </xf>
    <xf numFmtId="166" fontId="44" fillId="10" borderId="53" xfId="1" applyNumberFormat="1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right" vertical="center" wrapText="1"/>
    </xf>
    <xf numFmtId="0" fontId="6" fillId="0" borderId="3" xfId="0" applyFont="1" applyFill="1" applyBorder="1" applyAlignment="1">
      <alignment horizontal="center" vertical="center" wrapText="1"/>
    </xf>
    <xf numFmtId="164" fontId="6" fillId="0" borderId="4" xfId="0" applyNumberFormat="1" applyFont="1" applyFill="1" applyBorder="1" applyAlignment="1">
      <alignment horizontal="center" vertical="center"/>
    </xf>
    <xf numFmtId="0" fontId="25" fillId="13" borderId="3" xfId="0" applyFont="1" applyFill="1" applyBorder="1" applyAlignment="1">
      <alignment vertical="center" wrapText="1"/>
    </xf>
    <xf numFmtId="0" fontId="6" fillId="13" borderId="3" xfId="0" applyFont="1" applyFill="1" applyBorder="1" applyAlignment="1">
      <alignment horizontal="center" vertical="center" wrapText="1"/>
    </xf>
    <xf numFmtId="167" fontId="6" fillId="13" borderId="4" xfId="0" applyNumberFormat="1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vertical="center" wrapText="1"/>
    </xf>
    <xf numFmtId="167" fontId="6" fillId="0" borderId="4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/>
    </xf>
    <xf numFmtId="0" fontId="47" fillId="0" borderId="0" xfId="0" applyFont="1"/>
    <xf numFmtId="164" fontId="6" fillId="0" borderId="3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2" fontId="6" fillId="0" borderId="3" xfId="0" applyNumberFormat="1" applyFont="1" applyFill="1" applyBorder="1" applyAlignment="1">
      <alignment horizontal="center" vertical="center"/>
    </xf>
    <xf numFmtId="0" fontId="25" fillId="0" borderId="30" xfId="0" applyFont="1" applyFill="1" applyBorder="1" applyAlignment="1">
      <alignment horizontal="right" vertical="center" wrapText="1"/>
    </xf>
    <xf numFmtId="0" fontId="25" fillId="0" borderId="2" xfId="0" applyFont="1" applyFill="1" applyBorder="1" applyAlignment="1">
      <alignment horizontal="right" vertical="center" wrapText="1"/>
    </xf>
    <xf numFmtId="0" fontId="25" fillId="0" borderId="30" xfId="0" applyFont="1" applyFill="1" applyBorder="1" applyAlignment="1">
      <alignment vertical="center" wrapText="1"/>
    </xf>
    <xf numFmtId="0" fontId="25" fillId="0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60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12" fillId="4" borderId="4" xfId="0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5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1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6" formatCode="0.0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6" formatCode="0.0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name val="ГОСТ тип А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ГОСТ тип А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ГОСТ тип А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ГОСТ тип А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ГОСТ тип А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ГОСТ тип А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ГОСТ тип А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numFmt numFmtId="164" formatCode="#,##0.0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ГОСТ тип А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numFmt numFmtId="164" formatCode="#,##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numFmt numFmtId="164" formatCode="#,##0.0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ГОСТ тип А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ГОСТ тип А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ables/table1.xml><?xml version="1.0" encoding="utf-8"?>
<table xmlns="http://schemas.openxmlformats.org/spreadsheetml/2006/main" id="1" name="Таблица1" displayName="Таблица1" ref="A5:S282" totalsRowShown="0" headerRowDxfId="155" dataDxfId="154" tableBorderDxfId="153">
  <autoFilter ref="A5:S282"/>
  <tableColumns count="19">
    <tableColumn id="1" name="Номер п/п" dataDxfId="152"/>
    <tableColumn id="2" name="Код узла ИСР" dataDxfId="151"/>
    <tableColumn id="3" name="Наименование затрат" dataDxfId="150"/>
    <tableColumn id="4" name="Комментарий по ИСР" dataDxfId="149"/>
    <tableColumn id="5" name="Комментарий подрядчика" dataDxfId="148"/>
    <tableColumn id="6" name="Ед. изм." dataDxfId="147"/>
    <tableColumn id="7" name="Коэф.расхода" dataDxfId="146"/>
    <tableColumn id="8" name="Общее кол-во" dataDxfId="145"/>
    <tableColumn id="19" name="Сумма" dataDxfId="144"/>
    <tableColumn id="9" name="1.1-Ст" dataDxfId="143"/>
    <tableColumn id="10" name="1.2-Ст" dataDxfId="142"/>
    <tableColumn id="11" name="1.3-Ст" dataDxfId="141"/>
    <tableColumn id="12" name="1.4-Ст" dataDxfId="140"/>
    <tableColumn id="13" name="1.5-Ст" dataDxfId="139"/>
    <tableColumn id="14" name="2.1-Ст2" dataDxfId="138"/>
    <tableColumn id="15" name="2.2-Ст" dataDxfId="137"/>
    <tableColumn id="16" name="2.3-Ст" dataDxfId="136"/>
    <tableColumn id="17" name="2.4-Ст" dataDxfId="135"/>
    <tableColumn id="18" name="2.5-Ст" dataDxfId="13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13" name="Таблица414" displayName="Таблица414" ref="A1:F125" totalsRowShown="0" headerRowDxfId="133" headerRowBorderDxfId="132" tableBorderDxfId="131" totalsRowBorderDxfId="130">
  <autoFilter ref="A1:F125">
    <filterColumn colId="0">
      <filters>
        <filter val="1"/>
      </filters>
    </filterColumn>
    <filterColumn colId="1">
      <filters>
        <filter val="3"/>
      </filters>
    </filterColumn>
  </autoFilter>
  <sortState ref="A2:F46">
    <sortCondition ref="C1:C46"/>
  </sortState>
  <tableColumns count="6">
    <tableColumn id="1" name="Этаж" dataDxfId="129" dataCellStyle="Обычный 2"/>
    <tableColumn id="2" name="Секция" dataDxfId="128" dataCellStyle="Обычный 2"/>
    <tableColumn id="3" name="№ помеще_x000a_ния" dataDxfId="127" dataCellStyle="Обычный 2"/>
    <tableColumn id="4" name="Марка" dataDxfId="126" dataCellStyle="Обычный 2"/>
    <tableColumn id="5" name="Площадь" dataDxfId="125" dataCellStyle="Обычный 2"/>
    <tableColumn id="6" name="Примечание" dataDxfId="124" dataCellStyle="Обычный 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2" name="Таблица2" displayName="Таблица2" ref="A2:H25" totalsRowShown="0" headerRowDxfId="123" dataDxfId="121" headerRowBorderDxfId="122" tableBorderDxfId="120">
  <autoFilter ref="A2:H25"/>
  <sortState ref="A3:H25">
    <sortCondition ref="B2:B25"/>
  </sortState>
  <tableColumns count="8">
    <tableColumn id="1" name="Номер п/п" dataDxfId="119"/>
    <tableColumn id="3" name="Секция" dataDxfId="118"/>
    <tableColumn id="2" name="Этаж" dataDxfId="117"/>
    <tableColumn id="4" name="Тип" dataDxfId="116"/>
    <tableColumn id="5" name="шт." dataDxfId="115"/>
    <tableColumn id="6" name="кг/1шт" dataDxfId="114"/>
    <tableColumn id="7" name="Ед. изм." dataDxfId="113"/>
    <tableColumn id="8" name="Общее кол-во" dataDxfId="112">
      <calculatedColumnFormula>E3*F3/1000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3" name="Таблица3" displayName="Таблица3" ref="A1:G918" totalsRowShown="0" headerRowDxfId="111" dataDxfId="109" headerRowBorderDxfId="110" tableBorderDxfId="108" totalsRowBorderDxfId="107">
  <autoFilter ref="A1:G918"/>
  <tableColumns count="7">
    <tableColumn id="1" name="Этаж" dataDxfId="106" dataCellStyle="Обычный 2"/>
    <tableColumn id="2" name="Секция" dataDxfId="105" dataCellStyle="Обычный 2"/>
    <tableColumn id="3" name="№ помеще_x000a_ния" dataDxfId="104" dataCellStyle="Обычный 2"/>
    <tableColumn id="4" name="Марка" dataDxfId="103" dataCellStyle="Обычный 2"/>
    <tableColumn id="5" name="Площадь" dataDxfId="102" dataCellStyle="Обычный 2"/>
    <tableColumn id="6" name="Примечание" dataDxfId="101" dataCellStyle="Обычный 2"/>
    <tableColumn id="7" name="Состав  отделки" dataDxfId="100" dataCellStyle="Обычный 2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id="11" name="Таблица11" displayName="Таблица11" ref="A2:I16" totalsRowShown="0" headerRowDxfId="99" dataDxfId="98" tableBorderDxfId="97">
  <tableColumns count="9">
    <tableColumn id="1" name="Секция" dataDxfId="96"/>
    <tableColumn id="2" name="1" dataDxfId="95">
      <calculatedColumnFormula>SUMIF(Таблица4[Марка],A3,Таблица4[Площадь])</calculatedColumnFormula>
    </tableColumn>
    <tableColumn id="3" name="3" dataDxfId="94">
      <calculatedColumnFormula>SUMIF(Таблица46[Марка],A3,Таблица46[Площадь])</calculatedColumnFormula>
    </tableColumn>
    <tableColumn id="4" name="1с " dataDxfId="93">
      <calculatedColumnFormula>SUMIF(Таблица467[Марка],A3,Таблица467[Площадь])</calculatedColumnFormula>
    </tableColumn>
    <tableColumn id="5" name="3с" dataDxfId="92">
      <calculatedColumnFormula>SUMIF(Таблица4678[Марка],A3,Таблица4678[Площадь])</calculatedColumnFormula>
    </tableColumn>
    <tableColumn id="6" name="1 с " dataDxfId="91">
      <calculatedColumnFormula>SUMIF(Таблица46789[Марка],A3,Таблица46789[Площадь])</calculatedColumnFormula>
    </tableColumn>
    <tableColumn id="7" name="3 с" dataDxfId="90">
      <calculatedColumnFormula>SUMIF(Таблица4678910[Марка],A3,Таблица4678910[Площадь])</calculatedColumnFormula>
    </tableColumn>
    <tableColumn id="8" name="3  с" dataDxfId="89">
      <calculatedColumnFormula>SUMIF(Таблица467891011[Марка],A3,Таблица467891011[Площадь])</calculatedColumnFormula>
    </tableColumn>
    <tableColumn id="9" name="Итог:" dataDxfId="88">
      <calculatedColumnFormula>SUM(B3:H3)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12" name="Таблица1113" displayName="Таблица1113" ref="A2:I19" totalsRowShown="0" headerRowDxfId="87" dataDxfId="86" tableBorderDxfId="85">
  <autoFilter ref="A2:I19"/>
  <tableColumns count="9">
    <tableColumn id="1" name="Секция" dataDxfId="84"/>
    <tableColumn id="2" name="1" dataDxfId="83">
      <calculatedColumnFormula>SUMIF(Таблица4[Марка],A3,Таблица4[Площадь])</calculatedColumnFormula>
    </tableColumn>
    <tableColumn id="3" name="3" dataDxfId="82">
      <calculatedColumnFormula>SUMIF(Таблица46[Марка],A3,Таблица46[Площадь])</calculatedColumnFormula>
    </tableColumn>
    <tableColumn id="4" name="12" dataDxfId="81">
      <calculatedColumnFormula>SUMIF(Таблица467[Марка],A3,Таблица467[Площадь])</calculatedColumnFormula>
    </tableColumn>
    <tableColumn id="5" name="33" dataDxfId="80">
      <calculatedColumnFormula>SUMIF(Таблица4678[Марка],A3,Таблица4678[Площадь])</calculatedColumnFormula>
    </tableColumn>
    <tableColumn id="6" name="14" dataDxfId="79">
      <calculatedColumnFormula>SUMIF(Таблица46789[Марка],A3,Таблица46789[Площадь])</calculatedColumnFormula>
    </tableColumn>
    <tableColumn id="7" name="35" dataDxfId="78">
      <calculatedColumnFormula>SUMIF(Таблица4678910[Марка],A3,Таблица4678910[Площадь])</calculatedColumnFormula>
    </tableColumn>
    <tableColumn id="8" name="36" dataDxfId="77">
      <calculatedColumnFormula>SUMIF(Таблица467891011[Марка],A3,Таблица467891011[Площадь])</calculatedColumnFormula>
    </tableColumn>
    <tableColumn id="9" name="Итог:" dataDxfId="76">
      <calculatedColumnFormula>SUM(B3:H3)</calculatedColumnFormula>
    </tableColumn>
  </tableColumns>
  <tableStyleInfo name="TableStyleLight6" showFirstColumn="0" showLastColumn="0" showRowStripes="1" showColumnStripes="0"/>
</table>
</file>

<file path=xl/tables/table7.xml><?xml version="1.0" encoding="utf-8"?>
<table xmlns="http://schemas.openxmlformats.org/spreadsheetml/2006/main" id="4" name="Таблица4" displayName="Таблица4" ref="A1:F37" totalsRowShown="0" dataDxfId="74" headerRowBorderDxfId="75" tableBorderDxfId="73" totalsRowBorderDxfId="72">
  <autoFilter ref="A1:F37"/>
  <sortState ref="A2:F46">
    <sortCondition ref="C1:C46"/>
  </sortState>
  <tableColumns count="6">
    <tableColumn id="1" name="Этаж" dataDxfId="71" dataCellStyle="Обычный 2"/>
    <tableColumn id="2" name="Секция" dataDxfId="70" dataCellStyle="Обычный 2"/>
    <tableColumn id="3" name="№ помеще_x000a_ния" dataDxfId="69" dataCellStyle="Обычный 2"/>
    <tableColumn id="4" name="Марка" dataDxfId="68" dataCellStyle="Обычный 2"/>
    <tableColumn id="5" name="Площадь" dataDxfId="67" dataCellStyle="Обычный 2"/>
    <tableColumn id="6" name="Примечание" dataDxfId="66" dataCellStyle="Обычный 2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5" name="Таблица46" displayName="Таблица46" ref="A1:F29" totalsRowShown="0" headerRowDxfId="65" dataDxfId="63" headerRowBorderDxfId="64" tableBorderDxfId="62" totalsRowBorderDxfId="61">
  <autoFilter ref="A1:F29"/>
  <tableColumns count="6">
    <tableColumn id="1" name="Этаж" dataDxfId="60" dataCellStyle="Обычный 2"/>
    <tableColumn id="2" name="Секция" dataDxfId="59" dataCellStyle="Обычный 2"/>
    <tableColumn id="3" name="№ помеще_x000a_ния" dataDxfId="58" dataCellStyle="Обычный 2"/>
    <tableColumn id="4" name="Марка" dataDxfId="57" dataCellStyle="Обычный 2"/>
    <tableColumn id="5" name="Площадь" dataDxfId="56" dataCellStyle="Обычный 2"/>
    <tableColumn id="6" name="Примечание" dataDxfId="55" dataCellStyle="Обычный 2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6" name="Таблица467" displayName="Таблица467" ref="A1:F31" totalsRowShown="0" headerRowDxfId="54" dataDxfId="52" headerRowBorderDxfId="53" tableBorderDxfId="51" totalsRowBorderDxfId="50">
  <autoFilter ref="A1:F31"/>
  <sortState ref="A2:F39">
    <sortCondition ref="C1:C39"/>
  </sortState>
  <tableColumns count="6">
    <tableColumn id="1" name="Этаж" dataDxfId="49" dataCellStyle="Обычный 2"/>
    <tableColumn id="2" name="Секция" dataDxfId="48" dataCellStyle="Обычный 2"/>
    <tableColumn id="3" name="№ помеще_x000a_ния" dataDxfId="47" dataCellStyle="Обычный 2"/>
    <tableColumn id="4" name="Марка" dataDxfId="46" dataCellStyle="Обычный 2"/>
    <tableColumn id="5" name="Площадь" dataDxfId="45" dataCellStyle="Обычный 2"/>
    <tableColumn id="6" name="Примечание" dataDxfId="44" dataCellStyle="Обычный 2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7" name="Таблица4678" displayName="Таблица4678" ref="A1:F31" totalsRowShown="0" headerRowDxfId="43" dataDxfId="41" headerRowBorderDxfId="42" tableBorderDxfId="40" totalsRowBorderDxfId="39">
  <autoFilter ref="A1:F31"/>
  <sortState ref="A2:F38">
    <sortCondition ref="C1:C38"/>
  </sortState>
  <tableColumns count="6">
    <tableColumn id="1" name="Этаж" dataDxfId="38" dataCellStyle="Обычный 2"/>
    <tableColumn id="2" name="Секция" dataDxfId="37" dataCellStyle="Обычный 2"/>
    <tableColumn id="3" name="№ помеще_x000a_ния" dataDxfId="36" dataCellStyle="Обычный"/>
    <tableColumn id="4" name="Марка" dataDxfId="35" dataCellStyle="Обычный 2"/>
    <tableColumn id="5" name="Площадь" dataDxfId="34" dataCellStyle="Обычный 2"/>
    <tableColumn id="6" name="Примечание" dataDxfId="33" dataCellStyle="Обычный 2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8" name="Таблица46789" displayName="Таблица46789" ref="A1:F9" totalsRowShown="0" headerRowDxfId="32" dataDxfId="30" headerRowBorderDxfId="31" tableBorderDxfId="29" totalsRowBorderDxfId="28">
  <autoFilter ref="A1:F9"/>
  <tableColumns count="6">
    <tableColumn id="1" name="Этаж" dataDxfId="27" dataCellStyle="Обычный 2"/>
    <tableColumn id="2" name="Секция" dataDxfId="26" dataCellStyle="Обычный 2"/>
    <tableColumn id="3" name="№ помеще_x000a_ния" dataDxfId="25" dataCellStyle="Обычный 2"/>
    <tableColumn id="4" name="Марка" dataDxfId="24" dataCellStyle="Обычный 2"/>
    <tableColumn id="5" name="Площадь" dataDxfId="23" dataCellStyle="Обычный 2"/>
    <tableColumn id="6" name="Примечание" dataDxfId="22" dataCellStyle="Обычный 2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9" name="Таблица4678910" displayName="Таблица4678910" ref="A1:F25" totalsRowShown="0" headerRowDxfId="21" dataDxfId="19" headerRowBorderDxfId="20" tableBorderDxfId="18" totalsRowBorderDxfId="17">
  <autoFilter ref="A1:F25"/>
  <sortState ref="A2:F29">
    <sortCondition ref="C1:C29"/>
  </sortState>
  <tableColumns count="6">
    <tableColumn id="1" name="Этаж" dataDxfId="16" dataCellStyle="Обычный 2"/>
    <tableColumn id="2" name="Секция" dataDxfId="15" dataCellStyle="Обычный 2"/>
    <tableColumn id="3" name="№ помеще_x000a_ния" dataDxfId="14" dataCellStyle="Обычный 2"/>
    <tableColumn id="4" name="Марка" dataDxfId="13" dataCellStyle="Обычный 2"/>
    <tableColumn id="5" name="Площадь" dataDxfId="12" dataCellStyle="Обычный 2"/>
    <tableColumn id="6" name="Примечание" dataDxfId="11" dataCellStyle="Обычный 2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10" name="Таблица467891011" displayName="Таблица467891011" ref="A1:F35" totalsRowShown="0" headerRowDxfId="10" dataDxfId="8" headerRowBorderDxfId="9" tableBorderDxfId="7" totalsRowBorderDxfId="6">
  <autoFilter ref="A1:F35"/>
  <sortState ref="A2:F41">
    <sortCondition ref="C1:C41"/>
  </sortState>
  <tableColumns count="6">
    <tableColumn id="1" name="Этаж" dataDxfId="5" dataCellStyle="Обычный 2"/>
    <tableColumn id="2" name="Секция" dataDxfId="4" dataCellStyle="Обычный 2"/>
    <tableColumn id="3" name="№ помеще_x000a_ния" dataDxfId="3" dataCellStyle="Обычный 2"/>
    <tableColumn id="4" name="Марка" dataDxfId="2" dataCellStyle="Обычный 2"/>
    <tableColumn id="5" name="Площадь" dataDxfId="1" dataCellStyle="Обычный 2"/>
    <tableColumn id="6" name="Примечание" dataDxfId="0" dataCellStyle="Обычный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F6"/>
  <sheetViews>
    <sheetView workbookViewId="0">
      <selection activeCell="D16" sqref="D16"/>
    </sheetView>
  </sheetViews>
  <sheetFormatPr defaultRowHeight="14.4" x14ac:dyDescent="0.3"/>
  <cols>
    <col min="1" max="1" width="8" customWidth="1"/>
    <col min="2" max="2" width="15.88671875" customWidth="1"/>
    <col min="3" max="3" width="20.5546875" customWidth="1"/>
    <col min="4" max="4" width="32.88671875" customWidth="1"/>
    <col min="5" max="5" width="8.77734375" customWidth="1"/>
    <col min="6" max="6" width="8" customWidth="1"/>
  </cols>
  <sheetData>
    <row r="1" spans="1:6" ht="15.6" x14ac:dyDescent="0.3">
      <c r="A1" s="353" t="s">
        <v>736</v>
      </c>
      <c r="B1" s="368" t="s">
        <v>737</v>
      </c>
      <c r="C1" s="369"/>
      <c r="D1" s="356" t="s">
        <v>228</v>
      </c>
      <c r="E1" s="353" t="s">
        <v>14</v>
      </c>
      <c r="F1" s="357" t="s">
        <v>738</v>
      </c>
    </row>
    <row r="2" spans="1:6" ht="64.2" customHeight="1" x14ac:dyDescent="0.3">
      <c r="A2" s="353">
        <v>2</v>
      </c>
      <c r="B2" s="370" t="s">
        <v>119</v>
      </c>
      <c r="C2" s="371"/>
      <c r="D2" s="356" t="s">
        <v>805</v>
      </c>
      <c r="E2" s="353" t="s">
        <v>23</v>
      </c>
      <c r="F2" s="362">
        <f>C5+C6</f>
        <v>383.86699999999996</v>
      </c>
    </row>
    <row r="3" spans="1:6" x14ac:dyDescent="0.3">
      <c r="A3" s="372"/>
      <c r="B3" s="372"/>
      <c r="C3" s="372"/>
      <c r="D3" s="372"/>
      <c r="E3" s="372"/>
      <c r="F3" s="372"/>
    </row>
    <row r="4" spans="1:6" ht="15.6" x14ac:dyDescent="0.3">
      <c r="A4" s="353" t="s">
        <v>736</v>
      </c>
      <c r="B4" s="353" t="s">
        <v>806</v>
      </c>
      <c r="C4" s="353" t="s">
        <v>807</v>
      </c>
      <c r="D4" s="373"/>
      <c r="E4" s="372"/>
      <c r="F4" s="372"/>
    </row>
    <row r="5" spans="1:6" ht="15.6" x14ac:dyDescent="0.3">
      <c r="A5" s="353">
        <v>1</v>
      </c>
      <c r="B5" s="353" t="s">
        <v>809</v>
      </c>
      <c r="C5" s="367">
        <f>43.18*3.15-2.1*1.6-1</f>
        <v>131.65699999999998</v>
      </c>
      <c r="D5" s="373"/>
      <c r="E5" s="372"/>
      <c r="F5" s="372"/>
    </row>
    <row r="6" spans="1:6" ht="15.6" x14ac:dyDescent="0.3">
      <c r="A6" s="353">
        <v>2</v>
      </c>
      <c r="B6" s="353" t="s">
        <v>808</v>
      </c>
      <c r="C6" s="367">
        <f>81.9*3.15-1.2*2.1-2.1*1.55</f>
        <v>252.21</v>
      </c>
      <c r="D6" s="373"/>
      <c r="E6" s="372"/>
      <c r="F6" s="372"/>
    </row>
  </sheetData>
  <mergeCells count="4">
    <mergeCell ref="B1:C1"/>
    <mergeCell ref="B2:C2"/>
    <mergeCell ref="A3:F3"/>
    <mergeCell ref="D4:F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282"/>
  <sheetViews>
    <sheetView topLeftCell="A43" zoomScale="70" zoomScaleNormal="70" workbookViewId="0">
      <selection activeCell="E48" sqref="E48"/>
    </sheetView>
  </sheetViews>
  <sheetFormatPr defaultRowHeight="21" x14ac:dyDescent="0.3"/>
  <cols>
    <col min="1" max="1" width="15.88671875" style="4" customWidth="1"/>
    <col min="2" max="2" width="15.5546875" style="4" customWidth="1"/>
    <col min="3" max="3" width="55.6640625" style="4" customWidth="1"/>
    <col min="4" max="4" width="11.33203125" style="4" customWidth="1"/>
    <col min="5" max="5" width="44.77734375" style="4" customWidth="1"/>
    <col min="6" max="6" width="13.44140625" style="4" customWidth="1"/>
    <col min="7" max="7" width="15.21875" style="4" customWidth="1"/>
    <col min="8" max="9" width="16.77734375" style="4" customWidth="1"/>
    <col min="10" max="10" width="10.88671875" style="91" customWidth="1"/>
    <col min="11" max="15" width="11.33203125" style="91" customWidth="1"/>
    <col min="16" max="19" width="8.88671875" style="91"/>
    <col min="20" max="16384" width="8.88671875" style="4"/>
  </cols>
  <sheetData>
    <row r="1" spans="1:19" ht="15" customHeight="1" x14ac:dyDescent="0.3">
      <c r="A1" s="1" t="s">
        <v>0</v>
      </c>
      <c r="B1" s="2"/>
      <c r="C1" s="2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/>
    </row>
    <row r="2" spans="1:19" ht="30.75" customHeight="1" x14ac:dyDescent="0.3">
      <c r="A2" s="374" t="s">
        <v>6</v>
      </c>
      <c r="B2" s="374"/>
      <c r="C2" s="374"/>
      <c r="D2" s="374"/>
      <c r="E2" s="374"/>
      <c r="F2" s="374"/>
      <c r="G2" s="374"/>
      <c r="H2" s="374"/>
      <c r="I2" s="47"/>
    </row>
    <row r="3" spans="1:19" ht="15" customHeight="1" x14ac:dyDescent="0.3">
      <c r="A3" s="375" t="s">
        <v>7</v>
      </c>
      <c r="B3" s="375"/>
      <c r="C3" s="375"/>
      <c r="D3" s="375"/>
      <c r="E3" s="375"/>
      <c r="F3" s="375"/>
      <c r="G3" s="375"/>
      <c r="H3" s="375"/>
      <c r="I3" s="48"/>
    </row>
    <row r="4" spans="1:19" ht="15" customHeight="1" thickBot="1" x14ac:dyDescent="0.35">
      <c r="A4" s="376" t="s">
        <v>8</v>
      </c>
      <c r="B4" s="376"/>
      <c r="C4" s="376"/>
      <c r="D4" s="376"/>
      <c r="E4" s="376"/>
      <c r="F4" s="376"/>
      <c r="G4" s="376"/>
      <c r="H4" s="376"/>
      <c r="I4" s="49"/>
    </row>
    <row r="5" spans="1:19" ht="18.600000000000001" customHeight="1" thickBot="1" x14ac:dyDescent="0.35">
      <c r="A5" s="5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71" t="s">
        <v>16</v>
      </c>
      <c r="I5" s="74" t="s">
        <v>735</v>
      </c>
      <c r="J5" s="92" t="s">
        <v>287</v>
      </c>
      <c r="K5" s="93" t="s">
        <v>288</v>
      </c>
      <c r="L5" s="93" t="s">
        <v>289</v>
      </c>
      <c r="M5" s="93" t="s">
        <v>290</v>
      </c>
      <c r="N5" s="93" t="s">
        <v>291</v>
      </c>
      <c r="O5" s="93" t="s">
        <v>292</v>
      </c>
      <c r="P5" s="93" t="s">
        <v>293</v>
      </c>
      <c r="Q5" s="93" t="s">
        <v>294</v>
      </c>
      <c r="R5" s="93" t="s">
        <v>295</v>
      </c>
      <c r="S5" s="94" t="s">
        <v>296</v>
      </c>
    </row>
    <row r="6" spans="1:19" ht="16.95" customHeight="1" x14ac:dyDescent="0.3">
      <c r="A6" s="64" t="s">
        <v>17</v>
      </c>
      <c r="B6" s="64" t="s">
        <v>18</v>
      </c>
      <c r="C6" s="65" t="s">
        <v>19</v>
      </c>
      <c r="D6" s="65"/>
      <c r="E6" s="65"/>
      <c r="F6" s="65"/>
      <c r="G6" s="65"/>
      <c r="H6" s="72"/>
      <c r="I6" s="228"/>
      <c r="J6" s="95"/>
      <c r="K6" s="96"/>
      <c r="L6" s="96"/>
      <c r="M6" s="96"/>
      <c r="N6" s="96"/>
      <c r="O6" s="96"/>
      <c r="P6" s="96"/>
      <c r="Q6" s="96"/>
      <c r="R6" s="96"/>
      <c r="S6" s="97"/>
    </row>
    <row r="7" spans="1:19" x14ac:dyDescent="0.3">
      <c r="A7" s="64" t="s">
        <v>20</v>
      </c>
      <c r="B7" s="64" t="s">
        <v>21</v>
      </c>
      <c r="C7" s="66" t="s">
        <v>22</v>
      </c>
      <c r="D7" s="67"/>
      <c r="E7" s="67"/>
      <c r="F7" s="67" t="s">
        <v>23</v>
      </c>
      <c r="G7" s="68">
        <v>1</v>
      </c>
      <c r="H7" s="73">
        <v>189.3</v>
      </c>
      <c r="I7" s="229"/>
      <c r="J7" s="95"/>
      <c r="K7" s="96"/>
      <c r="L7" s="96"/>
      <c r="M7" s="96"/>
      <c r="N7" s="96"/>
      <c r="O7" s="96"/>
      <c r="P7" s="96"/>
      <c r="Q7" s="96"/>
      <c r="R7" s="96"/>
      <c r="S7" s="97"/>
    </row>
    <row r="8" spans="1:19" ht="16.95" customHeight="1" x14ac:dyDescent="0.3">
      <c r="A8" s="64" t="s">
        <v>24</v>
      </c>
      <c r="B8" s="64" t="s">
        <v>25</v>
      </c>
      <c r="C8" s="65" t="s">
        <v>26</v>
      </c>
      <c r="D8" s="65"/>
      <c r="E8" s="65"/>
      <c r="F8" s="65"/>
      <c r="G8" s="65"/>
      <c r="H8" s="72"/>
      <c r="I8" s="229"/>
      <c r="J8" s="95"/>
      <c r="K8" s="96"/>
      <c r="L8" s="96"/>
      <c r="M8" s="96"/>
      <c r="N8" s="96"/>
      <c r="O8" s="96"/>
      <c r="P8" s="96"/>
      <c r="Q8" s="96"/>
      <c r="R8" s="96"/>
      <c r="S8" s="97"/>
    </row>
    <row r="9" spans="1:19" ht="16.95" customHeight="1" x14ac:dyDescent="0.3">
      <c r="A9" s="64" t="s">
        <v>27</v>
      </c>
      <c r="B9" s="64" t="s">
        <v>28</v>
      </c>
      <c r="C9" s="65" t="s">
        <v>29</v>
      </c>
      <c r="D9" s="65"/>
      <c r="E9" s="65"/>
      <c r="F9" s="65"/>
      <c r="G9" s="65"/>
      <c r="H9" s="72"/>
      <c r="I9" s="229"/>
      <c r="J9" s="95"/>
      <c r="K9" s="96"/>
      <c r="L9" s="96"/>
      <c r="M9" s="96"/>
      <c r="N9" s="96"/>
      <c r="O9" s="96"/>
      <c r="P9" s="96"/>
      <c r="Q9" s="96"/>
      <c r="R9" s="96"/>
      <c r="S9" s="97"/>
    </row>
    <row r="10" spans="1:19" ht="54.6" thickBot="1" x14ac:dyDescent="0.35">
      <c r="A10" s="64" t="s">
        <v>30</v>
      </c>
      <c r="B10" s="64" t="s">
        <v>31</v>
      </c>
      <c r="C10" s="112" t="s">
        <v>32</v>
      </c>
      <c r="D10" s="67"/>
      <c r="E10" s="67" t="s">
        <v>33</v>
      </c>
      <c r="F10" s="67" t="s">
        <v>34</v>
      </c>
      <c r="G10" s="68">
        <v>1</v>
      </c>
      <c r="H10" s="73">
        <v>9.2200000000000006</v>
      </c>
      <c r="I10" s="230">
        <f>SUM(Таблица1[[#This Row],[1.1-Ст]:[2.5-Ст]])</f>
        <v>11.013999999999999</v>
      </c>
      <c r="J10" s="98"/>
      <c r="K10" s="99"/>
      <c r="L10" s="99"/>
      <c r="M10" s="113">
        <f>'1.4-Бл'!D6</f>
        <v>11.013999999999999</v>
      </c>
      <c r="N10" s="99"/>
      <c r="O10" s="99"/>
      <c r="P10" s="99"/>
      <c r="Q10" s="99"/>
      <c r="R10" s="99"/>
      <c r="S10" s="100"/>
    </row>
    <row r="11" spans="1:19" ht="36" x14ac:dyDescent="0.3">
      <c r="A11" s="56" t="s">
        <v>35</v>
      </c>
      <c r="B11" s="57"/>
      <c r="C11" s="58" t="s">
        <v>36</v>
      </c>
      <c r="D11" s="59"/>
      <c r="E11" s="59"/>
      <c r="F11" s="60" t="s">
        <v>37</v>
      </c>
      <c r="G11" s="61">
        <v>1</v>
      </c>
      <c r="H11" s="61">
        <v>9.2200000000000006</v>
      </c>
      <c r="I11" s="75"/>
    </row>
    <row r="12" spans="1:19" ht="36" x14ac:dyDescent="0.3">
      <c r="A12" s="55" t="s">
        <v>38</v>
      </c>
      <c r="B12" s="6"/>
      <c r="C12" s="8" t="s">
        <v>39</v>
      </c>
      <c r="D12" s="7"/>
      <c r="E12" s="7"/>
      <c r="F12" s="9" t="s">
        <v>37</v>
      </c>
      <c r="G12" s="10">
        <v>1</v>
      </c>
      <c r="H12" s="10">
        <v>9.2200000000000006</v>
      </c>
      <c r="I12" s="75"/>
    </row>
    <row r="13" spans="1:19" x14ac:dyDescent="0.3">
      <c r="A13" s="55" t="s">
        <v>40</v>
      </c>
      <c r="B13" s="6"/>
      <c r="C13" s="8" t="s">
        <v>41</v>
      </c>
      <c r="D13" s="7"/>
      <c r="E13" s="7"/>
      <c r="F13" s="9" t="s">
        <v>42</v>
      </c>
      <c r="G13" s="10">
        <v>25</v>
      </c>
      <c r="H13" s="10">
        <v>230.5</v>
      </c>
      <c r="I13" s="75"/>
    </row>
    <row r="14" spans="1:19" ht="21.6" thickBot="1" x14ac:dyDescent="0.35">
      <c r="A14" s="77" t="s">
        <v>43</v>
      </c>
      <c r="B14" s="78"/>
      <c r="C14" s="79" t="s">
        <v>44</v>
      </c>
      <c r="D14" s="80"/>
      <c r="E14" s="80"/>
      <c r="F14" s="81" t="s">
        <v>34</v>
      </c>
      <c r="G14" s="82">
        <v>1.05</v>
      </c>
      <c r="H14" s="83">
        <v>9.6809999999999992</v>
      </c>
      <c r="I14" s="76"/>
    </row>
    <row r="15" spans="1:19" ht="16.95" customHeight="1" x14ac:dyDescent="0.3">
      <c r="A15" s="64" t="s">
        <v>45</v>
      </c>
      <c r="B15" s="64" t="s">
        <v>46</v>
      </c>
      <c r="C15" s="65" t="s">
        <v>47</v>
      </c>
      <c r="D15" s="65"/>
      <c r="E15" s="65"/>
      <c r="F15" s="65"/>
      <c r="G15" s="65"/>
      <c r="H15" s="72"/>
      <c r="I15" s="231"/>
      <c r="J15" s="101"/>
      <c r="K15" s="102"/>
      <c r="L15" s="102"/>
      <c r="M15" s="102"/>
      <c r="N15" s="102"/>
      <c r="O15" s="102"/>
      <c r="P15" s="102"/>
      <c r="Q15" s="102"/>
      <c r="R15" s="102"/>
      <c r="S15" s="103"/>
    </row>
    <row r="16" spans="1:19" ht="72.599999999999994" thickBot="1" x14ac:dyDescent="0.35">
      <c r="A16" s="64" t="s">
        <v>48</v>
      </c>
      <c r="B16" s="64" t="s">
        <v>49</v>
      </c>
      <c r="C16" s="69" t="s">
        <v>50</v>
      </c>
      <c r="D16" s="67"/>
      <c r="E16" s="67" t="s">
        <v>51</v>
      </c>
      <c r="F16" s="67" t="s">
        <v>23</v>
      </c>
      <c r="G16" s="68">
        <v>1</v>
      </c>
      <c r="H16" s="73">
        <v>627.20000000000005</v>
      </c>
      <c r="I16" s="230">
        <f>SUM(Таблица1[[#This Row],[1.1-Ст]:[2.5-Ст]])</f>
        <v>496.33124999999995</v>
      </c>
      <c r="J16" s="98"/>
      <c r="K16" s="99"/>
      <c r="L16" s="113">
        <f>'1.3-Кирп'!D7</f>
        <v>496.33124999999995</v>
      </c>
      <c r="M16" s="99"/>
      <c r="N16" s="99"/>
      <c r="O16" s="99"/>
      <c r="P16" s="99"/>
      <c r="Q16" s="99"/>
      <c r="R16" s="99"/>
      <c r="S16" s="100"/>
    </row>
    <row r="17" spans="1:19" x14ac:dyDescent="0.3">
      <c r="A17" s="56" t="s">
        <v>52</v>
      </c>
      <c r="B17" s="57"/>
      <c r="C17" s="58" t="s">
        <v>53</v>
      </c>
      <c r="D17" s="59"/>
      <c r="E17" s="59"/>
      <c r="F17" s="60" t="s">
        <v>42</v>
      </c>
      <c r="G17" s="61">
        <v>44.85</v>
      </c>
      <c r="H17" s="61">
        <v>28129.919999999998</v>
      </c>
      <c r="I17" s="75"/>
    </row>
    <row r="18" spans="1:19" ht="36" x14ac:dyDescent="0.3">
      <c r="A18" s="55" t="s">
        <v>54</v>
      </c>
      <c r="B18" s="6"/>
      <c r="C18" s="8" t="s">
        <v>55</v>
      </c>
      <c r="D18" s="7"/>
      <c r="E18" s="7"/>
      <c r="F18" s="9" t="s">
        <v>37</v>
      </c>
      <c r="G18" s="10">
        <v>1</v>
      </c>
      <c r="H18" s="10">
        <v>627.20000000000005</v>
      </c>
      <c r="I18" s="75"/>
    </row>
    <row r="19" spans="1:19" ht="36" x14ac:dyDescent="0.3">
      <c r="A19" s="55" t="s">
        <v>56</v>
      </c>
      <c r="B19" s="6"/>
      <c r="C19" s="8" t="s">
        <v>57</v>
      </c>
      <c r="D19" s="7"/>
      <c r="E19" s="7"/>
      <c r="F19" s="9" t="s">
        <v>37</v>
      </c>
      <c r="G19" s="10">
        <v>1</v>
      </c>
      <c r="H19" s="10">
        <v>627.20000000000005</v>
      </c>
      <c r="I19" s="75"/>
    </row>
    <row r="20" spans="1:19" x14ac:dyDescent="0.3">
      <c r="A20" s="55" t="s">
        <v>58</v>
      </c>
      <c r="B20" s="6"/>
      <c r="C20" s="8" t="s">
        <v>59</v>
      </c>
      <c r="D20" s="7"/>
      <c r="E20" s="7"/>
      <c r="F20" s="9" t="s">
        <v>23</v>
      </c>
      <c r="G20" s="10">
        <v>0.504</v>
      </c>
      <c r="H20" s="10">
        <v>316.10899999999998</v>
      </c>
      <c r="I20" s="75"/>
    </row>
    <row r="21" spans="1:19" ht="21.6" thickBot="1" x14ac:dyDescent="0.35">
      <c r="A21" s="77" t="s">
        <v>60</v>
      </c>
      <c r="B21" s="78"/>
      <c r="C21" s="84" t="s">
        <v>61</v>
      </c>
      <c r="D21" s="80"/>
      <c r="E21" s="80"/>
      <c r="F21" s="81" t="s">
        <v>62</v>
      </c>
      <c r="G21" s="82">
        <v>50.4</v>
      </c>
      <c r="H21" s="82">
        <v>31610.880000000001</v>
      </c>
      <c r="I21" s="75"/>
    </row>
    <row r="22" spans="1:19" ht="16.95" customHeight="1" x14ac:dyDescent="0.3">
      <c r="A22" s="64" t="s">
        <v>63</v>
      </c>
      <c r="B22" s="64" t="s">
        <v>64</v>
      </c>
      <c r="C22" s="65" t="s">
        <v>65</v>
      </c>
      <c r="D22" s="65"/>
      <c r="E22" s="65"/>
      <c r="F22" s="65"/>
      <c r="G22" s="65"/>
      <c r="H22" s="72"/>
      <c r="I22" s="231"/>
      <c r="J22" s="101"/>
      <c r="K22" s="102"/>
      <c r="L22" s="102"/>
      <c r="M22" s="102"/>
      <c r="N22" s="102"/>
      <c r="O22" s="102"/>
      <c r="P22" s="102"/>
      <c r="Q22" s="102"/>
      <c r="R22" s="102"/>
      <c r="S22" s="103"/>
    </row>
    <row r="23" spans="1:19" ht="16.95" customHeight="1" x14ac:dyDescent="0.3">
      <c r="A23" s="64" t="s">
        <v>66</v>
      </c>
      <c r="B23" s="64" t="s">
        <v>67</v>
      </c>
      <c r="C23" s="65" t="s">
        <v>68</v>
      </c>
      <c r="D23" s="65"/>
      <c r="E23" s="65"/>
      <c r="F23" s="65"/>
      <c r="G23" s="65"/>
      <c r="H23" s="72"/>
      <c r="I23" s="232"/>
      <c r="J23" s="95"/>
      <c r="K23" s="96"/>
      <c r="L23" s="96"/>
      <c r="M23" s="96"/>
      <c r="N23" s="96"/>
      <c r="O23" s="96"/>
      <c r="P23" s="96"/>
      <c r="Q23" s="96"/>
      <c r="R23" s="96"/>
      <c r="S23" s="97"/>
    </row>
    <row r="24" spans="1:19" ht="16.95" customHeight="1" x14ac:dyDescent="0.3">
      <c r="A24" s="64" t="s">
        <v>69</v>
      </c>
      <c r="B24" s="64" t="s">
        <v>70</v>
      </c>
      <c r="C24" s="65" t="s">
        <v>71</v>
      </c>
      <c r="D24" s="65"/>
      <c r="E24" s="65"/>
      <c r="F24" s="65"/>
      <c r="G24" s="65"/>
      <c r="H24" s="72"/>
      <c r="I24" s="232"/>
      <c r="J24" s="95"/>
      <c r="K24" s="96"/>
      <c r="L24" s="96"/>
      <c r="M24" s="96"/>
      <c r="N24" s="96"/>
      <c r="O24" s="96"/>
      <c r="P24" s="96"/>
      <c r="Q24" s="96"/>
      <c r="R24" s="96"/>
      <c r="S24" s="97"/>
    </row>
    <row r="25" spans="1:19" ht="54.6" thickBot="1" x14ac:dyDescent="0.35">
      <c r="A25" s="64" t="s">
        <v>72</v>
      </c>
      <c r="B25" s="64" t="s">
        <v>73</v>
      </c>
      <c r="C25" s="112" t="s">
        <v>32</v>
      </c>
      <c r="D25" s="67"/>
      <c r="E25" s="67" t="s">
        <v>74</v>
      </c>
      <c r="F25" s="67" t="s">
        <v>34</v>
      </c>
      <c r="G25" s="68">
        <v>1</v>
      </c>
      <c r="H25" s="73">
        <v>261.11</v>
      </c>
      <c r="I25" s="230">
        <f>SUM(Таблица1[[#This Row],[1.1-Ст]:[2.5-Ст]])</f>
        <v>204.49</v>
      </c>
      <c r="J25" s="98"/>
      <c r="K25" s="99">
        <v>123.72</v>
      </c>
      <c r="L25" s="99"/>
      <c r="M25" s="113">
        <f>'1.4-Бл'!D13</f>
        <v>80.77</v>
      </c>
      <c r="N25" s="99"/>
      <c r="O25" s="99"/>
      <c r="P25" s="99"/>
      <c r="Q25" s="99"/>
      <c r="R25" s="99"/>
      <c r="S25" s="100"/>
    </row>
    <row r="26" spans="1:19" ht="36" x14ac:dyDescent="0.3">
      <c r="A26" s="56" t="s">
        <v>75</v>
      </c>
      <c r="B26" s="57"/>
      <c r="C26" s="58" t="s">
        <v>36</v>
      </c>
      <c r="D26" s="59"/>
      <c r="E26" s="59"/>
      <c r="F26" s="60" t="s">
        <v>37</v>
      </c>
      <c r="G26" s="61">
        <v>1</v>
      </c>
      <c r="H26" s="61">
        <v>261.11</v>
      </c>
      <c r="I26" s="75"/>
    </row>
    <row r="27" spans="1:19" ht="36" x14ac:dyDescent="0.3">
      <c r="A27" s="55" t="s">
        <v>76</v>
      </c>
      <c r="B27" s="6"/>
      <c r="C27" s="8" t="s">
        <v>39</v>
      </c>
      <c r="D27" s="7"/>
      <c r="E27" s="7"/>
      <c r="F27" s="9" t="s">
        <v>37</v>
      </c>
      <c r="G27" s="10">
        <v>1</v>
      </c>
      <c r="H27" s="10">
        <v>261.11</v>
      </c>
      <c r="I27" s="75"/>
    </row>
    <row r="28" spans="1:19" x14ac:dyDescent="0.3">
      <c r="A28" s="55" t="s">
        <v>77</v>
      </c>
      <c r="B28" s="6"/>
      <c r="C28" s="8" t="s">
        <v>41</v>
      </c>
      <c r="D28" s="7"/>
      <c r="E28" s="7"/>
      <c r="F28" s="9" t="s">
        <v>42</v>
      </c>
      <c r="G28" s="10">
        <v>25</v>
      </c>
      <c r="H28" s="10">
        <v>6527.75</v>
      </c>
      <c r="I28" s="75"/>
    </row>
    <row r="29" spans="1:19" ht="21.6" thickBot="1" x14ac:dyDescent="0.35">
      <c r="A29" s="77" t="s">
        <v>78</v>
      </c>
      <c r="B29" s="78"/>
      <c r="C29" s="79" t="s">
        <v>44</v>
      </c>
      <c r="D29" s="80"/>
      <c r="E29" s="80"/>
      <c r="F29" s="81" t="s">
        <v>34</v>
      </c>
      <c r="G29" s="82">
        <v>1.05</v>
      </c>
      <c r="H29" s="83">
        <v>274.166</v>
      </c>
      <c r="I29" s="76"/>
    </row>
    <row r="30" spans="1:19" ht="36.6" thickBot="1" x14ac:dyDescent="0.35">
      <c r="A30" s="64" t="s">
        <v>79</v>
      </c>
      <c r="B30" s="64" t="s">
        <v>80</v>
      </c>
      <c r="C30" s="66" t="s">
        <v>81</v>
      </c>
      <c r="D30" s="67"/>
      <c r="E30" s="67"/>
      <c r="F30" s="67" t="s">
        <v>34</v>
      </c>
      <c r="G30" s="68">
        <v>1</v>
      </c>
      <c r="H30" s="73">
        <v>5</v>
      </c>
      <c r="I30" s="233"/>
      <c r="J30" s="104"/>
      <c r="K30" s="105"/>
      <c r="L30" s="105"/>
      <c r="M30" s="105"/>
      <c r="N30" s="105"/>
      <c r="O30" s="105"/>
      <c r="P30" s="105"/>
      <c r="Q30" s="105"/>
      <c r="R30" s="105"/>
      <c r="S30" s="106"/>
    </row>
    <row r="31" spans="1:19" x14ac:dyDescent="0.3">
      <c r="A31" s="56" t="s">
        <v>82</v>
      </c>
      <c r="B31" s="57"/>
      <c r="C31" s="58" t="s">
        <v>53</v>
      </c>
      <c r="D31" s="59"/>
      <c r="E31" s="59"/>
      <c r="F31" s="60" t="s">
        <v>42</v>
      </c>
      <c r="G31" s="61">
        <v>456</v>
      </c>
      <c r="H31" s="61">
        <v>2280</v>
      </c>
      <c r="I31" s="75"/>
    </row>
    <row r="32" spans="1:19" ht="36.6" thickBot="1" x14ac:dyDescent="0.35">
      <c r="A32" s="77" t="s">
        <v>83</v>
      </c>
      <c r="B32" s="78"/>
      <c r="C32" s="84" t="s">
        <v>84</v>
      </c>
      <c r="D32" s="80"/>
      <c r="E32" s="80"/>
      <c r="F32" s="81" t="s">
        <v>62</v>
      </c>
      <c r="G32" s="82">
        <v>395</v>
      </c>
      <c r="H32" s="82">
        <v>1975</v>
      </c>
      <c r="I32" s="75"/>
    </row>
    <row r="33" spans="1:19" ht="16.95" customHeight="1" x14ac:dyDescent="0.3">
      <c r="A33" s="64" t="s">
        <v>85</v>
      </c>
      <c r="B33" s="64" t="s">
        <v>86</v>
      </c>
      <c r="C33" s="65" t="s">
        <v>87</v>
      </c>
      <c r="D33" s="65"/>
      <c r="E33" s="65"/>
      <c r="F33" s="65"/>
      <c r="G33" s="65"/>
      <c r="H33" s="72"/>
      <c r="I33" s="231"/>
      <c r="J33" s="101"/>
      <c r="K33" s="102"/>
      <c r="L33" s="102"/>
      <c r="M33" s="102"/>
      <c r="N33" s="102"/>
      <c r="O33" s="102"/>
      <c r="P33" s="102"/>
      <c r="Q33" s="102"/>
      <c r="R33" s="102"/>
      <c r="S33" s="103"/>
    </row>
    <row r="34" spans="1:19" ht="16.95" customHeight="1" x14ac:dyDescent="0.3">
      <c r="A34" s="64" t="s">
        <v>88</v>
      </c>
      <c r="B34" s="64" t="s">
        <v>89</v>
      </c>
      <c r="C34" s="65" t="s">
        <v>90</v>
      </c>
      <c r="D34" s="65"/>
      <c r="E34" s="65"/>
      <c r="F34" s="65"/>
      <c r="G34" s="65"/>
      <c r="H34" s="72"/>
      <c r="I34" s="232"/>
      <c r="J34" s="95"/>
      <c r="K34" s="96"/>
      <c r="L34" s="96"/>
      <c r="M34" s="96"/>
      <c r="N34" s="96"/>
      <c r="O34" s="96"/>
      <c r="P34" s="96"/>
      <c r="Q34" s="96"/>
      <c r="R34" s="96"/>
      <c r="S34" s="97"/>
    </row>
    <row r="35" spans="1:19" ht="72.599999999999994" thickBot="1" x14ac:dyDescent="0.35">
      <c r="A35" s="64" t="s">
        <v>91</v>
      </c>
      <c r="B35" s="64" t="s">
        <v>92</v>
      </c>
      <c r="C35" s="69" t="s">
        <v>50</v>
      </c>
      <c r="D35" s="67"/>
      <c r="E35" s="67" t="s">
        <v>93</v>
      </c>
      <c r="F35" s="67" t="s">
        <v>23</v>
      </c>
      <c r="G35" s="68">
        <v>1</v>
      </c>
      <c r="H35" s="73">
        <v>1964.75</v>
      </c>
      <c r="I35" s="230">
        <f>SUM(Таблица1[[#This Row],[1.1-Ст]:[2.5-Ст]])</f>
        <v>855.51</v>
      </c>
      <c r="J35" s="98">
        <v>728.15</v>
      </c>
      <c r="K35" s="99"/>
      <c r="L35" s="113">
        <f>'1.3-Кирп'!D15</f>
        <v>127.36000000000001</v>
      </c>
      <c r="M35" s="99"/>
      <c r="N35" s="99"/>
      <c r="O35" s="99"/>
      <c r="P35" s="99"/>
      <c r="Q35" s="99"/>
      <c r="R35" s="99"/>
      <c r="S35" s="100"/>
    </row>
    <row r="36" spans="1:19" x14ac:dyDescent="0.3">
      <c r="A36" s="56" t="s">
        <v>94</v>
      </c>
      <c r="B36" s="57"/>
      <c r="C36" s="58" t="s">
        <v>53</v>
      </c>
      <c r="D36" s="59"/>
      <c r="E36" s="59">
        <v>227.92</v>
      </c>
      <c r="F36" s="60" t="s">
        <v>42</v>
      </c>
      <c r="G36" s="61">
        <v>44.85</v>
      </c>
      <c r="H36" s="61">
        <v>88119.038</v>
      </c>
      <c r="I36" s="75"/>
    </row>
    <row r="37" spans="1:19" ht="36" x14ac:dyDescent="0.3">
      <c r="A37" s="55" t="s">
        <v>95</v>
      </c>
      <c r="B37" s="6"/>
      <c r="C37" s="8" t="s">
        <v>55</v>
      </c>
      <c r="D37" s="7"/>
      <c r="E37" s="7"/>
      <c r="F37" s="9" t="s">
        <v>37</v>
      </c>
      <c r="G37" s="10">
        <v>1</v>
      </c>
      <c r="H37" s="10">
        <v>1964.75</v>
      </c>
      <c r="I37" s="75"/>
    </row>
    <row r="38" spans="1:19" ht="36" x14ac:dyDescent="0.3">
      <c r="A38" s="55" t="s">
        <v>96</v>
      </c>
      <c r="B38" s="6"/>
      <c r="C38" s="8" t="s">
        <v>57</v>
      </c>
      <c r="D38" s="7"/>
      <c r="E38" s="7"/>
      <c r="F38" s="9" t="s">
        <v>37</v>
      </c>
      <c r="G38" s="10">
        <v>1</v>
      </c>
      <c r="H38" s="10">
        <v>1964.75</v>
      </c>
      <c r="I38" s="75"/>
    </row>
    <row r="39" spans="1:19" x14ac:dyDescent="0.3">
      <c r="A39" s="55" t="s">
        <v>97</v>
      </c>
      <c r="B39" s="6"/>
      <c r="C39" s="8" t="s">
        <v>59</v>
      </c>
      <c r="D39" s="7"/>
      <c r="E39" s="7"/>
      <c r="F39" s="9" t="s">
        <v>23</v>
      </c>
      <c r="G39" s="10">
        <v>0.504</v>
      </c>
      <c r="H39" s="10">
        <v>990.23400000000004</v>
      </c>
      <c r="I39" s="75"/>
    </row>
    <row r="40" spans="1:19" ht="21.6" thickBot="1" x14ac:dyDescent="0.35">
      <c r="A40" s="77" t="s">
        <v>98</v>
      </c>
      <c r="B40" s="78"/>
      <c r="C40" s="84" t="s">
        <v>61</v>
      </c>
      <c r="D40" s="80"/>
      <c r="E40" s="80"/>
      <c r="F40" s="81" t="s">
        <v>62</v>
      </c>
      <c r="G40" s="82">
        <v>50.4</v>
      </c>
      <c r="H40" s="82">
        <v>99023.4</v>
      </c>
      <c r="I40" s="75"/>
    </row>
    <row r="41" spans="1:19" ht="16.95" customHeight="1" x14ac:dyDescent="0.3">
      <c r="A41" s="64" t="s">
        <v>99</v>
      </c>
      <c r="B41" s="64" t="s">
        <v>100</v>
      </c>
      <c r="C41" s="65" t="s">
        <v>101</v>
      </c>
      <c r="D41" s="65"/>
      <c r="E41" s="65"/>
      <c r="F41" s="65"/>
      <c r="G41" s="65"/>
      <c r="H41" s="72"/>
      <c r="I41" s="228"/>
      <c r="J41" s="101"/>
      <c r="K41" s="102"/>
      <c r="L41" s="102"/>
      <c r="M41" s="102"/>
      <c r="N41" s="102"/>
      <c r="O41" s="102"/>
      <c r="P41" s="102"/>
      <c r="Q41" s="102"/>
      <c r="R41" s="102"/>
      <c r="S41" s="103"/>
    </row>
    <row r="42" spans="1:19" ht="54.6" thickBot="1" x14ac:dyDescent="0.35">
      <c r="A42" s="64" t="s">
        <v>102</v>
      </c>
      <c r="B42" s="64" t="s">
        <v>103</v>
      </c>
      <c r="C42" s="70" t="s">
        <v>104</v>
      </c>
      <c r="D42" s="67"/>
      <c r="E42" s="67" t="s">
        <v>105</v>
      </c>
      <c r="F42" s="67" t="s">
        <v>23</v>
      </c>
      <c r="G42" s="68">
        <v>1</v>
      </c>
      <c r="H42" s="73">
        <v>1519</v>
      </c>
      <c r="I42" s="234"/>
      <c r="J42" s="98"/>
      <c r="K42" s="99"/>
      <c r="L42" s="99"/>
      <c r="M42" s="99"/>
      <c r="N42" s="99"/>
      <c r="O42" s="99"/>
      <c r="P42" s="99"/>
      <c r="Q42" s="99"/>
      <c r="R42" s="99"/>
      <c r="S42" s="100"/>
    </row>
    <row r="43" spans="1:19" ht="36" x14ac:dyDescent="0.3">
      <c r="A43" s="56" t="s">
        <v>106</v>
      </c>
      <c r="B43" s="57"/>
      <c r="C43" s="58" t="s">
        <v>107</v>
      </c>
      <c r="D43" s="59"/>
      <c r="E43" s="59"/>
      <c r="F43" s="60" t="s">
        <v>37</v>
      </c>
      <c r="G43" s="61">
        <v>1</v>
      </c>
      <c r="H43" s="61">
        <v>1519</v>
      </c>
      <c r="I43" s="75"/>
    </row>
    <row r="44" spans="1:19" ht="36" x14ac:dyDescent="0.3">
      <c r="A44" s="55" t="s">
        <v>108</v>
      </c>
      <c r="B44" s="6"/>
      <c r="C44" s="11" t="s">
        <v>109</v>
      </c>
      <c r="D44" s="7"/>
      <c r="E44" s="7"/>
      <c r="F44" s="9" t="s">
        <v>23</v>
      </c>
      <c r="G44" s="10">
        <v>1.02</v>
      </c>
      <c r="H44" s="10">
        <v>1549.38</v>
      </c>
      <c r="I44" s="75"/>
    </row>
    <row r="45" spans="1:19" ht="36" x14ac:dyDescent="0.3">
      <c r="A45" s="55" t="s">
        <v>110</v>
      </c>
      <c r="B45" s="6"/>
      <c r="C45" s="8" t="s">
        <v>111</v>
      </c>
      <c r="D45" s="7"/>
      <c r="E45" s="7"/>
      <c r="F45" s="9" t="s">
        <v>37</v>
      </c>
      <c r="G45" s="10">
        <v>1</v>
      </c>
      <c r="H45" s="10">
        <v>1519</v>
      </c>
      <c r="I45" s="75"/>
    </row>
    <row r="46" spans="1:19" ht="21.6" thickBot="1" x14ac:dyDescent="0.35">
      <c r="A46" s="77" t="s">
        <v>112</v>
      </c>
      <c r="B46" s="78"/>
      <c r="C46" s="79" t="s">
        <v>113</v>
      </c>
      <c r="D46" s="80"/>
      <c r="E46" s="80">
        <v>12.6</v>
      </c>
      <c r="F46" s="81" t="s">
        <v>42</v>
      </c>
      <c r="G46" s="82">
        <v>2</v>
      </c>
      <c r="H46" s="82">
        <v>3038</v>
      </c>
      <c r="I46" s="75"/>
    </row>
    <row r="47" spans="1:19" ht="16.95" customHeight="1" x14ac:dyDescent="0.3">
      <c r="A47" s="64" t="s">
        <v>114</v>
      </c>
      <c r="B47" s="64" t="s">
        <v>115</v>
      </c>
      <c r="C47" s="65" t="s">
        <v>116</v>
      </c>
      <c r="D47" s="65"/>
      <c r="E47" s="65"/>
      <c r="F47" s="65"/>
      <c r="G47" s="65"/>
      <c r="H47" s="65"/>
      <c r="I47" s="72"/>
      <c r="J47" s="101"/>
      <c r="K47" s="102"/>
      <c r="L47" s="102"/>
      <c r="M47" s="102"/>
      <c r="N47" s="102"/>
      <c r="O47" s="102"/>
      <c r="P47" s="102"/>
      <c r="Q47" s="102"/>
      <c r="R47" s="102"/>
      <c r="S47" s="103"/>
    </row>
    <row r="48" spans="1:19" ht="108.6" thickBot="1" x14ac:dyDescent="0.35">
      <c r="A48" s="64" t="s">
        <v>117</v>
      </c>
      <c r="B48" s="64" t="s">
        <v>118</v>
      </c>
      <c r="C48" s="66" t="s">
        <v>119</v>
      </c>
      <c r="D48" s="67"/>
      <c r="E48" s="67" t="s">
        <v>120</v>
      </c>
      <c r="F48" s="67" t="s">
        <v>23</v>
      </c>
      <c r="G48" s="68">
        <v>1</v>
      </c>
      <c r="H48" s="68">
        <v>601</v>
      </c>
      <c r="I48" s="73"/>
      <c r="J48" s="98"/>
      <c r="K48" s="99"/>
      <c r="L48" s="99"/>
      <c r="M48" s="99"/>
      <c r="N48" s="99"/>
      <c r="O48" s="99"/>
      <c r="P48" s="99"/>
      <c r="Q48" s="99"/>
      <c r="R48" s="99"/>
      <c r="S48" s="100"/>
    </row>
    <row r="49" spans="1:19" ht="54" x14ac:dyDescent="0.3">
      <c r="A49" s="56" t="s">
        <v>121</v>
      </c>
      <c r="B49" s="57"/>
      <c r="C49" s="58" t="s">
        <v>122</v>
      </c>
      <c r="D49" s="59"/>
      <c r="E49" s="59"/>
      <c r="F49" s="60" t="s">
        <v>37</v>
      </c>
      <c r="G49" s="61">
        <v>1</v>
      </c>
      <c r="H49" s="61">
        <v>601</v>
      </c>
      <c r="I49" s="75"/>
    </row>
    <row r="50" spans="1:19" x14ac:dyDescent="0.3">
      <c r="A50" s="55" t="s">
        <v>123</v>
      </c>
      <c r="B50" s="6"/>
      <c r="C50" s="11" t="s">
        <v>124</v>
      </c>
      <c r="D50" s="7"/>
      <c r="E50" s="7"/>
      <c r="F50" s="9" t="s">
        <v>34</v>
      </c>
      <c r="G50" s="10">
        <v>5.1999999999999998E-2</v>
      </c>
      <c r="H50" s="10">
        <v>31.251999999999999</v>
      </c>
      <c r="I50" s="75"/>
    </row>
    <row r="51" spans="1:19" x14ac:dyDescent="0.3">
      <c r="A51" s="55" t="s">
        <v>125</v>
      </c>
      <c r="B51" s="6"/>
      <c r="C51" s="11" t="s">
        <v>126</v>
      </c>
      <c r="D51" s="7"/>
      <c r="E51" s="7" t="s">
        <v>127</v>
      </c>
      <c r="F51" s="9" t="s">
        <v>128</v>
      </c>
      <c r="G51" s="10">
        <v>0.86</v>
      </c>
      <c r="H51" s="12">
        <v>516.86</v>
      </c>
      <c r="I51" s="76"/>
    </row>
    <row r="52" spans="1:19" x14ac:dyDescent="0.3">
      <c r="A52" s="55" t="s">
        <v>129</v>
      </c>
      <c r="B52" s="6"/>
      <c r="C52" s="11" t="s">
        <v>130</v>
      </c>
      <c r="D52" s="7"/>
      <c r="E52" s="7" t="s">
        <v>131</v>
      </c>
      <c r="F52" s="9" t="s">
        <v>128</v>
      </c>
      <c r="G52" s="10">
        <v>2.1</v>
      </c>
      <c r="H52" s="12">
        <v>1262.0999999999999</v>
      </c>
      <c r="I52" s="76"/>
    </row>
    <row r="53" spans="1:19" ht="36.6" thickBot="1" x14ac:dyDescent="0.35">
      <c r="A53" s="77" t="s">
        <v>132</v>
      </c>
      <c r="B53" s="78"/>
      <c r="C53" s="79" t="s">
        <v>133</v>
      </c>
      <c r="D53" s="80"/>
      <c r="E53" s="80"/>
      <c r="F53" s="81" t="s">
        <v>23</v>
      </c>
      <c r="G53" s="82">
        <v>2.2000000000000002</v>
      </c>
      <c r="H53" s="82">
        <v>1322.2</v>
      </c>
      <c r="I53" s="75"/>
    </row>
    <row r="54" spans="1:19" ht="90.6" thickBot="1" x14ac:dyDescent="0.35">
      <c r="A54" s="64" t="s">
        <v>134</v>
      </c>
      <c r="B54" s="64" t="s">
        <v>135</v>
      </c>
      <c r="C54" s="66" t="s">
        <v>136</v>
      </c>
      <c r="D54" s="67"/>
      <c r="E54" s="67" t="s">
        <v>137</v>
      </c>
      <c r="F54" s="67" t="s">
        <v>23</v>
      </c>
      <c r="G54" s="68">
        <v>1</v>
      </c>
      <c r="H54" s="68">
        <v>79.099999999999994</v>
      </c>
      <c r="I54" s="73"/>
      <c r="J54" s="104"/>
      <c r="K54" s="105"/>
      <c r="L54" s="105"/>
      <c r="M54" s="105"/>
      <c r="N54" s="105"/>
      <c r="O54" s="105"/>
      <c r="P54" s="105"/>
      <c r="Q54" s="105"/>
      <c r="R54" s="105"/>
      <c r="S54" s="106"/>
    </row>
    <row r="55" spans="1:19" ht="54" x14ac:dyDescent="0.3">
      <c r="A55" s="56" t="s">
        <v>138</v>
      </c>
      <c r="B55" s="57"/>
      <c r="C55" s="58" t="s">
        <v>122</v>
      </c>
      <c r="D55" s="59"/>
      <c r="E55" s="59"/>
      <c r="F55" s="60" t="s">
        <v>37</v>
      </c>
      <c r="G55" s="61">
        <v>1</v>
      </c>
      <c r="H55" s="61">
        <v>79.099999999999994</v>
      </c>
      <c r="I55" s="75"/>
    </row>
    <row r="56" spans="1:19" x14ac:dyDescent="0.3">
      <c r="A56" s="55" t="s">
        <v>139</v>
      </c>
      <c r="B56" s="6"/>
      <c r="C56" s="11" t="s">
        <v>140</v>
      </c>
      <c r="D56" s="7"/>
      <c r="E56" s="7"/>
      <c r="F56" s="9" t="s">
        <v>128</v>
      </c>
      <c r="G56" s="13">
        <v>2.1</v>
      </c>
      <c r="H56" s="10">
        <v>166.11</v>
      </c>
      <c r="I56" s="75"/>
    </row>
    <row r="57" spans="1:19" x14ac:dyDescent="0.3">
      <c r="A57" s="55" t="s">
        <v>141</v>
      </c>
      <c r="B57" s="6"/>
      <c r="C57" s="11" t="s">
        <v>142</v>
      </c>
      <c r="D57" s="7"/>
      <c r="E57" s="7"/>
      <c r="F57" s="9" t="s">
        <v>128</v>
      </c>
      <c r="G57" s="13">
        <v>0.8</v>
      </c>
      <c r="H57" s="10">
        <v>63.28</v>
      </c>
      <c r="I57" s="75"/>
    </row>
    <row r="58" spans="1:19" ht="36.6" thickBot="1" x14ac:dyDescent="0.35">
      <c r="A58" s="77" t="s">
        <v>143</v>
      </c>
      <c r="B58" s="78"/>
      <c r="C58" s="79" t="s">
        <v>133</v>
      </c>
      <c r="D58" s="80"/>
      <c r="E58" s="80"/>
      <c r="F58" s="81" t="s">
        <v>23</v>
      </c>
      <c r="G58" s="82">
        <v>2.2000000000000002</v>
      </c>
      <c r="H58" s="82">
        <v>174.02</v>
      </c>
      <c r="I58" s="75"/>
    </row>
    <row r="59" spans="1:19" ht="90.6" thickBot="1" x14ac:dyDescent="0.35">
      <c r="A59" s="64" t="s">
        <v>144</v>
      </c>
      <c r="B59" s="64" t="s">
        <v>135</v>
      </c>
      <c r="C59" s="66" t="s">
        <v>136</v>
      </c>
      <c r="D59" s="67"/>
      <c r="E59" s="67" t="s">
        <v>145</v>
      </c>
      <c r="F59" s="67" t="s">
        <v>23</v>
      </c>
      <c r="G59" s="68">
        <v>1</v>
      </c>
      <c r="H59" s="73">
        <v>369.1</v>
      </c>
      <c r="I59" s="68"/>
      <c r="J59" s="129"/>
      <c r="K59" s="105"/>
      <c r="L59" s="105"/>
      <c r="M59" s="105"/>
      <c r="N59" s="105"/>
      <c r="O59" s="105"/>
      <c r="P59" s="105"/>
      <c r="Q59" s="105"/>
      <c r="R59" s="105"/>
      <c r="S59" s="106"/>
    </row>
    <row r="60" spans="1:19" x14ac:dyDescent="0.3">
      <c r="A60" s="56" t="s">
        <v>146</v>
      </c>
      <c r="B60" s="57"/>
      <c r="C60" s="62" t="s">
        <v>147</v>
      </c>
      <c r="D60" s="59"/>
      <c r="E60" s="59"/>
      <c r="F60" s="60" t="s">
        <v>23</v>
      </c>
      <c r="G60" s="61">
        <v>2.2000000000000002</v>
      </c>
      <c r="H60" s="61">
        <v>812.02</v>
      </c>
      <c r="I60" s="75"/>
    </row>
    <row r="61" spans="1:19" x14ac:dyDescent="0.3">
      <c r="A61" s="55" t="s">
        <v>148</v>
      </c>
      <c r="B61" s="6"/>
      <c r="C61" s="11" t="s">
        <v>140</v>
      </c>
      <c r="D61" s="7"/>
      <c r="E61" s="7"/>
      <c r="F61" s="9" t="s">
        <v>128</v>
      </c>
      <c r="G61" s="13">
        <v>2.1</v>
      </c>
      <c r="H61" s="10">
        <v>775.11</v>
      </c>
      <c r="I61" s="75"/>
    </row>
    <row r="62" spans="1:19" x14ac:dyDescent="0.3">
      <c r="A62" s="55" t="s">
        <v>149</v>
      </c>
      <c r="B62" s="6"/>
      <c r="C62" s="11" t="s">
        <v>142</v>
      </c>
      <c r="D62" s="7"/>
      <c r="E62" s="7"/>
      <c r="F62" s="9" t="s">
        <v>128</v>
      </c>
      <c r="G62" s="13">
        <v>0.8</v>
      </c>
      <c r="H62" s="10">
        <v>295.27999999999997</v>
      </c>
      <c r="I62" s="75"/>
    </row>
    <row r="63" spans="1:19" ht="54.6" thickBot="1" x14ac:dyDescent="0.35">
      <c r="A63" s="77" t="s">
        <v>150</v>
      </c>
      <c r="B63" s="78"/>
      <c r="C63" s="84" t="s">
        <v>122</v>
      </c>
      <c r="D63" s="80"/>
      <c r="E63" s="80"/>
      <c r="F63" s="81" t="s">
        <v>37</v>
      </c>
      <c r="G63" s="82">
        <v>1</v>
      </c>
      <c r="H63" s="82">
        <v>369.1</v>
      </c>
      <c r="I63" s="75"/>
    </row>
    <row r="64" spans="1:19" ht="16.95" customHeight="1" x14ac:dyDescent="0.3">
      <c r="A64" s="64" t="s">
        <v>151</v>
      </c>
      <c r="B64" s="64" t="s">
        <v>152</v>
      </c>
      <c r="C64" s="65" t="s">
        <v>153</v>
      </c>
      <c r="D64" s="65"/>
      <c r="E64" s="65"/>
      <c r="F64" s="65"/>
      <c r="G64" s="65"/>
      <c r="H64" s="72"/>
      <c r="I64" s="65"/>
      <c r="J64" s="130"/>
      <c r="K64" s="102"/>
      <c r="L64" s="102"/>
      <c r="M64" s="102"/>
      <c r="N64" s="102"/>
      <c r="O64" s="102"/>
      <c r="P64" s="102"/>
      <c r="Q64" s="102"/>
      <c r="R64" s="102"/>
      <c r="S64" s="103"/>
    </row>
    <row r="65" spans="1:19" ht="36.6" thickBot="1" x14ac:dyDescent="0.35">
      <c r="A65" s="64" t="s">
        <v>154</v>
      </c>
      <c r="B65" s="64" t="s">
        <v>155</v>
      </c>
      <c r="C65" s="66" t="s">
        <v>156</v>
      </c>
      <c r="D65" s="67"/>
      <c r="E65" s="67" t="s">
        <v>157</v>
      </c>
      <c r="F65" s="67" t="s">
        <v>158</v>
      </c>
      <c r="G65" s="68">
        <v>1</v>
      </c>
      <c r="H65" s="73">
        <v>2.5000000000000001E-2</v>
      </c>
      <c r="I65" s="68"/>
      <c r="J65" s="131"/>
      <c r="K65" s="99"/>
      <c r="L65" s="99"/>
      <c r="M65" s="99"/>
      <c r="N65" s="99"/>
      <c r="O65" s="99"/>
      <c r="P65" s="99"/>
      <c r="Q65" s="99"/>
      <c r="R65" s="99"/>
      <c r="S65" s="100"/>
    </row>
    <row r="66" spans="1:19" ht="36" x14ac:dyDescent="0.3">
      <c r="A66" s="56" t="s">
        <v>159</v>
      </c>
      <c r="B66" s="57"/>
      <c r="C66" s="58" t="s">
        <v>160</v>
      </c>
      <c r="D66" s="59"/>
      <c r="E66" s="59"/>
      <c r="F66" s="60" t="s">
        <v>37</v>
      </c>
      <c r="G66" s="61">
        <v>1</v>
      </c>
      <c r="H66" s="61">
        <v>2.5000000000000001E-2</v>
      </c>
      <c r="I66" s="75"/>
    </row>
    <row r="67" spans="1:19" ht="21.6" thickBot="1" x14ac:dyDescent="0.35">
      <c r="A67" s="77" t="s">
        <v>161</v>
      </c>
      <c r="B67" s="78"/>
      <c r="C67" s="79" t="s">
        <v>162</v>
      </c>
      <c r="D67" s="80"/>
      <c r="E67" s="80"/>
      <c r="F67" s="81" t="s">
        <v>158</v>
      </c>
      <c r="G67" s="82">
        <v>1</v>
      </c>
      <c r="H67" s="83">
        <v>2.5000000000000001E-2</v>
      </c>
      <c r="I67" s="76"/>
    </row>
    <row r="68" spans="1:19" ht="118.2" customHeight="1" thickBot="1" x14ac:dyDescent="0.35">
      <c r="A68" s="64" t="s">
        <v>163</v>
      </c>
      <c r="B68" s="64" t="s">
        <v>164</v>
      </c>
      <c r="C68" s="66" t="s">
        <v>165</v>
      </c>
      <c r="D68" s="67" t="s">
        <v>227</v>
      </c>
      <c r="E68" s="67" t="s">
        <v>166</v>
      </c>
      <c r="F68" s="67" t="s">
        <v>158</v>
      </c>
      <c r="G68" s="68">
        <v>1</v>
      </c>
      <c r="H68" s="73">
        <v>0.33400000000000002</v>
      </c>
      <c r="I68" s="68"/>
      <c r="J68" s="129"/>
      <c r="K68" s="105"/>
      <c r="L68" s="105"/>
      <c r="M68" s="105"/>
      <c r="N68" s="105"/>
      <c r="O68" s="105"/>
      <c r="P68" s="105"/>
      <c r="Q68" s="105"/>
      <c r="R68" s="105"/>
      <c r="S68" s="106"/>
    </row>
    <row r="69" spans="1:19" x14ac:dyDescent="0.3">
      <c r="A69" s="56" t="s">
        <v>167</v>
      </c>
      <c r="B69" s="57"/>
      <c r="C69" s="58" t="s">
        <v>168</v>
      </c>
      <c r="D69" s="59"/>
      <c r="E69" s="59" t="s">
        <v>169</v>
      </c>
      <c r="F69" s="60" t="s">
        <v>158</v>
      </c>
      <c r="G69" s="61">
        <v>1.03</v>
      </c>
      <c r="H69" s="63">
        <v>4.4999999999999998E-2</v>
      </c>
      <c r="I69" s="76"/>
    </row>
    <row r="70" spans="1:19" ht="102.6" customHeight="1" x14ac:dyDescent="0.3">
      <c r="A70" s="55" t="s">
        <v>170</v>
      </c>
      <c r="B70" s="6"/>
      <c r="C70" s="8" t="s">
        <v>171</v>
      </c>
      <c r="D70" s="7"/>
      <c r="E70" s="7" t="s">
        <v>172</v>
      </c>
      <c r="F70" s="9" t="s">
        <v>158</v>
      </c>
      <c r="G70" s="10">
        <v>1.03</v>
      </c>
      <c r="H70" s="12">
        <v>0.29899999999999999</v>
      </c>
      <c r="I70" s="76"/>
    </row>
    <row r="71" spans="1:19" ht="36.6" thickBot="1" x14ac:dyDescent="0.35">
      <c r="A71" s="77" t="s">
        <v>173</v>
      </c>
      <c r="B71" s="78"/>
      <c r="C71" s="84" t="s">
        <v>174</v>
      </c>
      <c r="D71" s="80"/>
      <c r="E71" s="80"/>
      <c r="F71" s="81" t="s">
        <v>37</v>
      </c>
      <c r="G71" s="82">
        <v>1</v>
      </c>
      <c r="H71" s="82">
        <v>0.33400000000000002</v>
      </c>
      <c r="I71" s="75"/>
    </row>
    <row r="72" spans="1:19" ht="124.2" customHeight="1" thickBot="1" x14ac:dyDescent="0.35">
      <c r="A72" s="64" t="s">
        <v>175</v>
      </c>
      <c r="B72" s="64" t="s">
        <v>164</v>
      </c>
      <c r="C72" s="66" t="s">
        <v>165</v>
      </c>
      <c r="D72" s="67" t="s">
        <v>227</v>
      </c>
      <c r="E72" s="67" t="s">
        <v>176</v>
      </c>
      <c r="F72" s="67" t="s">
        <v>158</v>
      </c>
      <c r="G72" s="68">
        <v>1</v>
      </c>
      <c r="H72" s="73">
        <v>0.36499999999999999</v>
      </c>
      <c r="I72" s="68"/>
      <c r="J72" s="129"/>
      <c r="K72" s="105"/>
      <c r="L72" s="105"/>
      <c r="M72" s="105"/>
      <c r="N72" s="105"/>
      <c r="O72" s="105"/>
      <c r="P72" s="105"/>
      <c r="Q72" s="105"/>
      <c r="R72" s="105"/>
      <c r="S72" s="106">
        <f>'2.6-Пер -1'!H29</f>
        <v>0.33792519999999993</v>
      </c>
    </row>
    <row r="73" spans="1:19" ht="36" x14ac:dyDescent="0.3">
      <c r="A73" s="56" t="s">
        <v>177</v>
      </c>
      <c r="B73" s="57"/>
      <c r="C73" s="58" t="s">
        <v>174</v>
      </c>
      <c r="D73" s="59"/>
      <c r="E73" s="59"/>
      <c r="F73" s="60" t="s">
        <v>37</v>
      </c>
      <c r="G73" s="61">
        <v>1</v>
      </c>
      <c r="H73" s="61">
        <v>0.36499999999999999</v>
      </c>
      <c r="I73" s="75"/>
    </row>
    <row r="74" spans="1:19" x14ac:dyDescent="0.3">
      <c r="A74" s="55" t="s">
        <v>178</v>
      </c>
      <c r="B74" s="6"/>
      <c r="C74" s="8" t="s">
        <v>171</v>
      </c>
      <c r="D74" s="7"/>
      <c r="E74" s="7"/>
      <c r="F74" s="9" t="s">
        <v>158</v>
      </c>
      <c r="G74" s="10">
        <v>1.03</v>
      </c>
      <c r="H74" s="12">
        <v>0.28000000000000003</v>
      </c>
      <c r="I74" s="76"/>
    </row>
    <row r="75" spans="1:19" ht="21.6" thickBot="1" x14ac:dyDescent="0.35">
      <c r="A75" s="77" t="s">
        <v>179</v>
      </c>
      <c r="B75" s="78"/>
      <c r="C75" s="84" t="s">
        <v>168</v>
      </c>
      <c r="D75" s="80"/>
      <c r="E75" s="80"/>
      <c r="F75" s="81" t="s">
        <v>158</v>
      </c>
      <c r="G75" s="82">
        <v>1.03</v>
      </c>
      <c r="H75" s="83">
        <v>9.6000000000000002E-2</v>
      </c>
      <c r="I75" s="76"/>
    </row>
    <row r="76" spans="1:19" ht="141.6" customHeight="1" thickBot="1" x14ac:dyDescent="0.35">
      <c r="A76" s="64" t="s">
        <v>180</v>
      </c>
      <c r="B76" s="64" t="s">
        <v>164</v>
      </c>
      <c r="C76" s="66" t="s">
        <v>165</v>
      </c>
      <c r="D76" s="67" t="s">
        <v>227</v>
      </c>
      <c r="E76" s="67" t="s">
        <v>181</v>
      </c>
      <c r="F76" s="67" t="s">
        <v>158</v>
      </c>
      <c r="G76" s="68">
        <v>1</v>
      </c>
      <c r="H76" s="73">
        <v>2.0030000000000001</v>
      </c>
      <c r="I76" s="68"/>
      <c r="J76" s="129"/>
      <c r="K76" s="105"/>
      <c r="L76" s="105"/>
      <c r="M76" s="105"/>
      <c r="N76" s="105"/>
      <c r="O76" s="105"/>
      <c r="P76" s="105">
        <f>'2.2-Пер'!H42</f>
        <v>2.4501312587412585</v>
      </c>
      <c r="Q76" s="105"/>
      <c r="R76" s="105"/>
      <c r="S76" s="106"/>
    </row>
    <row r="77" spans="1:19" x14ac:dyDescent="0.3">
      <c r="A77" s="56" t="s">
        <v>182</v>
      </c>
      <c r="B77" s="57"/>
      <c r="C77" s="58" t="s">
        <v>168</v>
      </c>
      <c r="D77" s="59"/>
      <c r="E77" s="59"/>
      <c r="F77" s="60" t="s">
        <v>158</v>
      </c>
      <c r="G77" s="61">
        <v>1.03</v>
      </c>
      <c r="H77" s="63">
        <v>0.496</v>
      </c>
      <c r="I77" s="76"/>
    </row>
    <row r="78" spans="1:19" x14ac:dyDescent="0.3">
      <c r="A78" s="55" t="s">
        <v>183</v>
      </c>
      <c r="B78" s="6"/>
      <c r="C78" s="8" t="s">
        <v>171</v>
      </c>
      <c r="D78" s="7"/>
      <c r="E78" s="7"/>
      <c r="F78" s="9" t="s">
        <v>158</v>
      </c>
      <c r="G78" s="10">
        <v>1.03</v>
      </c>
      <c r="H78" s="12">
        <v>1.569</v>
      </c>
      <c r="I78" s="76"/>
    </row>
    <row r="79" spans="1:19" ht="36.6" thickBot="1" x14ac:dyDescent="0.35">
      <c r="A79" s="77" t="s">
        <v>184</v>
      </c>
      <c r="B79" s="78"/>
      <c r="C79" s="84" t="s">
        <v>174</v>
      </c>
      <c r="D79" s="80"/>
      <c r="E79" s="80"/>
      <c r="F79" s="81" t="s">
        <v>37</v>
      </c>
      <c r="G79" s="82">
        <v>1</v>
      </c>
      <c r="H79" s="82">
        <v>2.0030000000000001</v>
      </c>
      <c r="I79" s="75"/>
    </row>
    <row r="80" spans="1:19" ht="184.8" customHeight="1" thickBot="1" x14ac:dyDescent="0.35">
      <c r="A80" s="64" t="s">
        <v>185</v>
      </c>
      <c r="B80" s="64" t="s">
        <v>186</v>
      </c>
      <c r="C80" s="66" t="s">
        <v>187</v>
      </c>
      <c r="D80" s="67" t="s">
        <v>188</v>
      </c>
      <c r="E80" s="67" t="s">
        <v>226</v>
      </c>
      <c r="F80" s="67" t="s">
        <v>158</v>
      </c>
      <c r="G80" s="68">
        <v>1</v>
      </c>
      <c r="H80" s="73">
        <v>7.7649999999999997</v>
      </c>
      <c r="I80" s="68"/>
      <c r="J80" s="129"/>
      <c r="K80" s="105"/>
      <c r="L80" s="105"/>
      <c r="M80" s="107"/>
      <c r="N80" s="105"/>
      <c r="O80" s="105">
        <f>'2.1-Ст'!H23</f>
        <v>8.1442700000000006</v>
      </c>
      <c r="P80" s="105"/>
      <c r="Q80" s="105">
        <f>'2.3-Ст'!H13</f>
        <v>1.1344799999999999</v>
      </c>
      <c r="R80" s="105">
        <f>'2.4-Ст'!H26</f>
        <v>2.8617799999999995</v>
      </c>
      <c r="S80" s="106"/>
    </row>
    <row r="81" spans="1:19" ht="54" x14ac:dyDescent="0.3">
      <c r="A81" s="56" t="s">
        <v>189</v>
      </c>
      <c r="B81" s="57"/>
      <c r="C81" s="58" t="s">
        <v>190</v>
      </c>
      <c r="D81" s="59"/>
      <c r="E81" s="59"/>
      <c r="F81" s="60" t="s">
        <v>158</v>
      </c>
      <c r="G81" s="61">
        <v>1</v>
      </c>
      <c r="H81" s="61">
        <v>7.7649999999999997</v>
      </c>
      <c r="I81" s="75"/>
    </row>
    <row r="82" spans="1:19" ht="90.6" thickBot="1" x14ac:dyDescent="0.35">
      <c r="A82" s="77" t="s">
        <v>191</v>
      </c>
      <c r="B82" s="78"/>
      <c r="C82" s="84" t="s">
        <v>192</v>
      </c>
      <c r="D82" s="80"/>
      <c r="E82" s="80" t="s">
        <v>193</v>
      </c>
      <c r="F82" s="81" t="s">
        <v>62</v>
      </c>
      <c r="G82" s="82">
        <v>1</v>
      </c>
      <c r="H82" s="83">
        <v>2266</v>
      </c>
      <c r="I82" s="76"/>
    </row>
    <row r="83" spans="1:19" ht="21.6" thickBot="1" x14ac:dyDescent="0.35">
      <c r="A83" s="64" t="s">
        <v>194</v>
      </c>
      <c r="B83" s="64" t="s">
        <v>195</v>
      </c>
      <c r="C83" s="66" t="s">
        <v>196</v>
      </c>
      <c r="D83" s="67"/>
      <c r="E83" s="67" t="s">
        <v>197</v>
      </c>
      <c r="F83" s="67" t="s">
        <v>158</v>
      </c>
      <c r="G83" s="68">
        <v>1</v>
      </c>
      <c r="H83" s="73">
        <v>1.59</v>
      </c>
      <c r="I83" s="68"/>
      <c r="J83" s="129"/>
      <c r="K83" s="105"/>
      <c r="L83" s="105"/>
      <c r="M83" s="105"/>
      <c r="N83" s="105"/>
      <c r="O83" s="105"/>
      <c r="P83" s="105"/>
      <c r="Q83" s="105"/>
      <c r="R83" s="105"/>
      <c r="S83" s="106"/>
    </row>
    <row r="84" spans="1:19" ht="36.6" thickBot="1" x14ac:dyDescent="0.35">
      <c r="A84" s="85" t="s">
        <v>198</v>
      </c>
      <c r="B84" s="86"/>
      <c r="C84" s="87" t="s">
        <v>199</v>
      </c>
      <c r="D84" s="88"/>
      <c r="E84" s="88"/>
      <c r="F84" s="89" t="s">
        <v>158</v>
      </c>
      <c r="G84" s="90">
        <v>1</v>
      </c>
      <c r="H84" s="90">
        <v>1.59</v>
      </c>
      <c r="I84" s="75"/>
    </row>
    <row r="85" spans="1:19" ht="21.6" thickBot="1" x14ac:dyDescent="0.35">
      <c r="A85" s="64" t="s">
        <v>200</v>
      </c>
      <c r="B85" s="64" t="s">
        <v>195</v>
      </c>
      <c r="C85" s="66" t="s">
        <v>196</v>
      </c>
      <c r="D85" s="67"/>
      <c r="E85" s="67" t="s">
        <v>201</v>
      </c>
      <c r="F85" s="67" t="s">
        <v>158</v>
      </c>
      <c r="G85" s="68">
        <v>1</v>
      </c>
      <c r="H85" s="73">
        <v>1.113</v>
      </c>
      <c r="I85" s="68"/>
      <c r="J85" s="129"/>
      <c r="K85" s="105"/>
      <c r="L85" s="105"/>
      <c r="M85" s="105"/>
      <c r="N85" s="105"/>
      <c r="O85" s="105"/>
      <c r="P85" s="105"/>
      <c r="Q85" s="105"/>
      <c r="R85" s="105"/>
      <c r="S85" s="106"/>
    </row>
    <row r="86" spans="1:19" ht="36.6" thickBot="1" x14ac:dyDescent="0.35">
      <c r="A86" s="85" t="s">
        <v>202</v>
      </c>
      <c r="B86" s="86"/>
      <c r="C86" s="87" t="s">
        <v>199</v>
      </c>
      <c r="D86" s="88"/>
      <c r="E86" s="88"/>
      <c r="F86" s="89" t="s">
        <v>158</v>
      </c>
      <c r="G86" s="90">
        <v>1</v>
      </c>
      <c r="H86" s="90">
        <v>1.113</v>
      </c>
      <c r="I86" s="75"/>
    </row>
    <row r="87" spans="1:19" ht="28.2" customHeight="1" thickBot="1" x14ac:dyDescent="0.35">
      <c r="A87" s="64" t="s">
        <v>203</v>
      </c>
      <c r="B87" s="64" t="s">
        <v>195</v>
      </c>
      <c r="C87" s="66" t="s">
        <v>196</v>
      </c>
      <c r="D87" s="67"/>
      <c r="E87" s="67" t="s">
        <v>204</v>
      </c>
      <c r="F87" s="67" t="s">
        <v>158</v>
      </c>
      <c r="G87" s="68">
        <v>1</v>
      </c>
      <c r="H87" s="73">
        <v>0.36699999999999999</v>
      </c>
      <c r="I87" s="68"/>
      <c r="J87" s="129"/>
      <c r="K87" s="105"/>
      <c r="L87" s="105"/>
      <c r="M87" s="105"/>
      <c r="N87" s="105"/>
      <c r="O87" s="105"/>
      <c r="P87" s="105"/>
      <c r="Q87" s="105"/>
      <c r="R87" s="105"/>
      <c r="S87" s="106"/>
    </row>
    <row r="88" spans="1:19" ht="36.6" thickBot="1" x14ac:dyDescent="0.35">
      <c r="A88" s="85" t="s">
        <v>205</v>
      </c>
      <c r="B88" s="86"/>
      <c r="C88" s="87" t="s">
        <v>199</v>
      </c>
      <c r="D88" s="88"/>
      <c r="E88" s="88"/>
      <c r="F88" s="89" t="s">
        <v>158</v>
      </c>
      <c r="G88" s="90">
        <v>1</v>
      </c>
      <c r="H88" s="90">
        <v>0.36699999999999999</v>
      </c>
      <c r="I88" s="75"/>
    </row>
    <row r="89" spans="1:19" ht="16.95" customHeight="1" x14ac:dyDescent="0.3">
      <c r="A89" s="64" t="s">
        <v>206</v>
      </c>
      <c r="B89" s="64" t="s">
        <v>207</v>
      </c>
      <c r="C89" s="65" t="s">
        <v>208</v>
      </c>
      <c r="D89" s="65"/>
      <c r="E89" s="65"/>
      <c r="F89" s="65"/>
      <c r="G89" s="65"/>
      <c r="H89" s="72"/>
      <c r="I89" s="65"/>
      <c r="J89" s="130"/>
      <c r="K89" s="102"/>
      <c r="L89" s="102"/>
      <c r="M89" s="102"/>
      <c r="N89" s="102"/>
      <c r="O89" s="102"/>
      <c r="P89" s="102"/>
      <c r="Q89" s="102"/>
      <c r="R89" s="102"/>
      <c r="S89" s="103"/>
    </row>
    <row r="90" spans="1:19" ht="90" x14ac:dyDescent="0.3">
      <c r="A90" s="64" t="s">
        <v>209</v>
      </c>
      <c r="B90" s="64" t="s">
        <v>210</v>
      </c>
      <c r="C90" s="66" t="s">
        <v>211</v>
      </c>
      <c r="D90" s="67"/>
      <c r="E90" s="67" t="s">
        <v>212</v>
      </c>
      <c r="F90" s="67" t="s">
        <v>128</v>
      </c>
      <c r="G90" s="68">
        <v>1</v>
      </c>
      <c r="H90" s="73">
        <v>58.552</v>
      </c>
      <c r="I90" s="68"/>
      <c r="J90" s="132"/>
      <c r="K90" s="96"/>
      <c r="L90" s="96"/>
      <c r="M90" s="96"/>
      <c r="N90" s="96"/>
      <c r="O90" s="96"/>
      <c r="P90" s="96"/>
      <c r="Q90" s="96"/>
      <c r="R90" s="96"/>
      <c r="S90" s="97"/>
    </row>
    <row r="91" spans="1:19" ht="16.95" customHeight="1" x14ac:dyDescent="0.3">
      <c r="A91" s="64" t="s">
        <v>213</v>
      </c>
      <c r="B91" s="64" t="s">
        <v>214</v>
      </c>
      <c r="C91" s="65" t="s">
        <v>215</v>
      </c>
      <c r="D91" s="65"/>
      <c r="E91" s="65"/>
      <c r="F91" s="65"/>
      <c r="G91" s="65"/>
      <c r="H91" s="72"/>
      <c r="I91" s="65"/>
      <c r="J91" s="132"/>
      <c r="K91" s="96"/>
      <c r="L91" s="96"/>
      <c r="M91" s="96"/>
      <c r="N91" s="96"/>
      <c r="O91" s="96"/>
      <c r="P91" s="96"/>
      <c r="Q91" s="96"/>
      <c r="R91" s="96"/>
      <c r="S91" s="97"/>
    </row>
    <row r="92" spans="1:19" ht="16.95" customHeight="1" x14ac:dyDescent="0.3">
      <c r="A92" s="64" t="s">
        <v>216</v>
      </c>
      <c r="B92" s="64" t="s">
        <v>217</v>
      </c>
      <c r="C92" s="65" t="s">
        <v>208</v>
      </c>
      <c r="D92" s="65"/>
      <c r="E92" s="65"/>
      <c r="F92" s="65"/>
      <c r="G92" s="65"/>
      <c r="H92" s="72"/>
      <c r="I92" s="65"/>
      <c r="J92" s="132"/>
      <c r="K92" s="96"/>
      <c r="L92" s="96"/>
      <c r="M92" s="96"/>
      <c r="N92" s="96"/>
      <c r="O92" s="96"/>
      <c r="P92" s="96"/>
      <c r="Q92" s="96"/>
      <c r="R92" s="96"/>
      <c r="S92" s="97"/>
    </row>
    <row r="93" spans="1:19" ht="54.6" thickBot="1" x14ac:dyDescent="0.35">
      <c r="A93" s="64" t="s">
        <v>218</v>
      </c>
      <c r="B93" s="64" t="s">
        <v>219</v>
      </c>
      <c r="C93" s="66" t="s">
        <v>220</v>
      </c>
      <c r="D93" s="67"/>
      <c r="E93" s="67" t="s">
        <v>221</v>
      </c>
      <c r="F93" s="67" t="s">
        <v>34</v>
      </c>
      <c r="G93" s="68">
        <v>1</v>
      </c>
      <c r="H93" s="73">
        <v>92.86</v>
      </c>
      <c r="I93" s="68"/>
      <c r="J93" s="131"/>
      <c r="K93" s="99"/>
      <c r="L93" s="99"/>
      <c r="M93" s="99"/>
      <c r="N93" s="99"/>
      <c r="O93" s="99"/>
      <c r="P93" s="99"/>
      <c r="Q93" s="99"/>
      <c r="R93" s="99"/>
      <c r="S93" s="100"/>
    </row>
    <row r="94" spans="1:19" x14ac:dyDescent="0.3">
      <c r="A94" s="56" t="s">
        <v>222</v>
      </c>
      <c r="B94" s="57"/>
      <c r="C94" s="58" t="s">
        <v>59</v>
      </c>
      <c r="D94" s="59"/>
      <c r="E94" s="59"/>
      <c r="F94" s="60" t="s">
        <v>23</v>
      </c>
      <c r="G94" s="61">
        <v>4.2</v>
      </c>
      <c r="H94" s="61">
        <v>390.012</v>
      </c>
      <c r="I94" s="75"/>
    </row>
    <row r="95" spans="1:19" x14ac:dyDescent="0.3">
      <c r="A95" s="55" t="s">
        <v>223</v>
      </c>
      <c r="B95" s="6"/>
      <c r="C95" s="8" t="s">
        <v>224</v>
      </c>
      <c r="D95" s="7"/>
      <c r="E95" s="7"/>
      <c r="F95" s="9" t="s">
        <v>42</v>
      </c>
      <c r="G95" s="10">
        <v>445</v>
      </c>
      <c r="H95" s="10">
        <v>41322.699999999997</v>
      </c>
      <c r="I95" s="75"/>
    </row>
    <row r="96" spans="1:19" x14ac:dyDescent="0.3">
      <c r="A96" s="55" t="s">
        <v>225</v>
      </c>
      <c r="B96" s="6"/>
      <c r="C96" s="8" t="s">
        <v>61</v>
      </c>
      <c r="D96" s="7"/>
      <c r="E96" s="7"/>
      <c r="F96" s="9" t="s">
        <v>62</v>
      </c>
      <c r="G96" s="10">
        <v>395</v>
      </c>
      <c r="H96" s="10">
        <v>36679.699999999997</v>
      </c>
      <c r="I96" s="75"/>
    </row>
    <row r="97" spans="1:19" ht="18.600000000000001" customHeight="1" x14ac:dyDescent="0.3">
      <c r="A97" s="114" t="s">
        <v>305</v>
      </c>
      <c r="B97" s="115" t="s">
        <v>306</v>
      </c>
      <c r="C97" s="135" t="s">
        <v>307</v>
      </c>
      <c r="D97" s="117"/>
      <c r="E97" s="117"/>
      <c r="F97" s="118"/>
      <c r="G97" s="119"/>
      <c r="H97" s="128"/>
      <c r="I97" s="134"/>
      <c r="J97" s="133"/>
      <c r="K97" s="127"/>
      <c r="L97" s="127"/>
      <c r="M97" s="127"/>
      <c r="N97" s="127"/>
      <c r="O97" s="127"/>
      <c r="P97" s="127"/>
      <c r="Q97" s="127"/>
      <c r="R97" s="127"/>
      <c r="S97" s="127"/>
    </row>
    <row r="98" spans="1:19" x14ac:dyDescent="0.3">
      <c r="A98" s="114" t="s">
        <v>308</v>
      </c>
      <c r="B98" s="115" t="s">
        <v>309</v>
      </c>
      <c r="C98" s="135" t="s">
        <v>310</v>
      </c>
      <c r="D98" s="117"/>
      <c r="E98" s="117"/>
      <c r="F98" s="118"/>
      <c r="G98" s="119"/>
      <c r="H98" s="128"/>
      <c r="I98" s="134"/>
      <c r="J98" s="133"/>
      <c r="K98" s="127"/>
      <c r="L98" s="127"/>
      <c r="M98" s="127"/>
      <c r="N98" s="127"/>
      <c r="O98" s="127"/>
      <c r="P98" s="127"/>
      <c r="Q98" s="127"/>
      <c r="R98" s="127"/>
      <c r="S98" s="127"/>
    </row>
    <row r="99" spans="1:19" ht="126" x14ac:dyDescent="0.3">
      <c r="A99" s="114" t="s">
        <v>311</v>
      </c>
      <c r="B99" s="115" t="s">
        <v>312</v>
      </c>
      <c r="C99" s="116" t="s">
        <v>313</v>
      </c>
      <c r="D99" s="117"/>
      <c r="E99" s="336" t="s">
        <v>314</v>
      </c>
      <c r="F99" s="118" t="s">
        <v>128</v>
      </c>
      <c r="G99" s="119">
        <v>1</v>
      </c>
      <c r="H99" s="128"/>
      <c r="I99" s="134">
        <v>2181.16</v>
      </c>
      <c r="J99" s="133"/>
      <c r="K99" s="127"/>
      <c r="L99" s="127"/>
      <c r="M99" s="127"/>
      <c r="N99" s="127"/>
      <c r="O99" s="127"/>
      <c r="P99" s="127"/>
      <c r="Q99" s="127"/>
      <c r="R99" s="127"/>
      <c r="S99" s="127"/>
    </row>
    <row r="100" spans="1:19" ht="54" x14ac:dyDescent="0.3">
      <c r="A100" s="114" t="s">
        <v>315</v>
      </c>
      <c r="B100" s="115"/>
      <c r="C100" s="116" t="s">
        <v>316</v>
      </c>
      <c r="D100" s="117"/>
      <c r="E100" s="117" t="s">
        <v>317</v>
      </c>
      <c r="F100" s="118" t="s">
        <v>42</v>
      </c>
      <c r="G100" s="119">
        <v>0.1</v>
      </c>
      <c r="H100" s="119"/>
      <c r="I100" s="126">
        <v>436.23200000000003</v>
      </c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</row>
    <row r="101" spans="1:19" x14ac:dyDescent="0.3">
      <c r="A101" s="114" t="s">
        <v>318</v>
      </c>
      <c r="B101" s="115"/>
      <c r="C101" s="116" t="s">
        <v>319</v>
      </c>
      <c r="D101" s="117"/>
      <c r="E101" s="117" t="s">
        <v>320</v>
      </c>
      <c r="F101" s="118" t="s">
        <v>128</v>
      </c>
      <c r="G101" s="119">
        <v>1.1000000000000001</v>
      </c>
      <c r="H101" s="119"/>
      <c r="I101" s="126">
        <v>4798.5519999999997</v>
      </c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</row>
    <row r="102" spans="1:19" ht="108" x14ac:dyDescent="0.3">
      <c r="A102" s="114" t="s">
        <v>321</v>
      </c>
      <c r="B102" s="115" t="s">
        <v>322</v>
      </c>
      <c r="C102" s="8" t="s">
        <v>323</v>
      </c>
      <c r="D102" s="117"/>
      <c r="E102" s="337" t="s">
        <v>324</v>
      </c>
      <c r="F102" s="118" t="s">
        <v>23</v>
      </c>
      <c r="G102" s="119">
        <v>1</v>
      </c>
      <c r="H102" s="128"/>
      <c r="I102" s="134">
        <v>57.5</v>
      </c>
      <c r="J102" s="133"/>
      <c r="K102" s="127"/>
      <c r="L102" s="127"/>
      <c r="M102" s="127"/>
      <c r="N102" s="127"/>
      <c r="O102" s="127"/>
      <c r="P102" s="127"/>
      <c r="Q102" s="127"/>
      <c r="R102" s="127"/>
      <c r="S102" s="127"/>
    </row>
    <row r="103" spans="1:19" ht="36" x14ac:dyDescent="0.3">
      <c r="A103" s="114" t="s">
        <v>325</v>
      </c>
      <c r="B103" s="115"/>
      <c r="C103" s="116" t="s">
        <v>326</v>
      </c>
      <c r="D103" s="117"/>
      <c r="E103" s="117"/>
      <c r="F103" s="118" t="s">
        <v>42</v>
      </c>
      <c r="G103" s="119">
        <v>1.5</v>
      </c>
      <c r="H103" s="119"/>
      <c r="I103" s="126">
        <v>862.5</v>
      </c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</row>
    <row r="104" spans="1:19" x14ac:dyDescent="0.3">
      <c r="A104" s="114" t="s">
        <v>327</v>
      </c>
      <c r="B104" s="115"/>
      <c r="C104" s="116" t="s">
        <v>328</v>
      </c>
      <c r="D104" s="117"/>
      <c r="E104" s="117"/>
      <c r="F104" s="118" t="s">
        <v>23</v>
      </c>
      <c r="G104" s="119">
        <v>1.1000000000000001</v>
      </c>
      <c r="H104" s="119"/>
      <c r="I104" s="126">
        <v>63.25</v>
      </c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</row>
    <row r="105" spans="1:19" x14ac:dyDescent="0.3">
      <c r="A105" s="114" t="s">
        <v>329</v>
      </c>
      <c r="B105" s="115"/>
      <c r="C105" s="116" t="s">
        <v>330</v>
      </c>
      <c r="D105" s="117"/>
      <c r="E105" s="117"/>
      <c r="F105" s="118" t="s">
        <v>128</v>
      </c>
      <c r="G105" s="119">
        <v>1.05</v>
      </c>
      <c r="H105" s="119"/>
      <c r="I105" s="126">
        <v>60.375</v>
      </c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</row>
    <row r="106" spans="1:19" ht="90" x14ac:dyDescent="0.3">
      <c r="A106" s="114" t="s">
        <v>331</v>
      </c>
      <c r="B106" s="115" t="s">
        <v>332</v>
      </c>
      <c r="C106" s="116" t="s">
        <v>333</v>
      </c>
      <c r="D106" s="117"/>
      <c r="E106" s="117" t="s">
        <v>334</v>
      </c>
      <c r="F106" s="118" t="s">
        <v>23</v>
      </c>
      <c r="G106" s="119">
        <v>1</v>
      </c>
      <c r="H106" s="128"/>
      <c r="I106" s="134">
        <v>244.06700000000001</v>
      </c>
      <c r="J106" s="133"/>
      <c r="K106" s="127"/>
      <c r="L106" s="127"/>
      <c r="M106" s="127"/>
      <c r="N106" s="127"/>
      <c r="O106" s="127"/>
      <c r="P106" s="127"/>
      <c r="Q106" s="127"/>
      <c r="R106" s="127"/>
      <c r="S106" s="127"/>
    </row>
    <row r="107" spans="1:19" ht="36" x14ac:dyDescent="0.3">
      <c r="A107" s="114" t="s">
        <v>335</v>
      </c>
      <c r="B107" s="115"/>
      <c r="C107" s="116" t="s">
        <v>336</v>
      </c>
      <c r="D107" s="117"/>
      <c r="E107" s="117"/>
      <c r="F107" s="118" t="s">
        <v>34</v>
      </c>
      <c r="G107" s="119">
        <v>1.03</v>
      </c>
      <c r="H107" s="119"/>
      <c r="I107" s="126">
        <v>37.707999999999998</v>
      </c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</row>
    <row r="108" spans="1:19" ht="36" x14ac:dyDescent="0.3">
      <c r="A108" s="114" t="s">
        <v>337</v>
      </c>
      <c r="B108" s="115"/>
      <c r="C108" s="116" t="s">
        <v>338</v>
      </c>
      <c r="D108" s="117"/>
      <c r="E108" s="117"/>
      <c r="F108" s="118" t="s">
        <v>62</v>
      </c>
      <c r="G108" s="119">
        <v>7</v>
      </c>
      <c r="H108" s="119"/>
      <c r="I108" s="126">
        <v>1708.4690000000001</v>
      </c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</row>
    <row r="109" spans="1:19" ht="108" x14ac:dyDescent="0.3">
      <c r="A109" s="114" t="s">
        <v>339</v>
      </c>
      <c r="B109" s="115" t="s">
        <v>332</v>
      </c>
      <c r="C109" s="116" t="s">
        <v>333</v>
      </c>
      <c r="D109" s="117"/>
      <c r="E109" s="117" t="s">
        <v>340</v>
      </c>
      <c r="F109" s="118" t="s">
        <v>23</v>
      </c>
      <c r="G109" s="119">
        <v>1</v>
      </c>
      <c r="H109" s="128"/>
      <c r="I109" s="134">
        <v>20.5</v>
      </c>
      <c r="J109" s="133"/>
      <c r="K109" s="127"/>
      <c r="L109" s="127"/>
      <c r="M109" s="127"/>
      <c r="N109" s="127"/>
      <c r="O109" s="127"/>
      <c r="P109" s="127"/>
      <c r="Q109" s="127"/>
      <c r="R109" s="127"/>
      <c r="S109" s="127"/>
    </row>
    <row r="110" spans="1:19" ht="36" x14ac:dyDescent="0.3">
      <c r="A110" s="114" t="s">
        <v>341</v>
      </c>
      <c r="B110" s="115"/>
      <c r="C110" s="116" t="s">
        <v>342</v>
      </c>
      <c r="D110" s="117"/>
      <c r="E110" s="117"/>
      <c r="F110" s="118" t="s">
        <v>62</v>
      </c>
      <c r="G110" s="119">
        <v>7</v>
      </c>
      <c r="H110" s="119"/>
      <c r="I110" s="126">
        <v>143.5</v>
      </c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</row>
    <row r="111" spans="1:19" x14ac:dyDescent="0.3">
      <c r="A111" s="114" t="s">
        <v>343</v>
      </c>
      <c r="B111" s="115"/>
      <c r="C111" s="116" t="s">
        <v>344</v>
      </c>
      <c r="D111" s="117"/>
      <c r="E111" s="117"/>
      <c r="F111" s="118" t="s">
        <v>42</v>
      </c>
      <c r="G111" s="119">
        <v>6</v>
      </c>
      <c r="H111" s="119"/>
      <c r="I111" s="126">
        <v>123</v>
      </c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</row>
    <row r="112" spans="1:19" ht="36" x14ac:dyDescent="0.3">
      <c r="A112" s="114" t="s">
        <v>345</v>
      </c>
      <c r="B112" s="115"/>
      <c r="C112" s="116" t="s">
        <v>336</v>
      </c>
      <c r="D112" s="117"/>
      <c r="E112" s="117"/>
      <c r="F112" s="118" t="s">
        <v>34</v>
      </c>
      <c r="G112" s="119">
        <v>1.03</v>
      </c>
      <c r="H112" s="119"/>
      <c r="I112" s="126">
        <v>1.056</v>
      </c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</row>
    <row r="113" spans="1:19" ht="108" x14ac:dyDescent="0.3">
      <c r="A113" s="114" t="s">
        <v>346</v>
      </c>
      <c r="B113" s="115" t="s">
        <v>332</v>
      </c>
      <c r="C113" s="116" t="s">
        <v>333</v>
      </c>
      <c r="D113" s="117"/>
      <c r="E113" s="117" t="s">
        <v>347</v>
      </c>
      <c r="F113" s="118" t="s">
        <v>23</v>
      </c>
      <c r="G113" s="119">
        <v>1</v>
      </c>
      <c r="H113" s="128"/>
      <c r="I113" s="134">
        <v>37</v>
      </c>
      <c r="J113" s="133"/>
      <c r="K113" s="127"/>
      <c r="L113" s="127"/>
      <c r="M113" s="127"/>
      <c r="N113" s="127"/>
      <c r="O113" s="127"/>
      <c r="P113" s="127"/>
      <c r="Q113" s="127"/>
      <c r="R113" s="127"/>
      <c r="S113" s="127"/>
    </row>
    <row r="114" spans="1:19" ht="36" x14ac:dyDescent="0.3">
      <c r="A114" s="114" t="s">
        <v>348</v>
      </c>
      <c r="B114" s="115"/>
      <c r="C114" s="116" t="s">
        <v>336</v>
      </c>
      <c r="D114" s="117"/>
      <c r="E114" s="117"/>
      <c r="F114" s="118" t="s">
        <v>34</v>
      </c>
      <c r="G114" s="119">
        <v>1.03</v>
      </c>
      <c r="H114" s="119"/>
      <c r="I114" s="126">
        <v>5.7169999999999996</v>
      </c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</row>
    <row r="115" spans="1:19" x14ac:dyDescent="0.3">
      <c r="A115" s="114" t="s">
        <v>349</v>
      </c>
      <c r="B115" s="115"/>
      <c r="C115" s="116" t="s">
        <v>344</v>
      </c>
      <c r="D115" s="117"/>
      <c r="E115" s="117"/>
      <c r="F115" s="118" t="s">
        <v>42</v>
      </c>
      <c r="G115" s="119">
        <v>6</v>
      </c>
      <c r="H115" s="119"/>
      <c r="I115" s="126">
        <v>222</v>
      </c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</row>
    <row r="116" spans="1:19" ht="36" x14ac:dyDescent="0.3">
      <c r="A116" s="114" t="s">
        <v>350</v>
      </c>
      <c r="B116" s="115"/>
      <c r="C116" s="116" t="s">
        <v>351</v>
      </c>
      <c r="D116" s="117"/>
      <c r="E116" s="117"/>
      <c r="F116" s="118" t="s">
        <v>62</v>
      </c>
      <c r="G116" s="119">
        <v>7</v>
      </c>
      <c r="H116" s="119"/>
      <c r="I116" s="126">
        <v>259</v>
      </c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</row>
    <row r="117" spans="1:19" ht="54" x14ac:dyDescent="0.3">
      <c r="A117" s="114" t="s">
        <v>352</v>
      </c>
      <c r="B117" s="115" t="s">
        <v>353</v>
      </c>
      <c r="C117" s="116" t="s">
        <v>354</v>
      </c>
      <c r="D117" s="117"/>
      <c r="E117" s="117" t="s">
        <v>355</v>
      </c>
      <c r="F117" s="118" t="s">
        <v>23</v>
      </c>
      <c r="G117" s="119">
        <v>1</v>
      </c>
      <c r="H117" s="128"/>
      <c r="I117" s="134">
        <v>601</v>
      </c>
      <c r="J117" s="133"/>
      <c r="K117" s="127"/>
      <c r="L117" s="127"/>
      <c r="M117" s="127"/>
      <c r="N117" s="127"/>
      <c r="O117" s="127"/>
      <c r="P117" s="127"/>
      <c r="Q117" s="127"/>
      <c r="R117" s="127"/>
      <c r="S117" s="127"/>
    </row>
    <row r="118" spans="1:19" x14ac:dyDescent="0.3">
      <c r="A118" s="114" t="s">
        <v>356</v>
      </c>
      <c r="B118" s="115"/>
      <c r="C118" s="116" t="s">
        <v>357</v>
      </c>
      <c r="D118" s="117"/>
      <c r="E118" s="117" t="s">
        <v>358</v>
      </c>
      <c r="F118" s="118" t="s">
        <v>42</v>
      </c>
      <c r="G118" s="119">
        <v>2</v>
      </c>
      <c r="H118" s="119"/>
      <c r="I118" s="126">
        <v>1202</v>
      </c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</row>
    <row r="119" spans="1:19" ht="36" x14ac:dyDescent="0.3">
      <c r="A119" s="114" t="s">
        <v>359</v>
      </c>
      <c r="B119" s="115"/>
      <c r="C119" s="116" t="s">
        <v>360</v>
      </c>
      <c r="D119" s="117"/>
      <c r="E119" s="117"/>
      <c r="F119" s="118" t="s">
        <v>62</v>
      </c>
      <c r="G119" s="119">
        <v>0.3</v>
      </c>
      <c r="H119" s="119"/>
      <c r="I119" s="126">
        <v>180.3</v>
      </c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</row>
    <row r="120" spans="1:19" ht="36" x14ac:dyDescent="0.3">
      <c r="A120" s="114" t="s">
        <v>361</v>
      </c>
      <c r="B120" s="115"/>
      <c r="C120" s="116" t="s">
        <v>362</v>
      </c>
      <c r="D120" s="117"/>
      <c r="E120" s="117"/>
      <c r="F120" s="118" t="s">
        <v>42</v>
      </c>
      <c r="G120" s="119">
        <v>0.15</v>
      </c>
      <c r="H120" s="119"/>
      <c r="I120" s="126">
        <v>90.15</v>
      </c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</row>
    <row r="121" spans="1:19" ht="54" x14ac:dyDescent="0.3">
      <c r="A121" s="114" t="s">
        <v>363</v>
      </c>
      <c r="B121" s="115" t="s">
        <v>353</v>
      </c>
      <c r="C121" s="116" t="s">
        <v>354</v>
      </c>
      <c r="D121" s="117"/>
      <c r="E121" s="117" t="s">
        <v>364</v>
      </c>
      <c r="F121" s="118" t="s">
        <v>23</v>
      </c>
      <c r="G121" s="119">
        <v>1</v>
      </c>
      <c r="H121" s="128"/>
      <c r="I121" s="134">
        <v>405</v>
      </c>
      <c r="J121" s="133"/>
      <c r="K121" s="127"/>
      <c r="L121" s="127"/>
      <c r="M121" s="127"/>
      <c r="N121" s="127"/>
      <c r="O121" s="127"/>
      <c r="P121" s="127"/>
      <c r="Q121" s="127"/>
      <c r="R121" s="127"/>
      <c r="S121" s="127"/>
    </row>
    <row r="122" spans="1:19" ht="36" x14ac:dyDescent="0.3">
      <c r="A122" s="114" t="s">
        <v>365</v>
      </c>
      <c r="B122" s="115"/>
      <c r="C122" s="116" t="s">
        <v>362</v>
      </c>
      <c r="D122" s="117"/>
      <c r="E122" s="117"/>
      <c r="F122" s="118" t="s">
        <v>42</v>
      </c>
      <c r="G122" s="119">
        <v>0.15</v>
      </c>
      <c r="H122" s="119"/>
      <c r="I122" s="126">
        <v>60.75</v>
      </c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</row>
    <row r="123" spans="1:19" ht="36" x14ac:dyDescent="0.3">
      <c r="A123" s="114" t="s">
        <v>366</v>
      </c>
      <c r="B123" s="115"/>
      <c r="C123" s="116" t="s">
        <v>360</v>
      </c>
      <c r="D123" s="117"/>
      <c r="E123" s="117"/>
      <c r="F123" s="118" t="s">
        <v>62</v>
      </c>
      <c r="G123" s="119">
        <v>0.3</v>
      </c>
      <c r="H123" s="119"/>
      <c r="I123" s="126">
        <v>121.5</v>
      </c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</row>
    <row r="124" spans="1:19" ht="36" x14ac:dyDescent="0.3">
      <c r="A124" s="114" t="s">
        <v>367</v>
      </c>
      <c r="B124" s="115"/>
      <c r="C124" s="116" t="s">
        <v>368</v>
      </c>
      <c r="D124" s="117"/>
      <c r="E124" s="117"/>
      <c r="F124" s="118" t="s">
        <v>42</v>
      </c>
      <c r="G124" s="119">
        <v>1.5</v>
      </c>
      <c r="H124" s="119"/>
      <c r="I124" s="126">
        <v>607.5</v>
      </c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</row>
    <row r="125" spans="1:19" ht="36" x14ac:dyDescent="0.3">
      <c r="A125" s="114" t="s">
        <v>369</v>
      </c>
      <c r="B125" s="115" t="s">
        <v>353</v>
      </c>
      <c r="C125" s="116" t="s">
        <v>354</v>
      </c>
      <c r="D125" s="117"/>
      <c r="E125" s="117" t="s">
        <v>370</v>
      </c>
      <c r="F125" s="118" t="s">
        <v>23</v>
      </c>
      <c r="G125" s="119">
        <v>1</v>
      </c>
      <c r="H125" s="128"/>
      <c r="I125" s="134">
        <v>405</v>
      </c>
      <c r="J125" s="133"/>
      <c r="K125" s="127"/>
      <c r="L125" s="127"/>
      <c r="M125" s="127"/>
      <c r="N125" s="127"/>
      <c r="O125" s="127"/>
      <c r="P125" s="127"/>
      <c r="Q125" s="127"/>
      <c r="R125" s="127"/>
      <c r="S125" s="127"/>
    </row>
    <row r="126" spans="1:19" ht="36" x14ac:dyDescent="0.3">
      <c r="A126" s="114" t="s">
        <v>371</v>
      </c>
      <c r="B126" s="115"/>
      <c r="C126" s="116" t="s">
        <v>368</v>
      </c>
      <c r="D126" s="117"/>
      <c r="E126" s="117"/>
      <c r="F126" s="118" t="s">
        <v>42</v>
      </c>
      <c r="G126" s="119">
        <v>1.5</v>
      </c>
      <c r="H126" s="119"/>
      <c r="I126" s="126">
        <v>607.5</v>
      </c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</row>
    <row r="127" spans="1:19" ht="36" x14ac:dyDescent="0.3">
      <c r="A127" s="114" t="s">
        <v>372</v>
      </c>
      <c r="B127" s="115"/>
      <c r="C127" s="116" t="s">
        <v>362</v>
      </c>
      <c r="D127" s="117"/>
      <c r="E127" s="117"/>
      <c r="F127" s="118" t="s">
        <v>42</v>
      </c>
      <c r="G127" s="119">
        <v>0.15</v>
      </c>
      <c r="H127" s="119"/>
      <c r="I127" s="126">
        <v>60.75</v>
      </c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</row>
    <row r="128" spans="1:19" ht="36" x14ac:dyDescent="0.3">
      <c r="A128" s="114" t="s">
        <v>373</v>
      </c>
      <c r="B128" s="115" t="s">
        <v>374</v>
      </c>
      <c r="C128" s="116" t="s">
        <v>375</v>
      </c>
      <c r="D128" s="117"/>
      <c r="E128" s="117" t="s">
        <v>376</v>
      </c>
      <c r="F128" s="118" t="s">
        <v>23</v>
      </c>
      <c r="G128" s="119">
        <v>1</v>
      </c>
      <c r="H128" s="128"/>
      <c r="I128" s="134">
        <v>15093.2</v>
      </c>
      <c r="J128" s="133"/>
      <c r="K128" s="127"/>
      <c r="L128" s="127"/>
      <c r="M128" s="127"/>
      <c r="N128" s="127"/>
      <c r="O128" s="127"/>
      <c r="P128" s="127"/>
      <c r="Q128" s="127"/>
      <c r="R128" s="127"/>
      <c r="S128" s="127"/>
    </row>
    <row r="129" spans="1:19" ht="36" x14ac:dyDescent="0.3">
      <c r="A129" s="114" t="s">
        <v>377</v>
      </c>
      <c r="B129" s="115"/>
      <c r="C129" s="116" t="s">
        <v>368</v>
      </c>
      <c r="D129" s="117"/>
      <c r="E129" s="117"/>
      <c r="F129" s="118" t="s">
        <v>42</v>
      </c>
      <c r="G129" s="119">
        <v>1.8</v>
      </c>
      <c r="H129" s="119"/>
      <c r="I129" s="126">
        <v>27167.759999999998</v>
      </c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</row>
    <row r="130" spans="1:19" x14ac:dyDescent="0.3">
      <c r="A130" s="114" t="s">
        <v>378</v>
      </c>
      <c r="B130" s="115"/>
      <c r="C130" s="116" t="s">
        <v>379</v>
      </c>
      <c r="D130" s="117"/>
      <c r="E130" s="117"/>
      <c r="F130" s="118" t="s">
        <v>62</v>
      </c>
      <c r="G130" s="119">
        <v>0.3</v>
      </c>
      <c r="H130" s="119"/>
      <c r="I130" s="126">
        <v>4527.96</v>
      </c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</row>
    <row r="131" spans="1:19" ht="36" x14ac:dyDescent="0.3">
      <c r="A131" s="114" t="s">
        <v>380</v>
      </c>
      <c r="B131" s="115"/>
      <c r="C131" s="116" t="s">
        <v>362</v>
      </c>
      <c r="D131" s="117"/>
      <c r="E131" s="117"/>
      <c r="F131" s="118" t="s">
        <v>42</v>
      </c>
      <c r="G131" s="119">
        <v>0.15</v>
      </c>
      <c r="H131" s="119"/>
      <c r="I131" s="126">
        <v>2263.98</v>
      </c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</row>
    <row r="132" spans="1:19" ht="36" x14ac:dyDescent="0.3">
      <c r="A132" s="114" t="s">
        <v>381</v>
      </c>
      <c r="B132" s="115" t="s">
        <v>374</v>
      </c>
      <c r="C132" s="116" t="s">
        <v>375</v>
      </c>
      <c r="D132" s="117"/>
      <c r="E132" s="117" t="s">
        <v>382</v>
      </c>
      <c r="F132" s="118" t="s">
        <v>23</v>
      </c>
      <c r="G132" s="119">
        <v>1</v>
      </c>
      <c r="H132" s="128"/>
      <c r="I132" s="134">
        <v>15093.2</v>
      </c>
      <c r="J132" s="133"/>
      <c r="K132" s="127"/>
      <c r="L132" s="127"/>
      <c r="M132" s="127"/>
      <c r="N132" s="127"/>
      <c r="O132" s="127"/>
      <c r="P132" s="127"/>
      <c r="Q132" s="127"/>
      <c r="R132" s="127"/>
      <c r="S132" s="127"/>
    </row>
    <row r="133" spans="1:19" ht="36" x14ac:dyDescent="0.3">
      <c r="A133" s="114" t="s">
        <v>383</v>
      </c>
      <c r="B133" s="115"/>
      <c r="C133" s="116" t="s">
        <v>362</v>
      </c>
      <c r="D133" s="117"/>
      <c r="E133" s="117"/>
      <c r="F133" s="118" t="s">
        <v>42</v>
      </c>
      <c r="G133" s="119">
        <v>0.15</v>
      </c>
      <c r="H133" s="119"/>
      <c r="I133" s="126">
        <v>2263.98</v>
      </c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</row>
    <row r="134" spans="1:19" ht="36" x14ac:dyDescent="0.3">
      <c r="A134" s="114" t="s">
        <v>384</v>
      </c>
      <c r="B134" s="115"/>
      <c r="C134" s="116" t="s">
        <v>368</v>
      </c>
      <c r="D134" s="117"/>
      <c r="E134" s="117"/>
      <c r="F134" s="118" t="s">
        <v>42</v>
      </c>
      <c r="G134" s="119">
        <v>1.8</v>
      </c>
      <c r="H134" s="119"/>
      <c r="I134" s="126">
        <v>27167.759999999998</v>
      </c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</row>
    <row r="135" spans="1:19" ht="36" x14ac:dyDescent="0.3">
      <c r="A135" s="114" t="s">
        <v>385</v>
      </c>
      <c r="B135" s="115" t="s">
        <v>374</v>
      </c>
      <c r="C135" s="116" t="s">
        <v>375</v>
      </c>
      <c r="D135" s="117"/>
      <c r="E135" s="117" t="s">
        <v>386</v>
      </c>
      <c r="F135" s="118" t="s">
        <v>23</v>
      </c>
      <c r="G135" s="119">
        <v>1</v>
      </c>
      <c r="H135" s="128"/>
      <c r="I135" s="134">
        <v>3992.4</v>
      </c>
      <c r="J135" s="133"/>
      <c r="K135" s="127"/>
      <c r="L135" s="127"/>
      <c r="M135" s="127"/>
      <c r="N135" s="127"/>
      <c r="O135" s="127"/>
      <c r="P135" s="127"/>
      <c r="Q135" s="127"/>
      <c r="R135" s="127"/>
      <c r="S135" s="127"/>
    </row>
    <row r="136" spans="1:19" x14ac:dyDescent="0.3">
      <c r="A136" s="114" t="s">
        <v>387</v>
      </c>
      <c r="B136" s="115"/>
      <c r="C136" s="116" t="s">
        <v>357</v>
      </c>
      <c r="D136" s="117"/>
      <c r="E136" s="117"/>
      <c r="F136" s="118" t="s">
        <v>42</v>
      </c>
      <c r="G136" s="119">
        <v>2</v>
      </c>
      <c r="H136" s="119"/>
      <c r="I136" s="126">
        <v>7984.8</v>
      </c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</row>
    <row r="137" spans="1:19" x14ac:dyDescent="0.3">
      <c r="A137" s="114" t="s">
        <v>388</v>
      </c>
      <c r="B137" s="115"/>
      <c r="C137" s="116" t="s">
        <v>379</v>
      </c>
      <c r="D137" s="117"/>
      <c r="E137" s="117"/>
      <c r="F137" s="118" t="s">
        <v>62</v>
      </c>
      <c r="G137" s="119">
        <v>0.3</v>
      </c>
      <c r="H137" s="119"/>
      <c r="I137" s="126">
        <v>1197.72</v>
      </c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</row>
    <row r="138" spans="1:19" ht="36" x14ac:dyDescent="0.3">
      <c r="A138" s="114" t="s">
        <v>389</v>
      </c>
      <c r="B138" s="115"/>
      <c r="C138" s="116" t="s">
        <v>362</v>
      </c>
      <c r="D138" s="117"/>
      <c r="E138" s="117"/>
      <c r="F138" s="118" t="s">
        <v>42</v>
      </c>
      <c r="G138" s="119">
        <v>0.15</v>
      </c>
      <c r="H138" s="119"/>
      <c r="I138" s="126">
        <v>598.86</v>
      </c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</row>
    <row r="139" spans="1:19" ht="36" x14ac:dyDescent="0.3">
      <c r="A139" s="114" t="s">
        <v>390</v>
      </c>
      <c r="B139" s="115" t="s">
        <v>374</v>
      </c>
      <c r="C139" s="116" t="s">
        <v>375</v>
      </c>
      <c r="D139" s="117"/>
      <c r="E139" s="117" t="s">
        <v>391</v>
      </c>
      <c r="F139" s="118" t="s">
        <v>23</v>
      </c>
      <c r="G139" s="119">
        <v>1</v>
      </c>
      <c r="H139" s="128"/>
      <c r="I139" s="134">
        <v>3992.4</v>
      </c>
      <c r="J139" s="133"/>
      <c r="K139" s="127"/>
      <c r="L139" s="127"/>
      <c r="M139" s="127"/>
      <c r="N139" s="127"/>
      <c r="O139" s="127"/>
      <c r="P139" s="127"/>
      <c r="Q139" s="127"/>
      <c r="R139" s="127"/>
      <c r="S139" s="127"/>
    </row>
    <row r="140" spans="1:19" ht="36" x14ac:dyDescent="0.3">
      <c r="A140" s="114" t="s">
        <v>392</v>
      </c>
      <c r="B140" s="115"/>
      <c r="C140" s="116" t="s">
        <v>362</v>
      </c>
      <c r="D140" s="117"/>
      <c r="E140" s="117"/>
      <c r="F140" s="118" t="s">
        <v>42</v>
      </c>
      <c r="G140" s="119">
        <v>0.15</v>
      </c>
      <c r="H140" s="119"/>
      <c r="I140" s="126">
        <v>598.86</v>
      </c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</row>
    <row r="141" spans="1:19" x14ac:dyDescent="0.3">
      <c r="A141" s="114" t="s">
        <v>393</v>
      </c>
      <c r="B141" s="115"/>
      <c r="C141" s="116" t="s">
        <v>357</v>
      </c>
      <c r="D141" s="117"/>
      <c r="E141" s="117"/>
      <c r="F141" s="118" t="s">
        <v>42</v>
      </c>
      <c r="G141" s="119">
        <v>2</v>
      </c>
      <c r="H141" s="119"/>
      <c r="I141" s="126">
        <v>7984.8</v>
      </c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</row>
    <row r="142" spans="1:19" ht="89.4" customHeight="1" x14ac:dyDescent="0.3">
      <c r="A142" s="114" t="s">
        <v>394</v>
      </c>
      <c r="B142" s="115" t="s">
        <v>395</v>
      </c>
      <c r="C142" s="8" t="s">
        <v>396</v>
      </c>
      <c r="D142" s="117"/>
      <c r="E142" s="7" t="s">
        <v>397</v>
      </c>
      <c r="F142" s="118" t="s">
        <v>23</v>
      </c>
      <c r="G142" s="119">
        <v>1</v>
      </c>
      <c r="H142" s="128"/>
      <c r="I142" s="134">
        <v>1083.0999999999999</v>
      </c>
      <c r="J142" s="133"/>
      <c r="K142" s="127"/>
      <c r="L142" s="127"/>
      <c r="M142" s="127"/>
      <c r="N142" s="127"/>
      <c r="O142" s="127"/>
      <c r="P142" s="127"/>
      <c r="Q142" s="127"/>
      <c r="R142" s="127"/>
      <c r="S142" s="127"/>
    </row>
    <row r="143" spans="1:19" x14ac:dyDescent="0.3">
      <c r="A143" s="114" t="s">
        <v>398</v>
      </c>
      <c r="B143" s="115"/>
      <c r="C143" s="116" t="s">
        <v>399</v>
      </c>
      <c r="D143" s="117"/>
      <c r="E143" s="117" t="s">
        <v>400</v>
      </c>
      <c r="F143" s="118" t="s">
        <v>42</v>
      </c>
      <c r="G143" s="119">
        <v>1.3</v>
      </c>
      <c r="H143" s="119"/>
      <c r="I143" s="126">
        <v>14080.3</v>
      </c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</row>
    <row r="144" spans="1:19" x14ac:dyDescent="0.3">
      <c r="A144" s="114" t="s">
        <v>401</v>
      </c>
      <c r="B144" s="115"/>
      <c r="C144" s="116" t="s">
        <v>330</v>
      </c>
      <c r="D144" s="117"/>
      <c r="E144" s="117"/>
      <c r="F144" s="118" t="s">
        <v>128</v>
      </c>
      <c r="G144" s="119">
        <v>1</v>
      </c>
      <c r="H144" s="119"/>
      <c r="I144" s="126">
        <v>1083.0999999999999</v>
      </c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</row>
    <row r="145" spans="1:19" ht="36" x14ac:dyDescent="0.3">
      <c r="A145" s="114" t="s">
        <v>402</v>
      </c>
      <c r="B145" s="115"/>
      <c r="C145" s="116" t="s">
        <v>362</v>
      </c>
      <c r="D145" s="117"/>
      <c r="E145" s="117" t="s">
        <v>403</v>
      </c>
      <c r="F145" s="118" t="s">
        <v>42</v>
      </c>
      <c r="G145" s="119">
        <v>0.15</v>
      </c>
      <c r="H145" s="119"/>
      <c r="I145" s="126">
        <v>162.465</v>
      </c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</row>
    <row r="146" spans="1:19" ht="72" x14ac:dyDescent="0.3">
      <c r="A146" s="114" t="s">
        <v>404</v>
      </c>
      <c r="B146" s="115" t="s">
        <v>405</v>
      </c>
      <c r="C146" s="116" t="s">
        <v>406</v>
      </c>
      <c r="D146" s="117"/>
      <c r="E146" s="337" t="s">
        <v>407</v>
      </c>
      <c r="F146" s="118" t="s">
        <v>23</v>
      </c>
      <c r="G146" s="119">
        <v>1</v>
      </c>
      <c r="H146" s="128"/>
      <c r="I146" s="134">
        <v>2845.3</v>
      </c>
      <c r="J146" s="133"/>
      <c r="K146" s="127"/>
      <c r="L146" s="127"/>
      <c r="M146" s="127"/>
      <c r="N146" s="127"/>
      <c r="O146" s="127"/>
      <c r="P146" s="127"/>
      <c r="Q146" s="127"/>
      <c r="R146" s="127"/>
      <c r="S146" s="127"/>
    </row>
    <row r="147" spans="1:19" x14ac:dyDescent="0.3">
      <c r="A147" s="114" t="s">
        <v>408</v>
      </c>
      <c r="B147" s="115"/>
      <c r="C147" s="116" t="s">
        <v>399</v>
      </c>
      <c r="D147" s="117"/>
      <c r="E147" s="117" t="s">
        <v>409</v>
      </c>
      <c r="F147" s="118" t="s">
        <v>42</v>
      </c>
      <c r="G147" s="119">
        <v>1.3</v>
      </c>
      <c r="H147" s="119"/>
      <c r="I147" s="126">
        <v>92472.25</v>
      </c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</row>
    <row r="148" spans="1:19" x14ac:dyDescent="0.3">
      <c r="A148" s="114" t="s">
        <v>410</v>
      </c>
      <c r="B148" s="115"/>
      <c r="C148" s="116" t="s">
        <v>330</v>
      </c>
      <c r="D148" s="117"/>
      <c r="E148" s="117"/>
      <c r="F148" s="118" t="s">
        <v>128</v>
      </c>
      <c r="G148" s="119">
        <v>1</v>
      </c>
      <c r="H148" s="119"/>
      <c r="I148" s="126">
        <v>2845.3</v>
      </c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</row>
    <row r="149" spans="1:19" x14ac:dyDescent="0.3">
      <c r="A149" s="114" t="s">
        <v>411</v>
      </c>
      <c r="B149" s="115"/>
      <c r="C149" s="116" t="s">
        <v>412</v>
      </c>
      <c r="D149" s="117"/>
      <c r="E149" s="117"/>
      <c r="F149" s="118" t="s">
        <v>42</v>
      </c>
      <c r="G149" s="119">
        <v>0.25</v>
      </c>
      <c r="H149" s="119"/>
      <c r="I149" s="126">
        <v>711.32500000000005</v>
      </c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</row>
    <row r="150" spans="1:19" ht="72" x14ac:dyDescent="0.3">
      <c r="A150" s="114" t="s">
        <v>413</v>
      </c>
      <c r="B150" s="115" t="s">
        <v>405</v>
      </c>
      <c r="C150" s="116" t="s">
        <v>406</v>
      </c>
      <c r="D150" s="117"/>
      <c r="E150" s="337" t="s">
        <v>414</v>
      </c>
      <c r="F150" s="118" t="s">
        <v>23</v>
      </c>
      <c r="G150" s="119">
        <v>1</v>
      </c>
      <c r="H150" s="128"/>
      <c r="I150" s="134">
        <v>3317.2</v>
      </c>
      <c r="J150" s="133"/>
      <c r="K150" s="127"/>
      <c r="L150" s="127"/>
      <c r="M150" s="127"/>
      <c r="N150" s="127"/>
      <c r="O150" s="127"/>
      <c r="P150" s="127"/>
      <c r="Q150" s="127"/>
      <c r="R150" s="127"/>
      <c r="S150" s="127"/>
    </row>
    <row r="151" spans="1:19" ht="36" x14ac:dyDescent="0.3">
      <c r="A151" s="114" t="s">
        <v>415</v>
      </c>
      <c r="B151" s="115"/>
      <c r="C151" s="116" t="s">
        <v>362</v>
      </c>
      <c r="D151" s="117"/>
      <c r="E151" s="117"/>
      <c r="F151" s="118" t="s">
        <v>42</v>
      </c>
      <c r="G151" s="119">
        <v>0.15</v>
      </c>
      <c r="H151" s="119"/>
      <c r="I151" s="126">
        <v>497.58</v>
      </c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</row>
    <row r="152" spans="1:19" x14ac:dyDescent="0.3">
      <c r="A152" s="114" t="s">
        <v>416</v>
      </c>
      <c r="B152" s="115"/>
      <c r="C152" s="116" t="s">
        <v>330</v>
      </c>
      <c r="D152" s="117"/>
      <c r="E152" s="117"/>
      <c r="F152" s="118" t="s">
        <v>128</v>
      </c>
      <c r="G152" s="119">
        <v>1</v>
      </c>
      <c r="H152" s="119"/>
      <c r="I152" s="126">
        <v>3317.2</v>
      </c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</row>
    <row r="153" spans="1:19" x14ac:dyDescent="0.3">
      <c r="A153" s="114" t="s">
        <v>417</v>
      </c>
      <c r="B153" s="115"/>
      <c r="C153" s="116" t="s">
        <v>399</v>
      </c>
      <c r="D153" s="117"/>
      <c r="E153" s="117" t="s">
        <v>409</v>
      </c>
      <c r="F153" s="118" t="s">
        <v>42</v>
      </c>
      <c r="G153" s="119">
        <v>1.3</v>
      </c>
      <c r="H153" s="119"/>
      <c r="I153" s="126">
        <v>107809</v>
      </c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</row>
    <row r="154" spans="1:19" ht="72" x14ac:dyDescent="0.3">
      <c r="A154" s="114" t="s">
        <v>418</v>
      </c>
      <c r="B154" s="115" t="s">
        <v>405</v>
      </c>
      <c r="C154" s="116" t="s">
        <v>406</v>
      </c>
      <c r="D154" s="117"/>
      <c r="E154" s="117" t="s">
        <v>419</v>
      </c>
      <c r="F154" s="118" t="s">
        <v>23</v>
      </c>
      <c r="G154" s="119">
        <v>1</v>
      </c>
      <c r="H154" s="128"/>
      <c r="I154" s="134">
        <v>831.6</v>
      </c>
      <c r="J154" s="133"/>
      <c r="K154" s="127"/>
      <c r="L154" s="127"/>
      <c r="M154" s="127"/>
      <c r="N154" s="127"/>
      <c r="O154" s="127"/>
      <c r="P154" s="127"/>
      <c r="Q154" s="127"/>
      <c r="R154" s="127"/>
      <c r="S154" s="127"/>
    </row>
    <row r="155" spans="1:19" x14ac:dyDescent="0.3">
      <c r="A155" s="114" t="s">
        <v>420</v>
      </c>
      <c r="B155" s="115"/>
      <c r="C155" s="116" t="s">
        <v>399</v>
      </c>
      <c r="D155" s="117"/>
      <c r="E155" s="117" t="s">
        <v>409</v>
      </c>
      <c r="F155" s="118" t="s">
        <v>42</v>
      </c>
      <c r="G155" s="119">
        <v>1.3</v>
      </c>
      <c r="H155" s="119"/>
      <c r="I155" s="126">
        <v>27027</v>
      </c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</row>
    <row r="156" spans="1:19" x14ac:dyDescent="0.3">
      <c r="A156" s="114" t="s">
        <v>421</v>
      </c>
      <c r="B156" s="115"/>
      <c r="C156" s="116" t="s">
        <v>330</v>
      </c>
      <c r="D156" s="117"/>
      <c r="E156" s="117"/>
      <c r="F156" s="118" t="s">
        <v>128</v>
      </c>
      <c r="G156" s="119">
        <v>1</v>
      </c>
      <c r="H156" s="119"/>
      <c r="I156" s="126">
        <v>831.6</v>
      </c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</row>
    <row r="157" spans="1:19" ht="36" x14ac:dyDescent="0.3">
      <c r="A157" s="114" t="s">
        <v>422</v>
      </c>
      <c r="B157" s="115"/>
      <c r="C157" s="116" t="s">
        <v>362</v>
      </c>
      <c r="D157" s="117"/>
      <c r="E157" s="117"/>
      <c r="F157" s="118" t="s">
        <v>42</v>
      </c>
      <c r="G157" s="119">
        <v>0.15</v>
      </c>
      <c r="H157" s="119"/>
      <c r="I157" s="126">
        <v>124.74</v>
      </c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</row>
    <row r="158" spans="1:19" ht="72" x14ac:dyDescent="0.3">
      <c r="A158" s="114" t="s">
        <v>423</v>
      </c>
      <c r="B158" s="115" t="s">
        <v>405</v>
      </c>
      <c r="C158" s="116" t="s">
        <v>406</v>
      </c>
      <c r="D158" s="117"/>
      <c r="E158" s="117" t="s">
        <v>424</v>
      </c>
      <c r="F158" s="118" t="s">
        <v>23</v>
      </c>
      <c r="G158" s="119">
        <v>1</v>
      </c>
      <c r="H158" s="128"/>
      <c r="I158" s="134">
        <v>789.7</v>
      </c>
      <c r="J158" s="133"/>
      <c r="K158" s="127"/>
      <c r="L158" s="127"/>
      <c r="M158" s="127"/>
      <c r="N158" s="127"/>
      <c r="O158" s="127"/>
      <c r="P158" s="127"/>
      <c r="Q158" s="127"/>
      <c r="R158" s="127"/>
      <c r="S158" s="127"/>
    </row>
    <row r="159" spans="1:19" x14ac:dyDescent="0.3">
      <c r="A159" s="114" t="s">
        <v>425</v>
      </c>
      <c r="B159" s="115"/>
      <c r="C159" s="116" t="s">
        <v>412</v>
      </c>
      <c r="D159" s="117"/>
      <c r="E159" s="117"/>
      <c r="F159" s="118" t="s">
        <v>42</v>
      </c>
      <c r="G159" s="119">
        <v>0.25</v>
      </c>
      <c r="H159" s="119"/>
      <c r="I159" s="126">
        <v>197.42500000000001</v>
      </c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</row>
    <row r="160" spans="1:19" x14ac:dyDescent="0.3">
      <c r="A160" s="114" t="s">
        <v>426</v>
      </c>
      <c r="B160" s="115"/>
      <c r="C160" s="116" t="s">
        <v>330</v>
      </c>
      <c r="D160" s="117"/>
      <c r="E160" s="117"/>
      <c r="F160" s="118" t="s">
        <v>128</v>
      </c>
      <c r="G160" s="119">
        <v>1</v>
      </c>
      <c r="H160" s="119"/>
      <c r="I160" s="126">
        <v>789.7</v>
      </c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</row>
    <row r="161" spans="1:19" x14ac:dyDescent="0.3">
      <c r="A161" s="114" t="s">
        <v>427</v>
      </c>
      <c r="B161" s="115"/>
      <c r="C161" s="116" t="s">
        <v>399</v>
      </c>
      <c r="D161" s="117"/>
      <c r="E161" s="117" t="s">
        <v>409</v>
      </c>
      <c r="F161" s="118" t="s">
        <v>42</v>
      </c>
      <c r="G161" s="119">
        <v>1.3</v>
      </c>
      <c r="H161" s="119"/>
      <c r="I161" s="126">
        <v>25665.25</v>
      </c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</row>
    <row r="162" spans="1:19" ht="108" x14ac:dyDescent="0.3">
      <c r="A162" s="114" t="s">
        <v>428</v>
      </c>
      <c r="B162" s="115" t="s">
        <v>429</v>
      </c>
      <c r="C162" s="116" t="s">
        <v>430</v>
      </c>
      <c r="D162" s="117" t="s">
        <v>431</v>
      </c>
      <c r="E162" s="117" t="s">
        <v>432</v>
      </c>
      <c r="F162" s="118" t="s">
        <v>23</v>
      </c>
      <c r="G162" s="119">
        <v>1</v>
      </c>
      <c r="H162" s="128"/>
      <c r="I162" s="134">
        <v>82</v>
      </c>
      <c r="J162" s="133"/>
      <c r="K162" s="127"/>
      <c r="L162" s="127"/>
      <c r="M162" s="127"/>
      <c r="N162" s="127"/>
      <c r="O162" s="127"/>
      <c r="P162" s="127"/>
      <c r="Q162" s="127"/>
      <c r="R162" s="127"/>
      <c r="S162" s="127"/>
    </row>
    <row r="163" spans="1:19" x14ac:dyDescent="0.3">
      <c r="A163" s="114" t="s">
        <v>433</v>
      </c>
      <c r="B163" s="115"/>
      <c r="C163" s="116" t="s">
        <v>399</v>
      </c>
      <c r="D163" s="117"/>
      <c r="E163" s="117" t="s">
        <v>409</v>
      </c>
      <c r="F163" s="118" t="s">
        <v>42</v>
      </c>
      <c r="G163" s="119">
        <v>1.3</v>
      </c>
      <c r="H163" s="119"/>
      <c r="I163" s="126">
        <v>2665</v>
      </c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</row>
    <row r="164" spans="1:19" x14ac:dyDescent="0.3">
      <c r="A164" s="114" t="s">
        <v>434</v>
      </c>
      <c r="B164" s="115"/>
      <c r="C164" s="116" t="s">
        <v>330</v>
      </c>
      <c r="D164" s="117"/>
      <c r="E164" s="117"/>
      <c r="F164" s="118" t="s">
        <v>128</v>
      </c>
      <c r="G164" s="119">
        <v>1</v>
      </c>
      <c r="H164" s="119"/>
      <c r="I164" s="126">
        <v>82</v>
      </c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</row>
    <row r="165" spans="1:19" x14ac:dyDescent="0.3">
      <c r="A165" s="114" t="s">
        <v>435</v>
      </c>
      <c r="B165" s="115"/>
      <c r="C165" s="116" t="s">
        <v>412</v>
      </c>
      <c r="D165" s="117"/>
      <c r="E165" s="117"/>
      <c r="F165" s="118" t="s">
        <v>42</v>
      </c>
      <c r="G165" s="119">
        <v>0.25</v>
      </c>
      <c r="H165" s="119"/>
      <c r="I165" s="126">
        <v>20.5</v>
      </c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</row>
    <row r="166" spans="1:19" ht="108" x14ac:dyDescent="0.3">
      <c r="A166" s="114" t="s">
        <v>436</v>
      </c>
      <c r="B166" s="115" t="s">
        <v>437</v>
      </c>
      <c r="C166" s="116" t="s">
        <v>438</v>
      </c>
      <c r="D166" s="117" t="s">
        <v>431</v>
      </c>
      <c r="E166" s="117" t="s">
        <v>439</v>
      </c>
      <c r="F166" s="118" t="s">
        <v>23</v>
      </c>
      <c r="G166" s="119">
        <v>1</v>
      </c>
      <c r="H166" s="128"/>
      <c r="I166" s="134">
        <v>30.4</v>
      </c>
      <c r="J166" s="133"/>
      <c r="K166" s="127"/>
      <c r="L166" s="127"/>
      <c r="M166" s="127"/>
      <c r="N166" s="127"/>
      <c r="O166" s="127"/>
      <c r="P166" s="127"/>
      <c r="Q166" s="127"/>
      <c r="R166" s="127"/>
      <c r="S166" s="127"/>
    </row>
    <row r="167" spans="1:19" x14ac:dyDescent="0.3">
      <c r="A167" s="114" t="s">
        <v>440</v>
      </c>
      <c r="B167" s="115"/>
      <c r="C167" s="116" t="s">
        <v>399</v>
      </c>
      <c r="D167" s="117"/>
      <c r="E167" s="117" t="s">
        <v>409</v>
      </c>
      <c r="F167" s="118" t="s">
        <v>42</v>
      </c>
      <c r="G167" s="119">
        <v>1.3</v>
      </c>
      <c r="H167" s="119"/>
      <c r="I167" s="126">
        <v>988</v>
      </c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</row>
    <row r="168" spans="1:19" ht="36" x14ac:dyDescent="0.3">
      <c r="A168" s="114" t="s">
        <v>441</v>
      </c>
      <c r="B168" s="115"/>
      <c r="C168" s="116" t="s">
        <v>362</v>
      </c>
      <c r="D168" s="117"/>
      <c r="E168" s="117"/>
      <c r="F168" s="118" t="s">
        <v>42</v>
      </c>
      <c r="G168" s="119">
        <v>0.15</v>
      </c>
      <c r="H168" s="119"/>
      <c r="I168" s="126">
        <v>4.5599999999999996</v>
      </c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</row>
    <row r="169" spans="1:19" x14ac:dyDescent="0.3">
      <c r="A169" s="114" t="s">
        <v>442</v>
      </c>
      <c r="B169" s="115"/>
      <c r="C169" s="116" t="s">
        <v>330</v>
      </c>
      <c r="D169" s="117"/>
      <c r="E169" s="117"/>
      <c r="F169" s="118" t="s">
        <v>128</v>
      </c>
      <c r="G169" s="119">
        <v>1</v>
      </c>
      <c r="H169" s="119"/>
      <c r="I169" s="126">
        <v>30.4</v>
      </c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</row>
    <row r="170" spans="1:19" ht="54" x14ac:dyDescent="0.3">
      <c r="A170" s="114" t="s">
        <v>443</v>
      </c>
      <c r="B170" s="115" t="s">
        <v>444</v>
      </c>
      <c r="C170" s="8" t="s">
        <v>445</v>
      </c>
      <c r="D170" s="117"/>
      <c r="E170" s="337" t="s">
        <v>446</v>
      </c>
      <c r="F170" s="118" t="s">
        <v>23</v>
      </c>
      <c r="G170" s="119">
        <v>1</v>
      </c>
      <c r="H170" s="128"/>
      <c r="I170" s="134">
        <v>389.2</v>
      </c>
      <c r="J170" s="133"/>
      <c r="K170" s="127"/>
      <c r="L170" s="127"/>
      <c r="M170" s="127"/>
      <c r="N170" s="127"/>
      <c r="O170" s="127"/>
      <c r="P170" s="127"/>
      <c r="Q170" s="127"/>
      <c r="R170" s="127"/>
      <c r="S170" s="127"/>
    </row>
    <row r="171" spans="1:19" ht="36" x14ac:dyDescent="0.3">
      <c r="A171" s="114" t="s">
        <v>447</v>
      </c>
      <c r="B171" s="115"/>
      <c r="C171" s="116" t="s">
        <v>316</v>
      </c>
      <c r="D171" s="117"/>
      <c r="E171" s="117" t="s">
        <v>448</v>
      </c>
      <c r="F171" s="118" t="s">
        <v>42</v>
      </c>
      <c r="G171" s="119">
        <v>1</v>
      </c>
      <c r="H171" s="119"/>
      <c r="I171" s="126">
        <v>3892</v>
      </c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</row>
    <row r="172" spans="1:19" ht="36" x14ac:dyDescent="0.3">
      <c r="A172" s="114" t="s">
        <v>449</v>
      </c>
      <c r="B172" s="115"/>
      <c r="C172" s="116" t="s">
        <v>362</v>
      </c>
      <c r="D172" s="117"/>
      <c r="E172" s="117"/>
      <c r="F172" s="118" t="s">
        <v>42</v>
      </c>
      <c r="G172" s="119">
        <v>0.15</v>
      </c>
      <c r="H172" s="119"/>
      <c r="I172" s="126">
        <v>58.38</v>
      </c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</row>
    <row r="173" spans="1:19" x14ac:dyDescent="0.3">
      <c r="A173" s="114" t="s">
        <v>450</v>
      </c>
      <c r="B173" s="115"/>
      <c r="C173" s="116" t="s">
        <v>330</v>
      </c>
      <c r="D173" s="117"/>
      <c r="E173" s="117"/>
      <c r="F173" s="118" t="s">
        <v>128</v>
      </c>
      <c r="G173" s="119">
        <v>1</v>
      </c>
      <c r="H173" s="119"/>
      <c r="I173" s="126">
        <v>389.2</v>
      </c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</row>
    <row r="174" spans="1:19" ht="54" x14ac:dyDescent="0.3">
      <c r="A174" s="114" t="s">
        <v>451</v>
      </c>
      <c r="B174" s="115" t="s">
        <v>452</v>
      </c>
      <c r="C174" s="116" t="s">
        <v>453</v>
      </c>
      <c r="D174" s="117"/>
      <c r="E174" s="336" t="s">
        <v>454</v>
      </c>
      <c r="F174" s="118" t="s">
        <v>23</v>
      </c>
      <c r="G174" s="119">
        <v>1</v>
      </c>
      <c r="H174" s="128"/>
      <c r="I174" s="134">
        <v>5132.22</v>
      </c>
      <c r="J174" s="133"/>
      <c r="K174" s="127"/>
      <c r="L174" s="127"/>
      <c r="M174" s="127"/>
      <c r="N174" s="127"/>
      <c r="O174" s="127"/>
      <c r="P174" s="127"/>
      <c r="Q174" s="127"/>
      <c r="R174" s="127"/>
      <c r="S174" s="127"/>
    </row>
    <row r="175" spans="1:19" ht="36" x14ac:dyDescent="0.3">
      <c r="A175" s="114" t="s">
        <v>455</v>
      </c>
      <c r="B175" s="115"/>
      <c r="C175" s="116" t="s">
        <v>316</v>
      </c>
      <c r="D175" s="117"/>
      <c r="E175" s="117" t="s">
        <v>409</v>
      </c>
      <c r="F175" s="118" t="s">
        <v>42</v>
      </c>
      <c r="G175" s="119">
        <v>1</v>
      </c>
      <c r="H175" s="119"/>
      <c r="I175" s="126">
        <v>128305.5</v>
      </c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</row>
    <row r="176" spans="1:19" x14ac:dyDescent="0.3">
      <c r="A176" s="114" t="s">
        <v>456</v>
      </c>
      <c r="B176" s="115"/>
      <c r="C176" s="116" t="s">
        <v>330</v>
      </c>
      <c r="D176" s="117"/>
      <c r="E176" s="117"/>
      <c r="F176" s="118" t="s">
        <v>128</v>
      </c>
      <c r="G176" s="119">
        <v>1</v>
      </c>
      <c r="H176" s="119"/>
      <c r="I176" s="126">
        <v>5132.22</v>
      </c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</row>
    <row r="177" spans="1:19" ht="36" x14ac:dyDescent="0.3">
      <c r="A177" s="114" t="s">
        <v>457</v>
      </c>
      <c r="B177" s="115"/>
      <c r="C177" s="116" t="s">
        <v>362</v>
      </c>
      <c r="D177" s="117"/>
      <c r="E177" s="117"/>
      <c r="F177" s="118" t="s">
        <v>42</v>
      </c>
      <c r="G177" s="119">
        <v>0.15</v>
      </c>
      <c r="H177" s="119"/>
      <c r="I177" s="126">
        <v>58.38</v>
      </c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</row>
    <row r="178" spans="1:19" ht="54" x14ac:dyDescent="0.3">
      <c r="A178" s="114" t="s">
        <v>458</v>
      </c>
      <c r="B178" s="115" t="s">
        <v>452</v>
      </c>
      <c r="C178" s="8" t="s">
        <v>453</v>
      </c>
      <c r="D178" s="117"/>
      <c r="E178" s="336" t="s">
        <v>459</v>
      </c>
      <c r="F178" s="118" t="s">
        <v>23</v>
      </c>
      <c r="G178" s="119">
        <v>1</v>
      </c>
      <c r="H178" s="128"/>
      <c r="I178" s="134">
        <v>2106.7840000000001</v>
      </c>
      <c r="J178" s="133"/>
      <c r="K178" s="127"/>
      <c r="L178" s="127"/>
      <c r="M178" s="127"/>
      <c r="N178" s="127"/>
      <c r="O178" s="127"/>
      <c r="P178" s="127"/>
      <c r="Q178" s="127"/>
      <c r="R178" s="127"/>
      <c r="S178" s="127"/>
    </row>
    <row r="179" spans="1:19" x14ac:dyDescent="0.3">
      <c r="A179" s="114" t="s">
        <v>460</v>
      </c>
      <c r="B179" s="115"/>
      <c r="C179" s="116" t="s">
        <v>412</v>
      </c>
      <c r="D179" s="117"/>
      <c r="E179" s="117"/>
      <c r="F179" s="118" t="s">
        <v>42</v>
      </c>
      <c r="G179" s="119">
        <v>0.25</v>
      </c>
      <c r="H179" s="119"/>
      <c r="I179" s="126">
        <v>526.69600000000003</v>
      </c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</row>
    <row r="180" spans="1:19" x14ac:dyDescent="0.3">
      <c r="A180" s="114" t="s">
        <v>461</v>
      </c>
      <c r="B180" s="115"/>
      <c r="C180" s="116" t="s">
        <v>330</v>
      </c>
      <c r="D180" s="117"/>
      <c r="E180" s="117"/>
      <c r="F180" s="118" t="s">
        <v>128</v>
      </c>
      <c r="G180" s="119">
        <v>1</v>
      </c>
      <c r="H180" s="119"/>
      <c r="I180" s="126">
        <v>2106.7840000000001</v>
      </c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</row>
    <row r="181" spans="1:19" ht="36" x14ac:dyDescent="0.3">
      <c r="A181" s="114" t="s">
        <v>462</v>
      </c>
      <c r="B181" s="115"/>
      <c r="C181" s="116" t="s">
        <v>316</v>
      </c>
      <c r="D181" s="117"/>
      <c r="E181" s="117" t="s">
        <v>409</v>
      </c>
      <c r="F181" s="118" t="s">
        <v>42</v>
      </c>
      <c r="G181" s="119">
        <v>1</v>
      </c>
      <c r="H181" s="119"/>
      <c r="I181" s="126">
        <v>52669.599999999999</v>
      </c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</row>
    <row r="182" spans="1:19" x14ac:dyDescent="0.3">
      <c r="A182" s="114" t="s">
        <v>463</v>
      </c>
      <c r="B182" s="115" t="s">
        <v>464</v>
      </c>
      <c r="C182" s="135" t="s">
        <v>465</v>
      </c>
      <c r="D182" s="117"/>
      <c r="E182" s="117"/>
      <c r="F182" s="118"/>
      <c r="G182" s="119"/>
      <c r="H182" s="128"/>
      <c r="I182" s="134"/>
      <c r="J182" s="133"/>
      <c r="K182" s="127"/>
      <c r="L182" s="127"/>
      <c r="M182" s="127"/>
      <c r="N182" s="127"/>
      <c r="O182" s="127"/>
      <c r="P182" s="127"/>
      <c r="Q182" s="127"/>
      <c r="R182" s="127"/>
      <c r="S182" s="127"/>
    </row>
    <row r="183" spans="1:19" ht="54" x14ac:dyDescent="0.3">
      <c r="A183" s="114" t="s">
        <v>466</v>
      </c>
      <c r="B183" s="115" t="s">
        <v>467</v>
      </c>
      <c r="C183" s="116" t="s">
        <v>468</v>
      </c>
      <c r="D183" s="117"/>
      <c r="E183" s="117" t="s">
        <v>469</v>
      </c>
      <c r="F183" s="118" t="s">
        <v>23</v>
      </c>
      <c r="G183" s="119">
        <v>1</v>
      </c>
      <c r="H183" s="128"/>
      <c r="I183" s="134">
        <v>320.79000000000002</v>
      </c>
      <c r="J183" s="133"/>
      <c r="K183" s="127"/>
      <c r="L183" s="127"/>
      <c r="M183" s="127"/>
      <c r="N183" s="127"/>
      <c r="O183" s="127"/>
      <c r="P183" s="127"/>
      <c r="Q183" s="127"/>
      <c r="R183" s="127"/>
      <c r="S183" s="127"/>
    </row>
    <row r="184" spans="1:19" ht="72" x14ac:dyDescent="0.3">
      <c r="A184" s="114" t="s">
        <v>470</v>
      </c>
      <c r="B184" s="115"/>
      <c r="C184" s="116" t="s">
        <v>471</v>
      </c>
      <c r="D184" s="117"/>
      <c r="E184" s="117" t="s">
        <v>472</v>
      </c>
      <c r="F184" s="118" t="s">
        <v>62</v>
      </c>
      <c r="G184" s="119">
        <v>1</v>
      </c>
      <c r="H184" s="119"/>
      <c r="I184" s="126">
        <v>320.79000000000002</v>
      </c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</row>
    <row r="185" spans="1:19" ht="54" x14ac:dyDescent="0.3">
      <c r="A185" s="114" t="s">
        <v>473</v>
      </c>
      <c r="B185" s="115" t="s">
        <v>467</v>
      </c>
      <c r="C185" s="116" t="s">
        <v>468</v>
      </c>
      <c r="D185" s="117"/>
      <c r="E185" s="117" t="s">
        <v>474</v>
      </c>
      <c r="F185" s="118" t="s">
        <v>23</v>
      </c>
      <c r="G185" s="119">
        <v>1</v>
      </c>
      <c r="H185" s="128"/>
      <c r="I185" s="134">
        <v>43.92</v>
      </c>
      <c r="J185" s="133"/>
      <c r="K185" s="127"/>
      <c r="L185" s="127"/>
      <c r="M185" s="127"/>
      <c r="N185" s="127"/>
      <c r="O185" s="127"/>
      <c r="P185" s="127"/>
      <c r="Q185" s="127"/>
      <c r="R185" s="127"/>
      <c r="S185" s="127"/>
    </row>
    <row r="186" spans="1:19" ht="72" x14ac:dyDescent="0.3">
      <c r="A186" s="114" t="s">
        <v>475</v>
      </c>
      <c r="B186" s="115"/>
      <c r="C186" s="116" t="s">
        <v>471</v>
      </c>
      <c r="D186" s="117"/>
      <c r="E186" s="117" t="s">
        <v>476</v>
      </c>
      <c r="F186" s="118" t="s">
        <v>62</v>
      </c>
      <c r="G186" s="119">
        <v>1</v>
      </c>
      <c r="H186" s="119"/>
      <c r="I186" s="126">
        <v>43.92</v>
      </c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</row>
    <row r="187" spans="1:19" ht="54" x14ac:dyDescent="0.3">
      <c r="A187" s="114" t="s">
        <v>477</v>
      </c>
      <c r="B187" s="115" t="s">
        <v>467</v>
      </c>
      <c r="C187" s="116" t="s">
        <v>468</v>
      </c>
      <c r="D187" s="117"/>
      <c r="E187" s="117" t="s">
        <v>478</v>
      </c>
      <c r="F187" s="118" t="s">
        <v>23</v>
      </c>
      <c r="G187" s="119">
        <v>1</v>
      </c>
      <c r="H187" s="128"/>
      <c r="I187" s="134">
        <v>150.01</v>
      </c>
      <c r="J187" s="133"/>
      <c r="K187" s="127"/>
      <c r="L187" s="127"/>
      <c r="M187" s="127"/>
      <c r="N187" s="127"/>
      <c r="O187" s="127"/>
      <c r="P187" s="127"/>
      <c r="Q187" s="127"/>
      <c r="R187" s="127"/>
      <c r="S187" s="127"/>
    </row>
    <row r="188" spans="1:19" ht="72" x14ac:dyDescent="0.3">
      <c r="A188" s="114" t="s">
        <v>479</v>
      </c>
      <c r="B188" s="115"/>
      <c r="C188" s="116" t="s">
        <v>471</v>
      </c>
      <c r="D188" s="117"/>
      <c r="E188" s="117" t="s">
        <v>480</v>
      </c>
      <c r="F188" s="118" t="s">
        <v>62</v>
      </c>
      <c r="G188" s="119">
        <v>1</v>
      </c>
      <c r="H188" s="119"/>
      <c r="I188" s="126">
        <v>150.01</v>
      </c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</row>
    <row r="189" spans="1:19" ht="90" x14ac:dyDescent="0.3">
      <c r="A189" s="114" t="s">
        <v>481</v>
      </c>
      <c r="B189" s="115" t="s">
        <v>482</v>
      </c>
      <c r="C189" s="116" t="s">
        <v>483</v>
      </c>
      <c r="D189" s="117"/>
      <c r="E189" s="117" t="s">
        <v>484</v>
      </c>
      <c r="F189" s="118" t="s">
        <v>23</v>
      </c>
      <c r="G189" s="119">
        <v>1</v>
      </c>
      <c r="H189" s="128"/>
      <c r="I189" s="134">
        <v>12648.21</v>
      </c>
      <c r="J189" s="133"/>
      <c r="K189" s="127"/>
      <c r="L189" s="127"/>
      <c r="M189" s="127"/>
      <c r="N189" s="127"/>
      <c r="O189" s="127"/>
      <c r="P189" s="127"/>
      <c r="Q189" s="127"/>
      <c r="R189" s="127"/>
      <c r="S189" s="127"/>
    </row>
    <row r="190" spans="1:19" ht="36" x14ac:dyDescent="0.3">
      <c r="A190" s="114" t="s">
        <v>485</v>
      </c>
      <c r="B190" s="115"/>
      <c r="C190" s="116" t="s">
        <v>486</v>
      </c>
      <c r="D190" s="117"/>
      <c r="E190" s="117" t="s">
        <v>487</v>
      </c>
      <c r="F190" s="118" t="s">
        <v>42</v>
      </c>
      <c r="G190" s="119">
        <v>0.3</v>
      </c>
      <c r="H190" s="119"/>
      <c r="I190" s="126">
        <v>3794.4630000000002</v>
      </c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</row>
    <row r="191" spans="1:19" ht="36" x14ac:dyDescent="0.3">
      <c r="A191" s="114" t="s">
        <v>488</v>
      </c>
      <c r="B191" s="115"/>
      <c r="C191" s="116" t="s">
        <v>362</v>
      </c>
      <c r="D191" s="117"/>
      <c r="E191" s="117"/>
      <c r="F191" s="118" t="s">
        <v>42</v>
      </c>
      <c r="G191" s="119">
        <v>0.15</v>
      </c>
      <c r="H191" s="119"/>
      <c r="I191" s="126">
        <v>1897.232</v>
      </c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</row>
    <row r="192" spans="1:19" ht="90" x14ac:dyDescent="0.3">
      <c r="A192" s="114" t="s">
        <v>489</v>
      </c>
      <c r="B192" s="115" t="s">
        <v>482</v>
      </c>
      <c r="C192" s="116" t="s">
        <v>483</v>
      </c>
      <c r="D192" s="117"/>
      <c r="E192" s="117" t="s">
        <v>490</v>
      </c>
      <c r="F192" s="118" t="s">
        <v>23</v>
      </c>
      <c r="G192" s="119">
        <v>1</v>
      </c>
      <c r="H192" s="128"/>
      <c r="I192" s="134">
        <v>74.37</v>
      </c>
      <c r="J192" s="133"/>
      <c r="K192" s="127"/>
      <c r="L192" s="127"/>
      <c r="M192" s="127"/>
      <c r="N192" s="127"/>
      <c r="O192" s="127"/>
      <c r="P192" s="127"/>
      <c r="Q192" s="127"/>
      <c r="R192" s="127"/>
      <c r="S192" s="127"/>
    </row>
    <row r="193" spans="1:19" ht="36" x14ac:dyDescent="0.3">
      <c r="A193" s="114" t="s">
        <v>491</v>
      </c>
      <c r="B193" s="115"/>
      <c r="C193" s="116" t="s">
        <v>362</v>
      </c>
      <c r="D193" s="117"/>
      <c r="E193" s="117"/>
      <c r="F193" s="118" t="s">
        <v>42</v>
      </c>
      <c r="G193" s="119">
        <v>0.15</v>
      </c>
      <c r="H193" s="119"/>
      <c r="I193" s="126">
        <v>11.156000000000001</v>
      </c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</row>
    <row r="194" spans="1:19" ht="36" x14ac:dyDescent="0.3">
      <c r="A194" s="114" t="s">
        <v>492</v>
      </c>
      <c r="B194" s="115"/>
      <c r="C194" s="116" t="s">
        <v>486</v>
      </c>
      <c r="D194" s="117"/>
      <c r="E194" s="117" t="s">
        <v>493</v>
      </c>
      <c r="F194" s="118" t="s">
        <v>42</v>
      </c>
      <c r="G194" s="119">
        <v>0.3</v>
      </c>
      <c r="H194" s="119"/>
      <c r="I194" s="126">
        <v>22.311</v>
      </c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</row>
    <row r="195" spans="1:19" ht="90" x14ac:dyDescent="0.3">
      <c r="A195" s="114" t="s">
        <v>494</v>
      </c>
      <c r="B195" s="115" t="s">
        <v>482</v>
      </c>
      <c r="C195" s="116" t="s">
        <v>483</v>
      </c>
      <c r="D195" s="117"/>
      <c r="E195" s="117" t="s">
        <v>495</v>
      </c>
      <c r="F195" s="118" t="s">
        <v>23</v>
      </c>
      <c r="G195" s="119">
        <v>1</v>
      </c>
      <c r="H195" s="128"/>
      <c r="I195" s="134">
        <v>68.260000000000005</v>
      </c>
      <c r="J195" s="133"/>
      <c r="K195" s="127"/>
      <c r="L195" s="127"/>
      <c r="M195" s="127"/>
      <c r="N195" s="127"/>
      <c r="O195" s="127"/>
      <c r="P195" s="127"/>
      <c r="Q195" s="127"/>
      <c r="R195" s="127"/>
      <c r="S195" s="127"/>
    </row>
    <row r="196" spans="1:19" ht="36" x14ac:dyDescent="0.3">
      <c r="A196" s="114" t="s">
        <v>496</v>
      </c>
      <c r="B196" s="115"/>
      <c r="C196" s="116" t="s">
        <v>486</v>
      </c>
      <c r="D196" s="117"/>
      <c r="E196" s="117" t="s">
        <v>497</v>
      </c>
      <c r="F196" s="118" t="s">
        <v>42</v>
      </c>
      <c r="G196" s="119">
        <v>0.3</v>
      </c>
      <c r="H196" s="119"/>
      <c r="I196" s="126">
        <v>20.478000000000002</v>
      </c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</row>
    <row r="197" spans="1:19" ht="36" x14ac:dyDescent="0.3">
      <c r="A197" s="114" t="s">
        <v>498</v>
      </c>
      <c r="B197" s="115"/>
      <c r="C197" s="116" t="s">
        <v>362</v>
      </c>
      <c r="D197" s="117"/>
      <c r="E197" s="117"/>
      <c r="F197" s="118" t="s">
        <v>42</v>
      </c>
      <c r="G197" s="119">
        <v>0.15</v>
      </c>
      <c r="H197" s="119"/>
      <c r="I197" s="126">
        <v>10.239000000000001</v>
      </c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</row>
    <row r="198" spans="1:19" ht="90" x14ac:dyDescent="0.3">
      <c r="A198" s="114" t="s">
        <v>499</v>
      </c>
      <c r="B198" s="115" t="s">
        <v>482</v>
      </c>
      <c r="C198" s="116" t="s">
        <v>483</v>
      </c>
      <c r="D198" s="117"/>
      <c r="E198" s="117" t="s">
        <v>500</v>
      </c>
      <c r="F198" s="118" t="s">
        <v>23</v>
      </c>
      <c r="G198" s="119">
        <v>1</v>
      </c>
      <c r="H198" s="128"/>
      <c r="I198" s="134">
        <v>74.349999999999994</v>
      </c>
      <c r="J198" s="133"/>
      <c r="K198" s="127"/>
      <c r="L198" s="127"/>
      <c r="M198" s="127"/>
      <c r="N198" s="127"/>
      <c r="O198" s="127"/>
      <c r="P198" s="127"/>
      <c r="Q198" s="127"/>
      <c r="R198" s="127"/>
      <c r="S198" s="127"/>
    </row>
    <row r="199" spans="1:19" ht="36" x14ac:dyDescent="0.3">
      <c r="A199" s="114" t="s">
        <v>501</v>
      </c>
      <c r="B199" s="115"/>
      <c r="C199" s="116" t="s">
        <v>362</v>
      </c>
      <c r="D199" s="117"/>
      <c r="E199" s="117"/>
      <c r="F199" s="118" t="s">
        <v>42</v>
      </c>
      <c r="G199" s="119">
        <v>0.15</v>
      </c>
      <c r="H199" s="119"/>
      <c r="I199" s="126">
        <v>11.153</v>
      </c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</row>
    <row r="200" spans="1:19" ht="36" x14ac:dyDescent="0.3">
      <c r="A200" s="114" t="s">
        <v>502</v>
      </c>
      <c r="B200" s="115"/>
      <c r="C200" s="116" t="s">
        <v>486</v>
      </c>
      <c r="D200" s="117"/>
      <c r="E200" s="117" t="s">
        <v>503</v>
      </c>
      <c r="F200" s="118" t="s">
        <v>42</v>
      </c>
      <c r="G200" s="119">
        <v>0.3</v>
      </c>
      <c r="H200" s="119"/>
      <c r="I200" s="126">
        <v>22.305</v>
      </c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</row>
    <row r="201" spans="1:19" ht="90" x14ac:dyDescent="0.3">
      <c r="A201" s="114" t="s">
        <v>504</v>
      </c>
      <c r="B201" s="115" t="s">
        <v>482</v>
      </c>
      <c r="C201" s="116" t="s">
        <v>483</v>
      </c>
      <c r="D201" s="117"/>
      <c r="E201" s="117" t="s">
        <v>505</v>
      </c>
      <c r="F201" s="118" t="s">
        <v>23</v>
      </c>
      <c r="G201" s="119">
        <v>1</v>
      </c>
      <c r="H201" s="128"/>
      <c r="I201" s="134">
        <v>20.82</v>
      </c>
      <c r="J201" s="133"/>
      <c r="K201" s="127"/>
      <c r="L201" s="127"/>
      <c r="M201" s="127"/>
      <c r="N201" s="127"/>
      <c r="O201" s="127"/>
      <c r="P201" s="127"/>
      <c r="Q201" s="127"/>
      <c r="R201" s="127"/>
      <c r="S201" s="127"/>
    </row>
    <row r="202" spans="1:19" ht="36" x14ac:dyDescent="0.3">
      <c r="A202" s="114" t="s">
        <v>506</v>
      </c>
      <c r="B202" s="115"/>
      <c r="C202" s="116" t="s">
        <v>486</v>
      </c>
      <c r="D202" s="117"/>
      <c r="E202" s="117" t="s">
        <v>507</v>
      </c>
      <c r="F202" s="118" t="s">
        <v>42</v>
      </c>
      <c r="G202" s="119">
        <v>0.3</v>
      </c>
      <c r="H202" s="119"/>
      <c r="I202" s="126">
        <v>6.2460000000000004</v>
      </c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</row>
    <row r="203" spans="1:19" ht="36" x14ac:dyDescent="0.3">
      <c r="A203" s="114" t="s">
        <v>508</v>
      </c>
      <c r="B203" s="115"/>
      <c r="C203" s="116" t="s">
        <v>362</v>
      </c>
      <c r="D203" s="117"/>
      <c r="E203" s="117"/>
      <c r="F203" s="118" t="s">
        <v>42</v>
      </c>
      <c r="G203" s="119">
        <v>0.15</v>
      </c>
      <c r="H203" s="119"/>
      <c r="I203" s="126">
        <v>3.1230000000000002</v>
      </c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</row>
    <row r="204" spans="1:19" ht="90" x14ac:dyDescent="0.3">
      <c r="A204" s="114" t="s">
        <v>509</v>
      </c>
      <c r="B204" s="115" t="s">
        <v>482</v>
      </c>
      <c r="C204" s="116" t="s">
        <v>483</v>
      </c>
      <c r="D204" s="117"/>
      <c r="E204" s="117" t="s">
        <v>510</v>
      </c>
      <c r="F204" s="118" t="s">
        <v>23</v>
      </c>
      <c r="G204" s="119">
        <v>1</v>
      </c>
      <c r="H204" s="128"/>
      <c r="I204" s="134">
        <v>14.74</v>
      </c>
      <c r="J204" s="133"/>
      <c r="K204" s="127"/>
      <c r="L204" s="127"/>
      <c r="M204" s="127"/>
      <c r="N204" s="127"/>
      <c r="O204" s="127"/>
      <c r="P204" s="127"/>
      <c r="Q204" s="127"/>
      <c r="R204" s="127"/>
      <c r="S204" s="127"/>
    </row>
    <row r="205" spans="1:19" ht="36" x14ac:dyDescent="0.3">
      <c r="A205" s="114" t="s">
        <v>511</v>
      </c>
      <c r="B205" s="115"/>
      <c r="C205" s="116" t="s">
        <v>362</v>
      </c>
      <c r="D205" s="117"/>
      <c r="E205" s="117"/>
      <c r="F205" s="118" t="s">
        <v>42</v>
      </c>
      <c r="G205" s="119">
        <v>0.15</v>
      </c>
      <c r="H205" s="119"/>
      <c r="I205" s="126">
        <v>2.2109999999999999</v>
      </c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</row>
    <row r="206" spans="1:19" ht="36" x14ac:dyDescent="0.3">
      <c r="A206" s="114" t="s">
        <v>512</v>
      </c>
      <c r="B206" s="115"/>
      <c r="C206" s="116" t="s">
        <v>486</v>
      </c>
      <c r="D206" s="117"/>
      <c r="E206" s="117" t="s">
        <v>513</v>
      </c>
      <c r="F206" s="118" t="s">
        <v>42</v>
      </c>
      <c r="G206" s="119">
        <v>0.3</v>
      </c>
      <c r="H206" s="119"/>
      <c r="I206" s="126">
        <v>4.4219999999999997</v>
      </c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</row>
    <row r="207" spans="1:19" ht="90" x14ac:dyDescent="0.3">
      <c r="A207" s="114" t="s">
        <v>514</v>
      </c>
      <c r="B207" s="115" t="s">
        <v>482</v>
      </c>
      <c r="C207" s="116" t="s">
        <v>483</v>
      </c>
      <c r="D207" s="117"/>
      <c r="E207" s="117" t="s">
        <v>515</v>
      </c>
      <c r="F207" s="118" t="s">
        <v>23</v>
      </c>
      <c r="G207" s="119">
        <v>1</v>
      </c>
      <c r="H207" s="128"/>
      <c r="I207" s="134">
        <v>20.83</v>
      </c>
      <c r="J207" s="133"/>
      <c r="K207" s="127"/>
      <c r="L207" s="127"/>
      <c r="M207" s="127"/>
      <c r="N207" s="127"/>
      <c r="O207" s="127"/>
      <c r="P207" s="127"/>
      <c r="Q207" s="127"/>
      <c r="R207" s="127"/>
      <c r="S207" s="127"/>
    </row>
    <row r="208" spans="1:19" ht="36" x14ac:dyDescent="0.3">
      <c r="A208" s="114" t="s">
        <v>516</v>
      </c>
      <c r="B208" s="115"/>
      <c r="C208" s="116" t="s">
        <v>486</v>
      </c>
      <c r="D208" s="117"/>
      <c r="E208" s="117"/>
      <c r="F208" s="118" t="s">
        <v>42</v>
      </c>
      <c r="G208" s="119">
        <v>0.3</v>
      </c>
      <c r="H208" s="119"/>
      <c r="I208" s="126">
        <v>6.2489999999999997</v>
      </c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</row>
    <row r="209" spans="1:19" ht="36" x14ac:dyDescent="0.3">
      <c r="A209" s="114" t="s">
        <v>517</v>
      </c>
      <c r="B209" s="115"/>
      <c r="C209" s="116" t="s">
        <v>362</v>
      </c>
      <c r="D209" s="117"/>
      <c r="E209" s="117" t="s">
        <v>518</v>
      </c>
      <c r="F209" s="118" t="s">
        <v>42</v>
      </c>
      <c r="G209" s="119">
        <v>0.15</v>
      </c>
      <c r="H209" s="119"/>
      <c r="I209" s="126">
        <v>3.125</v>
      </c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</row>
    <row r="210" spans="1:19" ht="90" x14ac:dyDescent="0.3">
      <c r="A210" s="114" t="s">
        <v>519</v>
      </c>
      <c r="B210" s="115" t="s">
        <v>482</v>
      </c>
      <c r="C210" s="116" t="s">
        <v>483</v>
      </c>
      <c r="D210" s="117"/>
      <c r="E210" s="117" t="s">
        <v>520</v>
      </c>
      <c r="F210" s="118" t="s">
        <v>23</v>
      </c>
      <c r="G210" s="119">
        <v>1</v>
      </c>
      <c r="H210" s="128"/>
      <c r="I210" s="134">
        <v>21.39</v>
      </c>
      <c r="J210" s="133"/>
      <c r="K210" s="127"/>
      <c r="L210" s="127"/>
      <c r="M210" s="127"/>
      <c r="N210" s="127"/>
      <c r="O210" s="127"/>
      <c r="P210" s="127"/>
      <c r="Q210" s="127"/>
      <c r="R210" s="127"/>
      <c r="S210" s="127"/>
    </row>
    <row r="211" spans="1:19" ht="36" x14ac:dyDescent="0.3">
      <c r="A211" s="114" t="s">
        <v>521</v>
      </c>
      <c r="B211" s="115"/>
      <c r="C211" s="116" t="s">
        <v>362</v>
      </c>
      <c r="D211" s="117"/>
      <c r="E211" s="117"/>
      <c r="F211" s="118" t="s">
        <v>42</v>
      </c>
      <c r="G211" s="119">
        <v>0.15</v>
      </c>
      <c r="H211" s="119"/>
      <c r="I211" s="126">
        <v>3.2090000000000001</v>
      </c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</row>
    <row r="212" spans="1:19" ht="36" x14ac:dyDescent="0.3">
      <c r="A212" s="114" t="s">
        <v>522</v>
      </c>
      <c r="B212" s="115"/>
      <c r="C212" s="116" t="s">
        <v>486</v>
      </c>
      <c r="D212" s="117"/>
      <c r="E212" s="117" t="s">
        <v>523</v>
      </c>
      <c r="F212" s="118" t="s">
        <v>42</v>
      </c>
      <c r="G212" s="119">
        <v>0.3</v>
      </c>
      <c r="H212" s="119"/>
      <c r="I212" s="126">
        <v>6.4169999999999998</v>
      </c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</row>
    <row r="213" spans="1:19" ht="90" x14ac:dyDescent="0.3">
      <c r="A213" s="114" t="s">
        <v>524</v>
      </c>
      <c r="B213" s="115" t="s">
        <v>482</v>
      </c>
      <c r="C213" s="116" t="s">
        <v>483</v>
      </c>
      <c r="D213" s="117"/>
      <c r="E213" s="117" t="s">
        <v>525</v>
      </c>
      <c r="F213" s="118" t="s">
        <v>23</v>
      </c>
      <c r="G213" s="119">
        <v>1</v>
      </c>
      <c r="H213" s="128"/>
      <c r="I213" s="134">
        <v>244.31</v>
      </c>
      <c r="J213" s="133"/>
      <c r="K213" s="127"/>
      <c r="L213" s="127"/>
      <c r="M213" s="127"/>
      <c r="N213" s="127"/>
      <c r="O213" s="127"/>
      <c r="P213" s="127"/>
      <c r="Q213" s="127"/>
      <c r="R213" s="127"/>
      <c r="S213" s="127"/>
    </row>
    <row r="214" spans="1:19" ht="36" x14ac:dyDescent="0.3">
      <c r="A214" s="114" t="s">
        <v>526</v>
      </c>
      <c r="B214" s="115"/>
      <c r="C214" s="116" t="s">
        <v>486</v>
      </c>
      <c r="D214" s="117"/>
      <c r="E214" s="117" t="s">
        <v>527</v>
      </c>
      <c r="F214" s="118" t="s">
        <v>42</v>
      </c>
      <c r="G214" s="119">
        <v>0.3</v>
      </c>
      <c r="H214" s="119"/>
      <c r="I214" s="126">
        <v>73.293000000000006</v>
      </c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</row>
    <row r="215" spans="1:19" ht="36" x14ac:dyDescent="0.3">
      <c r="A215" s="114" t="s">
        <v>528</v>
      </c>
      <c r="B215" s="115"/>
      <c r="C215" s="116" t="s">
        <v>362</v>
      </c>
      <c r="D215" s="117"/>
      <c r="E215" s="117"/>
      <c r="F215" s="118" t="s">
        <v>42</v>
      </c>
      <c r="G215" s="119">
        <v>0.15</v>
      </c>
      <c r="H215" s="119"/>
      <c r="I215" s="126">
        <v>36.646999999999998</v>
      </c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</row>
    <row r="216" spans="1:19" ht="90" x14ac:dyDescent="0.3">
      <c r="A216" s="114" t="s">
        <v>529</v>
      </c>
      <c r="B216" s="115" t="s">
        <v>482</v>
      </c>
      <c r="C216" s="116" t="s">
        <v>483</v>
      </c>
      <c r="D216" s="117"/>
      <c r="E216" s="117" t="s">
        <v>530</v>
      </c>
      <c r="F216" s="118" t="s">
        <v>23</v>
      </c>
      <c r="G216" s="119">
        <v>1</v>
      </c>
      <c r="H216" s="128"/>
      <c r="I216" s="134">
        <v>739.93</v>
      </c>
      <c r="J216" s="133"/>
      <c r="K216" s="127"/>
      <c r="L216" s="127"/>
      <c r="M216" s="127"/>
      <c r="N216" s="127"/>
      <c r="O216" s="127"/>
      <c r="P216" s="127"/>
      <c r="Q216" s="127"/>
      <c r="R216" s="127"/>
      <c r="S216" s="127"/>
    </row>
    <row r="217" spans="1:19" ht="36" x14ac:dyDescent="0.3">
      <c r="A217" s="114" t="s">
        <v>531</v>
      </c>
      <c r="B217" s="115"/>
      <c r="C217" s="116" t="s">
        <v>362</v>
      </c>
      <c r="D217" s="117"/>
      <c r="E217" s="117"/>
      <c r="F217" s="118" t="s">
        <v>42</v>
      </c>
      <c r="G217" s="119">
        <v>0.15</v>
      </c>
      <c r="H217" s="119"/>
      <c r="I217" s="126">
        <v>110.99</v>
      </c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</row>
    <row r="218" spans="1:19" ht="36" x14ac:dyDescent="0.3">
      <c r="A218" s="114" t="s">
        <v>532</v>
      </c>
      <c r="B218" s="115"/>
      <c r="C218" s="116" t="s">
        <v>486</v>
      </c>
      <c r="D218" s="117"/>
      <c r="E218" s="117" t="s">
        <v>533</v>
      </c>
      <c r="F218" s="118" t="s">
        <v>42</v>
      </c>
      <c r="G218" s="119">
        <v>0.3</v>
      </c>
      <c r="H218" s="119"/>
      <c r="I218" s="126">
        <v>221.97900000000001</v>
      </c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</row>
    <row r="219" spans="1:19" ht="90" x14ac:dyDescent="0.3">
      <c r="A219" s="114" t="s">
        <v>534</v>
      </c>
      <c r="B219" s="115" t="s">
        <v>482</v>
      </c>
      <c r="C219" s="116" t="s">
        <v>483</v>
      </c>
      <c r="D219" s="117"/>
      <c r="E219" s="117" t="s">
        <v>535</v>
      </c>
      <c r="F219" s="118" t="s">
        <v>23</v>
      </c>
      <c r="G219" s="119">
        <v>1</v>
      </c>
      <c r="H219" s="128"/>
      <c r="I219" s="134">
        <v>5455.35</v>
      </c>
      <c r="J219" s="133"/>
      <c r="K219" s="127"/>
      <c r="L219" s="127"/>
      <c r="M219" s="127"/>
      <c r="N219" s="127"/>
      <c r="O219" s="127"/>
      <c r="P219" s="127"/>
      <c r="Q219" s="127"/>
      <c r="R219" s="127"/>
      <c r="S219" s="127"/>
    </row>
    <row r="220" spans="1:19" ht="36" x14ac:dyDescent="0.3">
      <c r="A220" s="114" t="s">
        <v>536</v>
      </c>
      <c r="B220" s="115"/>
      <c r="C220" s="116" t="s">
        <v>486</v>
      </c>
      <c r="D220" s="117"/>
      <c r="E220" s="117" t="s">
        <v>487</v>
      </c>
      <c r="F220" s="118" t="s">
        <v>42</v>
      </c>
      <c r="G220" s="119">
        <v>0.3</v>
      </c>
      <c r="H220" s="119"/>
      <c r="I220" s="126">
        <v>1636.605</v>
      </c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</row>
    <row r="221" spans="1:19" ht="36" x14ac:dyDescent="0.3">
      <c r="A221" s="114" t="s">
        <v>537</v>
      </c>
      <c r="B221" s="115"/>
      <c r="C221" s="116" t="s">
        <v>362</v>
      </c>
      <c r="D221" s="117"/>
      <c r="E221" s="117"/>
      <c r="F221" s="118" t="s">
        <v>42</v>
      </c>
      <c r="G221" s="119">
        <v>0.15</v>
      </c>
      <c r="H221" s="119"/>
      <c r="I221" s="126">
        <v>818.303</v>
      </c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</row>
    <row r="222" spans="1:19" ht="90" x14ac:dyDescent="0.3">
      <c r="A222" s="114" t="s">
        <v>538</v>
      </c>
      <c r="B222" s="115" t="s">
        <v>482</v>
      </c>
      <c r="C222" s="116" t="s">
        <v>483</v>
      </c>
      <c r="D222" s="117"/>
      <c r="E222" s="117" t="s">
        <v>539</v>
      </c>
      <c r="F222" s="118" t="s">
        <v>23</v>
      </c>
      <c r="G222" s="119">
        <v>1</v>
      </c>
      <c r="H222" s="128"/>
      <c r="I222" s="134">
        <v>63.04</v>
      </c>
      <c r="J222" s="133"/>
      <c r="K222" s="127"/>
      <c r="L222" s="127"/>
      <c r="M222" s="127"/>
      <c r="N222" s="127"/>
      <c r="O222" s="127"/>
      <c r="P222" s="127"/>
      <c r="Q222" s="127"/>
      <c r="R222" s="127"/>
      <c r="S222" s="127"/>
    </row>
    <row r="223" spans="1:19" ht="36" x14ac:dyDescent="0.3">
      <c r="A223" s="114" t="s">
        <v>540</v>
      </c>
      <c r="B223" s="115"/>
      <c r="C223" s="116" t="s">
        <v>362</v>
      </c>
      <c r="D223" s="117"/>
      <c r="E223" s="117"/>
      <c r="F223" s="118" t="s">
        <v>42</v>
      </c>
      <c r="G223" s="119">
        <v>0.15</v>
      </c>
      <c r="H223" s="119"/>
      <c r="I223" s="126">
        <v>9.4559999999999995</v>
      </c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</row>
    <row r="224" spans="1:19" ht="36" x14ac:dyDescent="0.3">
      <c r="A224" s="114" t="s">
        <v>541</v>
      </c>
      <c r="B224" s="115"/>
      <c r="C224" s="116" t="s">
        <v>486</v>
      </c>
      <c r="D224" s="117"/>
      <c r="E224" s="117" t="s">
        <v>542</v>
      </c>
      <c r="F224" s="118" t="s">
        <v>42</v>
      </c>
      <c r="G224" s="119">
        <v>0.3</v>
      </c>
      <c r="H224" s="119"/>
      <c r="I224" s="126">
        <v>18.911999999999999</v>
      </c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</row>
    <row r="225" spans="1:19" ht="90" x14ac:dyDescent="0.3">
      <c r="A225" s="114" t="s">
        <v>543</v>
      </c>
      <c r="B225" s="115" t="s">
        <v>482</v>
      </c>
      <c r="C225" s="116" t="s">
        <v>483</v>
      </c>
      <c r="D225" s="117"/>
      <c r="E225" s="117" t="s">
        <v>544</v>
      </c>
      <c r="F225" s="118" t="s">
        <v>23</v>
      </c>
      <c r="G225" s="119">
        <v>1</v>
      </c>
      <c r="H225" s="128"/>
      <c r="I225" s="134">
        <v>138.31</v>
      </c>
      <c r="J225" s="133"/>
      <c r="K225" s="127"/>
      <c r="L225" s="127"/>
      <c r="M225" s="127"/>
      <c r="N225" s="127"/>
      <c r="O225" s="127"/>
      <c r="P225" s="127"/>
      <c r="Q225" s="127"/>
      <c r="R225" s="127"/>
      <c r="S225" s="127"/>
    </row>
    <row r="226" spans="1:19" ht="36" x14ac:dyDescent="0.3">
      <c r="A226" s="114" t="s">
        <v>545</v>
      </c>
      <c r="B226" s="115"/>
      <c r="C226" s="116" t="s">
        <v>486</v>
      </c>
      <c r="D226" s="117"/>
      <c r="E226" s="117"/>
      <c r="F226" s="118" t="s">
        <v>42</v>
      </c>
      <c r="G226" s="119">
        <v>0.3</v>
      </c>
      <c r="H226" s="119"/>
      <c r="I226" s="126">
        <v>41.493000000000002</v>
      </c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</row>
    <row r="227" spans="1:19" ht="36" x14ac:dyDescent="0.3">
      <c r="A227" s="114" t="s">
        <v>546</v>
      </c>
      <c r="B227" s="115"/>
      <c r="C227" s="116" t="s">
        <v>362</v>
      </c>
      <c r="D227" s="117"/>
      <c r="E227" s="117" t="s">
        <v>487</v>
      </c>
      <c r="F227" s="118" t="s">
        <v>42</v>
      </c>
      <c r="G227" s="119">
        <v>0.15</v>
      </c>
      <c r="H227" s="119"/>
      <c r="I227" s="126">
        <v>20.747</v>
      </c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</row>
    <row r="228" spans="1:19" ht="90" x14ac:dyDescent="0.3">
      <c r="A228" s="114" t="s">
        <v>547</v>
      </c>
      <c r="B228" s="115" t="s">
        <v>482</v>
      </c>
      <c r="C228" s="116" t="s">
        <v>483</v>
      </c>
      <c r="D228" s="117"/>
      <c r="E228" s="117" t="s">
        <v>548</v>
      </c>
      <c r="F228" s="118" t="s">
        <v>23</v>
      </c>
      <c r="G228" s="119">
        <v>1</v>
      </c>
      <c r="H228" s="128"/>
      <c r="I228" s="134">
        <v>140.81</v>
      </c>
      <c r="J228" s="133"/>
      <c r="K228" s="127"/>
      <c r="L228" s="127"/>
      <c r="M228" s="127"/>
      <c r="N228" s="127"/>
      <c r="O228" s="127"/>
      <c r="P228" s="127"/>
      <c r="Q228" s="127"/>
      <c r="R228" s="127"/>
      <c r="S228" s="127"/>
    </row>
    <row r="229" spans="1:19" ht="36" x14ac:dyDescent="0.3">
      <c r="A229" s="114" t="s">
        <v>549</v>
      </c>
      <c r="B229" s="115"/>
      <c r="C229" s="116" t="s">
        <v>362</v>
      </c>
      <c r="D229" s="117"/>
      <c r="E229" s="117"/>
      <c r="F229" s="118" t="s">
        <v>42</v>
      </c>
      <c r="G229" s="119">
        <v>0.15</v>
      </c>
      <c r="H229" s="119"/>
      <c r="I229" s="126">
        <v>21.122</v>
      </c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</row>
    <row r="230" spans="1:19" ht="36" x14ac:dyDescent="0.3">
      <c r="A230" s="114" t="s">
        <v>550</v>
      </c>
      <c r="B230" s="115"/>
      <c r="C230" s="116" t="s">
        <v>486</v>
      </c>
      <c r="D230" s="117"/>
      <c r="E230" s="117" t="s">
        <v>487</v>
      </c>
      <c r="F230" s="118" t="s">
        <v>42</v>
      </c>
      <c r="G230" s="119">
        <v>0.3</v>
      </c>
      <c r="H230" s="119"/>
      <c r="I230" s="126">
        <v>42.243000000000002</v>
      </c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</row>
    <row r="231" spans="1:19" ht="90" x14ac:dyDescent="0.3">
      <c r="A231" s="114" t="s">
        <v>551</v>
      </c>
      <c r="B231" s="115" t="s">
        <v>482</v>
      </c>
      <c r="C231" s="116" t="s">
        <v>483</v>
      </c>
      <c r="D231" s="117"/>
      <c r="E231" s="117" t="s">
        <v>552</v>
      </c>
      <c r="F231" s="118" t="s">
        <v>23</v>
      </c>
      <c r="G231" s="119">
        <v>1</v>
      </c>
      <c r="H231" s="128"/>
      <c r="I231" s="134">
        <v>3948.17</v>
      </c>
      <c r="J231" s="133"/>
      <c r="K231" s="127"/>
      <c r="L231" s="127"/>
      <c r="M231" s="127"/>
      <c r="N231" s="127"/>
      <c r="O231" s="127"/>
      <c r="P231" s="127"/>
      <c r="Q231" s="127"/>
      <c r="R231" s="127"/>
      <c r="S231" s="127"/>
    </row>
    <row r="232" spans="1:19" ht="36" x14ac:dyDescent="0.3">
      <c r="A232" s="114" t="s">
        <v>553</v>
      </c>
      <c r="B232" s="115"/>
      <c r="C232" s="116" t="s">
        <v>486</v>
      </c>
      <c r="D232" s="117"/>
      <c r="E232" s="117" t="s">
        <v>487</v>
      </c>
      <c r="F232" s="118" t="s">
        <v>42</v>
      </c>
      <c r="G232" s="119">
        <v>0.3</v>
      </c>
      <c r="H232" s="119"/>
      <c r="I232" s="126">
        <v>1184.451</v>
      </c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</row>
    <row r="233" spans="1:19" ht="36" x14ac:dyDescent="0.3">
      <c r="A233" s="114" t="s">
        <v>554</v>
      </c>
      <c r="B233" s="115"/>
      <c r="C233" s="116" t="s">
        <v>362</v>
      </c>
      <c r="D233" s="117"/>
      <c r="E233" s="117"/>
      <c r="F233" s="118" t="s">
        <v>42</v>
      </c>
      <c r="G233" s="119">
        <v>0.15</v>
      </c>
      <c r="H233" s="119"/>
      <c r="I233" s="126">
        <v>592.226</v>
      </c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</row>
    <row r="234" spans="1:19" ht="90" x14ac:dyDescent="0.3">
      <c r="A234" s="114" t="s">
        <v>555</v>
      </c>
      <c r="B234" s="115" t="s">
        <v>556</v>
      </c>
      <c r="C234" s="116" t="s">
        <v>557</v>
      </c>
      <c r="D234" s="117"/>
      <c r="E234" s="117" t="s">
        <v>558</v>
      </c>
      <c r="F234" s="118" t="s">
        <v>23</v>
      </c>
      <c r="G234" s="119">
        <v>1</v>
      </c>
      <c r="H234" s="128"/>
      <c r="I234" s="134">
        <v>1084.79</v>
      </c>
      <c r="J234" s="133"/>
      <c r="K234" s="127"/>
      <c r="L234" s="127"/>
      <c r="M234" s="127"/>
      <c r="N234" s="127"/>
      <c r="O234" s="127"/>
      <c r="P234" s="127"/>
      <c r="Q234" s="127"/>
      <c r="R234" s="127"/>
      <c r="S234" s="127"/>
    </row>
    <row r="235" spans="1:19" x14ac:dyDescent="0.3">
      <c r="A235" s="114" t="s">
        <v>559</v>
      </c>
      <c r="B235" s="115"/>
      <c r="C235" s="116" t="s">
        <v>560</v>
      </c>
      <c r="D235" s="117"/>
      <c r="E235" s="117"/>
      <c r="F235" s="118" t="s">
        <v>42</v>
      </c>
      <c r="G235" s="119">
        <v>0.25</v>
      </c>
      <c r="H235" s="119"/>
      <c r="I235" s="126">
        <v>271.19799999999998</v>
      </c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</row>
    <row r="236" spans="1:19" ht="36" x14ac:dyDescent="0.3">
      <c r="A236" s="114" t="s">
        <v>561</v>
      </c>
      <c r="B236" s="115"/>
      <c r="C236" s="116" t="s">
        <v>562</v>
      </c>
      <c r="D236" s="117"/>
      <c r="E236" s="117"/>
      <c r="F236" s="118" t="s">
        <v>42</v>
      </c>
      <c r="G236" s="119">
        <v>0.15</v>
      </c>
      <c r="H236" s="119"/>
      <c r="I236" s="126">
        <v>162.71899999999999</v>
      </c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</row>
    <row r="237" spans="1:19" ht="36" x14ac:dyDescent="0.3">
      <c r="A237" s="114" t="s">
        <v>563</v>
      </c>
      <c r="B237" s="115"/>
      <c r="C237" s="116" t="s">
        <v>564</v>
      </c>
      <c r="D237" s="117"/>
      <c r="E237" s="117"/>
      <c r="F237" s="118" t="s">
        <v>42</v>
      </c>
      <c r="G237" s="119">
        <v>1.2</v>
      </c>
      <c r="H237" s="119"/>
      <c r="I237" s="126">
        <v>6508.74</v>
      </c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</row>
    <row r="238" spans="1:19" ht="36" x14ac:dyDescent="0.3">
      <c r="A238" s="114" t="s">
        <v>565</v>
      </c>
      <c r="B238" s="115"/>
      <c r="C238" s="116" t="s">
        <v>566</v>
      </c>
      <c r="D238" s="117"/>
      <c r="E238" s="117"/>
      <c r="F238" s="118" t="s">
        <v>23</v>
      </c>
      <c r="G238" s="119">
        <v>1.07</v>
      </c>
      <c r="H238" s="119"/>
      <c r="I238" s="126">
        <v>1160.7249999999999</v>
      </c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</row>
    <row r="239" spans="1:19" ht="90" x14ac:dyDescent="0.3">
      <c r="A239" s="114" t="s">
        <v>567</v>
      </c>
      <c r="B239" s="115" t="s">
        <v>556</v>
      </c>
      <c r="C239" s="116" t="s">
        <v>557</v>
      </c>
      <c r="D239" s="117"/>
      <c r="E239" s="117" t="s">
        <v>568</v>
      </c>
      <c r="F239" s="118" t="s">
        <v>23</v>
      </c>
      <c r="G239" s="119">
        <v>1</v>
      </c>
      <c r="H239" s="128"/>
      <c r="I239" s="134">
        <v>94.69</v>
      </c>
      <c r="J239" s="133"/>
      <c r="K239" s="127"/>
      <c r="L239" s="127"/>
      <c r="M239" s="127"/>
      <c r="N239" s="127"/>
      <c r="O239" s="127"/>
      <c r="P239" s="127"/>
      <c r="Q239" s="127"/>
      <c r="R239" s="127"/>
      <c r="S239" s="127"/>
    </row>
    <row r="240" spans="1:19" ht="36" x14ac:dyDescent="0.3">
      <c r="A240" s="114" t="s">
        <v>569</v>
      </c>
      <c r="B240" s="115"/>
      <c r="C240" s="116" t="s">
        <v>570</v>
      </c>
      <c r="D240" s="117"/>
      <c r="E240" s="117"/>
      <c r="F240" s="118" t="s">
        <v>23</v>
      </c>
      <c r="G240" s="119">
        <v>1.07</v>
      </c>
      <c r="H240" s="119"/>
      <c r="I240" s="126">
        <v>101.318</v>
      </c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</row>
    <row r="241" spans="1:19" ht="36" x14ac:dyDescent="0.3">
      <c r="A241" s="114" t="s">
        <v>571</v>
      </c>
      <c r="B241" s="115"/>
      <c r="C241" s="116" t="s">
        <v>564</v>
      </c>
      <c r="D241" s="117"/>
      <c r="E241" s="117"/>
      <c r="F241" s="118" t="s">
        <v>42</v>
      </c>
      <c r="G241" s="119">
        <v>1.2</v>
      </c>
      <c r="H241" s="119"/>
      <c r="I241" s="126">
        <v>568.14</v>
      </c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</row>
    <row r="242" spans="1:19" ht="36" x14ac:dyDescent="0.3">
      <c r="A242" s="114" t="s">
        <v>572</v>
      </c>
      <c r="B242" s="115"/>
      <c r="C242" s="116" t="s">
        <v>562</v>
      </c>
      <c r="D242" s="117"/>
      <c r="E242" s="117"/>
      <c r="F242" s="118" t="s">
        <v>42</v>
      </c>
      <c r="G242" s="119">
        <v>0.15</v>
      </c>
      <c r="H242" s="119"/>
      <c r="I242" s="126">
        <v>14.204000000000001</v>
      </c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</row>
    <row r="243" spans="1:19" x14ac:dyDescent="0.3">
      <c r="A243" s="114" t="s">
        <v>573</v>
      </c>
      <c r="B243" s="115"/>
      <c r="C243" s="116" t="s">
        <v>560</v>
      </c>
      <c r="D243" s="117"/>
      <c r="E243" s="117"/>
      <c r="F243" s="118" t="s">
        <v>42</v>
      </c>
      <c r="G243" s="119">
        <v>0.25</v>
      </c>
      <c r="H243" s="119"/>
      <c r="I243" s="126">
        <v>23.672999999999998</v>
      </c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</row>
    <row r="244" spans="1:19" ht="90" x14ac:dyDescent="0.3">
      <c r="A244" s="114" t="s">
        <v>574</v>
      </c>
      <c r="B244" s="115" t="s">
        <v>556</v>
      </c>
      <c r="C244" s="116" t="s">
        <v>557</v>
      </c>
      <c r="D244" s="117"/>
      <c r="E244" s="117" t="s">
        <v>575</v>
      </c>
      <c r="F244" s="118" t="s">
        <v>23</v>
      </c>
      <c r="G244" s="119">
        <v>1</v>
      </c>
      <c r="H244" s="128"/>
      <c r="I244" s="134">
        <v>230.36</v>
      </c>
      <c r="J244" s="133"/>
      <c r="K244" s="127"/>
      <c r="L244" s="127"/>
      <c r="M244" s="127"/>
      <c r="N244" s="127"/>
      <c r="O244" s="127"/>
      <c r="P244" s="127"/>
      <c r="Q244" s="127"/>
      <c r="R244" s="127"/>
      <c r="S244" s="127"/>
    </row>
    <row r="245" spans="1:19" x14ac:dyDescent="0.3">
      <c r="A245" s="114" t="s">
        <v>576</v>
      </c>
      <c r="B245" s="115"/>
      <c r="C245" s="116" t="s">
        <v>560</v>
      </c>
      <c r="D245" s="117"/>
      <c r="E245" s="117"/>
      <c r="F245" s="118" t="s">
        <v>42</v>
      </c>
      <c r="G245" s="119">
        <v>0.25</v>
      </c>
      <c r="H245" s="119"/>
      <c r="I245" s="126">
        <v>57.59</v>
      </c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</row>
    <row r="246" spans="1:19" ht="36" x14ac:dyDescent="0.3">
      <c r="A246" s="114" t="s">
        <v>577</v>
      </c>
      <c r="B246" s="115"/>
      <c r="C246" s="116" t="s">
        <v>562</v>
      </c>
      <c r="D246" s="117"/>
      <c r="E246" s="117"/>
      <c r="F246" s="118" t="s">
        <v>42</v>
      </c>
      <c r="G246" s="119">
        <v>0.15</v>
      </c>
      <c r="H246" s="119"/>
      <c r="I246" s="126">
        <v>34.554000000000002</v>
      </c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</row>
    <row r="247" spans="1:19" ht="36" x14ac:dyDescent="0.3">
      <c r="A247" s="114" t="s">
        <v>578</v>
      </c>
      <c r="B247" s="115"/>
      <c r="C247" s="116" t="s">
        <v>564</v>
      </c>
      <c r="D247" s="117"/>
      <c r="E247" s="117"/>
      <c r="F247" s="118" t="s">
        <v>42</v>
      </c>
      <c r="G247" s="119">
        <v>1.2</v>
      </c>
      <c r="H247" s="119"/>
      <c r="I247" s="126">
        <v>1382.16</v>
      </c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</row>
    <row r="248" spans="1:19" ht="36" x14ac:dyDescent="0.3">
      <c r="A248" s="114" t="s">
        <v>579</v>
      </c>
      <c r="B248" s="115"/>
      <c r="C248" s="116" t="s">
        <v>580</v>
      </c>
      <c r="D248" s="117"/>
      <c r="E248" s="117"/>
      <c r="F248" s="118" t="s">
        <v>23</v>
      </c>
      <c r="G248" s="119">
        <v>1.07</v>
      </c>
      <c r="H248" s="119"/>
      <c r="I248" s="126">
        <v>246.48500000000001</v>
      </c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</row>
    <row r="249" spans="1:19" ht="90" x14ac:dyDescent="0.3">
      <c r="A249" s="114" t="s">
        <v>581</v>
      </c>
      <c r="B249" s="115" t="s">
        <v>556</v>
      </c>
      <c r="C249" s="116" t="s">
        <v>557</v>
      </c>
      <c r="D249" s="117"/>
      <c r="E249" s="117" t="s">
        <v>582</v>
      </c>
      <c r="F249" s="118" t="s">
        <v>23</v>
      </c>
      <c r="G249" s="119">
        <v>1</v>
      </c>
      <c r="H249" s="128"/>
      <c r="I249" s="134">
        <v>21.22</v>
      </c>
      <c r="J249" s="133"/>
      <c r="K249" s="127"/>
      <c r="L249" s="127"/>
      <c r="M249" s="127"/>
      <c r="N249" s="127"/>
      <c r="O249" s="127"/>
      <c r="P249" s="127"/>
      <c r="Q249" s="127"/>
      <c r="R249" s="127"/>
      <c r="S249" s="127"/>
    </row>
    <row r="250" spans="1:19" ht="36" x14ac:dyDescent="0.3">
      <c r="A250" s="114" t="s">
        <v>583</v>
      </c>
      <c r="B250" s="115"/>
      <c r="C250" s="116" t="s">
        <v>584</v>
      </c>
      <c r="D250" s="117"/>
      <c r="E250" s="117"/>
      <c r="F250" s="118" t="s">
        <v>23</v>
      </c>
      <c r="G250" s="119">
        <v>1.07</v>
      </c>
      <c r="H250" s="119"/>
      <c r="I250" s="126">
        <v>22.704999999999998</v>
      </c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</row>
    <row r="251" spans="1:19" ht="36" x14ac:dyDescent="0.3">
      <c r="A251" s="114" t="s">
        <v>585</v>
      </c>
      <c r="B251" s="115"/>
      <c r="C251" s="116" t="s">
        <v>564</v>
      </c>
      <c r="D251" s="117"/>
      <c r="E251" s="117"/>
      <c r="F251" s="118" t="s">
        <v>42</v>
      </c>
      <c r="G251" s="119">
        <v>1.2</v>
      </c>
      <c r="H251" s="119"/>
      <c r="I251" s="126">
        <v>127.32</v>
      </c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</row>
    <row r="252" spans="1:19" ht="36" x14ac:dyDescent="0.3">
      <c r="A252" s="114" t="s">
        <v>586</v>
      </c>
      <c r="B252" s="115"/>
      <c r="C252" s="116" t="s">
        <v>562</v>
      </c>
      <c r="D252" s="117"/>
      <c r="E252" s="117"/>
      <c r="F252" s="118" t="s">
        <v>42</v>
      </c>
      <c r="G252" s="119">
        <v>0.15</v>
      </c>
      <c r="H252" s="119"/>
      <c r="I252" s="126">
        <v>3.1829999999999998</v>
      </c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</row>
    <row r="253" spans="1:19" x14ac:dyDescent="0.3">
      <c r="A253" s="114" t="s">
        <v>587</v>
      </c>
      <c r="B253" s="115"/>
      <c r="C253" s="116" t="s">
        <v>560</v>
      </c>
      <c r="D253" s="117"/>
      <c r="E253" s="117"/>
      <c r="F253" s="118" t="s">
        <v>42</v>
      </c>
      <c r="G253" s="119">
        <v>0.25</v>
      </c>
      <c r="H253" s="119"/>
      <c r="I253" s="126">
        <v>5.3049999999999997</v>
      </c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</row>
    <row r="254" spans="1:19" ht="90" x14ac:dyDescent="0.3">
      <c r="A254" s="114" t="s">
        <v>588</v>
      </c>
      <c r="B254" s="115" t="s">
        <v>556</v>
      </c>
      <c r="C254" s="116" t="s">
        <v>557</v>
      </c>
      <c r="D254" s="117"/>
      <c r="E254" s="117" t="s">
        <v>589</v>
      </c>
      <c r="F254" s="118" t="s">
        <v>23</v>
      </c>
      <c r="G254" s="119">
        <v>1</v>
      </c>
      <c r="H254" s="128"/>
      <c r="I254" s="134">
        <v>21.19</v>
      </c>
      <c r="J254" s="133"/>
      <c r="K254" s="127"/>
      <c r="L254" s="127"/>
      <c r="M254" s="127"/>
      <c r="N254" s="127"/>
      <c r="O254" s="127"/>
      <c r="P254" s="127"/>
      <c r="Q254" s="127"/>
      <c r="R254" s="127"/>
      <c r="S254" s="127"/>
    </row>
    <row r="255" spans="1:19" x14ac:dyDescent="0.3">
      <c r="A255" s="114" t="s">
        <v>590</v>
      </c>
      <c r="B255" s="115"/>
      <c r="C255" s="116" t="s">
        <v>560</v>
      </c>
      <c r="D255" s="117"/>
      <c r="E255" s="117"/>
      <c r="F255" s="118" t="s">
        <v>42</v>
      </c>
      <c r="G255" s="119">
        <v>0.25</v>
      </c>
      <c r="H255" s="119"/>
      <c r="I255" s="126">
        <v>5.298</v>
      </c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</row>
    <row r="256" spans="1:19" ht="36" x14ac:dyDescent="0.3">
      <c r="A256" s="114" t="s">
        <v>591</v>
      </c>
      <c r="B256" s="115"/>
      <c r="C256" s="116" t="s">
        <v>562</v>
      </c>
      <c r="D256" s="117"/>
      <c r="E256" s="117"/>
      <c r="F256" s="118" t="s">
        <v>42</v>
      </c>
      <c r="G256" s="119">
        <v>0.15</v>
      </c>
      <c r="H256" s="119"/>
      <c r="I256" s="126">
        <v>3.1789999999999998</v>
      </c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</row>
    <row r="257" spans="1:19" ht="36" x14ac:dyDescent="0.3">
      <c r="A257" s="114" t="s">
        <v>592</v>
      </c>
      <c r="B257" s="115"/>
      <c r="C257" s="116" t="s">
        <v>564</v>
      </c>
      <c r="D257" s="117"/>
      <c r="E257" s="117"/>
      <c r="F257" s="118" t="s">
        <v>42</v>
      </c>
      <c r="G257" s="119">
        <v>1.2</v>
      </c>
      <c r="H257" s="119"/>
      <c r="I257" s="126">
        <v>127.14</v>
      </c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</row>
    <row r="258" spans="1:19" ht="54" x14ac:dyDescent="0.3">
      <c r="A258" s="114" t="s">
        <v>593</v>
      </c>
      <c r="B258" s="115"/>
      <c r="C258" s="116" t="s">
        <v>594</v>
      </c>
      <c r="D258" s="117"/>
      <c r="E258" s="117" t="s">
        <v>595</v>
      </c>
      <c r="F258" s="118" t="s">
        <v>23</v>
      </c>
      <c r="G258" s="119">
        <v>1.07</v>
      </c>
      <c r="H258" s="119"/>
      <c r="I258" s="126">
        <v>22.672999999999998</v>
      </c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</row>
    <row r="259" spans="1:19" ht="108" x14ac:dyDescent="0.3">
      <c r="A259" s="114" t="s">
        <v>596</v>
      </c>
      <c r="B259" s="115" t="s">
        <v>556</v>
      </c>
      <c r="C259" s="116" t="s">
        <v>557</v>
      </c>
      <c r="D259" s="117"/>
      <c r="E259" s="117" t="s">
        <v>597</v>
      </c>
      <c r="F259" s="118" t="s">
        <v>23</v>
      </c>
      <c r="G259" s="119">
        <v>1</v>
      </c>
      <c r="H259" s="128"/>
      <c r="I259" s="134">
        <v>300.07</v>
      </c>
      <c r="J259" s="133"/>
      <c r="K259" s="127"/>
      <c r="L259" s="127"/>
      <c r="M259" s="127"/>
      <c r="N259" s="127"/>
      <c r="O259" s="127"/>
      <c r="P259" s="127"/>
      <c r="Q259" s="127"/>
      <c r="R259" s="127"/>
      <c r="S259" s="127"/>
    </row>
    <row r="260" spans="1:19" ht="36" x14ac:dyDescent="0.3">
      <c r="A260" s="114" t="s">
        <v>598</v>
      </c>
      <c r="B260" s="115"/>
      <c r="C260" s="116" t="s">
        <v>564</v>
      </c>
      <c r="D260" s="117"/>
      <c r="E260" s="117"/>
      <c r="F260" s="118" t="s">
        <v>42</v>
      </c>
      <c r="G260" s="119">
        <v>1.2</v>
      </c>
      <c r="H260" s="119"/>
      <c r="I260" s="126">
        <v>1800.42</v>
      </c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</row>
    <row r="261" spans="1:19" ht="36" x14ac:dyDescent="0.3">
      <c r="A261" s="114" t="s">
        <v>599</v>
      </c>
      <c r="B261" s="115"/>
      <c r="C261" s="116" t="s">
        <v>562</v>
      </c>
      <c r="D261" s="117"/>
      <c r="E261" s="117"/>
      <c r="F261" s="118" t="s">
        <v>42</v>
      </c>
      <c r="G261" s="119">
        <v>0.15</v>
      </c>
      <c r="H261" s="119"/>
      <c r="I261" s="126">
        <v>45.011000000000003</v>
      </c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</row>
    <row r="262" spans="1:19" x14ac:dyDescent="0.3">
      <c r="A262" s="114" t="s">
        <v>600</v>
      </c>
      <c r="B262" s="115"/>
      <c r="C262" s="116" t="s">
        <v>560</v>
      </c>
      <c r="D262" s="117"/>
      <c r="E262" s="117"/>
      <c r="F262" s="118" t="s">
        <v>42</v>
      </c>
      <c r="G262" s="119">
        <v>0.25</v>
      </c>
      <c r="H262" s="119"/>
      <c r="I262" s="126">
        <v>75.018000000000001</v>
      </c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</row>
    <row r="263" spans="1:19" ht="72" x14ac:dyDescent="0.3">
      <c r="A263" s="114" t="s">
        <v>601</v>
      </c>
      <c r="B263" s="115"/>
      <c r="C263" s="116" t="s">
        <v>602</v>
      </c>
      <c r="D263" s="117"/>
      <c r="E263" s="117" t="s">
        <v>603</v>
      </c>
      <c r="F263" s="118" t="s">
        <v>23</v>
      </c>
      <c r="G263" s="119">
        <v>1.07</v>
      </c>
      <c r="H263" s="119"/>
      <c r="I263" s="126">
        <v>321.07499999999999</v>
      </c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</row>
    <row r="264" spans="1:19" ht="90" x14ac:dyDescent="0.3">
      <c r="A264" s="114" t="s">
        <v>604</v>
      </c>
      <c r="B264" s="115" t="s">
        <v>556</v>
      </c>
      <c r="C264" s="116" t="s">
        <v>557</v>
      </c>
      <c r="D264" s="117"/>
      <c r="E264" s="117" t="s">
        <v>605</v>
      </c>
      <c r="F264" s="118" t="s">
        <v>23</v>
      </c>
      <c r="G264" s="119">
        <v>1</v>
      </c>
      <c r="H264" s="128"/>
      <c r="I264" s="134">
        <v>1428.26</v>
      </c>
      <c r="J264" s="133"/>
      <c r="K264" s="127"/>
      <c r="L264" s="127"/>
      <c r="M264" s="127"/>
      <c r="N264" s="127"/>
      <c r="O264" s="127"/>
      <c r="P264" s="127"/>
      <c r="Q264" s="127"/>
      <c r="R264" s="127"/>
      <c r="S264" s="127"/>
    </row>
    <row r="265" spans="1:19" x14ac:dyDescent="0.3">
      <c r="A265" s="114" t="s">
        <v>606</v>
      </c>
      <c r="B265" s="115"/>
      <c r="C265" s="116" t="s">
        <v>560</v>
      </c>
      <c r="D265" s="117"/>
      <c r="E265" s="117"/>
      <c r="F265" s="118" t="s">
        <v>42</v>
      </c>
      <c r="G265" s="119">
        <v>0.25</v>
      </c>
      <c r="H265" s="119"/>
      <c r="I265" s="126">
        <v>357.065</v>
      </c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</row>
    <row r="266" spans="1:19" ht="36" x14ac:dyDescent="0.3">
      <c r="A266" s="114" t="s">
        <v>607</v>
      </c>
      <c r="B266" s="115"/>
      <c r="C266" s="116" t="s">
        <v>562</v>
      </c>
      <c r="D266" s="117"/>
      <c r="E266" s="117"/>
      <c r="F266" s="118" t="s">
        <v>42</v>
      </c>
      <c r="G266" s="119">
        <v>0.15</v>
      </c>
      <c r="H266" s="119"/>
      <c r="I266" s="126">
        <v>214.239</v>
      </c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</row>
    <row r="267" spans="1:19" ht="36" x14ac:dyDescent="0.3">
      <c r="A267" s="114" t="s">
        <v>608</v>
      </c>
      <c r="B267" s="115"/>
      <c r="C267" s="116" t="s">
        <v>564</v>
      </c>
      <c r="D267" s="117"/>
      <c r="E267" s="117"/>
      <c r="F267" s="118" t="s">
        <v>42</v>
      </c>
      <c r="G267" s="119">
        <v>1.2</v>
      </c>
      <c r="H267" s="119"/>
      <c r="I267" s="126">
        <v>8569.56</v>
      </c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</row>
    <row r="268" spans="1:19" ht="36" x14ac:dyDescent="0.3">
      <c r="A268" s="114" t="s">
        <v>609</v>
      </c>
      <c r="B268" s="115"/>
      <c r="C268" s="116" t="s">
        <v>566</v>
      </c>
      <c r="D268" s="117"/>
      <c r="E268" s="117" t="s">
        <v>610</v>
      </c>
      <c r="F268" s="118" t="s">
        <v>23</v>
      </c>
      <c r="G268" s="119">
        <v>1.07</v>
      </c>
      <c r="H268" s="119"/>
      <c r="I268" s="126">
        <v>1528.2380000000001</v>
      </c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</row>
    <row r="269" spans="1:19" ht="108" x14ac:dyDescent="0.3">
      <c r="A269" s="114" t="s">
        <v>611</v>
      </c>
      <c r="B269" s="115" t="s">
        <v>556</v>
      </c>
      <c r="C269" s="116" t="s">
        <v>557</v>
      </c>
      <c r="D269" s="117"/>
      <c r="E269" s="117" t="s">
        <v>612</v>
      </c>
      <c r="F269" s="118" t="s">
        <v>23</v>
      </c>
      <c r="G269" s="119">
        <v>1</v>
      </c>
      <c r="H269" s="128"/>
      <c r="I269" s="134">
        <v>40.700000000000003</v>
      </c>
      <c r="J269" s="133"/>
      <c r="K269" s="127"/>
      <c r="L269" s="127"/>
      <c r="M269" s="127"/>
      <c r="N269" s="127"/>
      <c r="O269" s="127"/>
      <c r="P269" s="127"/>
      <c r="Q269" s="127"/>
      <c r="R269" s="127"/>
      <c r="S269" s="127"/>
    </row>
    <row r="270" spans="1:19" ht="36" x14ac:dyDescent="0.3">
      <c r="A270" s="114" t="s">
        <v>613</v>
      </c>
      <c r="B270" s="115"/>
      <c r="C270" s="116" t="s">
        <v>564</v>
      </c>
      <c r="D270" s="117"/>
      <c r="E270" s="117"/>
      <c r="F270" s="118" t="s">
        <v>42</v>
      </c>
      <c r="G270" s="119">
        <v>1.2</v>
      </c>
      <c r="H270" s="119"/>
      <c r="I270" s="126">
        <v>244.2</v>
      </c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</row>
    <row r="271" spans="1:19" x14ac:dyDescent="0.3">
      <c r="A271" s="114" t="s">
        <v>614</v>
      </c>
      <c r="B271" s="115"/>
      <c r="C271" s="116" t="s">
        <v>560</v>
      </c>
      <c r="D271" s="117"/>
      <c r="E271" s="117"/>
      <c r="F271" s="118" t="s">
        <v>42</v>
      </c>
      <c r="G271" s="119">
        <v>0.25</v>
      </c>
      <c r="H271" s="119"/>
      <c r="I271" s="126">
        <v>10.175000000000001</v>
      </c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</row>
    <row r="272" spans="1:19" ht="72" x14ac:dyDescent="0.3">
      <c r="A272" s="114" t="s">
        <v>615</v>
      </c>
      <c r="B272" s="115"/>
      <c r="C272" s="116" t="s">
        <v>602</v>
      </c>
      <c r="D272" s="117"/>
      <c r="E272" s="117" t="s">
        <v>616</v>
      </c>
      <c r="F272" s="118" t="s">
        <v>23</v>
      </c>
      <c r="G272" s="119">
        <v>1.07</v>
      </c>
      <c r="H272" s="119"/>
      <c r="I272" s="126">
        <v>43.548999999999999</v>
      </c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</row>
    <row r="273" spans="1:19" ht="90" x14ac:dyDescent="0.3">
      <c r="A273" s="114" t="s">
        <v>617</v>
      </c>
      <c r="B273" s="115" t="s">
        <v>556</v>
      </c>
      <c r="C273" s="116" t="s">
        <v>557</v>
      </c>
      <c r="D273" s="117"/>
      <c r="E273" s="117" t="s">
        <v>618</v>
      </c>
      <c r="F273" s="118" t="s">
        <v>23</v>
      </c>
      <c r="G273" s="119">
        <v>1</v>
      </c>
      <c r="H273" s="128"/>
      <c r="I273" s="134">
        <v>1069.25</v>
      </c>
      <c r="J273" s="133"/>
      <c r="K273" s="127"/>
      <c r="L273" s="127"/>
      <c r="M273" s="127"/>
      <c r="N273" s="127"/>
      <c r="O273" s="127"/>
      <c r="P273" s="127"/>
      <c r="Q273" s="127"/>
      <c r="R273" s="127"/>
      <c r="S273" s="127"/>
    </row>
    <row r="274" spans="1:19" ht="54" x14ac:dyDescent="0.3">
      <c r="A274" s="114" t="s">
        <v>619</v>
      </c>
      <c r="B274" s="115"/>
      <c r="C274" s="116" t="s">
        <v>602</v>
      </c>
      <c r="D274" s="117"/>
      <c r="E274" s="117" t="s">
        <v>620</v>
      </c>
      <c r="F274" s="118" t="s">
        <v>23</v>
      </c>
      <c r="G274" s="119">
        <v>1.07</v>
      </c>
      <c r="H274" s="119"/>
      <c r="I274" s="126">
        <v>1144.098</v>
      </c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</row>
    <row r="275" spans="1:19" x14ac:dyDescent="0.3">
      <c r="A275" s="114" t="s">
        <v>621</v>
      </c>
      <c r="B275" s="115"/>
      <c r="C275" s="116" t="s">
        <v>560</v>
      </c>
      <c r="D275" s="117"/>
      <c r="E275" s="117"/>
      <c r="F275" s="118" t="s">
        <v>42</v>
      </c>
      <c r="G275" s="119">
        <v>0.25</v>
      </c>
      <c r="H275" s="119"/>
      <c r="I275" s="126">
        <v>267.31299999999999</v>
      </c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</row>
    <row r="276" spans="1:19" ht="36" x14ac:dyDescent="0.3">
      <c r="A276" s="114" t="s">
        <v>622</v>
      </c>
      <c r="B276" s="115"/>
      <c r="C276" s="116" t="s">
        <v>562</v>
      </c>
      <c r="D276" s="117"/>
      <c r="E276" s="117"/>
      <c r="F276" s="118" t="s">
        <v>42</v>
      </c>
      <c r="G276" s="119">
        <v>0.15</v>
      </c>
      <c r="H276" s="119"/>
      <c r="I276" s="126">
        <v>160.38800000000001</v>
      </c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</row>
    <row r="277" spans="1:19" ht="36" x14ac:dyDescent="0.3">
      <c r="A277" s="114" t="s">
        <v>623</v>
      </c>
      <c r="B277" s="115"/>
      <c r="C277" s="116" t="s">
        <v>564</v>
      </c>
      <c r="D277" s="117"/>
      <c r="E277" s="117"/>
      <c r="F277" s="118" t="s">
        <v>42</v>
      </c>
      <c r="G277" s="119">
        <v>1.2</v>
      </c>
      <c r="H277" s="119"/>
      <c r="I277" s="126">
        <v>6415.5</v>
      </c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</row>
    <row r="278" spans="1:19" ht="90" x14ac:dyDescent="0.3">
      <c r="A278" s="114" t="s">
        <v>624</v>
      </c>
      <c r="B278" s="115" t="s">
        <v>625</v>
      </c>
      <c r="C278" s="116" t="s">
        <v>626</v>
      </c>
      <c r="D278" s="117"/>
      <c r="E278" s="117" t="s">
        <v>627</v>
      </c>
      <c r="F278" s="118" t="s">
        <v>23</v>
      </c>
      <c r="G278" s="119">
        <v>1</v>
      </c>
      <c r="H278" s="128"/>
      <c r="I278" s="134">
        <v>7.45</v>
      </c>
      <c r="J278" s="133"/>
      <c r="K278" s="127"/>
      <c r="L278" s="127"/>
      <c r="M278" s="127"/>
      <c r="N278" s="127"/>
      <c r="O278" s="127"/>
      <c r="P278" s="127"/>
      <c r="Q278" s="127"/>
      <c r="R278" s="127"/>
      <c r="S278" s="127"/>
    </row>
    <row r="279" spans="1:19" ht="54" x14ac:dyDescent="0.3">
      <c r="A279" s="114" t="s">
        <v>628</v>
      </c>
      <c r="B279" s="115"/>
      <c r="C279" s="116" t="s">
        <v>629</v>
      </c>
      <c r="D279" s="117"/>
      <c r="E279" s="117" t="s">
        <v>630</v>
      </c>
      <c r="F279" s="118" t="s">
        <v>23</v>
      </c>
      <c r="G279" s="119">
        <v>1.1000000000000001</v>
      </c>
      <c r="H279" s="119"/>
      <c r="I279" s="126">
        <v>8.1950000000000003</v>
      </c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</row>
    <row r="280" spans="1:19" ht="36" x14ac:dyDescent="0.3">
      <c r="A280" s="114" t="s">
        <v>631</v>
      </c>
      <c r="B280" s="115"/>
      <c r="C280" s="116" t="s">
        <v>564</v>
      </c>
      <c r="D280" s="117"/>
      <c r="E280" s="117"/>
      <c r="F280" s="118" t="s">
        <v>42</v>
      </c>
      <c r="G280" s="119">
        <v>1.2</v>
      </c>
      <c r="H280" s="119"/>
      <c r="I280" s="126">
        <v>44.7</v>
      </c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</row>
    <row r="281" spans="1:19" x14ac:dyDescent="0.3">
      <c r="A281" s="114" t="s">
        <v>632</v>
      </c>
      <c r="B281" s="115"/>
      <c r="C281" s="116" t="s">
        <v>560</v>
      </c>
      <c r="D281" s="117"/>
      <c r="E281" s="117"/>
      <c r="F281" s="118" t="s">
        <v>42</v>
      </c>
      <c r="G281" s="119">
        <v>0.25</v>
      </c>
      <c r="H281" s="119"/>
      <c r="I281" s="126">
        <v>1.863</v>
      </c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</row>
    <row r="282" spans="1:19" ht="36" x14ac:dyDescent="0.3">
      <c r="A282" s="120" t="s">
        <v>633</v>
      </c>
      <c r="B282" s="121"/>
      <c r="C282" s="122" t="s">
        <v>562</v>
      </c>
      <c r="D282" s="123"/>
      <c r="E282" s="123"/>
      <c r="F282" s="124" t="s">
        <v>42</v>
      </c>
      <c r="G282" s="125">
        <v>0.15</v>
      </c>
      <c r="H282" s="125"/>
      <c r="I282" s="126">
        <v>1.1180000000000001</v>
      </c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</row>
  </sheetData>
  <mergeCells count="3">
    <mergeCell ref="A2:H2"/>
    <mergeCell ref="A3:H3"/>
    <mergeCell ref="A4:H4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55" zoomScaleNormal="55" workbookViewId="0">
      <selection activeCell="E3" sqref="A1:E3"/>
    </sheetView>
  </sheetViews>
  <sheetFormatPr defaultRowHeight="14.4" x14ac:dyDescent="0.3"/>
  <cols>
    <col min="1" max="1" width="8.33203125" style="294" customWidth="1"/>
    <col min="2" max="2" width="40.33203125" customWidth="1"/>
    <col min="3" max="3" width="44.109375" customWidth="1"/>
    <col min="4" max="4" width="11.5546875" customWidth="1"/>
    <col min="5" max="5" width="9.6640625" customWidth="1"/>
  </cols>
  <sheetData>
    <row r="1" spans="1:5" ht="15.6" x14ac:dyDescent="0.3">
      <c r="A1" s="353" t="s">
        <v>736</v>
      </c>
      <c r="B1" s="355" t="s">
        <v>737</v>
      </c>
      <c r="C1" s="356" t="s">
        <v>228</v>
      </c>
      <c r="D1" s="353" t="s">
        <v>14</v>
      </c>
      <c r="E1" s="357" t="s">
        <v>738</v>
      </c>
    </row>
    <row r="2" spans="1:5" ht="109.2" x14ac:dyDescent="0.3">
      <c r="A2" s="354">
        <v>1</v>
      </c>
      <c r="B2" s="358" t="s">
        <v>313</v>
      </c>
      <c r="C2" s="359" t="s">
        <v>314</v>
      </c>
      <c r="D2" s="354" t="s">
        <v>128</v>
      </c>
      <c r="E2" s="360">
        <f>SUM(E3:E9)/7.61406957765593</f>
        <v>439.09501560258519</v>
      </c>
    </row>
    <row r="3" spans="1:5" ht="79.8" customHeight="1" x14ac:dyDescent="0.3">
      <c r="A3" s="353">
        <v>2</v>
      </c>
      <c r="B3" s="361" t="s">
        <v>406</v>
      </c>
      <c r="C3" s="356" t="s">
        <v>804</v>
      </c>
      <c r="D3" s="353" t="s">
        <v>23</v>
      </c>
      <c r="E3" s="362">
        <v>166.4</v>
      </c>
    </row>
    <row r="4" spans="1:5" ht="72" customHeight="1" x14ac:dyDescent="0.3">
      <c r="A4" s="354">
        <v>3</v>
      </c>
      <c r="B4" s="358" t="s">
        <v>406</v>
      </c>
      <c r="C4" s="359" t="s">
        <v>803</v>
      </c>
      <c r="D4" s="354" t="s">
        <v>23</v>
      </c>
      <c r="E4" s="360">
        <v>1095.3999999999996</v>
      </c>
    </row>
    <row r="5" spans="1:5" ht="65.400000000000006" customHeight="1" x14ac:dyDescent="0.3">
      <c r="A5" s="353">
        <v>4</v>
      </c>
      <c r="B5" s="361" t="s">
        <v>453</v>
      </c>
      <c r="C5" s="356" t="s">
        <v>802</v>
      </c>
      <c r="D5" s="353" t="s">
        <v>23</v>
      </c>
      <c r="E5" s="362">
        <v>1579</v>
      </c>
    </row>
    <row r="6" spans="1:5" ht="62.4" customHeight="1" x14ac:dyDescent="0.3">
      <c r="A6" s="354">
        <v>5</v>
      </c>
      <c r="B6" s="358" t="s">
        <v>453</v>
      </c>
      <c r="C6" s="359" t="s">
        <v>801</v>
      </c>
      <c r="D6" s="354" t="s">
        <v>23</v>
      </c>
      <c r="E6" s="360">
        <v>348.5</v>
      </c>
    </row>
    <row r="7" spans="1:5" ht="63.6" customHeight="1" x14ac:dyDescent="0.3">
      <c r="A7" s="353">
        <v>6</v>
      </c>
      <c r="B7" s="361" t="s">
        <v>445</v>
      </c>
      <c r="C7" s="356" t="s">
        <v>800</v>
      </c>
      <c r="D7" s="353" t="s">
        <v>23</v>
      </c>
      <c r="E7" s="362">
        <v>26.3</v>
      </c>
    </row>
    <row r="8" spans="1:5" ht="62.4" x14ac:dyDescent="0.3">
      <c r="A8" s="354">
        <v>7</v>
      </c>
      <c r="B8" s="358" t="s">
        <v>396</v>
      </c>
      <c r="C8" s="359" t="s">
        <v>799</v>
      </c>
      <c r="D8" s="354" t="s">
        <v>23</v>
      </c>
      <c r="E8" s="360">
        <v>107.19999999999999</v>
      </c>
    </row>
    <row r="9" spans="1:5" ht="78" x14ac:dyDescent="0.3">
      <c r="A9" s="353">
        <v>8</v>
      </c>
      <c r="B9" s="361" t="s">
        <v>323</v>
      </c>
      <c r="C9" s="356" t="s">
        <v>324</v>
      </c>
      <c r="D9" s="353" t="s">
        <v>23</v>
      </c>
      <c r="E9" s="362">
        <v>20.5</v>
      </c>
    </row>
    <row r="10" spans="1:5" ht="15.6" x14ac:dyDescent="0.3">
      <c r="A10" s="363"/>
      <c r="B10" s="364"/>
      <c r="C10" s="364"/>
      <c r="D10" s="365" t="s">
        <v>735</v>
      </c>
      <c r="E10" s="366">
        <f>SUM(E3:E9)</f>
        <v>3343.2999999999997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H329"/>
  <sheetViews>
    <sheetView topLeftCell="A299" workbookViewId="0">
      <selection activeCell="E316" sqref="E316"/>
    </sheetView>
  </sheetViews>
  <sheetFormatPr defaultRowHeight="13.2" x14ac:dyDescent="0.25"/>
  <cols>
    <col min="1" max="1" width="6" style="195" customWidth="1"/>
    <col min="2" max="2" width="6.5546875" style="195" customWidth="1"/>
    <col min="3" max="3" width="11.33203125" style="195" customWidth="1"/>
    <col min="4" max="4" width="8.5546875" style="316" customWidth="1"/>
    <col min="5" max="5" width="10.77734375" style="195" customWidth="1"/>
    <col min="6" max="6" width="47.5546875" style="196" customWidth="1"/>
    <col min="7" max="16384" width="8.88671875" style="196"/>
  </cols>
  <sheetData>
    <row r="1" spans="1:6" ht="26.4" x14ac:dyDescent="0.25">
      <c r="A1" s="297" t="s">
        <v>252</v>
      </c>
      <c r="B1" s="298" t="s">
        <v>251</v>
      </c>
      <c r="C1" s="176" t="s">
        <v>794</v>
      </c>
      <c r="D1" s="315" t="s">
        <v>634</v>
      </c>
      <c r="E1" s="176" t="s">
        <v>635</v>
      </c>
      <c r="F1" s="153" t="s">
        <v>636</v>
      </c>
    </row>
    <row r="2" spans="1:6" ht="15.6" hidden="1" x14ac:dyDescent="0.25">
      <c r="A2" s="299">
        <v>1</v>
      </c>
      <c r="B2" s="300">
        <v>2</v>
      </c>
      <c r="C2" s="308">
        <v>1025</v>
      </c>
      <c r="D2" s="301" t="s">
        <v>638</v>
      </c>
      <c r="E2" s="309">
        <v>269.8</v>
      </c>
      <c r="F2" s="295" t="s">
        <v>789</v>
      </c>
    </row>
    <row r="3" spans="1:6" ht="15.6" hidden="1" x14ac:dyDescent="0.25">
      <c r="A3" s="299">
        <v>1</v>
      </c>
      <c r="B3" s="300">
        <v>2</v>
      </c>
      <c r="C3" s="308">
        <v>1025</v>
      </c>
      <c r="D3" s="301" t="s">
        <v>639</v>
      </c>
      <c r="E3" s="309">
        <v>16.399999999999999</v>
      </c>
      <c r="F3" s="295" t="s">
        <v>790</v>
      </c>
    </row>
    <row r="4" spans="1:6" ht="15.6" hidden="1" x14ac:dyDescent="0.25">
      <c r="A4" s="299">
        <v>1</v>
      </c>
      <c r="B4" s="300">
        <v>2</v>
      </c>
      <c r="C4" s="308">
        <v>1025</v>
      </c>
      <c r="D4" s="301" t="s">
        <v>640</v>
      </c>
      <c r="E4" s="309">
        <v>79.5</v>
      </c>
      <c r="F4" s="295" t="s">
        <v>791</v>
      </c>
    </row>
    <row r="5" spans="1:6" ht="15.6" hidden="1" x14ac:dyDescent="0.25">
      <c r="A5" s="299">
        <v>1</v>
      </c>
      <c r="B5" s="300">
        <v>2</v>
      </c>
      <c r="C5" s="308">
        <v>1036</v>
      </c>
      <c r="D5" s="301" t="s">
        <v>637</v>
      </c>
      <c r="E5" s="309">
        <v>39.799999999999997</v>
      </c>
      <c r="F5" s="295" t="s">
        <v>788</v>
      </c>
    </row>
    <row r="6" spans="1:6" ht="15.6" hidden="1" x14ac:dyDescent="0.25">
      <c r="A6" s="299">
        <v>1</v>
      </c>
      <c r="B6" s="300">
        <v>2</v>
      </c>
      <c r="C6" s="308">
        <v>1036</v>
      </c>
      <c r="D6" s="301" t="s">
        <v>638</v>
      </c>
      <c r="E6" s="309">
        <v>24.4</v>
      </c>
      <c r="F6" s="295" t="s">
        <v>789</v>
      </c>
    </row>
    <row r="7" spans="1:6" ht="15.6" hidden="1" x14ac:dyDescent="0.25">
      <c r="A7" s="299">
        <v>1</v>
      </c>
      <c r="B7" s="300">
        <v>2</v>
      </c>
      <c r="C7" s="308">
        <v>1036</v>
      </c>
      <c r="D7" s="301" t="s">
        <v>639</v>
      </c>
      <c r="E7" s="309">
        <v>9.5</v>
      </c>
      <c r="F7" s="295" t="s">
        <v>790</v>
      </c>
    </row>
    <row r="8" spans="1:6" ht="15.6" hidden="1" x14ac:dyDescent="0.25">
      <c r="A8" s="299">
        <v>1</v>
      </c>
      <c r="B8" s="300">
        <v>2</v>
      </c>
      <c r="C8" s="308">
        <v>1036</v>
      </c>
      <c r="D8" s="301" t="s">
        <v>640</v>
      </c>
      <c r="E8" s="309">
        <v>0.8</v>
      </c>
      <c r="F8" s="295" t="s">
        <v>791</v>
      </c>
    </row>
    <row r="9" spans="1:6" ht="15.6" hidden="1" x14ac:dyDescent="0.25">
      <c r="A9" s="299">
        <v>1</v>
      </c>
      <c r="B9" s="300">
        <v>2</v>
      </c>
      <c r="C9" s="308">
        <v>1038</v>
      </c>
      <c r="D9" s="301" t="s">
        <v>637</v>
      </c>
      <c r="E9" s="309">
        <v>47.1</v>
      </c>
      <c r="F9" s="295" t="s">
        <v>788</v>
      </c>
    </row>
    <row r="10" spans="1:6" ht="15.6" hidden="1" x14ac:dyDescent="0.25">
      <c r="A10" s="299">
        <v>1</v>
      </c>
      <c r="B10" s="300">
        <v>2</v>
      </c>
      <c r="C10" s="308">
        <v>1038</v>
      </c>
      <c r="D10" s="301" t="s">
        <v>638</v>
      </c>
      <c r="E10" s="309">
        <v>81.8</v>
      </c>
      <c r="F10" s="295" t="s">
        <v>789</v>
      </c>
    </row>
    <row r="11" spans="1:6" s="136" customFormat="1" ht="15.6" hidden="1" x14ac:dyDescent="0.3">
      <c r="A11" s="299">
        <v>1</v>
      </c>
      <c r="B11" s="300">
        <v>2</v>
      </c>
      <c r="C11" s="308">
        <v>1038</v>
      </c>
      <c r="D11" s="301" t="s">
        <v>639</v>
      </c>
      <c r="E11" s="309">
        <v>1.9</v>
      </c>
      <c r="F11" s="295" t="s">
        <v>790</v>
      </c>
    </row>
    <row r="12" spans="1:6" s="136" customFormat="1" ht="15.6" hidden="1" x14ac:dyDescent="0.3">
      <c r="A12" s="299">
        <v>1</v>
      </c>
      <c r="B12" s="300">
        <v>2</v>
      </c>
      <c r="C12" s="308">
        <v>1038</v>
      </c>
      <c r="D12" s="301" t="s">
        <v>640</v>
      </c>
      <c r="E12" s="309">
        <v>11.8</v>
      </c>
      <c r="F12" s="295" t="s">
        <v>791</v>
      </c>
    </row>
    <row r="13" spans="1:6" ht="15.6" hidden="1" x14ac:dyDescent="0.25">
      <c r="A13" s="302">
        <v>1</v>
      </c>
      <c r="B13" s="303">
        <v>2</v>
      </c>
      <c r="C13" s="310">
        <v>1043</v>
      </c>
      <c r="D13" s="304" t="s">
        <v>645</v>
      </c>
      <c r="E13" s="311">
        <v>83</v>
      </c>
      <c r="F13" s="142" t="s">
        <v>675</v>
      </c>
    </row>
    <row r="14" spans="1:6" ht="15.6" hidden="1" x14ac:dyDescent="0.25">
      <c r="A14" s="302">
        <v>1</v>
      </c>
      <c r="B14" s="303">
        <v>2</v>
      </c>
      <c r="C14" s="310">
        <v>1043</v>
      </c>
      <c r="D14" s="304" t="s">
        <v>647</v>
      </c>
      <c r="E14" s="311">
        <v>1.5</v>
      </c>
      <c r="F14" s="142" t="s">
        <v>681</v>
      </c>
    </row>
    <row r="15" spans="1:6" ht="15.6" hidden="1" x14ac:dyDescent="0.25">
      <c r="A15" s="302">
        <v>1</v>
      </c>
      <c r="B15" s="303">
        <v>2</v>
      </c>
      <c r="C15" s="310">
        <v>1043</v>
      </c>
      <c r="D15" s="304" t="s">
        <v>648</v>
      </c>
      <c r="E15" s="311">
        <v>18.2</v>
      </c>
      <c r="F15" s="142" t="s">
        <v>678</v>
      </c>
    </row>
    <row r="16" spans="1:6" ht="15.6" hidden="1" x14ac:dyDescent="0.25">
      <c r="A16" s="302">
        <v>1</v>
      </c>
      <c r="B16" s="303">
        <v>2</v>
      </c>
      <c r="C16" s="310">
        <v>1044</v>
      </c>
      <c r="D16" s="304" t="s">
        <v>645</v>
      </c>
      <c r="E16" s="311">
        <v>51.1</v>
      </c>
      <c r="F16" s="142" t="s">
        <v>675</v>
      </c>
    </row>
    <row r="17" spans="1:6" ht="15.6" hidden="1" x14ac:dyDescent="0.25">
      <c r="A17" s="302">
        <v>1</v>
      </c>
      <c r="B17" s="303">
        <v>2</v>
      </c>
      <c r="C17" s="310">
        <v>1044</v>
      </c>
      <c r="D17" s="304" t="s">
        <v>652</v>
      </c>
      <c r="E17" s="311">
        <v>8.4</v>
      </c>
      <c r="F17" s="142" t="s">
        <v>676</v>
      </c>
    </row>
    <row r="18" spans="1:6" ht="15.6" hidden="1" x14ac:dyDescent="0.25">
      <c r="A18" s="302">
        <v>1</v>
      </c>
      <c r="B18" s="303">
        <v>2</v>
      </c>
      <c r="C18" s="310">
        <v>1045</v>
      </c>
      <c r="D18" s="304" t="s">
        <v>645</v>
      </c>
      <c r="E18" s="311">
        <v>53</v>
      </c>
      <c r="F18" s="142" t="s">
        <v>675</v>
      </c>
    </row>
    <row r="19" spans="1:6" ht="15.6" hidden="1" x14ac:dyDescent="0.25">
      <c r="A19" s="302">
        <v>1</v>
      </c>
      <c r="B19" s="303">
        <v>2</v>
      </c>
      <c r="C19" s="310">
        <v>1045</v>
      </c>
      <c r="D19" s="304" t="s">
        <v>652</v>
      </c>
      <c r="E19" s="311">
        <v>8.1999999999999993</v>
      </c>
      <c r="F19" s="142" t="s">
        <v>676</v>
      </c>
    </row>
    <row r="20" spans="1:6" ht="15.6" hidden="1" x14ac:dyDescent="0.25">
      <c r="A20" s="302">
        <v>1</v>
      </c>
      <c r="B20" s="303">
        <v>2</v>
      </c>
      <c r="C20" s="310">
        <v>1045</v>
      </c>
      <c r="D20" s="304" t="s">
        <v>648</v>
      </c>
      <c r="E20" s="311">
        <v>5.9</v>
      </c>
      <c r="F20" s="142" t="s">
        <v>678</v>
      </c>
    </row>
    <row r="21" spans="1:6" ht="15.6" hidden="1" x14ac:dyDescent="0.25">
      <c r="A21" s="302">
        <v>1</v>
      </c>
      <c r="B21" s="303">
        <v>2</v>
      </c>
      <c r="C21" s="310">
        <v>1046</v>
      </c>
      <c r="D21" s="304" t="s">
        <v>645</v>
      </c>
      <c r="E21" s="311">
        <v>42.3</v>
      </c>
      <c r="F21" s="142" t="s">
        <v>675</v>
      </c>
    </row>
    <row r="22" spans="1:6" ht="15.6" hidden="1" x14ac:dyDescent="0.25">
      <c r="A22" s="302">
        <v>1</v>
      </c>
      <c r="B22" s="303">
        <v>2</v>
      </c>
      <c r="C22" s="310">
        <v>1046</v>
      </c>
      <c r="D22" s="304" t="s">
        <v>652</v>
      </c>
      <c r="E22" s="311">
        <v>2.7</v>
      </c>
      <c r="F22" s="142" t="s">
        <v>676</v>
      </c>
    </row>
    <row r="23" spans="1:6" ht="15.6" hidden="1" x14ac:dyDescent="0.25">
      <c r="A23" s="302">
        <v>1</v>
      </c>
      <c r="B23" s="303">
        <v>2</v>
      </c>
      <c r="C23" s="310">
        <v>1046</v>
      </c>
      <c r="D23" s="304" t="s">
        <v>647</v>
      </c>
      <c r="E23" s="311">
        <v>2.9</v>
      </c>
      <c r="F23" s="142" t="s">
        <v>681</v>
      </c>
    </row>
    <row r="24" spans="1:6" ht="15.6" hidden="1" x14ac:dyDescent="0.25">
      <c r="A24" s="302">
        <v>1</v>
      </c>
      <c r="B24" s="303">
        <v>2</v>
      </c>
      <c r="C24" s="310">
        <v>1046</v>
      </c>
      <c r="D24" s="304" t="s">
        <v>648</v>
      </c>
      <c r="E24" s="311">
        <v>2.6</v>
      </c>
      <c r="F24" s="142" t="s">
        <v>678</v>
      </c>
    </row>
    <row r="25" spans="1:6" ht="15.6" hidden="1" x14ac:dyDescent="0.25">
      <c r="A25" s="302">
        <v>1</v>
      </c>
      <c r="B25" s="303">
        <v>2</v>
      </c>
      <c r="C25" s="310">
        <v>1047</v>
      </c>
      <c r="D25" s="304" t="s">
        <v>645</v>
      </c>
      <c r="E25" s="311">
        <v>42.8</v>
      </c>
      <c r="F25" s="142" t="s">
        <v>675</v>
      </c>
    </row>
    <row r="26" spans="1:6" ht="15.6" hidden="1" x14ac:dyDescent="0.25">
      <c r="A26" s="302">
        <v>1</v>
      </c>
      <c r="B26" s="303">
        <v>2</v>
      </c>
      <c r="C26" s="310">
        <v>1047</v>
      </c>
      <c r="D26" s="304" t="s">
        <v>652</v>
      </c>
      <c r="E26" s="311">
        <v>4.2</v>
      </c>
      <c r="F26" s="142" t="s">
        <v>676</v>
      </c>
    </row>
    <row r="27" spans="1:6" ht="15.6" hidden="1" x14ac:dyDescent="0.25">
      <c r="A27" s="302">
        <v>1</v>
      </c>
      <c r="B27" s="303">
        <v>2</v>
      </c>
      <c r="C27" s="310">
        <v>1047</v>
      </c>
      <c r="D27" s="304" t="s">
        <v>647</v>
      </c>
      <c r="E27" s="311">
        <v>4.0999999999999996</v>
      </c>
      <c r="F27" s="142" t="s">
        <v>681</v>
      </c>
    </row>
    <row r="28" spans="1:6" ht="15.6" x14ac:dyDescent="0.25">
      <c r="A28" s="302">
        <v>1</v>
      </c>
      <c r="B28" s="303">
        <v>3</v>
      </c>
      <c r="C28" s="310">
        <v>1048</v>
      </c>
      <c r="D28" s="304" t="s">
        <v>645</v>
      </c>
      <c r="E28" s="311">
        <v>68.099999999999994</v>
      </c>
      <c r="F28" s="142" t="s">
        <v>675</v>
      </c>
    </row>
    <row r="29" spans="1:6" ht="15.6" x14ac:dyDescent="0.25">
      <c r="A29" s="302">
        <v>1</v>
      </c>
      <c r="B29" s="303">
        <v>3</v>
      </c>
      <c r="C29" s="310">
        <v>1048</v>
      </c>
      <c r="D29" s="304" t="s">
        <v>652</v>
      </c>
      <c r="E29" s="311">
        <v>22.4</v>
      </c>
      <c r="F29" s="142" t="s">
        <v>676</v>
      </c>
    </row>
    <row r="30" spans="1:6" ht="15.6" hidden="1" x14ac:dyDescent="0.25">
      <c r="A30" s="302">
        <v>1</v>
      </c>
      <c r="B30" s="303">
        <v>2</v>
      </c>
      <c r="C30" s="310">
        <v>1050</v>
      </c>
      <c r="D30" s="304" t="s">
        <v>645</v>
      </c>
      <c r="E30" s="311">
        <v>94.9</v>
      </c>
      <c r="F30" s="142" t="s">
        <v>675</v>
      </c>
    </row>
    <row r="31" spans="1:6" ht="15.6" hidden="1" x14ac:dyDescent="0.25">
      <c r="A31" s="302">
        <v>1</v>
      </c>
      <c r="B31" s="303">
        <v>2</v>
      </c>
      <c r="C31" s="310">
        <v>1050</v>
      </c>
      <c r="D31" s="304" t="s">
        <v>652</v>
      </c>
      <c r="E31" s="311">
        <v>41.6</v>
      </c>
      <c r="F31" s="142" t="s">
        <v>676</v>
      </c>
    </row>
    <row r="32" spans="1:6" ht="15.6" hidden="1" x14ac:dyDescent="0.25">
      <c r="A32" s="302">
        <v>1</v>
      </c>
      <c r="B32" s="303">
        <v>2</v>
      </c>
      <c r="C32" s="310">
        <v>1050</v>
      </c>
      <c r="D32" s="304" t="s">
        <v>648</v>
      </c>
      <c r="E32" s="311">
        <v>3.9</v>
      </c>
      <c r="F32" s="142" t="s">
        <v>678</v>
      </c>
    </row>
    <row r="33" spans="1:6" ht="15.6" hidden="1" x14ac:dyDescent="0.25">
      <c r="A33" s="302">
        <v>1</v>
      </c>
      <c r="B33" s="303">
        <v>2</v>
      </c>
      <c r="C33" s="310">
        <v>1051</v>
      </c>
      <c r="D33" s="304" t="s">
        <v>645</v>
      </c>
      <c r="E33" s="311">
        <v>62.2</v>
      </c>
      <c r="F33" s="142" t="s">
        <v>675</v>
      </c>
    </row>
    <row r="34" spans="1:6" ht="15.6" hidden="1" x14ac:dyDescent="0.25">
      <c r="A34" s="302">
        <v>1</v>
      </c>
      <c r="B34" s="303">
        <v>2</v>
      </c>
      <c r="C34" s="310">
        <v>1051</v>
      </c>
      <c r="D34" s="304" t="s">
        <v>652</v>
      </c>
      <c r="E34" s="311">
        <v>20</v>
      </c>
      <c r="F34" s="142" t="s">
        <v>676</v>
      </c>
    </row>
    <row r="35" spans="1:6" ht="15.6" hidden="1" x14ac:dyDescent="0.25">
      <c r="A35" s="302">
        <v>1</v>
      </c>
      <c r="B35" s="303">
        <v>2</v>
      </c>
      <c r="C35" s="310">
        <v>1051</v>
      </c>
      <c r="D35" s="304" t="s">
        <v>648</v>
      </c>
      <c r="E35" s="311">
        <v>3.8</v>
      </c>
      <c r="F35" s="142" t="s">
        <v>678</v>
      </c>
    </row>
    <row r="36" spans="1:6" ht="15.6" x14ac:dyDescent="0.25">
      <c r="A36" s="302">
        <v>1</v>
      </c>
      <c r="B36" s="303">
        <v>3</v>
      </c>
      <c r="C36" s="310">
        <v>1052</v>
      </c>
      <c r="D36" s="304" t="s">
        <v>645</v>
      </c>
      <c r="E36" s="311">
        <v>41.2</v>
      </c>
      <c r="F36" s="142" t="s">
        <v>675</v>
      </c>
    </row>
    <row r="37" spans="1:6" ht="15.6" x14ac:dyDescent="0.25">
      <c r="A37" s="302">
        <v>1</v>
      </c>
      <c r="B37" s="303">
        <v>3</v>
      </c>
      <c r="C37" s="310">
        <v>1052</v>
      </c>
      <c r="D37" s="304" t="s">
        <v>652</v>
      </c>
      <c r="E37" s="311">
        <v>2.1</v>
      </c>
      <c r="F37" s="142" t="s">
        <v>676</v>
      </c>
    </row>
    <row r="38" spans="1:6" ht="15.6" x14ac:dyDescent="0.25">
      <c r="A38" s="302">
        <v>1</v>
      </c>
      <c r="B38" s="303">
        <v>3</v>
      </c>
      <c r="C38" s="310">
        <v>1052</v>
      </c>
      <c r="D38" s="304" t="s">
        <v>647</v>
      </c>
      <c r="E38" s="311">
        <v>3.2</v>
      </c>
      <c r="F38" s="142" t="s">
        <v>681</v>
      </c>
    </row>
    <row r="39" spans="1:6" ht="14.4" customHeight="1" x14ac:dyDescent="0.25">
      <c r="A39" s="302">
        <v>1</v>
      </c>
      <c r="B39" s="303">
        <v>3</v>
      </c>
      <c r="C39" s="310">
        <v>1052</v>
      </c>
      <c r="D39" s="304" t="s">
        <v>648</v>
      </c>
      <c r="E39" s="311">
        <v>2.9</v>
      </c>
      <c r="F39" s="142" t="s">
        <v>678</v>
      </c>
    </row>
    <row r="40" spans="1:6" ht="15.6" hidden="1" x14ac:dyDescent="0.25">
      <c r="A40" s="302">
        <v>1</v>
      </c>
      <c r="B40" s="303">
        <v>2</v>
      </c>
      <c r="C40" s="310">
        <v>1053</v>
      </c>
      <c r="D40" s="304" t="s">
        <v>645</v>
      </c>
      <c r="E40" s="311">
        <v>39.299999999999997</v>
      </c>
      <c r="F40" s="142" t="s">
        <v>675</v>
      </c>
    </row>
    <row r="41" spans="1:6" ht="15.6" hidden="1" x14ac:dyDescent="0.25">
      <c r="A41" s="302">
        <v>1</v>
      </c>
      <c r="B41" s="303">
        <v>2</v>
      </c>
      <c r="C41" s="310">
        <v>1053</v>
      </c>
      <c r="D41" s="304" t="s">
        <v>652</v>
      </c>
      <c r="E41" s="311">
        <v>1.6</v>
      </c>
      <c r="F41" s="142" t="s">
        <v>676</v>
      </c>
    </row>
    <row r="42" spans="1:6" ht="15.6" hidden="1" x14ac:dyDescent="0.25">
      <c r="A42" s="302">
        <v>1</v>
      </c>
      <c r="B42" s="303">
        <v>2</v>
      </c>
      <c r="C42" s="310">
        <v>1053</v>
      </c>
      <c r="D42" s="304" t="s">
        <v>647</v>
      </c>
      <c r="E42" s="311">
        <v>3.4</v>
      </c>
      <c r="F42" s="142" t="s">
        <v>681</v>
      </c>
    </row>
    <row r="43" spans="1:6" ht="15.6" hidden="1" x14ac:dyDescent="0.25">
      <c r="A43" s="302">
        <v>1</v>
      </c>
      <c r="B43" s="303">
        <v>2</v>
      </c>
      <c r="C43" s="310">
        <v>1053</v>
      </c>
      <c r="D43" s="304" t="s">
        <v>648</v>
      </c>
      <c r="E43" s="311">
        <v>1.2</v>
      </c>
      <c r="F43" s="142" t="s">
        <v>678</v>
      </c>
    </row>
    <row r="44" spans="1:6" ht="15.6" hidden="1" x14ac:dyDescent="0.25">
      <c r="A44" s="302">
        <v>1</v>
      </c>
      <c r="B44" s="303">
        <v>2</v>
      </c>
      <c r="C44" s="310">
        <v>1054</v>
      </c>
      <c r="D44" s="304" t="s">
        <v>645</v>
      </c>
      <c r="E44" s="311">
        <v>95.7</v>
      </c>
      <c r="F44" s="142" t="s">
        <v>675</v>
      </c>
    </row>
    <row r="45" spans="1:6" ht="15.6" hidden="1" x14ac:dyDescent="0.25">
      <c r="A45" s="302">
        <v>1</v>
      </c>
      <c r="B45" s="303">
        <v>2</v>
      </c>
      <c r="C45" s="310">
        <v>1055</v>
      </c>
      <c r="D45" s="304" t="s">
        <v>645</v>
      </c>
      <c r="E45" s="311">
        <v>4.9000000000000004</v>
      </c>
      <c r="F45" s="142" t="s">
        <v>675</v>
      </c>
    </row>
    <row r="46" spans="1:6" ht="15.6" hidden="1" x14ac:dyDescent="0.25">
      <c r="A46" s="302">
        <v>1</v>
      </c>
      <c r="B46" s="303">
        <v>2</v>
      </c>
      <c r="C46" s="310">
        <v>1055</v>
      </c>
      <c r="D46" s="304" t="s">
        <v>652</v>
      </c>
      <c r="E46" s="311">
        <v>4.9000000000000004</v>
      </c>
      <c r="F46" s="142" t="s">
        <v>676</v>
      </c>
    </row>
    <row r="47" spans="1:6" ht="15.6" hidden="1" x14ac:dyDescent="0.25">
      <c r="A47" s="302">
        <v>1</v>
      </c>
      <c r="B47" s="303">
        <v>2</v>
      </c>
      <c r="C47" s="310">
        <v>1055</v>
      </c>
      <c r="D47" s="304" t="s">
        <v>655</v>
      </c>
      <c r="E47" s="311">
        <v>21.8</v>
      </c>
      <c r="F47" s="142" t="s">
        <v>679</v>
      </c>
    </row>
    <row r="48" spans="1:6" ht="15.6" hidden="1" x14ac:dyDescent="0.25">
      <c r="A48" s="302">
        <v>1</v>
      </c>
      <c r="B48" s="303">
        <v>2</v>
      </c>
      <c r="C48" s="310">
        <v>1056</v>
      </c>
      <c r="D48" s="304" t="s">
        <v>645</v>
      </c>
      <c r="E48" s="311">
        <v>30.6</v>
      </c>
      <c r="F48" s="142" t="s">
        <v>675</v>
      </c>
    </row>
    <row r="49" spans="1:6" ht="15.6" hidden="1" x14ac:dyDescent="0.25">
      <c r="A49" s="302">
        <v>1</v>
      </c>
      <c r="B49" s="303">
        <v>2</v>
      </c>
      <c r="C49" s="310">
        <v>1056</v>
      </c>
      <c r="D49" s="304" t="s">
        <v>648</v>
      </c>
      <c r="E49" s="311">
        <v>5.4</v>
      </c>
      <c r="F49" s="142" t="s">
        <v>678</v>
      </c>
    </row>
    <row r="50" spans="1:6" ht="15.6" hidden="1" x14ac:dyDescent="0.25">
      <c r="A50" s="302">
        <v>1</v>
      </c>
      <c r="B50" s="303">
        <v>2</v>
      </c>
      <c r="C50" s="310">
        <v>1056</v>
      </c>
      <c r="D50" s="304" t="s">
        <v>655</v>
      </c>
      <c r="E50" s="311">
        <v>12.1</v>
      </c>
      <c r="F50" s="142" t="s">
        <v>679</v>
      </c>
    </row>
    <row r="51" spans="1:6" ht="15.6" x14ac:dyDescent="0.25">
      <c r="A51" s="302">
        <v>1</v>
      </c>
      <c r="B51" s="303">
        <v>3</v>
      </c>
      <c r="C51" s="310">
        <v>1057</v>
      </c>
      <c r="D51" s="304" t="s">
        <v>645</v>
      </c>
      <c r="E51" s="311">
        <v>28.2</v>
      </c>
      <c r="F51" s="142" t="s">
        <v>675</v>
      </c>
    </row>
    <row r="52" spans="1:6" ht="15.6" x14ac:dyDescent="0.25">
      <c r="A52" s="302">
        <v>1</v>
      </c>
      <c r="B52" s="303">
        <v>3</v>
      </c>
      <c r="C52" s="310">
        <v>1057</v>
      </c>
      <c r="D52" s="304" t="s">
        <v>652</v>
      </c>
      <c r="E52" s="311">
        <v>14.6</v>
      </c>
      <c r="F52" s="142" t="s">
        <v>676</v>
      </c>
    </row>
    <row r="53" spans="1:6" ht="15.6" x14ac:dyDescent="0.25">
      <c r="A53" s="302">
        <v>1</v>
      </c>
      <c r="B53" s="303">
        <v>3</v>
      </c>
      <c r="C53" s="310">
        <v>1057</v>
      </c>
      <c r="D53" s="304" t="s">
        <v>655</v>
      </c>
      <c r="E53" s="311">
        <v>7.1</v>
      </c>
      <c r="F53" s="142" t="s">
        <v>679</v>
      </c>
    </row>
    <row r="54" spans="1:6" ht="15.6" x14ac:dyDescent="0.25">
      <c r="A54" s="302">
        <v>1</v>
      </c>
      <c r="B54" s="303">
        <v>3</v>
      </c>
      <c r="C54" s="310">
        <v>1058</v>
      </c>
      <c r="D54" s="304" t="s">
        <v>645</v>
      </c>
      <c r="E54" s="311">
        <v>37</v>
      </c>
      <c r="F54" s="142" t="s">
        <v>675</v>
      </c>
    </row>
    <row r="55" spans="1:6" ht="15.6" x14ac:dyDescent="0.25">
      <c r="A55" s="302">
        <v>1</v>
      </c>
      <c r="B55" s="303">
        <v>3</v>
      </c>
      <c r="C55" s="310">
        <v>1058</v>
      </c>
      <c r="D55" s="304" t="s">
        <v>652</v>
      </c>
      <c r="E55" s="311">
        <v>2.4</v>
      </c>
      <c r="F55" s="142" t="s">
        <v>676</v>
      </c>
    </row>
    <row r="56" spans="1:6" ht="15.6" x14ac:dyDescent="0.25">
      <c r="A56" s="302">
        <v>1</v>
      </c>
      <c r="B56" s="303">
        <v>3</v>
      </c>
      <c r="C56" s="310">
        <v>1058</v>
      </c>
      <c r="D56" s="304" t="s">
        <v>647</v>
      </c>
      <c r="E56" s="311">
        <v>2.7</v>
      </c>
      <c r="F56" s="142" t="s">
        <v>681</v>
      </c>
    </row>
    <row r="57" spans="1:6" ht="15.6" x14ac:dyDescent="0.25">
      <c r="A57" s="302">
        <v>1</v>
      </c>
      <c r="B57" s="303">
        <v>3</v>
      </c>
      <c r="C57" s="310">
        <v>1058</v>
      </c>
      <c r="D57" s="304" t="s">
        <v>648</v>
      </c>
      <c r="E57" s="311">
        <v>7.4</v>
      </c>
      <c r="F57" s="142" t="s">
        <v>678</v>
      </c>
    </row>
    <row r="58" spans="1:6" ht="15.6" x14ac:dyDescent="0.25">
      <c r="A58" s="302">
        <v>1</v>
      </c>
      <c r="B58" s="303">
        <v>3</v>
      </c>
      <c r="C58" s="310">
        <v>1059</v>
      </c>
      <c r="D58" s="304" t="s">
        <v>637</v>
      </c>
      <c r="E58" s="311">
        <v>35.5</v>
      </c>
      <c r="F58" s="142" t="s">
        <v>675</v>
      </c>
    </row>
    <row r="59" spans="1:6" ht="15.6" x14ac:dyDescent="0.25">
      <c r="A59" s="302">
        <v>1</v>
      </c>
      <c r="B59" s="303">
        <v>3</v>
      </c>
      <c r="C59" s="310">
        <v>1059</v>
      </c>
      <c r="D59" s="304" t="s">
        <v>638</v>
      </c>
      <c r="E59" s="311">
        <v>50.1</v>
      </c>
      <c r="F59" s="142" t="s">
        <v>676</v>
      </c>
    </row>
    <row r="60" spans="1:6" ht="15.6" x14ac:dyDescent="0.25">
      <c r="A60" s="302">
        <v>1</v>
      </c>
      <c r="B60" s="303">
        <v>3</v>
      </c>
      <c r="C60" s="310">
        <v>1059</v>
      </c>
      <c r="D60" s="304" t="s">
        <v>640</v>
      </c>
      <c r="E60" s="311">
        <v>3</v>
      </c>
      <c r="F60" s="142" t="s">
        <v>678</v>
      </c>
    </row>
    <row r="61" spans="1:6" ht="15.6" x14ac:dyDescent="0.25">
      <c r="A61" s="302">
        <v>1</v>
      </c>
      <c r="B61" s="303">
        <v>3</v>
      </c>
      <c r="C61" s="310">
        <v>1060</v>
      </c>
      <c r="D61" s="304" t="s">
        <v>637</v>
      </c>
      <c r="E61" s="311">
        <v>27.1</v>
      </c>
      <c r="F61" s="142" t="s">
        <v>675</v>
      </c>
    </row>
    <row r="62" spans="1:6" ht="15.6" x14ac:dyDescent="0.25">
      <c r="A62" s="302">
        <v>1</v>
      </c>
      <c r="B62" s="303">
        <v>3</v>
      </c>
      <c r="C62" s="310">
        <v>1060</v>
      </c>
      <c r="D62" s="304" t="s">
        <v>638</v>
      </c>
      <c r="E62" s="311">
        <v>12.2</v>
      </c>
      <c r="F62" s="142" t="s">
        <v>676</v>
      </c>
    </row>
    <row r="63" spans="1:6" ht="15.6" x14ac:dyDescent="0.25">
      <c r="A63" s="302">
        <v>1</v>
      </c>
      <c r="B63" s="303">
        <v>3</v>
      </c>
      <c r="C63" s="310">
        <v>1061</v>
      </c>
      <c r="D63" s="304" t="s">
        <v>637</v>
      </c>
      <c r="E63" s="311">
        <v>63</v>
      </c>
      <c r="F63" s="142" t="s">
        <v>675</v>
      </c>
    </row>
    <row r="64" spans="1:6" ht="15.6" x14ac:dyDescent="0.25">
      <c r="A64" s="302">
        <v>1</v>
      </c>
      <c r="B64" s="303">
        <v>3</v>
      </c>
      <c r="C64" s="310">
        <v>1061</v>
      </c>
      <c r="D64" s="304" t="s">
        <v>638</v>
      </c>
      <c r="E64" s="311">
        <v>9.3000000000000007</v>
      </c>
      <c r="F64" s="142" t="s">
        <v>676</v>
      </c>
    </row>
    <row r="65" spans="1:6" ht="15.6" x14ac:dyDescent="0.25">
      <c r="A65" s="302">
        <v>1</v>
      </c>
      <c r="B65" s="303">
        <v>3</v>
      </c>
      <c r="C65" s="310">
        <v>1061</v>
      </c>
      <c r="D65" s="304" t="s">
        <v>640</v>
      </c>
      <c r="E65" s="311">
        <v>8.4</v>
      </c>
      <c r="F65" s="142" t="s">
        <v>678</v>
      </c>
    </row>
    <row r="66" spans="1:6" ht="15.6" x14ac:dyDescent="0.25">
      <c r="A66" s="302">
        <v>1</v>
      </c>
      <c r="B66" s="303">
        <v>3</v>
      </c>
      <c r="C66" s="310">
        <v>1061</v>
      </c>
      <c r="D66" s="304" t="s">
        <v>641</v>
      </c>
      <c r="E66" s="311">
        <v>8.5</v>
      </c>
      <c r="F66" s="142" t="s">
        <v>679</v>
      </c>
    </row>
    <row r="67" spans="1:6" ht="15.6" x14ac:dyDescent="0.25">
      <c r="A67" s="302">
        <v>1</v>
      </c>
      <c r="B67" s="303">
        <v>3</v>
      </c>
      <c r="C67" s="310">
        <v>1062</v>
      </c>
      <c r="D67" s="304" t="s">
        <v>645</v>
      </c>
      <c r="E67" s="311">
        <v>28.3</v>
      </c>
      <c r="F67" s="142" t="s">
        <v>675</v>
      </c>
    </row>
    <row r="68" spans="1:6" ht="15.6" x14ac:dyDescent="0.25">
      <c r="A68" s="302">
        <v>1</v>
      </c>
      <c r="B68" s="303">
        <v>3</v>
      </c>
      <c r="C68" s="310">
        <v>1062</v>
      </c>
      <c r="D68" s="304" t="s">
        <v>652</v>
      </c>
      <c r="E68" s="311">
        <v>13.1</v>
      </c>
      <c r="F68" s="142" t="s">
        <v>676</v>
      </c>
    </row>
    <row r="69" spans="1:6" ht="15.6" x14ac:dyDescent="0.25">
      <c r="A69" s="302">
        <v>1</v>
      </c>
      <c r="B69" s="303">
        <v>3</v>
      </c>
      <c r="C69" s="310">
        <v>1062</v>
      </c>
      <c r="D69" s="304" t="s">
        <v>648</v>
      </c>
      <c r="E69" s="311">
        <v>3.1</v>
      </c>
      <c r="F69" s="142" t="s">
        <v>678</v>
      </c>
    </row>
    <row r="70" spans="1:6" ht="15.6" x14ac:dyDescent="0.25">
      <c r="A70" s="302">
        <v>1</v>
      </c>
      <c r="B70" s="303">
        <v>3</v>
      </c>
      <c r="C70" s="310">
        <v>1062</v>
      </c>
      <c r="D70" s="304" t="s">
        <v>655</v>
      </c>
      <c r="E70" s="311">
        <v>11.3</v>
      </c>
      <c r="F70" s="142" t="s">
        <v>679</v>
      </c>
    </row>
    <row r="71" spans="1:6" ht="15.6" x14ac:dyDescent="0.25">
      <c r="A71" s="302">
        <v>1</v>
      </c>
      <c r="B71" s="303">
        <v>3</v>
      </c>
      <c r="C71" s="310">
        <v>1063</v>
      </c>
      <c r="D71" s="304" t="s">
        <v>645</v>
      </c>
      <c r="E71" s="311">
        <v>26.4</v>
      </c>
      <c r="F71" s="142" t="s">
        <v>675</v>
      </c>
    </row>
    <row r="72" spans="1:6" ht="15.6" x14ac:dyDescent="0.25">
      <c r="A72" s="302">
        <v>1</v>
      </c>
      <c r="B72" s="303">
        <v>3</v>
      </c>
      <c r="C72" s="310">
        <v>1063</v>
      </c>
      <c r="D72" s="304" t="s">
        <v>652</v>
      </c>
      <c r="E72" s="311">
        <v>3.8</v>
      </c>
      <c r="F72" s="142" t="s">
        <v>676</v>
      </c>
    </row>
    <row r="73" spans="1:6" ht="15.6" x14ac:dyDescent="0.25">
      <c r="A73" s="302">
        <v>1</v>
      </c>
      <c r="B73" s="303">
        <v>3</v>
      </c>
      <c r="C73" s="310">
        <v>1063</v>
      </c>
      <c r="D73" s="304" t="s">
        <v>655</v>
      </c>
      <c r="E73" s="311">
        <v>6.1</v>
      </c>
      <c r="F73" s="142" t="s">
        <v>679</v>
      </c>
    </row>
    <row r="74" spans="1:6" ht="15.6" x14ac:dyDescent="0.25">
      <c r="A74" s="302">
        <v>1</v>
      </c>
      <c r="B74" s="303">
        <v>3</v>
      </c>
      <c r="C74" s="310">
        <v>1064</v>
      </c>
      <c r="D74" s="304" t="s">
        <v>645</v>
      </c>
      <c r="E74" s="311">
        <v>26.4</v>
      </c>
      <c r="F74" s="142" t="s">
        <v>675</v>
      </c>
    </row>
    <row r="75" spans="1:6" ht="15.6" x14ac:dyDescent="0.25">
      <c r="A75" s="302">
        <v>1</v>
      </c>
      <c r="B75" s="303">
        <v>3</v>
      </c>
      <c r="C75" s="310">
        <v>1064</v>
      </c>
      <c r="D75" s="304" t="s">
        <v>648</v>
      </c>
      <c r="E75" s="311">
        <v>5.0999999999999996</v>
      </c>
      <c r="F75" s="142" t="s">
        <v>678</v>
      </c>
    </row>
    <row r="76" spans="1:6" ht="15.6" x14ac:dyDescent="0.25">
      <c r="A76" s="302">
        <v>1</v>
      </c>
      <c r="B76" s="303">
        <v>3</v>
      </c>
      <c r="C76" s="310">
        <v>1064</v>
      </c>
      <c r="D76" s="304" t="s">
        <v>655</v>
      </c>
      <c r="E76" s="311">
        <v>7.4</v>
      </c>
      <c r="F76" s="142" t="s">
        <v>679</v>
      </c>
    </row>
    <row r="77" spans="1:6" ht="15.6" x14ac:dyDescent="0.25">
      <c r="A77" s="302">
        <v>1</v>
      </c>
      <c r="B77" s="303">
        <v>3</v>
      </c>
      <c r="C77" s="310">
        <v>1065</v>
      </c>
      <c r="D77" s="304" t="s">
        <v>644</v>
      </c>
      <c r="E77" s="311">
        <v>18</v>
      </c>
      <c r="F77" s="142" t="s">
        <v>675</v>
      </c>
    </row>
    <row r="78" spans="1:6" ht="31.2" x14ac:dyDescent="0.25">
      <c r="A78" s="302">
        <v>1</v>
      </c>
      <c r="B78" s="303">
        <v>3</v>
      </c>
      <c r="C78" s="310">
        <v>1065</v>
      </c>
      <c r="D78" s="304" t="s">
        <v>657</v>
      </c>
      <c r="E78" s="311">
        <v>8.6</v>
      </c>
      <c r="F78" s="142" t="s">
        <v>680</v>
      </c>
    </row>
    <row r="79" spans="1:6" ht="15.6" x14ac:dyDescent="0.25">
      <c r="A79" s="302">
        <v>1</v>
      </c>
      <c r="B79" s="303">
        <v>3</v>
      </c>
      <c r="C79" s="310">
        <v>1065</v>
      </c>
      <c r="D79" s="304" t="s">
        <v>649</v>
      </c>
      <c r="E79" s="311">
        <v>7.2</v>
      </c>
      <c r="F79" s="142" t="s">
        <v>679</v>
      </c>
    </row>
    <row r="80" spans="1:6" ht="15.6" x14ac:dyDescent="0.25">
      <c r="A80" s="302">
        <v>1</v>
      </c>
      <c r="B80" s="303">
        <v>3</v>
      </c>
      <c r="C80" s="310">
        <v>1066</v>
      </c>
      <c r="D80" s="304" t="s">
        <v>645</v>
      </c>
      <c r="E80" s="311">
        <v>11.1</v>
      </c>
      <c r="F80" s="142" t="s">
        <v>675</v>
      </c>
    </row>
    <row r="81" spans="1:6" ht="31.2" x14ac:dyDescent="0.25">
      <c r="A81" s="302">
        <v>1</v>
      </c>
      <c r="B81" s="303">
        <v>3</v>
      </c>
      <c r="C81" s="310">
        <v>1066</v>
      </c>
      <c r="D81" s="304" t="s">
        <v>653</v>
      </c>
      <c r="E81" s="311">
        <v>2</v>
      </c>
      <c r="F81" s="142" t="s">
        <v>682</v>
      </c>
    </row>
    <row r="82" spans="1:6" ht="31.2" x14ac:dyDescent="0.25">
      <c r="A82" s="302">
        <v>1</v>
      </c>
      <c r="B82" s="303">
        <v>3</v>
      </c>
      <c r="C82" s="310">
        <v>1066</v>
      </c>
      <c r="D82" s="304" t="s">
        <v>646</v>
      </c>
      <c r="E82" s="311">
        <v>1.4</v>
      </c>
      <c r="F82" s="142" t="s">
        <v>680</v>
      </c>
    </row>
    <row r="83" spans="1:6" ht="15.6" x14ac:dyDescent="0.25">
      <c r="A83" s="302">
        <v>1</v>
      </c>
      <c r="B83" s="303">
        <v>3</v>
      </c>
      <c r="C83" s="310">
        <v>1066</v>
      </c>
      <c r="D83" s="304" t="s">
        <v>652</v>
      </c>
      <c r="E83" s="311">
        <v>8.9</v>
      </c>
      <c r="F83" s="142" t="s">
        <v>676</v>
      </c>
    </row>
    <row r="84" spans="1:6" ht="46.8" x14ac:dyDescent="0.25">
      <c r="A84" s="302">
        <v>1</v>
      </c>
      <c r="B84" s="303">
        <v>3</v>
      </c>
      <c r="C84" s="310">
        <v>1066</v>
      </c>
      <c r="D84" s="304" t="s">
        <v>658</v>
      </c>
      <c r="E84" s="311">
        <v>2</v>
      </c>
      <c r="F84" s="142" t="s">
        <v>684</v>
      </c>
    </row>
    <row r="85" spans="1:6" ht="15.6" x14ac:dyDescent="0.25">
      <c r="A85" s="302">
        <v>1</v>
      </c>
      <c r="B85" s="303">
        <v>3</v>
      </c>
      <c r="C85" s="310">
        <v>1066</v>
      </c>
      <c r="D85" s="304" t="s">
        <v>642</v>
      </c>
      <c r="E85" s="311">
        <v>1.4</v>
      </c>
      <c r="F85" s="142" t="s">
        <v>678</v>
      </c>
    </row>
    <row r="86" spans="1:6" ht="15.6" x14ac:dyDescent="0.25">
      <c r="A86" s="302">
        <v>1</v>
      </c>
      <c r="B86" s="303">
        <v>3</v>
      </c>
      <c r="C86" s="310">
        <v>1066</v>
      </c>
      <c r="D86" s="304" t="s">
        <v>648</v>
      </c>
      <c r="E86" s="311">
        <v>7.6</v>
      </c>
      <c r="F86" s="142" t="s">
        <v>678</v>
      </c>
    </row>
    <row r="87" spans="1:6" ht="15.6" x14ac:dyDescent="0.25">
      <c r="A87" s="302">
        <v>1</v>
      </c>
      <c r="B87" s="303">
        <v>3</v>
      </c>
      <c r="C87" s="310">
        <v>1066</v>
      </c>
      <c r="D87" s="304" t="s">
        <v>655</v>
      </c>
      <c r="E87" s="311">
        <v>7.5</v>
      </c>
      <c r="F87" s="142" t="s">
        <v>679</v>
      </c>
    </row>
    <row r="88" spans="1:6" ht="15.6" x14ac:dyDescent="0.25">
      <c r="A88" s="302">
        <v>1</v>
      </c>
      <c r="B88" s="303">
        <v>3</v>
      </c>
      <c r="C88" s="310">
        <v>1067</v>
      </c>
      <c r="D88" s="304" t="s">
        <v>637</v>
      </c>
      <c r="E88" s="311">
        <v>49.7</v>
      </c>
      <c r="F88" s="142" t="s">
        <v>675</v>
      </c>
    </row>
    <row r="89" spans="1:6" ht="15.6" x14ac:dyDescent="0.25">
      <c r="A89" s="302">
        <v>1</v>
      </c>
      <c r="B89" s="303">
        <v>3</v>
      </c>
      <c r="C89" s="310">
        <v>1067</v>
      </c>
      <c r="D89" s="304" t="s">
        <v>638</v>
      </c>
      <c r="E89" s="311">
        <v>240</v>
      </c>
      <c r="F89" s="142" t="s">
        <v>676</v>
      </c>
    </row>
    <row r="90" spans="1:6" ht="15.6" x14ac:dyDescent="0.25">
      <c r="A90" s="302">
        <v>1</v>
      </c>
      <c r="B90" s="303">
        <v>3</v>
      </c>
      <c r="C90" s="310">
        <v>1067</v>
      </c>
      <c r="D90" s="304" t="s">
        <v>640</v>
      </c>
      <c r="E90" s="311">
        <v>100.3</v>
      </c>
      <c r="F90" s="142" t="s">
        <v>678</v>
      </c>
    </row>
    <row r="91" spans="1:6" ht="15.6" hidden="1" x14ac:dyDescent="0.25">
      <c r="A91" s="302">
        <v>1</v>
      </c>
      <c r="B91" s="303">
        <v>2</v>
      </c>
      <c r="C91" s="310">
        <v>1069</v>
      </c>
      <c r="D91" s="304" t="s">
        <v>645</v>
      </c>
      <c r="E91" s="311">
        <v>24.8</v>
      </c>
      <c r="F91" s="142" t="s">
        <v>675</v>
      </c>
    </row>
    <row r="92" spans="1:6" ht="15.6" hidden="1" x14ac:dyDescent="0.25">
      <c r="A92" s="302">
        <v>1</v>
      </c>
      <c r="B92" s="303">
        <v>2</v>
      </c>
      <c r="C92" s="310">
        <v>1069</v>
      </c>
      <c r="D92" s="304" t="s">
        <v>638</v>
      </c>
      <c r="E92" s="311">
        <v>22.5</v>
      </c>
      <c r="F92" s="142" t="s">
        <v>676</v>
      </c>
    </row>
    <row r="93" spans="1:6" s="136" customFormat="1" ht="15.6" x14ac:dyDescent="0.3">
      <c r="A93" s="299">
        <v>1</v>
      </c>
      <c r="B93" s="300">
        <v>3</v>
      </c>
      <c r="C93" s="308">
        <v>1097</v>
      </c>
      <c r="D93" s="301" t="s">
        <v>637</v>
      </c>
      <c r="E93" s="309">
        <v>14.5</v>
      </c>
      <c r="F93" s="295" t="s">
        <v>788</v>
      </c>
    </row>
    <row r="94" spans="1:6" s="136" customFormat="1" ht="15.6" x14ac:dyDescent="0.3">
      <c r="A94" s="299">
        <v>1</v>
      </c>
      <c r="B94" s="300">
        <v>3</v>
      </c>
      <c r="C94" s="308">
        <v>1097</v>
      </c>
      <c r="D94" s="301" t="s">
        <v>645</v>
      </c>
      <c r="E94" s="309">
        <v>3</v>
      </c>
      <c r="F94" s="295" t="s">
        <v>788</v>
      </c>
    </row>
    <row r="95" spans="1:6" s="136" customFormat="1" ht="31.2" x14ac:dyDescent="0.3">
      <c r="A95" s="299">
        <v>1</v>
      </c>
      <c r="B95" s="300">
        <v>3</v>
      </c>
      <c r="C95" s="308">
        <v>1097</v>
      </c>
      <c r="D95" s="301" t="s">
        <v>646</v>
      </c>
      <c r="E95" s="309">
        <v>5.2</v>
      </c>
      <c r="F95" s="295" t="s">
        <v>792</v>
      </c>
    </row>
    <row r="96" spans="1:6" s="136" customFormat="1" ht="15.6" x14ac:dyDescent="0.3">
      <c r="A96" s="299">
        <v>1</v>
      </c>
      <c r="B96" s="300">
        <v>3</v>
      </c>
      <c r="C96" s="308">
        <v>1097</v>
      </c>
      <c r="D96" s="301" t="s">
        <v>638</v>
      </c>
      <c r="E96" s="309">
        <v>21.4</v>
      </c>
      <c r="F96" s="295" t="s">
        <v>789</v>
      </c>
    </row>
    <row r="97" spans="1:6" s="136" customFormat="1" ht="31.2" x14ac:dyDescent="0.3">
      <c r="A97" s="299">
        <v>1</v>
      </c>
      <c r="B97" s="300">
        <v>3</v>
      </c>
      <c r="C97" s="308">
        <v>1097</v>
      </c>
      <c r="D97" s="301" t="s">
        <v>657</v>
      </c>
      <c r="E97" s="309">
        <v>4.2</v>
      </c>
      <c r="F97" s="295" t="s">
        <v>792</v>
      </c>
    </row>
    <row r="98" spans="1:6" s="136" customFormat="1" ht="31.2" x14ac:dyDescent="0.3">
      <c r="A98" s="299">
        <v>1</v>
      </c>
      <c r="B98" s="300">
        <v>3</v>
      </c>
      <c r="C98" s="308">
        <v>1097</v>
      </c>
      <c r="D98" s="301" t="s">
        <v>658</v>
      </c>
      <c r="E98" s="309">
        <v>0.8</v>
      </c>
      <c r="F98" s="314" t="s">
        <v>795</v>
      </c>
    </row>
    <row r="99" spans="1:6" s="136" customFormat="1" ht="15.6" x14ac:dyDescent="0.3">
      <c r="A99" s="299">
        <v>1</v>
      </c>
      <c r="B99" s="300">
        <v>3</v>
      </c>
      <c r="C99" s="308">
        <v>1097</v>
      </c>
      <c r="D99" s="301" t="s">
        <v>641</v>
      </c>
      <c r="E99" s="309">
        <v>12.6</v>
      </c>
      <c r="F99" s="295" t="s">
        <v>793</v>
      </c>
    </row>
    <row r="100" spans="1:6" s="136" customFormat="1" ht="15.6" x14ac:dyDescent="0.3">
      <c r="A100" s="299">
        <v>1</v>
      </c>
      <c r="B100" s="300">
        <v>3</v>
      </c>
      <c r="C100" s="308">
        <v>1097</v>
      </c>
      <c r="D100" s="301" t="s">
        <v>649</v>
      </c>
      <c r="E100" s="309">
        <v>14.1</v>
      </c>
      <c r="F100" s="295" t="s">
        <v>793</v>
      </c>
    </row>
    <row r="101" spans="1:6" s="136" customFormat="1" ht="15.6" x14ac:dyDescent="0.3">
      <c r="A101" s="299">
        <v>1</v>
      </c>
      <c r="B101" s="300">
        <v>3</v>
      </c>
      <c r="C101" s="308">
        <v>1097</v>
      </c>
      <c r="D101" s="301" t="s">
        <v>655</v>
      </c>
      <c r="E101" s="309">
        <v>12.6</v>
      </c>
      <c r="F101" s="295" t="s">
        <v>793</v>
      </c>
    </row>
    <row r="102" spans="1:6" s="136" customFormat="1" ht="15.6" x14ac:dyDescent="0.3">
      <c r="A102" s="305">
        <v>1</v>
      </c>
      <c r="B102" s="306">
        <v>3</v>
      </c>
      <c r="C102" s="312">
        <v>1098</v>
      </c>
      <c r="D102" s="307" t="s">
        <v>663</v>
      </c>
      <c r="E102" s="313">
        <v>20.5</v>
      </c>
      <c r="F102" s="296" t="s">
        <v>790</v>
      </c>
    </row>
    <row r="103" spans="1:6" ht="15.6" x14ac:dyDescent="0.25">
      <c r="A103" s="299">
        <v>1</v>
      </c>
      <c r="B103" s="300">
        <v>3</v>
      </c>
      <c r="C103" s="308" t="s">
        <v>662</v>
      </c>
      <c r="D103" s="301" t="s">
        <v>637</v>
      </c>
      <c r="E103" s="309">
        <v>10.8</v>
      </c>
      <c r="F103" s="295" t="s">
        <v>788</v>
      </c>
    </row>
    <row r="104" spans="1:6" ht="15.6" x14ac:dyDescent="0.25">
      <c r="A104" s="299">
        <v>1</v>
      </c>
      <c r="B104" s="300">
        <v>3</v>
      </c>
      <c r="C104" s="308" t="s">
        <v>662</v>
      </c>
      <c r="D104" s="301" t="s">
        <v>638</v>
      </c>
      <c r="E104" s="309">
        <v>88.1</v>
      </c>
      <c r="F104" s="295" t="s">
        <v>789</v>
      </c>
    </row>
    <row r="105" spans="1:6" ht="15.6" x14ac:dyDescent="0.25">
      <c r="A105" s="299">
        <v>1</v>
      </c>
      <c r="B105" s="300">
        <v>3</v>
      </c>
      <c r="C105" s="308" t="s">
        <v>662</v>
      </c>
      <c r="D105" s="301" t="s">
        <v>639</v>
      </c>
      <c r="E105" s="309">
        <v>8.3000000000000007</v>
      </c>
      <c r="F105" s="295" t="s">
        <v>790</v>
      </c>
    </row>
    <row r="106" spans="1:6" ht="15.6" x14ac:dyDescent="0.25">
      <c r="A106" s="299">
        <v>1</v>
      </c>
      <c r="B106" s="300">
        <v>3</v>
      </c>
      <c r="C106" s="308" t="s">
        <v>662</v>
      </c>
      <c r="D106" s="301" t="s">
        <v>640</v>
      </c>
      <c r="E106" s="309">
        <v>48.3</v>
      </c>
      <c r="F106" s="295" t="s">
        <v>791</v>
      </c>
    </row>
    <row r="107" spans="1:6" ht="15.6" x14ac:dyDescent="0.25">
      <c r="A107" s="299">
        <v>1</v>
      </c>
      <c r="B107" s="300">
        <v>3</v>
      </c>
      <c r="C107" s="308">
        <v>1094</v>
      </c>
      <c r="D107" s="301" t="s">
        <v>637</v>
      </c>
      <c r="E107" s="309">
        <v>39.5</v>
      </c>
      <c r="F107" s="295" t="s">
        <v>788</v>
      </c>
    </row>
    <row r="108" spans="1:6" ht="15.6" x14ac:dyDescent="0.25">
      <c r="A108" s="299">
        <v>1</v>
      </c>
      <c r="B108" s="300">
        <v>3</v>
      </c>
      <c r="C108" s="308">
        <v>1094</v>
      </c>
      <c r="D108" s="301" t="s">
        <v>638</v>
      </c>
      <c r="E108" s="309">
        <v>220.4</v>
      </c>
      <c r="F108" s="295" t="s">
        <v>789</v>
      </c>
    </row>
    <row r="109" spans="1:6" ht="15.6" x14ac:dyDescent="0.25">
      <c r="A109" s="299">
        <v>1</v>
      </c>
      <c r="B109" s="300">
        <v>3</v>
      </c>
      <c r="C109" s="308">
        <v>1094</v>
      </c>
      <c r="D109" s="301" t="s">
        <v>639</v>
      </c>
      <c r="E109" s="309">
        <v>9.3000000000000007</v>
      </c>
      <c r="F109" s="295" t="s">
        <v>790</v>
      </c>
    </row>
    <row r="110" spans="1:6" ht="15.6" x14ac:dyDescent="0.25">
      <c r="A110" s="299">
        <v>1</v>
      </c>
      <c r="B110" s="300">
        <v>3</v>
      </c>
      <c r="C110" s="308">
        <v>1094</v>
      </c>
      <c r="D110" s="301" t="s">
        <v>640</v>
      </c>
      <c r="E110" s="309">
        <v>52.3</v>
      </c>
      <c r="F110" s="295" t="s">
        <v>791</v>
      </c>
    </row>
    <row r="111" spans="1:6" ht="15.6" x14ac:dyDescent="0.25">
      <c r="A111" s="299">
        <v>1</v>
      </c>
      <c r="B111" s="300">
        <v>3</v>
      </c>
      <c r="C111" s="308">
        <v>1084</v>
      </c>
      <c r="D111" s="301" t="s">
        <v>637</v>
      </c>
      <c r="E111" s="309">
        <v>8</v>
      </c>
      <c r="F111" s="295" t="s">
        <v>788</v>
      </c>
    </row>
    <row r="112" spans="1:6" ht="15.6" x14ac:dyDescent="0.25">
      <c r="A112" s="299">
        <v>1</v>
      </c>
      <c r="B112" s="300">
        <v>3</v>
      </c>
      <c r="C112" s="308">
        <v>1084</v>
      </c>
      <c r="D112" s="301" t="s">
        <v>638</v>
      </c>
      <c r="E112" s="309">
        <v>83.4</v>
      </c>
      <c r="F112" s="295" t="s">
        <v>789</v>
      </c>
    </row>
    <row r="113" spans="1:6" ht="15.6" x14ac:dyDescent="0.25">
      <c r="A113" s="299">
        <v>1</v>
      </c>
      <c r="B113" s="300">
        <v>3</v>
      </c>
      <c r="C113" s="308">
        <v>1084</v>
      </c>
      <c r="D113" s="301" t="s">
        <v>639</v>
      </c>
      <c r="E113" s="309">
        <v>3.5</v>
      </c>
      <c r="F113" s="295" t="s">
        <v>790</v>
      </c>
    </row>
    <row r="114" spans="1:6" ht="15.6" x14ac:dyDescent="0.25">
      <c r="A114" s="299">
        <v>1</v>
      </c>
      <c r="B114" s="300">
        <v>3</v>
      </c>
      <c r="C114" s="308">
        <v>1084</v>
      </c>
      <c r="D114" s="301" t="s">
        <v>640</v>
      </c>
      <c r="E114" s="309">
        <v>5.7</v>
      </c>
      <c r="F114" s="295" t="s">
        <v>791</v>
      </c>
    </row>
    <row r="115" spans="1:6" ht="15.6" x14ac:dyDescent="0.25">
      <c r="A115" s="299">
        <v>1</v>
      </c>
      <c r="B115" s="300">
        <v>3</v>
      </c>
      <c r="C115" s="308">
        <v>1084</v>
      </c>
      <c r="D115" s="301" t="s">
        <v>641</v>
      </c>
      <c r="E115" s="309">
        <v>5.2</v>
      </c>
      <c r="F115" s="295" t="s">
        <v>793</v>
      </c>
    </row>
    <row r="116" spans="1:6" ht="15.6" x14ac:dyDescent="0.25">
      <c r="A116" s="299">
        <v>1</v>
      </c>
      <c r="B116" s="300">
        <v>3</v>
      </c>
      <c r="C116" s="308">
        <v>1085</v>
      </c>
      <c r="D116" s="301" t="s">
        <v>637</v>
      </c>
      <c r="E116" s="309">
        <v>8</v>
      </c>
      <c r="F116" s="295" t="s">
        <v>788</v>
      </c>
    </row>
    <row r="117" spans="1:6" ht="15.6" x14ac:dyDescent="0.25">
      <c r="A117" s="299">
        <v>1</v>
      </c>
      <c r="B117" s="300">
        <v>3</v>
      </c>
      <c r="C117" s="308">
        <v>1085</v>
      </c>
      <c r="D117" s="301" t="s">
        <v>638</v>
      </c>
      <c r="E117" s="309">
        <v>86.1</v>
      </c>
      <c r="F117" s="295" t="s">
        <v>789</v>
      </c>
    </row>
    <row r="118" spans="1:6" ht="15.6" x14ac:dyDescent="0.25">
      <c r="A118" s="299">
        <v>1</v>
      </c>
      <c r="B118" s="300">
        <v>3</v>
      </c>
      <c r="C118" s="308">
        <v>1085</v>
      </c>
      <c r="D118" s="301" t="s">
        <v>639</v>
      </c>
      <c r="E118" s="309">
        <v>3.7</v>
      </c>
      <c r="F118" s="295" t="s">
        <v>790</v>
      </c>
    </row>
    <row r="119" spans="1:6" ht="15.6" x14ac:dyDescent="0.25">
      <c r="A119" s="299">
        <v>1</v>
      </c>
      <c r="B119" s="300">
        <v>3</v>
      </c>
      <c r="C119" s="308">
        <v>1085</v>
      </c>
      <c r="D119" s="301" t="s">
        <v>640</v>
      </c>
      <c r="E119" s="309">
        <v>10.9</v>
      </c>
      <c r="F119" s="295" t="s">
        <v>791</v>
      </c>
    </row>
    <row r="120" spans="1:6" ht="15.6" hidden="1" x14ac:dyDescent="0.25">
      <c r="A120" s="299">
        <v>1</v>
      </c>
      <c r="B120" s="300">
        <v>1</v>
      </c>
      <c r="C120" s="308">
        <v>1011</v>
      </c>
      <c r="D120" s="301" t="s">
        <v>639</v>
      </c>
      <c r="E120" s="309">
        <v>2.2000000000000002</v>
      </c>
      <c r="F120" s="295" t="s">
        <v>790</v>
      </c>
    </row>
    <row r="121" spans="1:6" ht="15.6" hidden="1" x14ac:dyDescent="0.25">
      <c r="A121" s="299">
        <v>1</v>
      </c>
      <c r="B121" s="300">
        <v>1</v>
      </c>
      <c r="C121" s="308">
        <v>1011</v>
      </c>
      <c r="D121" s="301" t="s">
        <v>642</v>
      </c>
      <c r="E121" s="309">
        <v>46.7</v>
      </c>
      <c r="F121" s="295" t="s">
        <v>791</v>
      </c>
    </row>
    <row r="122" spans="1:6" ht="15.6" hidden="1" x14ac:dyDescent="0.25">
      <c r="A122" s="299">
        <v>2</v>
      </c>
      <c r="B122" s="300">
        <v>1</v>
      </c>
      <c r="C122" s="308">
        <v>2010</v>
      </c>
      <c r="D122" s="301" t="s">
        <v>639</v>
      </c>
      <c r="E122" s="309">
        <v>2.2000000000000002</v>
      </c>
      <c r="F122" s="295" t="s">
        <v>790</v>
      </c>
    </row>
    <row r="123" spans="1:6" ht="15.6" hidden="1" x14ac:dyDescent="0.25">
      <c r="A123" s="299">
        <v>2</v>
      </c>
      <c r="B123" s="300">
        <v>1</v>
      </c>
      <c r="C123" s="308">
        <v>2010</v>
      </c>
      <c r="D123" s="301" t="s">
        <v>642</v>
      </c>
      <c r="E123" s="309">
        <v>51.2</v>
      </c>
      <c r="F123" s="295" t="s">
        <v>791</v>
      </c>
    </row>
    <row r="124" spans="1:6" ht="15.6" hidden="1" x14ac:dyDescent="0.25">
      <c r="A124" s="299">
        <v>2</v>
      </c>
      <c r="B124" s="300">
        <v>3</v>
      </c>
      <c r="C124" s="308">
        <v>2044</v>
      </c>
      <c r="D124" s="301" t="s">
        <v>638</v>
      </c>
      <c r="E124" s="309">
        <v>26.5</v>
      </c>
      <c r="F124" s="295" t="s">
        <v>789</v>
      </c>
    </row>
    <row r="125" spans="1:6" ht="15.6" hidden="1" x14ac:dyDescent="0.25">
      <c r="A125" s="305">
        <v>2</v>
      </c>
      <c r="B125" s="306">
        <v>3</v>
      </c>
      <c r="C125" s="312">
        <v>2044</v>
      </c>
      <c r="D125" s="307" t="s">
        <v>640</v>
      </c>
      <c r="E125" s="313">
        <v>27.5</v>
      </c>
      <c r="F125" s="296" t="s">
        <v>791</v>
      </c>
    </row>
    <row r="127" spans="1:6" x14ac:dyDescent="0.25">
      <c r="D127" s="316" t="s">
        <v>642</v>
      </c>
      <c r="E127" s="334">
        <f t="shared" ref="E127:E153" si="0">SUMIF($D$120:$D$125,D127,$E$120:$E$125)</f>
        <v>97.9</v>
      </c>
    </row>
    <row r="128" spans="1:6" x14ac:dyDescent="0.25">
      <c r="D128" s="316" t="s">
        <v>648</v>
      </c>
      <c r="E128" s="334">
        <f t="shared" si="0"/>
        <v>0</v>
      </c>
    </row>
    <row r="129" spans="4:8" x14ac:dyDescent="0.25">
      <c r="E129" s="334">
        <f t="shared" si="0"/>
        <v>0</v>
      </c>
    </row>
    <row r="130" spans="4:8" x14ac:dyDescent="0.25">
      <c r="D130" s="316" t="s">
        <v>644</v>
      </c>
      <c r="E130" s="334">
        <f t="shared" si="0"/>
        <v>0</v>
      </c>
    </row>
    <row r="131" spans="4:8" x14ac:dyDescent="0.25">
      <c r="D131" s="316" t="s">
        <v>645</v>
      </c>
      <c r="E131" s="334">
        <f t="shared" si="0"/>
        <v>0</v>
      </c>
      <c r="H131" s="335">
        <f>E123+E121</f>
        <v>97.9</v>
      </c>
    </row>
    <row r="132" spans="4:8" x14ac:dyDescent="0.25">
      <c r="D132" s="316" t="s">
        <v>652</v>
      </c>
      <c r="E132" s="334">
        <f t="shared" si="0"/>
        <v>0</v>
      </c>
    </row>
    <row r="133" spans="4:8" x14ac:dyDescent="0.25">
      <c r="D133" s="316" t="s">
        <v>657</v>
      </c>
      <c r="E133" s="334">
        <f t="shared" si="0"/>
        <v>0</v>
      </c>
      <c r="F133" s="196" t="s">
        <v>797</v>
      </c>
    </row>
    <row r="134" spans="4:8" x14ac:dyDescent="0.25">
      <c r="D134" s="316" t="s">
        <v>646</v>
      </c>
      <c r="E134" s="334">
        <f t="shared" si="0"/>
        <v>0</v>
      </c>
    </row>
    <row r="135" spans="4:8" x14ac:dyDescent="0.25">
      <c r="D135" s="316" t="s">
        <v>653</v>
      </c>
      <c r="E135" s="334">
        <f t="shared" si="0"/>
        <v>0</v>
      </c>
      <c r="F135" s="196" t="s">
        <v>798</v>
      </c>
    </row>
    <row r="136" spans="4:8" x14ac:dyDescent="0.25">
      <c r="D136" s="316" t="s">
        <v>658</v>
      </c>
      <c r="E136" s="334">
        <f t="shared" si="0"/>
        <v>0</v>
      </c>
    </row>
    <row r="137" spans="4:8" x14ac:dyDescent="0.25">
      <c r="E137" s="334">
        <f t="shared" si="0"/>
        <v>0</v>
      </c>
    </row>
    <row r="138" spans="4:8" x14ac:dyDescent="0.25">
      <c r="D138" s="316" t="s">
        <v>638</v>
      </c>
      <c r="E138" s="334">
        <f t="shared" si="0"/>
        <v>26.5</v>
      </c>
    </row>
    <row r="139" spans="4:8" x14ac:dyDescent="0.25">
      <c r="D139" s="316" t="s">
        <v>637</v>
      </c>
      <c r="E139" s="334">
        <f t="shared" si="0"/>
        <v>0</v>
      </c>
    </row>
    <row r="140" spans="4:8" x14ac:dyDescent="0.25">
      <c r="E140" s="334">
        <f t="shared" si="0"/>
        <v>0</v>
      </c>
    </row>
    <row r="141" spans="4:8" x14ac:dyDescent="0.25">
      <c r="E141" s="334">
        <f t="shared" si="0"/>
        <v>0</v>
      </c>
    </row>
    <row r="142" spans="4:8" x14ac:dyDescent="0.25">
      <c r="D142" s="316" t="s">
        <v>640</v>
      </c>
      <c r="E142" s="334">
        <f t="shared" si="0"/>
        <v>27.5</v>
      </c>
    </row>
    <row r="143" spans="4:8" x14ac:dyDescent="0.25">
      <c r="E143" s="334">
        <f t="shared" si="0"/>
        <v>0</v>
      </c>
    </row>
    <row r="144" spans="4:8" x14ac:dyDescent="0.25">
      <c r="D144" s="316" t="s">
        <v>649</v>
      </c>
      <c r="E144" s="334">
        <f t="shared" si="0"/>
        <v>0</v>
      </c>
    </row>
    <row r="145" spans="1:5" x14ac:dyDescent="0.25">
      <c r="D145" s="316" t="s">
        <v>655</v>
      </c>
      <c r="E145" s="334">
        <f t="shared" si="0"/>
        <v>0</v>
      </c>
    </row>
    <row r="146" spans="1:5" x14ac:dyDescent="0.25">
      <c r="E146" s="334">
        <f t="shared" si="0"/>
        <v>0</v>
      </c>
    </row>
    <row r="147" spans="1:5" x14ac:dyDescent="0.25">
      <c r="D147" s="316" t="s">
        <v>641</v>
      </c>
      <c r="E147" s="334">
        <f t="shared" si="0"/>
        <v>0</v>
      </c>
    </row>
    <row r="148" spans="1:5" x14ac:dyDescent="0.25">
      <c r="E148" s="334">
        <f t="shared" si="0"/>
        <v>0</v>
      </c>
    </row>
    <row r="149" spans="1:5" x14ac:dyDescent="0.25">
      <c r="E149" s="334">
        <f t="shared" si="0"/>
        <v>0</v>
      </c>
    </row>
    <row r="150" spans="1:5" x14ac:dyDescent="0.25">
      <c r="D150" s="316" t="s">
        <v>639</v>
      </c>
      <c r="E150" s="334">
        <f t="shared" si="0"/>
        <v>4.4000000000000004</v>
      </c>
    </row>
    <row r="151" spans="1:5" x14ac:dyDescent="0.25">
      <c r="E151" s="334">
        <f t="shared" si="0"/>
        <v>0</v>
      </c>
    </row>
    <row r="152" spans="1:5" x14ac:dyDescent="0.25">
      <c r="D152" s="316" t="s">
        <v>647</v>
      </c>
      <c r="E152" s="334">
        <f t="shared" si="0"/>
        <v>0</v>
      </c>
    </row>
    <row r="153" spans="1:5" x14ac:dyDescent="0.25">
      <c r="D153" s="316" t="s">
        <v>663</v>
      </c>
      <c r="E153" s="334">
        <f t="shared" si="0"/>
        <v>0</v>
      </c>
    </row>
    <row r="155" spans="1:5" ht="15.6" x14ac:dyDescent="0.25">
      <c r="A155" s="338">
        <v>1</v>
      </c>
      <c r="B155" s="318">
        <v>2</v>
      </c>
      <c r="C155" s="319">
        <v>1025</v>
      </c>
      <c r="D155" s="320" t="s">
        <v>638</v>
      </c>
      <c r="E155" s="321">
        <v>269.8</v>
      </c>
    </row>
    <row r="156" spans="1:5" ht="15.6" x14ac:dyDescent="0.25">
      <c r="A156" s="339">
        <v>1</v>
      </c>
      <c r="B156" s="322">
        <v>2</v>
      </c>
      <c r="C156" s="323">
        <v>1025</v>
      </c>
      <c r="D156" s="324" t="s">
        <v>639</v>
      </c>
      <c r="E156" s="325">
        <v>16.399999999999999</v>
      </c>
    </row>
    <row r="157" spans="1:5" ht="15.6" x14ac:dyDescent="0.25">
      <c r="A157" s="338">
        <v>1</v>
      </c>
      <c r="B157" s="318">
        <v>2</v>
      </c>
      <c r="C157" s="319">
        <v>1025</v>
      </c>
      <c r="D157" s="320" t="s">
        <v>640</v>
      </c>
      <c r="E157" s="321">
        <v>79.5</v>
      </c>
    </row>
    <row r="158" spans="1:5" ht="15.6" x14ac:dyDescent="0.25">
      <c r="A158" s="339">
        <v>1</v>
      </c>
      <c r="B158" s="322">
        <v>2</v>
      </c>
      <c r="C158" s="323">
        <v>1036</v>
      </c>
      <c r="D158" s="324" t="s">
        <v>637</v>
      </c>
      <c r="E158" s="325">
        <v>39.799999999999997</v>
      </c>
    </row>
    <row r="159" spans="1:5" ht="15.6" x14ac:dyDescent="0.25">
      <c r="A159" s="338">
        <v>1</v>
      </c>
      <c r="B159" s="318">
        <v>2</v>
      </c>
      <c r="C159" s="319">
        <v>1036</v>
      </c>
      <c r="D159" s="320" t="s">
        <v>638</v>
      </c>
      <c r="E159" s="321">
        <v>24.4</v>
      </c>
    </row>
    <row r="160" spans="1:5" ht="15.6" x14ac:dyDescent="0.25">
      <c r="A160" s="339">
        <v>1</v>
      </c>
      <c r="B160" s="322">
        <v>2</v>
      </c>
      <c r="C160" s="323">
        <v>1036</v>
      </c>
      <c r="D160" s="324" t="s">
        <v>639</v>
      </c>
      <c r="E160" s="325">
        <v>9.5</v>
      </c>
    </row>
    <row r="161" spans="1:5" ht="15.6" x14ac:dyDescent="0.25">
      <c r="A161" s="338">
        <v>1</v>
      </c>
      <c r="B161" s="318">
        <v>2</v>
      </c>
      <c r="C161" s="319">
        <v>1036</v>
      </c>
      <c r="D161" s="320" t="s">
        <v>640</v>
      </c>
      <c r="E161" s="321">
        <v>0.8</v>
      </c>
    </row>
    <row r="162" spans="1:5" ht="15.6" x14ac:dyDescent="0.25">
      <c r="A162" s="339">
        <v>1</v>
      </c>
      <c r="B162" s="322">
        <v>2</v>
      </c>
      <c r="C162" s="323">
        <v>1038</v>
      </c>
      <c r="D162" s="324" t="s">
        <v>637</v>
      </c>
      <c r="E162" s="325">
        <v>47.1</v>
      </c>
    </row>
    <row r="163" spans="1:5" ht="15.6" x14ac:dyDescent="0.25">
      <c r="A163" s="338">
        <v>1</v>
      </c>
      <c r="B163" s="318">
        <v>2</v>
      </c>
      <c r="C163" s="319">
        <v>1038</v>
      </c>
      <c r="D163" s="320" t="s">
        <v>638</v>
      </c>
      <c r="E163" s="321">
        <v>81.8</v>
      </c>
    </row>
    <row r="164" spans="1:5" ht="15.6" x14ac:dyDescent="0.25">
      <c r="A164" s="339">
        <v>1</v>
      </c>
      <c r="B164" s="322">
        <v>2</v>
      </c>
      <c r="C164" s="323">
        <v>1038</v>
      </c>
      <c r="D164" s="324" t="s">
        <v>639</v>
      </c>
      <c r="E164" s="325">
        <v>1.9</v>
      </c>
    </row>
    <row r="165" spans="1:5" ht="15.6" x14ac:dyDescent="0.25">
      <c r="A165" s="338">
        <v>1</v>
      </c>
      <c r="B165" s="318">
        <v>2</v>
      </c>
      <c r="C165" s="319">
        <v>1038</v>
      </c>
      <c r="D165" s="320" t="s">
        <v>640</v>
      </c>
      <c r="E165" s="321">
        <v>11.8</v>
      </c>
    </row>
    <row r="166" spans="1:5" ht="15.6" x14ac:dyDescent="0.25">
      <c r="A166" s="340">
        <v>1</v>
      </c>
      <c r="B166" s="326">
        <v>2</v>
      </c>
      <c r="C166" s="327">
        <v>1043</v>
      </c>
      <c r="D166" s="328" t="s">
        <v>645</v>
      </c>
      <c r="E166" s="329">
        <v>83</v>
      </c>
    </row>
    <row r="167" spans="1:5" ht="15.6" x14ac:dyDescent="0.25">
      <c r="A167" s="341">
        <v>1</v>
      </c>
      <c r="B167" s="330">
        <v>2</v>
      </c>
      <c r="C167" s="331">
        <v>1043</v>
      </c>
      <c r="D167" s="332" t="s">
        <v>647</v>
      </c>
      <c r="E167" s="333">
        <v>1.5</v>
      </c>
    </row>
    <row r="168" spans="1:5" ht="15.6" x14ac:dyDescent="0.25">
      <c r="A168" s="340">
        <v>1</v>
      </c>
      <c r="B168" s="326">
        <v>2</v>
      </c>
      <c r="C168" s="327">
        <v>1043</v>
      </c>
      <c r="D168" s="328" t="s">
        <v>648</v>
      </c>
      <c r="E168" s="329">
        <v>18.2</v>
      </c>
    </row>
    <row r="169" spans="1:5" ht="15.6" x14ac:dyDescent="0.25">
      <c r="A169" s="341">
        <v>1</v>
      </c>
      <c r="B169" s="330">
        <v>2</v>
      </c>
      <c r="C169" s="331">
        <v>1044</v>
      </c>
      <c r="D169" s="332" t="s">
        <v>645</v>
      </c>
      <c r="E169" s="333">
        <v>51.1</v>
      </c>
    </row>
    <row r="170" spans="1:5" ht="15.6" x14ac:dyDescent="0.25">
      <c r="A170" s="340">
        <v>1</v>
      </c>
      <c r="B170" s="326">
        <v>2</v>
      </c>
      <c r="C170" s="327">
        <v>1044</v>
      </c>
      <c r="D170" s="328" t="s">
        <v>652</v>
      </c>
      <c r="E170" s="329">
        <v>8.4</v>
      </c>
    </row>
    <row r="171" spans="1:5" ht="15.6" x14ac:dyDescent="0.25">
      <c r="A171" s="341">
        <v>1</v>
      </c>
      <c r="B171" s="330">
        <v>2</v>
      </c>
      <c r="C171" s="331">
        <v>1045</v>
      </c>
      <c r="D171" s="332" t="s">
        <v>645</v>
      </c>
      <c r="E171" s="333">
        <v>53</v>
      </c>
    </row>
    <row r="172" spans="1:5" ht="15.6" x14ac:dyDescent="0.25">
      <c r="A172" s="340">
        <v>1</v>
      </c>
      <c r="B172" s="326">
        <v>2</v>
      </c>
      <c r="C172" s="327">
        <v>1045</v>
      </c>
      <c r="D172" s="328" t="s">
        <v>652</v>
      </c>
      <c r="E172" s="329">
        <v>8.1999999999999993</v>
      </c>
    </row>
    <row r="173" spans="1:5" ht="15.6" x14ac:dyDescent="0.25">
      <c r="A173" s="341">
        <v>1</v>
      </c>
      <c r="B173" s="330">
        <v>2</v>
      </c>
      <c r="C173" s="331">
        <v>1045</v>
      </c>
      <c r="D173" s="332" t="s">
        <v>648</v>
      </c>
      <c r="E173" s="333">
        <v>5.9</v>
      </c>
    </row>
    <row r="174" spans="1:5" ht="15.6" x14ac:dyDescent="0.25">
      <c r="A174" s="340">
        <v>1</v>
      </c>
      <c r="B174" s="326">
        <v>2</v>
      </c>
      <c r="C174" s="327">
        <v>1046</v>
      </c>
      <c r="D174" s="328" t="s">
        <v>645</v>
      </c>
      <c r="E174" s="329">
        <v>42.3</v>
      </c>
    </row>
    <row r="175" spans="1:5" ht="15.6" x14ac:dyDescent="0.25">
      <c r="A175" s="341">
        <v>1</v>
      </c>
      <c r="B175" s="330">
        <v>2</v>
      </c>
      <c r="C175" s="331">
        <v>1046</v>
      </c>
      <c r="D175" s="332" t="s">
        <v>652</v>
      </c>
      <c r="E175" s="333">
        <v>2.7</v>
      </c>
    </row>
    <row r="176" spans="1:5" ht="15.6" x14ac:dyDescent="0.25">
      <c r="A176" s="340">
        <v>1</v>
      </c>
      <c r="B176" s="326">
        <v>2</v>
      </c>
      <c r="C176" s="327">
        <v>1046</v>
      </c>
      <c r="D176" s="328" t="s">
        <v>647</v>
      </c>
      <c r="E176" s="329">
        <v>2.9</v>
      </c>
    </row>
    <row r="177" spans="1:5" ht="15.6" x14ac:dyDescent="0.25">
      <c r="A177" s="341">
        <v>1</v>
      </c>
      <c r="B177" s="330">
        <v>2</v>
      </c>
      <c r="C177" s="331">
        <v>1046</v>
      </c>
      <c r="D177" s="332" t="s">
        <v>648</v>
      </c>
      <c r="E177" s="333">
        <v>2.6</v>
      </c>
    </row>
    <row r="178" spans="1:5" ht="15.6" x14ac:dyDescent="0.25">
      <c r="A178" s="340">
        <v>1</v>
      </c>
      <c r="B178" s="326">
        <v>2</v>
      </c>
      <c r="C178" s="327">
        <v>1047</v>
      </c>
      <c r="D178" s="328" t="s">
        <v>645</v>
      </c>
      <c r="E178" s="329">
        <v>42.8</v>
      </c>
    </row>
    <row r="179" spans="1:5" ht="15.6" x14ac:dyDescent="0.25">
      <c r="A179" s="341">
        <v>1</v>
      </c>
      <c r="B179" s="330">
        <v>2</v>
      </c>
      <c r="C179" s="331">
        <v>1047</v>
      </c>
      <c r="D179" s="332" t="s">
        <v>652</v>
      </c>
      <c r="E179" s="333">
        <v>4.2</v>
      </c>
    </row>
    <row r="180" spans="1:5" ht="15.6" x14ac:dyDescent="0.25">
      <c r="A180" s="340">
        <v>1</v>
      </c>
      <c r="B180" s="326">
        <v>2</v>
      </c>
      <c r="C180" s="327">
        <v>1047</v>
      </c>
      <c r="D180" s="328" t="s">
        <v>647</v>
      </c>
      <c r="E180" s="329">
        <v>4.0999999999999996</v>
      </c>
    </row>
    <row r="181" spans="1:5" ht="15.6" x14ac:dyDescent="0.25">
      <c r="A181" s="341">
        <v>1</v>
      </c>
      <c r="B181" s="330">
        <v>2</v>
      </c>
      <c r="C181" s="331">
        <v>1050</v>
      </c>
      <c r="D181" s="332" t="s">
        <v>645</v>
      </c>
      <c r="E181" s="333">
        <v>94.9</v>
      </c>
    </row>
    <row r="182" spans="1:5" ht="15.6" x14ac:dyDescent="0.25">
      <c r="A182" s="340">
        <v>1</v>
      </c>
      <c r="B182" s="326">
        <v>2</v>
      </c>
      <c r="C182" s="327">
        <v>1050</v>
      </c>
      <c r="D182" s="328" t="s">
        <v>652</v>
      </c>
      <c r="E182" s="329">
        <v>41.6</v>
      </c>
    </row>
    <row r="183" spans="1:5" ht="15.6" x14ac:dyDescent="0.25">
      <c r="A183" s="341">
        <v>1</v>
      </c>
      <c r="B183" s="330">
        <v>2</v>
      </c>
      <c r="C183" s="331">
        <v>1050</v>
      </c>
      <c r="D183" s="332" t="s">
        <v>648</v>
      </c>
      <c r="E183" s="333">
        <v>3.9</v>
      </c>
    </row>
    <row r="184" spans="1:5" ht="15.6" x14ac:dyDescent="0.25">
      <c r="A184" s="340">
        <v>1</v>
      </c>
      <c r="B184" s="326">
        <v>2</v>
      </c>
      <c r="C184" s="327">
        <v>1051</v>
      </c>
      <c r="D184" s="328" t="s">
        <v>645</v>
      </c>
      <c r="E184" s="329">
        <v>62.2</v>
      </c>
    </row>
    <row r="185" spans="1:5" ht="15.6" x14ac:dyDescent="0.25">
      <c r="A185" s="341">
        <v>1</v>
      </c>
      <c r="B185" s="330">
        <v>2</v>
      </c>
      <c r="C185" s="331">
        <v>1051</v>
      </c>
      <c r="D185" s="332" t="s">
        <v>652</v>
      </c>
      <c r="E185" s="333">
        <v>20</v>
      </c>
    </row>
    <row r="186" spans="1:5" ht="15.6" x14ac:dyDescent="0.25">
      <c r="A186" s="340">
        <v>1</v>
      </c>
      <c r="B186" s="326">
        <v>2</v>
      </c>
      <c r="C186" s="327">
        <v>1051</v>
      </c>
      <c r="D186" s="328" t="s">
        <v>648</v>
      </c>
      <c r="E186" s="329">
        <v>3.8</v>
      </c>
    </row>
    <row r="187" spans="1:5" ht="15.6" x14ac:dyDescent="0.25">
      <c r="A187" s="341">
        <v>1</v>
      </c>
      <c r="B187" s="330">
        <v>2</v>
      </c>
      <c r="C187" s="331">
        <v>1053</v>
      </c>
      <c r="D187" s="332" t="s">
        <v>645</v>
      </c>
      <c r="E187" s="333">
        <v>39.299999999999997</v>
      </c>
    </row>
    <row r="188" spans="1:5" ht="15.6" x14ac:dyDescent="0.25">
      <c r="A188" s="340">
        <v>1</v>
      </c>
      <c r="B188" s="326">
        <v>2</v>
      </c>
      <c r="C188" s="327">
        <v>1053</v>
      </c>
      <c r="D188" s="328" t="s">
        <v>652</v>
      </c>
      <c r="E188" s="329">
        <v>1.6</v>
      </c>
    </row>
    <row r="189" spans="1:5" ht="15.6" x14ac:dyDescent="0.25">
      <c r="A189" s="341">
        <v>1</v>
      </c>
      <c r="B189" s="330">
        <v>2</v>
      </c>
      <c r="C189" s="331">
        <v>1053</v>
      </c>
      <c r="D189" s="332" t="s">
        <v>647</v>
      </c>
      <c r="E189" s="333">
        <v>3.4</v>
      </c>
    </row>
    <row r="190" spans="1:5" ht="15.6" x14ac:dyDescent="0.25">
      <c r="A190" s="340">
        <v>1</v>
      </c>
      <c r="B190" s="326">
        <v>2</v>
      </c>
      <c r="C190" s="327">
        <v>1053</v>
      </c>
      <c r="D190" s="328" t="s">
        <v>648</v>
      </c>
      <c r="E190" s="329">
        <v>1.2</v>
      </c>
    </row>
    <row r="191" spans="1:5" ht="15.6" x14ac:dyDescent="0.25">
      <c r="A191" s="341">
        <v>1</v>
      </c>
      <c r="B191" s="330">
        <v>2</v>
      </c>
      <c r="C191" s="331">
        <v>1054</v>
      </c>
      <c r="D191" s="332" t="s">
        <v>645</v>
      </c>
      <c r="E191" s="333">
        <v>95.7</v>
      </c>
    </row>
    <row r="192" spans="1:5" ht="15.6" x14ac:dyDescent="0.25">
      <c r="A192" s="340">
        <v>1</v>
      </c>
      <c r="B192" s="326">
        <v>2</v>
      </c>
      <c r="C192" s="327">
        <v>1055</v>
      </c>
      <c r="D192" s="328" t="s">
        <v>645</v>
      </c>
      <c r="E192" s="329">
        <v>4.9000000000000004</v>
      </c>
    </row>
    <row r="193" spans="1:5" ht="15.6" x14ac:dyDescent="0.25">
      <c r="A193" s="341">
        <v>1</v>
      </c>
      <c r="B193" s="330">
        <v>2</v>
      </c>
      <c r="C193" s="331">
        <v>1055</v>
      </c>
      <c r="D193" s="332" t="s">
        <v>652</v>
      </c>
      <c r="E193" s="333">
        <v>4.9000000000000004</v>
      </c>
    </row>
    <row r="194" spans="1:5" ht="15.6" x14ac:dyDescent="0.25">
      <c r="A194" s="340">
        <v>1</v>
      </c>
      <c r="B194" s="326">
        <v>2</v>
      </c>
      <c r="C194" s="327">
        <v>1055</v>
      </c>
      <c r="D194" s="328" t="s">
        <v>655</v>
      </c>
      <c r="E194" s="329">
        <v>21.8</v>
      </c>
    </row>
    <row r="195" spans="1:5" ht="15.6" x14ac:dyDescent="0.25">
      <c r="A195" s="341">
        <v>1</v>
      </c>
      <c r="B195" s="330">
        <v>2</v>
      </c>
      <c r="C195" s="331">
        <v>1056</v>
      </c>
      <c r="D195" s="332" t="s">
        <v>645</v>
      </c>
      <c r="E195" s="333">
        <v>30.6</v>
      </c>
    </row>
    <row r="196" spans="1:5" ht="15.6" x14ac:dyDescent="0.25">
      <c r="A196" s="340">
        <v>1</v>
      </c>
      <c r="B196" s="326">
        <v>2</v>
      </c>
      <c r="C196" s="327">
        <v>1056</v>
      </c>
      <c r="D196" s="328" t="s">
        <v>648</v>
      </c>
      <c r="E196" s="329">
        <v>5.4</v>
      </c>
    </row>
    <row r="197" spans="1:5" ht="15.6" x14ac:dyDescent="0.25">
      <c r="A197" s="341">
        <v>1</v>
      </c>
      <c r="B197" s="330">
        <v>2</v>
      </c>
      <c r="C197" s="331">
        <v>1056</v>
      </c>
      <c r="D197" s="332" t="s">
        <v>655</v>
      </c>
      <c r="E197" s="333">
        <v>12.1</v>
      </c>
    </row>
    <row r="198" spans="1:5" ht="15.6" x14ac:dyDescent="0.25">
      <c r="A198" s="340">
        <v>1</v>
      </c>
      <c r="B198" s="326">
        <v>2</v>
      </c>
      <c r="C198" s="327">
        <v>1069</v>
      </c>
      <c r="D198" s="328" t="s">
        <v>645</v>
      </c>
      <c r="E198" s="329">
        <v>24.8</v>
      </c>
    </row>
    <row r="199" spans="1:5" ht="15.6" x14ac:dyDescent="0.25">
      <c r="A199" s="342">
        <v>1</v>
      </c>
      <c r="B199" s="343">
        <v>2</v>
      </c>
      <c r="C199" s="344">
        <v>1069</v>
      </c>
      <c r="D199" s="345" t="s">
        <v>638</v>
      </c>
      <c r="E199" s="346">
        <v>22.5</v>
      </c>
    </row>
    <row r="201" spans="1:5" x14ac:dyDescent="0.25">
      <c r="D201" s="316" t="s">
        <v>642</v>
      </c>
      <c r="E201" s="334">
        <f>SUMIF($D$155:$D$199,D201,$E$155:$E$199)</f>
        <v>0</v>
      </c>
    </row>
    <row r="202" spans="1:5" x14ac:dyDescent="0.25">
      <c r="D202" s="316" t="s">
        <v>648</v>
      </c>
      <c r="E202" s="334">
        <f t="shared" ref="E202:E227" si="1">SUMIF($D$155:$D$199,D202,$E$155:$E$199)</f>
        <v>41</v>
      </c>
    </row>
    <row r="203" spans="1:5" x14ac:dyDescent="0.25">
      <c r="E203" s="334">
        <f t="shared" si="1"/>
        <v>0</v>
      </c>
    </row>
    <row r="204" spans="1:5" x14ac:dyDescent="0.25">
      <c r="D204" s="316" t="s">
        <v>644</v>
      </c>
      <c r="E204" s="334">
        <f t="shared" si="1"/>
        <v>0</v>
      </c>
    </row>
    <row r="205" spans="1:5" x14ac:dyDescent="0.25">
      <c r="D205" s="316" t="s">
        <v>645</v>
      </c>
      <c r="E205" s="334">
        <f t="shared" si="1"/>
        <v>624.6</v>
      </c>
    </row>
    <row r="206" spans="1:5" x14ac:dyDescent="0.25">
      <c r="D206" s="316" t="s">
        <v>652</v>
      </c>
      <c r="E206" s="334">
        <f t="shared" si="1"/>
        <v>91.6</v>
      </c>
    </row>
    <row r="207" spans="1:5" x14ac:dyDescent="0.25">
      <c r="D207" s="316" t="s">
        <v>657</v>
      </c>
      <c r="E207" s="334">
        <f t="shared" si="1"/>
        <v>0</v>
      </c>
    </row>
    <row r="208" spans="1:5" x14ac:dyDescent="0.25">
      <c r="D208" s="316" t="s">
        <v>646</v>
      </c>
      <c r="E208" s="334">
        <f t="shared" si="1"/>
        <v>0</v>
      </c>
    </row>
    <row r="209" spans="4:5" x14ac:dyDescent="0.25">
      <c r="D209" s="316" t="s">
        <v>653</v>
      </c>
      <c r="E209" s="334">
        <f t="shared" si="1"/>
        <v>0</v>
      </c>
    </row>
    <row r="210" spans="4:5" x14ac:dyDescent="0.25">
      <c r="D210" s="316" t="s">
        <v>658</v>
      </c>
      <c r="E210" s="334">
        <f t="shared" si="1"/>
        <v>0</v>
      </c>
    </row>
    <row r="211" spans="4:5" x14ac:dyDescent="0.25">
      <c r="E211" s="334">
        <f>SUM(E205:E206)</f>
        <v>716.2</v>
      </c>
    </row>
    <row r="212" spans="4:5" x14ac:dyDescent="0.25">
      <c r="D212" s="316" t="s">
        <v>638</v>
      </c>
      <c r="E212" s="334">
        <f t="shared" si="1"/>
        <v>398.5</v>
      </c>
    </row>
    <row r="213" spans="4:5" x14ac:dyDescent="0.25">
      <c r="D213" s="316" t="s">
        <v>637</v>
      </c>
      <c r="E213" s="334">
        <f t="shared" si="1"/>
        <v>86.9</v>
      </c>
    </row>
    <row r="214" spans="4:5" x14ac:dyDescent="0.25">
      <c r="E214" s="334">
        <f>SUM(E212:E213)</f>
        <v>485.4</v>
      </c>
    </row>
    <row r="215" spans="4:5" x14ac:dyDescent="0.25">
      <c r="E215" s="334">
        <f t="shared" si="1"/>
        <v>0</v>
      </c>
    </row>
    <row r="216" spans="4:5" x14ac:dyDescent="0.25">
      <c r="D216" s="316" t="s">
        <v>640</v>
      </c>
      <c r="E216" s="334">
        <f t="shared" si="1"/>
        <v>92.1</v>
      </c>
    </row>
    <row r="217" spans="4:5" x14ac:dyDescent="0.25">
      <c r="E217" s="334">
        <f t="shared" si="1"/>
        <v>0</v>
      </c>
    </row>
    <row r="218" spans="4:5" x14ac:dyDescent="0.25">
      <c r="D218" s="316" t="s">
        <v>649</v>
      </c>
      <c r="E218" s="334">
        <f t="shared" si="1"/>
        <v>0</v>
      </c>
    </row>
    <row r="219" spans="4:5" x14ac:dyDescent="0.25">
      <c r="D219" s="316" t="s">
        <v>655</v>
      </c>
      <c r="E219" s="334">
        <f t="shared" si="1"/>
        <v>33.9</v>
      </c>
    </row>
    <row r="220" spans="4:5" x14ac:dyDescent="0.25">
      <c r="E220" s="334">
        <f t="shared" si="1"/>
        <v>0</v>
      </c>
    </row>
    <row r="221" spans="4:5" x14ac:dyDescent="0.25">
      <c r="D221" s="316" t="s">
        <v>641</v>
      </c>
      <c r="E221" s="334">
        <f t="shared" si="1"/>
        <v>0</v>
      </c>
    </row>
    <row r="222" spans="4:5" x14ac:dyDescent="0.25">
      <c r="E222" s="334">
        <f t="shared" si="1"/>
        <v>0</v>
      </c>
    </row>
    <row r="223" spans="4:5" x14ac:dyDescent="0.25">
      <c r="E223" s="334">
        <f t="shared" si="1"/>
        <v>0</v>
      </c>
    </row>
    <row r="224" spans="4:5" x14ac:dyDescent="0.25">
      <c r="D224" s="316" t="s">
        <v>639</v>
      </c>
      <c r="E224" s="334">
        <f t="shared" si="1"/>
        <v>27.799999999999997</v>
      </c>
    </row>
    <row r="225" spans="3:5" x14ac:dyDescent="0.25">
      <c r="E225" s="334">
        <f t="shared" si="1"/>
        <v>0</v>
      </c>
    </row>
    <row r="226" spans="3:5" x14ac:dyDescent="0.25">
      <c r="D226" s="316" t="s">
        <v>647</v>
      </c>
      <c r="E226" s="334">
        <f t="shared" si="1"/>
        <v>11.9</v>
      </c>
    </row>
    <row r="227" spans="3:5" x14ac:dyDescent="0.25">
      <c r="D227" s="316" t="s">
        <v>663</v>
      </c>
      <c r="E227" s="334">
        <f t="shared" si="1"/>
        <v>0</v>
      </c>
    </row>
    <row r="229" spans="3:5" ht="15.6" x14ac:dyDescent="0.25">
      <c r="C229" s="331">
        <v>1048</v>
      </c>
      <c r="D229" s="332" t="s">
        <v>645</v>
      </c>
      <c r="E229" s="333">
        <v>68.099999999999994</v>
      </c>
    </row>
    <row r="230" spans="3:5" ht="15.6" x14ac:dyDescent="0.25">
      <c r="C230" s="327">
        <v>1048</v>
      </c>
      <c r="D230" s="328" t="s">
        <v>652</v>
      </c>
      <c r="E230" s="329">
        <v>22.4</v>
      </c>
    </row>
    <row r="231" spans="3:5" ht="15.6" x14ac:dyDescent="0.25">
      <c r="C231" s="331">
        <v>1052</v>
      </c>
      <c r="D231" s="332" t="s">
        <v>645</v>
      </c>
      <c r="E231" s="333">
        <v>41.2</v>
      </c>
    </row>
    <row r="232" spans="3:5" ht="15.6" x14ac:dyDescent="0.25">
      <c r="C232" s="327">
        <v>1052</v>
      </c>
      <c r="D232" s="328" t="s">
        <v>652</v>
      </c>
      <c r="E232" s="329">
        <v>2.1</v>
      </c>
    </row>
    <row r="233" spans="3:5" ht="15.6" x14ac:dyDescent="0.25">
      <c r="C233" s="331">
        <v>1052</v>
      </c>
      <c r="D233" s="332" t="s">
        <v>647</v>
      </c>
      <c r="E233" s="333">
        <v>3.2</v>
      </c>
    </row>
    <row r="234" spans="3:5" ht="15.6" x14ac:dyDescent="0.25">
      <c r="C234" s="327">
        <v>1052</v>
      </c>
      <c r="D234" s="328" t="s">
        <v>648</v>
      </c>
      <c r="E234" s="329">
        <v>2.9</v>
      </c>
    </row>
    <row r="235" spans="3:5" ht="15.6" x14ac:dyDescent="0.25">
      <c r="C235" s="331">
        <v>1057</v>
      </c>
      <c r="D235" s="332" t="s">
        <v>645</v>
      </c>
      <c r="E235" s="333">
        <v>28.2</v>
      </c>
    </row>
    <row r="236" spans="3:5" ht="15.6" x14ac:dyDescent="0.25">
      <c r="C236" s="327">
        <v>1057</v>
      </c>
      <c r="D236" s="328" t="s">
        <v>652</v>
      </c>
      <c r="E236" s="329">
        <v>14.6</v>
      </c>
    </row>
    <row r="237" spans="3:5" ht="15.6" x14ac:dyDescent="0.25">
      <c r="C237" s="331">
        <v>1057</v>
      </c>
      <c r="D237" s="332" t="s">
        <v>655</v>
      </c>
      <c r="E237" s="333">
        <v>7.1</v>
      </c>
    </row>
    <row r="238" spans="3:5" ht="15.6" x14ac:dyDescent="0.25">
      <c r="C238" s="327">
        <v>1058</v>
      </c>
      <c r="D238" s="328" t="s">
        <v>645</v>
      </c>
      <c r="E238" s="329">
        <v>37</v>
      </c>
    </row>
    <row r="239" spans="3:5" ht="15.6" x14ac:dyDescent="0.25">
      <c r="C239" s="331">
        <v>1058</v>
      </c>
      <c r="D239" s="332" t="s">
        <v>652</v>
      </c>
      <c r="E239" s="333">
        <v>2.4</v>
      </c>
    </row>
    <row r="240" spans="3:5" ht="15.6" x14ac:dyDescent="0.25">
      <c r="C240" s="327">
        <v>1058</v>
      </c>
      <c r="D240" s="328" t="s">
        <v>647</v>
      </c>
      <c r="E240" s="329">
        <v>2.7</v>
      </c>
    </row>
    <row r="241" spans="3:5" ht="15.6" x14ac:dyDescent="0.25">
      <c r="C241" s="331">
        <v>1058</v>
      </c>
      <c r="D241" s="332" t="s">
        <v>648</v>
      </c>
      <c r="E241" s="333">
        <v>7.4</v>
      </c>
    </row>
    <row r="242" spans="3:5" ht="15.6" x14ac:dyDescent="0.25">
      <c r="C242" s="327">
        <v>1059</v>
      </c>
      <c r="D242" s="328" t="s">
        <v>637</v>
      </c>
      <c r="E242" s="329">
        <v>35.5</v>
      </c>
    </row>
    <row r="243" spans="3:5" ht="15.6" x14ac:dyDescent="0.25">
      <c r="C243" s="331">
        <v>1059</v>
      </c>
      <c r="D243" s="332" t="s">
        <v>638</v>
      </c>
      <c r="E243" s="333">
        <v>50.1</v>
      </c>
    </row>
    <row r="244" spans="3:5" ht="15.6" x14ac:dyDescent="0.25">
      <c r="C244" s="327">
        <v>1059</v>
      </c>
      <c r="D244" s="328" t="s">
        <v>640</v>
      </c>
      <c r="E244" s="329">
        <v>3</v>
      </c>
    </row>
    <row r="245" spans="3:5" ht="15.6" x14ac:dyDescent="0.25">
      <c r="C245" s="331">
        <v>1060</v>
      </c>
      <c r="D245" s="332" t="s">
        <v>637</v>
      </c>
      <c r="E245" s="333">
        <v>27.1</v>
      </c>
    </row>
    <row r="246" spans="3:5" ht="15.6" x14ac:dyDescent="0.25">
      <c r="C246" s="327">
        <v>1060</v>
      </c>
      <c r="D246" s="328" t="s">
        <v>638</v>
      </c>
      <c r="E246" s="329">
        <v>12.2</v>
      </c>
    </row>
    <row r="247" spans="3:5" ht="15.6" x14ac:dyDescent="0.25">
      <c r="C247" s="331">
        <v>1061</v>
      </c>
      <c r="D247" s="332" t="s">
        <v>637</v>
      </c>
      <c r="E247" s="333">
        <v>63</v>
      </c>
    </row>
    <row r="248" spans="3:5" ht="15.6" x14ac:dyDescent="0.25">
      <c r="C248" s="327">
        <v>1061</v>
      </c>
      <c r="D248" s="328" t="s">
        <v>638</v>
      </c>
      <c r="E248" s="329">
        <v>9.3000000000000007</v>
      </c>
    </row>
    <row r="249" spans="3:5" ht="15.6" x14ac:dyDescent="0.25">
      <c r="C249" s="331">
        <v>1061</v>
      </c>
      <c r="D249" s="332" t="s">
        <v>640</v>
      </c>
      <c r="E249" s="333">
        <v>8.4</v>
      </c>
    </row>
    <row r="250" spans="3:5" ht="15.6" x14ac:dyDescent="0.25">
      <c r="C250" s="327">
        <v>1061</v>
      </c>
      <c r="D250" s="328" t="s">
        <v>641</v>
      </c>
      <c r="E250" s="329">
        <v>8.5</v>
      </c>
    </row>
    <row r="251" spans="3:5" ht="15.6" x14ac:dyDescent="0.25">
      <c r="C251" s="331">
        <v>1062</v>
      </c>
      <c r="D251" s="332" t="s">
        <v>645</v>
      </c>
      <c r="E251" s="333">
        <v>28.3</v>
      </c>
    </row>
    <row r="252" spans="3:5" ht="15.6" x14ac:dyDescent="0.25">
      <c r="C252" s="327">
        <v>1062</v>
      </c>
      <c r="D252" s="328" t="s">
        <v>652</v>
      </c>
      <c r="E252" s="329">
        <v>13.1</v>
      </c>
    </row>
    <row r="253" spans="3:5" ht="15.6" x14ac:dyDescent="0.25">
      <c r="C253" s="331">
        <v>1062</v>
      </c>
      <c r="D253" s="332" t="s">
        <v>648</v>
      </c>
      <c r="E253" s="333">
        <v>3.1</v>
      </c>
    </row>
    <row r="254" spans="3:5" ht="15.6" x14ac:dyDescent="0.25">
      <c r="C254" s="327">
        <v>1062</v>
      </c>
      <c r="D254" s="328" t="s">
        <v>655</v>
      </c>
      <c r="E254" s="329">
        <v>11.3</v>
      </c>
    </row>
    <row r="255" spans="3:5" ht="15.6" x14ac:dyDescent="0.25">
      <c r="C255" s="331">
        <v>1063</v>
      </c>
      <c r="D255" s="332" t="s">
        <v>645</v>
      </c>
      <c r="E255" s="333">
        <v>26.4</v>
      </c>
    </row>
    <row r="256" spans="3:5" ht="15.6" x14ac:dyDescent="0.25">
      <c r="C256" s="327">
        <v>1063</v>
      </c>
      <c r="D256" s="328" t="s">
        <v>652</v>
      </c>
      <c r="E256" s="329">
        <v>3.8</v>
      </c>
    </row>
    <row r="257" spans="3:5" ht="15.6" x14ac:dyDescent="0.25">
      <c r="C257" s="331">
        <v>1063</v>
      </c>
      <c r="D257" s="332" t="s">
        <v>655</v>
      </c>
      <c r="E257" s="333">
        <v>6.1</v>
      </c>
    </row>
    <row r="258" spans="3:5" ht="15.6" x14ac:dyDescent="0.25">
      <c r="C258" s="327">
        <v>1064</v>
      </c>
      <c r="D258" s="328" t="s">
        <v>645</v>
      </c>
      <c r="E258" s="329">
        <v>26.4</v>
      </c>
    </row>
    <row r="259" spans="3:5" ht="15.6" x14ac:dyDescent="0.25">
      <c r="C259" s="331">
        <v>1064</v>
      </c>
      <c r="D259" s="332" t="s">
        <v>648</v>
      </c>
      <c r="E259" s="333">
        <v>5.0999999999999996</v>
      </c>
    </row>
    <row r="260" spans="3:5" ht="15.6" x14ac:dyDescent="0.25">
      <c r="C260" s="327">
        <v>1064</v>
      </c>
      <c r="D260" s="328" t="s">
        <v>655</v>
      </c>
      <c r="E260" s="329">
        <v>7.4</v>
      </c>
    </row>
    <row r="261" spans="3:5" ht="15.6" x14ac:dyDescent="0.25">
      <c r="C261" s="331">
        <v>1065</v>
      </c>
      <c r="D261" s="332" t="s">
        <v>644</v>
      </c>
      <c r="E261" s="333">
        <v>18</v>
      </c>
    </row>
    <row r="262" spans="3:5" ht="15.6" x14ac:dyDescent="0.25">
      <c r="C262" s="327">
        <v>1065</v>
      </c>
      <c r="D262" s="328" t="s">
        <v>657</v>
      </c>
      <c r="E262" s="329">
        <v>8.6</v>
      </c>
    </row>
    <row r="263" spans="3:5" ht="15.6" x14ac:dyDescent="0.25">
      <c r="C263" s="331">
        <v>1065</v>
      </c>
      <c r="D263" s="332" t="s">
        <v>649</v>
      </c>
      <c r="E263" s="333">
        <v>7.2</v>
      </c>
    </row>
    <row r="264" spans="3:5" ht="15.6" x14ac:dyDescent="0.25">
      <c r="C264" s="327">
        <v>1066</v>
      </c>
      <c r="D264" s="328" t="s">
        <v>645</v>
      </c>
      <c r="E264" s="329">
        <v>11.1</v>
      </c>
    </row>
    <row r="265" spans="3:5" ht="15.6" x14ac:dyDescent="0.25">
      <c r="C265" s="331">
        <v>1066</v>
      </c>
      <c r="D265" s="332" t="s">
        <v>653</v>
      </c>
      <c r="E265" s="333">
        <v>2</v>
      </c>
    </row>
    <row r="266" spans="3:5" ht="15.6" x14ac:dyDescent="0.25">
      <c r="C266" s="327">
        <v>1066</v>
      </c>
      <c r="D266" s="328" t="s">
        <v>646</v>
      </c>
      <c r="E266" s="329">
        <v>1.4</v>
      </c>
    </row>
    <row r="267" spans="3:5" ht="15.6" x14ac:dyDescent="0.25">
      <c r="C267" s="331">
        <v>1066</v>
      </c>
      <c r="D267" s="332" t="s">
        <v>652</v>
      </c>
      <c r="E267" s="333">
        <v>8.9</v>
      </c>
    </row>
    <row r="268" spans="3:5" ht="15.6" x14ac:dyDescent="0.25">
      <c r="C268" s="327">
        <v>1066</v>
      </c>
      <c r="D268" s="328" t="s">
        <v>658</v>
      </c>
      <c r="E268" s="329">
        <v>2</v>
      </c>
    </row>
    <row r="269" spans="3:5" ht="15.6" x14ac:dyDescent="0.25">
      <c r="C269" s="331">
        <v>1066</v>
      </c>
      <c r="D269" s="332" t="s">
        <v>642</v>
      </c>
      <c r="E269" s="333">
        <v>1.4</v>
      </c>
    </row>
    <row r="270" spans="3:5" ht="15.6" x14ac:dyDescent="0.25">
      <c r="C270" s="327">
        <v>1066</v>
      </c>
      <c r="D270" s="328" t="s">
        <v>648</v>
      </c>
      <c r="E270" s="329">
        <v>7.6</v>
      </c>
    </row>
    <row r="271" spans="3:5" ht="15.6" x14ac:dyDescent="0.25">
      <c r="C271" s="331">
        <v>1066</v>
      </c>
      <c r="D271" s="332" t="s">
        <v>655</v>
      </c>
      <c r="E271" s="333">
        <v>7.5</v>
      </c>
    </row>
    <row r="272" spans="3:5" ht="15.6" x14ac:dyDescent="0.25">
      <c r="C272" s="327">
        <v>1067</v>
      </c>
      <c r="D272" s="328" t="s">
        <v>637</v>
      </c>
      <c r="E272" s="329">
        <v>49.7</v>
      </c>
    </row>
    <row r="273" spans="3:5" ht="15.6" x14ac:dyDescent="0.25">
      <c r="C273" s="331">
        <v>1067</v>
      </c>
      <c r="D273" s="332" t="s">
        <v>638</v>
      </c>
      <c r="E273" s="333">
        <v>240</v>
      </c>
    </row>
    <row r="274" spans="3:5" ht="15.6" x14ac:dyDescent="0.25">
      <c r="C274" s="327">
        <v>1067</v>
      </c>
      <c r="D274" s="328" t="s">
        <v>640</v>
      </c>
      <c r="E274" s="329">
        <v>100.3</v>
      </c>
    </row>
    <row r="275" spans="3:5" ht="15.6" x14ac:dyDescent="0.25">
      <c r="C275" s="319">
        <v>1097</v>
      </c>
      <c r="D275" s="320" t="s">
        <v>637</v>
      </c>
      <c r="E275" s="321">
        <v>14.5</v>
      </c>
    </row>
    <row r="276" spans="3:5" ht="15.6" x14ac:dyDescent="0.25">
      <c r="C276" s="323">
        <v>1097</v>
      </c>
      <c r="D276" s="324" t="s">
        <v>645</v>
      </c>
      <c r="E276" s="325">
        <v>3</v>
      </c>
    </row>
    <row r="277" spans="3:5" ht="15.6" x14ac:dyDescent="0.25">
      <c r="C277" s="319">
        <v>1097</v>
      </c>
      <c r="D277" s="320" t="s">
        <v>646</v>
      </c>
      <c r="E277" s="321">
        <v>5.2</v>
      </c>
    </row>
    <row r="278" spans="3:5" ht="15.6" x14ac:dyDescent="0.25">
      <c r="C278" s="323">
        <v>1097</v>
      </c>
      <c r="D278" s="324" t="s">
        <v>638</v>
      </c>
      <c r="E278" s="325">
        <v>21.4</v>
      </c>
    </row>
    <row r="279" spans="3:5" ht="15.6" x14ac:dyDescent="0.25">
      <c r="C279" s="319">
        <v>1097</v>
      </c>
      <c r="D279" s="320" t="s">
        <v>657</v>
      </c>
      <c r="E279" s="321">
        <v>4.2</v>
      </c>
    </row>
    <row r="280" spans="3:5" ht="15.6" x14ac:dyDescent="0.25">
      <c r="C280" s="323">
        <v>1097</v>
      </c>
      <c r="D280" s="324" t="s">
        <v>658</v>
      </c>
      <c r="E280" s="325">
        <v>0.8</v>
      </c>
    </row>
    <row r="281" spans="3:5" ht="15.6" x14ac:dyDescent="0.25">
      <c r="C281" s="319">
        <v>1097</v>
      </c>
      <c r="D281" s="320" t="s">
        <v>641</v>
      </c>
      <c r="E281" s="321">
        <v>12.6</v>
      </c>
    </row>
    <row r="282" spans="3:5" ht="15.6" x14ac:dyDescent="0.25">
      <c r="C282" s="323">
        <v>1097</v>
      </c>
      <c r="D282" s="324" t="s">
        <v>649</v>
      </c>
      <c r="E282" s="325">
        <v>14.1</v>
      </c>
    </row>
    <row r="283" spans="3:5" ht="15.6" x14ac:dyDescent="0.25">
      <c r="C283" s="319">
        <v>1097</v>
      </c>
      <c r="D283" s="320" t="s">
        <v>655</v>
      </c>
      <c r="E283" s="321">
        <v>12.6</v>
      </c>
    </row>
    <row r="284" spans="3:5" ht="15.6" x14ac:dyDescent="0.25">
      <c r="C284" s="347">
        <v>1098</v>
      </c>
      <c r="D284" s="348" t="s">
        <v>663</v>
      </c>
      <c r="E284" s="349">
        <v>20.5</v>
      </c>
    </row>
    <row r="285" spans="3:5" ht="15.6" x14ac:dyDescent="0.25">
      <c r="C285" s="319" t="s">
        <v>662</v>
      </c>
      <c r="D285" s="320" t="s">
        <v>637</v>
      </c>
      <c r="E285" s="321">
        <v>10.8</v>
      </c>
    </row>
    <row r="286" spans="3:5" ht="15.6" x14ac:dyDescent="0.25">
      <c r="C286" s="323" t="s">
        <v>662</v>
      </c>
      <c r="D286" s="324" t="s">
        <v>638</v>
      </c>
      <c r="E286" s="325">
        <v>88.1</v>
      </c>
    </row>
    <row r="287" spans="3:5" ht="15.6" x14ac:dyDescent="0.25">
      <c r="C287" s="319" t="s">
        <v>662</v>
      </c>
      <c r="D287" s="320" t="s">
        <v>639</v>
      </c>
      <c r="E287" s="321">
        <v>8.3000000000000007</v>
      </c>
    </row>
    <row r="288" spans="3:5" ht="15.6" x14ac:dyDescent="0.25">
      <c r="C288" s="323" t="s">
        <v>662</v>
      </c>
      <c r="D288" s="324" t="s">
        <v>640</v>
      </c>
      <c r="E288" s="325">
        <v>48.3</v>
      </c>
    </row>
    <row r="289" spans="3:5" ht="15.6" x14ac:dyDescent="0.25">
      <c r="C289" s="319">
        <v>1094</v>
      </c>
      <c r="D289" s="320" t="s">
        <v>637</v>
      </c>
      <c r="E289" s="321">
        <v>39.5</v>
      </c>
    </row>
    <row r="290" spans="3:5" ht="15.6" x14ac:dyDescent="0.25">
      <c r="C290" s="323">
        <v>1094</v>
      </c>
      <c r="D290" s="324" t="s">
        <v>638</v>
      </c>
      <c r="E290" s="325">
        <v>220.4</v>
      </c>
    </row>
    <row r="291" spans="3:5" ht="15.6" x14ac:dyDescent="0.25">
      <c r="C291" s="319">
        <v>1094</v>
      </c>
      <c r="D291" s="320" t="s">
        <v>639</v>
      </c>
      <c r="E291" s="321">
        <v>9.3000000000000007</v>
      </c>
    </row>
    <row r="292" spans="3:5" ht="15.6" x14ac:dyDescent="0.25">
      <c r="C292" s="323">
        <v>1094</v>
      </c>
      <c r="D292" s="324" t="s">
        <v>640</v>
      </c>
      <c r="E292" s="325">
        <v>52.3</v>
      </c>
    </row>
    <row r="293" spans="3:5" ht="15.6" x14ac:dyDescent="0.25">
      <c r="C293" s="319">
        <v>1084</v>
      </c>
      <c r="D293" s="320" t="s">
        <v>637</v>
      </c>
      <c r="E293" s="321">
        <v>8</v>
      </c>
    </row>
    <row r="294" spans="3:5" ht="15.6" x14ac:dyDescent="0.25">
      <c r="C294" s="323">
        <v>1084</v>
      </c>
      <c r="D294" s="324" t="s">
        <v>638</v>
      </c>
      <c r="E294" s="325">
        <v>83.4</v>
      </c>
    </row>
    <row r="295" spans="3:5" ht="15.6" x14ac:dyDescent="0.25">
      <c r="C295" s="319">
        <v>1084</v>
      </c>
      <c r="D295" s="320" t="s">
        <v>639</v>
      </c>
      <c r="E295" s="321">
        <v>3.5</v>
      </c>
    </row>
    <row r="296" spans="3:5" ht="15.6" x14ac:dyDescent="0.25">
      <c r="C296" s="323">
        <v>1084</v>
      </c>
      <c r="D296" s="324" t="s">
        <v>640</v>
      </c>
      <c r="E296" s="325">
        <v>5.7</v>
      </c>
    </row>
    <row r="297" spans="3:5" ht="15.6" x14ac:dyDescent="0.25">
      <c r="C297" s="319">
        <v>1084</v>
      </c>
      <c r="D297" s="320" t="s">
        <v>641</v>
      </c>
      <c r="E297" s="321">
        <v>5.2</v>
      </c>
    </row>
    <row r="298" spans="3:5" ht="15.6" x14ac:dyDescent="0.25">
      <c r="C298" s="323">
        <v>1085</v>
      </c>
      <c r="D298" s="324" t="s">
        <v>637</v>
      </c>
      <c r="E298" s="325">
        <v>8</v>
      </c>
    </row>
    <row r="299" spans="3:5" ht="15.6" x14ac:dyDescent="0.25">
      <c r="C299" s="319">
        <v>1085</v>
      </c>
      <c r="D299" s="320" t="s">
        <v>638</v>
      </c>
      <c r="E299" s="321">
        <v>86.1</v>
      </c>
    </row>
    <row r="300" spans="3:5" ht="15.6" x14ac:dyDescent="0.25">
      <c r="C300" s="323">
        <v>1085</v>
      </c>
      <c r="D300" s="324" t="s">
        <v>639</v>
      </c>
      <c r="E300" s="325">
        <v>3.7</v>
      </c>
    </row>
    <row r="301" spans="3:5" ht="15.6" x14ac:dyDescent="0.25">
      <c r="C301" s="350">
        <v>1085</v>
      </c>
      <c r="D301" s="351" t="s">
        <v>640</v>
      </c>
      <c r="E301" s="352">
        <v>10.9</v>
      </c>
    </row>
    <row r="303" spans="3:5" x14ac:dyDescent="0.25">
      <c r="D303" s="316" t="s">
        <v>642</v>
      </c>
      <c r="E303" s="334">
        <f>SUMIF($D$229:$D$301,D303,$E$229:$E$301)</f>
        <v>1.4</v>
      </c>
    </row>
    <row r="304" spans="3:5" x14ac:dyDescent="0.25">
      <c r="D304" s="316" t="s">
        <v>648</v>
      </c>
      <c r="E304" s="334">
        <f t="shared" ref="E304:E329" si="2">SUMIF($D$229:$D$301,D304,$E$229:$E$301)</f>
        <v>26.1</v>
      </c>
    </row>
    <row r="305" spans="4:5" x14ac:dyDescent="0.25">
      <c r="E305" s="334">
        <f>SUM(E303:E304)</f>
        <v>27.5</v>
      </c>
    </row>
    <row r="306" spans="4:5" x14ac:dyDescent="0.25">
      <c r="D306" s="316" t="s">
        <v>644</v>
      </c>
      <c r="E306" s="334">
        <f t="shared" si="2"/>
        <v>18</v>
      </c>
    </row>
    <row r="307" spans="4:5" x14ac:dyDescent="0.25">
      <c r="D307" s="316" t="s">
        <v>645</v>
      </c>
      <c r="E307" s="334">
        <f t="shared" si="2"/>
        <v>269.70000000000005</v>
      </c>
    </row>
    <row r="308" spans="4:5" x14ac:dyDescent="0.25">
      <c r="D308" s="316" t="s">
        <v>652</v>
      </c>
      <c r="E308" s="334">
        <f t="shared" si="2"/>
        <v>67.3</v>
      </c>
    </row>
    <row r="309" spans="4:5" x14ac:dyDescent="0.25">
      <c r="D309" s="316" t="s">
        <v>657</v>
      </c>
      <c r="E309" s="334">
        <f t="shared" si="2"/>
        <v>12.8</v>
      </c>
    </row>
    <row r="310" spans="4:5" x14ac:dyDescent="0.25">
      <c r="D310" s="316" t="s">
        <v>646</v>
      </c>
      <c r="E310" s="334">
        <f t="shared" si="2"/>
        <v>6.6</v>
      </c>
    </row>
    <row r="311" spans="4:5" x14ac:dyDescent="0.25">
      <c r="D311" s="316" t="s">
        <v>653</v>
      </c>
      <c r="E311" s="334">
        <f t="shared" si="2"/>
        <v>2</v>
      </c>
    </row>
    <row r="312" spans="4:5" x14ac:dyDescent="0.25">
      <c r="D312" s="316" t="s">
        <v>658</v>
      </c>
      <c r="E312" s="334">
        <f t="shared" si="2"/>
        <v>2.8</v>
      </c>
    </row>
    <row r="313" spans="4:5" x14ac:dyDescent="0.25">
      <c r="E313" s="334">
        <f>SUM(E306:E312)</f>
        <v>379.2000000000001</v>
      </c>
    </row>
    <row r="314" spans="4:5" x14ac:dyDescent="0.25">
      <c r="D314" s="316" t="s">
        <v>638</v>
      </c>
      <c r="E314" s="334">
        <f t="shared" si="2"/>
        <v>811</v>
      </c>
    </row>
    <row r="315" spans="4:5" x14ac:dyDescent="0.25">
      <c r="D315" s="316" t="s">
        <v>637</v>
      </c>
      <c r="E315" s="334">
        <f t="shared" si="2"/>
        <v>256.10000000000002</v>
      </c>
    </row>
    <row r="316" spans="4:5" x14ac:dyDescent="0.25">
      <c r="E316" s="334">
        <f>SUM(E314:E315)</f>
        <v>1067.0999999999999</v>
      </c>
    </row>
    <row r="317" spans="4:5" x14ac:dyDescent="0.25">
      <c r="E317" s="334"/>
    </row>
    <row r="318" spans="4:5" x14ac:dyDescent="0.25">
      <c r="D318" s="316" t="s">
        <v>640</v>
      </c>
      <c r="E318" s="334">
        <f t="shared" si="2"/>
        <v>228.9</v>
      </c>
    </row>
    <row r="319" spans="4:5" x14ac:dyDescent="0.25">
      <c r="E319" s="334"/>
    </row>
    <row r="320" spans="4:5" x14ac:dyDescent="0.25">
      <c r="D320" s="316" t="s">
        <v>649</v>
      </c>
      <c r="E320" s="334">
        <f t="shared" si="2"/>
        <v>21.3</v>
      </c>
    </row>
    <row r="321" spans="4:5" x14ac:dyDescent="0.25">
      <c r="D321" s="316" t="s">
        <v>655</v>
      </c>
      <c r="E321" s="334">
        <f t="shared" si="2"/>
        <v>52</v>
      </c>
    </row>
    <row r="322" spans="4:5" x14ac:dyDescent="0.25">
      <c r="E322" s="334"/>
    </row>
    <row r="323" spans="4:5" x14ac:dyDescent="0.25">
      <c r="D323" s="316" t="s">
        <v>641</v>
      </c>
      <c r="E323" s="334">
        <f t="shared" si="2"/>
        <v>26.3</v>
      </c>
    </row>
    <row r="324" spans="4:5" x14ac:dyDescent="0.25">
      <c r="E324" s="334"/>
    </row>
    <row r="325" spans="4:5" x14ac:dyDescent="0.25">
      <c r="E325" s="334"/>
    </row>
    <row r="326" spans="4:5" x14ac:dyDescent="0.25">
      <c r="E326" s="334"/>
    </row>
    <row r="327" spans="4:5" x14ac:dyDescent="0.25">
      <c r="E327" s="334"/>
    </row>
    <row r="328" spans="4:5" x14ac:dyDescent="0.25">
      <c r="E328" s="334"/>
    </row>
    <row r="329" spans="4:5" x14ac:dyDescent="0.25">
      <c r="D329" s="316" t="s">
        <v>663</v>
      </c>
      <c r="E329" s="334">
        <f t="shared" si="2"/>
        <v>20.5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8" x14ac:dyDescent="0.35"/>
  <cols>
    <col min="1" max="1" width="10.33203125" style="14" customWidth="1"/>
    <col min="2" max="2" width="20.77734375" style="14" customWidth="1"/>
    <col min="3" max="3" width="11.6640625" style="14" customWidth="1"/>
    <col min="4" max="4" width="18.44140625" style="14" customWidth="1"/>
    <col min="5" max="16384" width="8.88671875" style="14"/>
  </cols>
  <sheetData>
    <row r="1" spans="1:4" ht="25.8" customHeight="1" x14ac:dyDescent="0.35">
      <c r="A1" s="377" t="s">
        <v>220</v>
      </c>
      <c r="B1" s="377"/>
      <c r="C1" s="377"/>
      <c r="D1" s="377"/>
    </row>
    <row r="2" spans="1:4" ht="46.8" customHeight="1" x14ac:dyDescent="0.35">
      <c r="A2" s="377" t="s">
        <v>779</v>
      </c>
      <c r="B2" s="377"/>
      <c r="C2" s="377"/>
      <c r="D2" s="377"/>
    </row>
    <row r="3" spans="1:4" s="18" customFormat="1" ht="36" x14ac:dyDescent="0.35">
      <c r="A3" s="21" t="s">
        <v>9</v>
      </c>
      <c r="B3" s="292" t="s">
        <v>228</v>
      </c>
      <c r="C3" s="21" t="s">
        <v>14</v>
      </c>
      <c r="D3" s="21" t="s">
        <v>16</v>
      </c>
    </row>
    <row r="4" spans="1:4" x14ac:dyDescent="0.35">
      <c r="A4" s="20">
        <v>1</v>
      </c>
      <c r="B4" s="14" t="s">
        <v>781</v>
      </c>
      <c r="C4" s="16" t="s">
        <v>34</v>
      </c>
      <c r="D4" s="108">
        <f>1.17*1.895-0.36*2*0.225</f>
        <v>2.0551499999999998</v>
      </c>
    </row>
    <row r="5" spans="1:4" x14ac:dyDescent="0.35">
      <c r="A5" s="20">
        <v>2</v>
      </c>
      <c r="B5" s="293" t="s">
        <v>782</v>
      </c>
      <c r="C5" s="16" t="s">
        <v>34</v>
      </c>
      <c r="D5" s="108">
        <f>1.04*1.82-0.328*2*0.225</f>
        <v>1.7452000000000001</v>
      </c>
    </row>
    <row r="6" spans="1:4" x14ac:dyDescent="0.35">
      <c r="A6" s="20">
        <v>3</v>
      </c>
      <c r="B6" s="293" t="s">
        <v>783</v>
      </c>
      <c r="C6" s="16" t="s">
        <v>34</v>
      </c>
      <c r="D6" s="108">
        <f>0.2496*1.6-0.3*0.4*0.12</f>
        <v>0.38495999999999997</v>
      </c>
    </row>
    <row r="7" spans="1:4" x14ac:dyDescent="0.35">
      <c r="A7" s="20">
        <v>4</v>
      </c>
      <c r="B7" s="293" t="s">
        <v>784</v>
      </c>
      <c r="C7" s="16" t="s">
        <v>34</v>
      </c>
      <c r="D7" s="108">
        <f>1.95*2.4+0.53*0.9-0.3*0.3*0.25*8</f>
        <v>4.9770000000000003</v>
      </c>
    </row>
    <row r="8" spans="1:4" x14ac:dyDescent="0.35">
      <c r="A8" s="20">
        <v>5</v>
      </c>
      <c r="B8" s="293" t="s">
        <v>785</v>
      </c>
      <c r="C8" s="16" t="s">
        <v>34</v>
      </c>
      <c r="D8" s="108">
        <f>1.575*1.435</f>
        <v>2.2601249999999999</v>
      </c>
    </row>
    <row r="9" spans="1:4" x14ac:dyDescent="0.35">
      <c r="A9" s="20">
        <v>6</v>
      </c>
      <c r="B9" s="293" t="s">
        <v>786</v>
      </c>
      <c r="C9" s="16" t="s">
        <v>34</v>
      </c>
      <c r="D9" s="108">
        <f>1.125*0.442</f>
        <v>0.49725000000000003</v>
      </c>
    </row>
    <row r="10" spans="1:4" ht="36" x14ac:dyDescent="0.35">
      <c r="A10" s="20">
        <v>7</v>
      </c>
      <c r="B10" s="293" t="s">
        <v>787</v>
      </c>
      <c r="C10" s="16" t="s">
        <v>34</v>
      </c>
      <c r="D10" s="108">
        <f>1.85*0.675</f>
        <v>1.2487500000000002</v>
      </c>
    </row>
    <row r="11" spans="1:4" ht="36" x14ac:dyDescent="0.35">
      <c r="A11" s="20" t="s">
        <v>269</v>
      </c>
      <c r="B11" s="16" t="s">
        <v>780</v>
      </c>
      <c r="C11" s="16" t="s">
        <v>34</v>
      </c>
      <c r="D11" s="19">
        <f>SUM(D4:D10)</f>
        <v>13.168434999999999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1"/>
    </sheetView>
  </sheetViews>
  <sheetFormatPr defaultRowHeight="18" x14ac:dyDescent="0.35"/>
  <cols>
    <col min="1" max="1" width="10.33203125" style="14" customWidth="1"/>
    <col min="2" max="2" width="28.77734375" style="14" customWidth="1"/>
    <col min="3" max="3" width="10.33203125" style="14" customWidth="1"/>
    <col min="4" max="4" width="16.77734375" style="14" customWidth="1"/>
    <col min="5" max="16384" width="8.88671875" style="14"/>
  </cols>
  <sheetData>
    <row r="1" spans="1:4" ht="73.8" customHeight="1" x14ac:dyDescent="0.35">
      <c r="A1" s="377" t="s">
        <v>232</v>
      </c>
      <c r="B1" s="377"/>
      <c r="C1" s="377"/>
      <c r="D1" s="377"/>
    </row>
    <row r="2" spans="1:4" ht="21" customHeight="1" x14ac:dyDescent="0.35">
      <c r="A2" s="377" t="s">
        <v>775</v>
      </c>
      <c r="B2" s="377"/>
      <c r="C2" s="377"/>
      <c r="D2" s="377"/>
    </row>
    <row r="3" spans="1:4" s="18" customFormat="1" ht="36" x14ac:dyDescent="0.35">
      <c r="A3" s="21" t="s">
        <v>9</v>
      </c>
      <c r="B3" s="21" t="s">
        <v>228</v>
      </c>
      <c r="C3" s="21" t="s">
        <v>14</v>
      </c>
      <c r="D3" s="21" t="s">
        <v>16</v>
      </c>
    </row>
    <row r="4" spans="1:4" x14ac:dyDescent="0.35">
      <c r="A4" s="20">
        <v>1</v>
      </c>
      <c r="B4" s="16" t="s">
        <v>776</v>
      </c>
      <c r="C4" s="16" t="s">
        <v>23</v>
      </c>
      <c r="D4" s="19">
        <f>2.5*3.15</f>
        <v>7.875</v>
      </c>
    </row>
    <row r="5" spans="1:4" x14ac:dyDescent="0.35">
      <c r="A5" s="20">
        <v>2</v>
      </c>
      <c r="B5" s="16" t="s">
        <v>777</v>
      </c>
      <c r="C5" s="16" t="s">
        <v>23</v>
      </c>
      <c r="D5" s="108">
        <f>6.3 * 3.15</f>
        <v>19.844999999999999</v>
      </c>
    </row>
    <row r="6" spans="1:4" x14ac:dyDescent="0.35">
      <c r="A6" s="20">
        <v>3</v>
      </c>
      <c r="B6" s="16" t="s">
        <v>778</v>
      </c>
      <c r="C6" s="16" t="s">
        <v>23</v>
      </c>
      <c r="D6" s="108">
        <f>6 * 3.15</f>
        <v>18.899999999999999</v>
      </c>
    </row>
    <row r="7" spans="1:4" x14ac:dyDescent="0.35">
      <c r="A7" s="20"/>
      <c r="B7" s="16" t="s">
        <v>231</v>
      </c>
      <c r="C7" s="16" t="s">
        <v>23</v>
      </c>
      <c r="D7" s="19">
        <f>SUM(D4:D6)</f>
        <v>46.62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H6" sqref="H6"/>
    </sheetView>
  </sheetViews>
  <sheetFormatPr defaultRowHeight="18" x14ac:dyDescent="0.35"/>
  <cols>
    <col min="1" max="1" width="10.33203125" style="14" customWidth="1"/>
    <col min="2" max="2" width="28.77734375" style="14" customWidth="1"/>
    <col min="3" max="3" width="10.33203125" style="14" customWidth="1"/>
    <col min="4" max="4" width="16.77734375" style="14" customWidth="1"/>
    <col min="5" max="16384" width="8.88671875" style="14"/>
  </cols>
  <sheetData>
    <row r="1" spans="1:4" ht="81" customHeight="1" x14ac:dyDescent="0.35">
      <c r="A1" s="377" t="s">
        <v>232</v>
      </c>
      <c r="B1" s="377"/>
      <c r="C1" s="377"/>
      <c r="D1" s="377"/>
    </row>
    <row r="2" spans="1:4" s="18" customFormat="1" ht="36" x14ac:dyDescent="0.35">
      <c r="A2" s="21" t="s">
        <v>9</v>
      </c>
      <c r="B2" s="21" t="s">
        <v>228</v>
      </c>
      <c r="C2" s="21" t="s">
        <v>14</v>
      </c>
      <c r="D2" s="21" t="s">
        <v>16</v>
      </c>
    </row>
    <row r="3" spans="1:4" x14ac:dyDescent="0.35">
      <c r="A3" s="20">
        <v>1</v>
      </c>
      <c r="B3" s="16" t="s">
        <v>772</v>
      </c>
      <c r="C3" s="16" t="s">
        <v>23</v>
      </c>
      <c r="D3" s="291">
        <f>((((0.79*3)+3.7)*4)*2- 0.65*1.86*5)</f>
        <v>42.515000000000001</v>
      </c>
    </row>
    <row r="4" spans="1:4" x14ac:dyDescent="0.35">
      <c r="A4" s="20">
        <v>2</v>
      </c>
      <c r="B4" s="16" t="s">
        <v>773</v>
      </c>
      <c r="C4" s="16" t="s">
        <v>23</v>
      </c>
      <c r="D4" s="291">
        <f>((((0.79*3)+3.7)*4)*2- 0.65*1.87*5)</f>
        <v>42.482500000000002</v>
      </c>
    </row>
    <row r="5" spans="1:4" x14ac:dyDescent="0.35">
      <c r="A5" s="20">
        <v>3</v>
      </c>
      <c r="B5" s="16" t="s">
        <v>774</v>
      </c>
      <c r="C5" s="16" t="s">
        <v>23</v>
      </c>
      <c r="D5" s="291">
        <f>(3.7+0.85+0.85+0.75)*4 * 0 + (0.79+0.79+0.79+3.7)*4 - 0.65*1.86*3</f>
        <v>20.653000000000002</v>
      </c>
    </row>
    <row r="6" spans="1:4" x14ac:dyDescent="0.35">
      <c r="A6" s="20">
        <v>4</v>
      </c>
      <c r="B6" s="16" t="s">
        <v>768</v>
      </c>
      <c r="C6" s="16" t="s">
        <v>23</v>
      </c>
      <c r="D6" s="19">
        <f>(1.7+4.23+2.4)*4-1.1*2.1</f>
        <v>31.009999999999998</v>
      </c>
    </row>
    <row r="7" spans="1:4" x14ac:dyDescent="0.35">
      <c r="A7" s="20">
        <v>5</v>
      </c>
      <c r="B7" s="16" t="s">
        <v>770</v>
      </c>
      <c r="C7" s="16" t="s">
        <v>23</v>
      </c>
      <c r="D7" s="19">
        <f>(1.98+9.15)*4-1*2.1*2</f>
        <v>40.32</v>
      </c>
    </row>
    <row r="8" spans="1:4" x14ac:dyDescent="0.35">
      <c r="A8" s="20">
        <v>6</v>
      </c>
      <c r="B8" s="16" t="s">
        <v>767</v>
      </c>
      <c r="C8" s="16" t="s">
        <v>23</v>
      </c>
      <c r="D8" s="19">
        <f>(3.2+4.2)*4+2.7*2</f>
        <v>35</v>
      </c>
    </row>
    <row r="9" spans="1:4" x14ac:dyDescent="0.35">
      <c r="A9" s="20">
        <v>7</v>
      </c>
      <c r="B9" s="16" t="s">
        <v>769</v>
      </c>
      <c r="C9" s="16" t="s">
        <v>23</v>
      </c>
      <c r="D9" s="19">
        <f>(4.165+4.96+8.7+1.42+1.9+2.22+0.455+5.4+3.6+6.15+5.6+0.48)*4-1.2*2.1*4</f>
        <v>170.11999999999995</v>
      </c>
    </row>
    <row r="10" spans="1:4" x14ac:dyDescent="0.35">
      <c r="A10" s="20"/>
      <c r="B10" s="16" t="s">
        <v>231</v>
      </c>
      <c r="C10" s="16" t="s">
        <v>23</v>
      </c>
      <c r="D10" s="19">
        <f>SUM(D3:D9)</f>
        <v>382.10049999999995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sqref="A1:D1"/>
    </sheetView>
  </sheetViews>
  <sheetFormatPr defaultRowHeight="14.4" x14ac:dyDescent="0.3"/>
  <cols>
    <col min="1" max="1" width="11.5546875" customWidth="1"/>
    <col min="2" max="2" width="28.77734375" customWidth="1"/>
    <col min="3" max="3" width="11.88671875" customWidth="1"/>
    <col min="4" max="4" width="16.77734375" customWidth="1"/>
  </cols>
  <sheetData>
    <row r="1" spans="1:4" ht="64.2" customHeight="1" x14ac:dyDescent="0.3">
      <c r="A1" s="378" t="s">
        <v>233</v>
      </c>
      <c r="B1" s="378"/>
      <c r="C1" s="378"/>
      <c r="D1" s="378"/>
    </row>
    <row r="2" spans="1:4" ht="36" x14ac:dyDescent="0.3">
      <c r="A2" s="21" t="s">
        <v>9</v>
      </c>
      <c r="B2" s="21" t="s">
        <v>228</v>
      </c>
      <c r="C2" s="21" t="s">
        <v>14</v>
      </c>
      <c r="D2" s="21" t="s">
        <v>16</v>
      </c>
    </row>
    <row r="3" spans="1:4" ht="18" x14ac:dyDescent="0.3">
      <c r="A3" s="20">
        <v>1</v>
      </c>
      <c r="B3" s="16" t="s">
        <v>768</v>
      </c>
      <c r="C3" s="16" t="s">
        <v>34</v>
      </c>
      <c r="D3" s="19">
        <f>2.51*4-0.688*3+(0.79-0.56)*4+0.806*4+1.654*4-0.25*2*4</f>
        <v>16.735999999999997</v>
      </c>
    </row>
    <row r="4" spans="1:4" ht="18" x14ac:dyDescent="0.3">
      <c r="A4" s="20">
        <v>2</v>
      </c>
      <c r="B4" s="16" t="s">
        <v>767</v>
      </c>
      <c r="C4" s="16" t="s">
        <v>34</v>
      </c>
      <c r="D4" s="19">
        <f>1.44*4+0.215*4+3.593*4-0.22*2</f>
        <v>20.552</v>
      </c>
    </row>
    <row r="5" spans="1:4" ht="18" x14ac:dyDescent="0.3">
      <c r="A5" s="20">
        <v>3</v>
      </c>
      <c r="B5" s="16" t="s">
        <v>769</v>
      </c>
      <c r="C5" s="16" t="s">
        <v>34</v>
      </c>
      <c r="D5" s="19">
        <f>0.951*4-0.3*2.2</f>
        <v>3.1439999999999997</v>
      </c>
    </row>
    <row r="6" spans="1:4" ht="18" x14ac:dyDescent="0.3">
      <c r="A6" s="20">
        <v>4</v>
      </c>
      <c r="B6" s="16" t="s">
        <v>770</v>
      </c>
      <c r="C6" s="16" t="s">
        <v>34</v>
      </c>
      <c r="D6" s="19">
        <f>4.832*4-0.5*2.3-0.28*2.1*2</f>
        <v>17.002000000000002</v>
      </c>
    </row>
    <row r="7" spans="1:4" ht="18" x14ac:dyDescent="0.3">
      <c r="A7" s="20">
        <v>5</v>
      </c>
      <c r="B7" s="16" t="s">
        <v>771</v>
      </c>
      <c r="C7" s="16" t="s">
        <v>34</v>
      </c>
      <c r="D7" s="19">
        <f>5.693*4-0.3*2.3*2-0.22*2*2</f>
        <v>20.512</v>
      </c>
    </row>
    <row r="8" spans="1:4" ht="18" x14ac:dyDescent="0.3">
      <c r="A8" s="20"/>
      <c r="B8" s="16" t="s">
        <v>231</v>
      </c>
      <c r="C8" s="16" t="s">
        <v>34</v>
      </c>
      <c r="D8" s="19">
        <f>SUM(D3:D7)</f>
        <v>77.945999999999998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1"/>
    </sheetView>
  </sheetViews>
  <sheetFormatPr defaultRowHeight="18" x14ac:dyDescent="0.35"/>
  <cols>
    <col min="1" max="1" width="11.5546875" style="14" customWidth="1"/>
    <col min="2" max="2" width="28.77734375" style="14" customWidth="1"/>
    <col min="3" max="3" width="11.88671875" style="14" customWidth="1"/>
    <col min="4" max="4" width="16.77734375" style="14" customWidth="1"/>
    <col min="5" max="16384" width="8.88671875" style="14"/>
  </cols>
  <sheetData>
    <row r="1" spans="1:4" ht="81" customHeight="1" x14ac:dyDescent="0.35">
      <c r="A1" s="379" t="s">
        <v>104</v>
      </c>
      <c r="B1" s="379"/>
      <c r="C1" s="379"/>
      <c r="D1" s="379"/>
    </row>
    <row r="2" spans="1:4" s="18" customFormat="1" ht="36" x14ac:dyDescent="0.35">
      <c r="A2" s="21" t="s">
        <v>9</v>
      </c>
      <c r="B2" s="21" t="s">
        <v>228</v>
      </c>
      <c r="C2" s="21" t="s">
        <v>14</v>
      </c>
      <c r="D2" s="21" t="s">
        <v>16</v>
      </c>
    </row>
    <row r="3" spans="1:4" ht="23.4" customHeight="1" x14ac:dyDescent="0.35">
      <c r="A3" s="20">
        <v>1</v>
      </c>
      <c r="B3" s="16" t="s">
        <v>767</v>
      </c>
      <c r="C3" s="16" t="s">
        <v>23</v>
      </c>
      <c r="D3" s="19">
        <f>(2.505*2+2.225*2+1.86) * 4</f>
        <v>45.28</v>
      </c>
    </row>
    <row r="4" spans="1:4" x14ac:dyDescent="0.35">
      <c r="A4" s="20"/>
      <c r="B4" s="290" t="s">
        <v>231</v>
      </c>
      <c r="C4" s="16" t="s">
        <v>23</v>
      </c>
      <c r="D4" s="19">
        <f>SUM(D3:D3)</f>
        <v>45.28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H1"/>
    </sheetView>
  </sheetViews>
  <sheetFormatPr defaultRowHeight="14.4" x14ac:dyDescent="0.3"/>
  <cols>
    <col min="1" max="1" width="11.5546875" customWidth="1"/>
    <col min="2" max="2" width="8.44140625" style="22" customWidth="1"/>
    <col min="3" max="3" width="11.44140625" style="22" customWidth="1"/>
    <col min="4" max="6" width="9.5546875" customWidth="1"/>
    <col min="7" max="7" width="11.88671875" customWidth="1"/>
    <col min="8" max="8" width="16.77734375" customWidth="1"/>
  </cols>
  <sheetData>
    <row r="1" spans="1:8" ht="64.2" customHeight="1" x14ac:dyDescent="0.3">
      <c r="A1" s="378" t="s">
        <v>187</v>
      </c>
      <c r="B1" s="378"/>
      <c r="C1" s="378"/>
      <c r="D1" s="378"/>
      <c r="E1" s="378"/>
      <c r="F1" s="378"/>
      <c r="G1" s="378"/>
      <c r="H1" s="378"/>
    </row>
    <row r="2" spans="1:8" ht="36" x14ac:dyDescent="0.3">
      <c r="A2" s="21" t="s">
        <v>9</v>
      </c>
      <c r="B2" s="21" t="s">
        <v>252</v>
      </c>
      <c r="C2" s="21" t="s">
        <v>251</v>
      </c>
      <c r="D2" s="21" t="s">
        <v>242</v>
      </c>
      <c r="E2" s="21" t="s">
        <v>241</v>
      </c>
      <c r="F2" s="21" t="s">
        <v>246</v>
      </c>
      <c r="G2" s="21" t="s">
        <v>14</v>
      </c>
      <c r="H2" s="21" t="s">
        <v>16</v>
      </c>
    </row>
    <row r="3" spans="1:8" ht="18" x14ac:dyDescent="0.3">
      <c r="A3" s="20"/>
      <c r="B3" s="24">
        <v>1</v>
      </c>
      <c r="C3" s="24">
        <v>2</v>
      </c>
      <c r="D3" s="16" t="s">
        <v>243</v>
      </c>
      <c r="E3" s="16">
        <v>7</v>
      </c>
      <c r="F3" s="16">
        <f>35.8+2+3.1</f>
        <v>40.9</v>
      </c>
      <c r="G3" s="16" t="s">
        <v>158</v>
      </c>
      <c r="H3" s="23">
        <f t="shared" ref="H3:H8" si="0">E3*F3/1000</f>
        <v>0.2863</v>
      </c>
    </row>
    <row r="4" spans="1:8" ht="18" x14ac:dyDescent="0.3">
      <c r="A4" s="20"/>
      <c r="B4" s="24">
        <v>1</v>
      </c>
      <c r="C4" s="24">
        <v>2</v>
      </c>
      <c r="D4" s="16" t="s">
        <v>245</v>
      </c>
      <c r="E4" s="16">
        <v>3</v>
      </c>
      <c r="F4" s="16">
        <f>35.8+3.1+2.15</f>
        <v>41.05</v>
      </c>
      <c r="G4" s="16" t="s">
        <v>158</v>
      </c>
      <c r="H4" s="23">
        <f t="shared" si="0"/>
        <v>0.12315</v>
      </c>
    </row>
    <row r="5" spans="1:8" ht="18" x14ac:dyDescent="0.3">
      <c r="A5" s="20"/>
      <c r="B5" s="24"/>
      <c r="C5" s="24"/>
      <c r="D5" s="16"/>
      <c r="E5" s="16"/>
      <c r="F5" s="16"/>
      <c r="G5" s="16"/>
      <c r="H5" s="23"/>
    </row>
    <row r="6" spans="1:8" ht="18" x14ac:dyDescent="0.3">
      <c r="A6" s="20"/>
      <c r="B6" s="24">
        <v>1</v>
      </c>
      <c r="C6" s="24">
        <v>3</v>
      </c>
      <c r="D6" s="16" t="s">
        <v>243</v>
      </c>
      <c r="E6" s="16">
        <v>4</v>
      </c>
      <c r="F6" s="16">
        <f>35.8+2+3.1</f>
        <v>40.9</v>
      </c>
      <c r="G6" s="16" t="s">
        <v>158</v>
      </c>
      <c r="H6" s="23">
        <f t="shared" si="0"/>
        <v>0.1636</v>
      </c>
    </row>
    <row r="7" spans="1:8" ht="18" x14ac:dyDescent="0.3">
      <c r="A7" s="20"/>
      <c r="B7" s="24">
        <v>1</v>
      </c>
      <c r="C7" s="24">
        <v>3</v>
      </c>
      <c r="D7" s="16" t="s">
        <v>245</v>
      </c>
      <c r="E7" s="16">
        <v>2</v>
      </c>
      <c r="F7" s="16">
        <f>35.8+3.1+2.15</f>
        <v>41.05</v>
      </c>
      <c r="G7" s="16" t="s">
        <v>158</v>
      </c>
      <c r="H7" s="23">
        <f t="shared" si="0"/>
        <v>8.2099999999999992E-2</v>
      </c>
    </row>
    <row r="8" spans="1:8" ht="18" x14ac:dyDescent="0.3">
      <c r="A8" s="20"/>
      <c r="B8" s="24">
        <v>1</v>
      </c>
      <c r="C8" s="24">
        <v>3</v>
      </c>
      <c r="D8" s="16" t="s">
        <v>766</v>
      </c>
      <c r="E8" s="16">
        <v>1</v>
      </c>
      <c r="F8" s="16">
        <f>32.9+1.4+0.48</f>
        <v>34.779999999999994</v>
      </c>
      <c r="G8" s="16" t="s">
        <v>158</v>
      </c>
      <c r="H8" s="23">
        <f t="shared" si="0"/>
        <v>3.4779999999999991E-2</v>
      </c>
    </row>
    <row r="9" spans="1:8" ht="18" x14ac:dyDescent="0.3">
      <c r="A9" s="20"/>
      <c r="B9" s="24"/>
      <c r="C9" s="24"/>
      <c r="D9" s="16"/>
      <c r="E9" s="16"/>
      <c r="F9" s="16"/>
      <c r="G9" s="16"/>
      <c r="H9" s="23"/>
    </row>
    <row r="10" spans="1:8" ht="18" x14ac:dyDescent="0.3">
      <c r="A10" s="20"/>
      <c r="B10" s="25">
        <v>2</v>
      </c>
      <c r="C10" s="25">
        <v>3</v>
      </c>
      <c r="D10" s="16" t="s">
        <v>272</v>
      </c>
      <c r="E10" s="16">
        <v>4</v>
      </c>
      <c r="F10" s="16">
        <f>29.99+2.1+1.05</f>
        <v>33.139999999999993</v>
      </c>
      <c r="G10" s="16" t="s">
        <v>158</v>
      </c>
      <c r="H10" s="23">
        <f>E10*F10/1000</f>
        <v>0.13255999999999998</v>
      </c>
    </row>
    <row r="11" spans="1:8" ht="18" x14ac:dyDescent="0.3">
      <c r="A11" s="20"/>
      <c r="B11" s="25"/>
      <c r="C11" s="25"/>
      <c r="D11" s="16"/>
      <c r="E11" s="16"/>
      <c r="F11" s="16"/>
      <c r="G11" s="16"/>
      <c r="H11" s="23"/>
    </row>
    <row r="12" spans="1:8" ht="18" x14ac:dyDescent="0.3">
      <c r="A12" s="20"/>
      <c r="B12" s="26">
        <v>3</v>
      </c>
      <c r="C12" s="26">
        <v>2</v>
      </c>
      <c r="D12" s="16" t="s">
        <v>239</v>
      </c>
      <c r="E12" s="16">
        <v>2</v>
      </c>
      <c r="F12" s="16">
        <f>35.4+1.7+3.1</f>
        <v>40.200000000000003</v>
      </c>
      <c r="G12" s="16" t="s">
        <v>158</v>
      </c>
      <c r="H12" s="23">
        <f t="shared" ref="H12:H13" si="1">E12*F12/1000</f>
        <v>8.0399999999999999E-2</v>
      </c>
    </row>
    <row r="13" spans="1:8" ht="18" x14ac:dyDescent="0.3">
      <c r="A13" s="20"/>
      <c r="B13" s="26">
        <v>3</v>
      </c>
      <c r="C13" s="26">
        <v>2</v>
      </c>
      <c r="D13" s="16" t="s">
        <v>240</v>
      </c>
      <c r="E13" s="16">
        <v>7</v>
      </c>
      <c r="F13" s="16">
        <f>35.4+2.15+3.1</f>
        <v>40.65</v>
      </c>
      <c r="G13" s="16" t="s">
        <v>158</v>
      </c>
      <c r="H13" s="23">
        <f t="shared" si="1"/>
        <v>0.28455000000000003</v>
      </c>
    </row>
    <row r="14" spans="1:8" ht="18" x14ac:dyDescent="0.3">
      <c r="A14" s="20"/>
      <c r="B14" s="16"/>
      <c r="C14" s="16"/>
      <c r="D14" s="16"/>
      <c r="E14" s="16">
        <f>SUM(E3:E13)</f>
        <v>30</v>
      </c>
      <c r="F14" s="16" t="s">
        <v>231</v>
      </c>
      <c r="G14" s="16" t="s">
        <v>158</v>
      </c>
      <c r="H14" s="23">
        <f>SUM(H3:H13)</f>
        <v>1.1874400000000001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sqref="A1:H1"/>
    </sheetView>
  </sheetViews>
  <sheetFormatPr defaultRowHeight="14.4" x14ac:dyDescent="0.3"/>
  <cols>
    <col min="1" max="1" width="9.6640625" customWidth="1"/>
    <col min="2" max="2" width="9.88671875" style="22" customWidth="1"/>
    <col min="3" max="3" width="9.33203125" style="22" customWidth="1"/>
    <col min="4" max="4" width="9.5546875" customWidth="1"/>
    <col min="5" max="5" width="8.109375" customWidth="1"/>
    <col min="6" max="6" width="9.5546875" customWidth="1"/>
    <col min="7" max="7" width="9.21875" customWidth="1"/>
    <col min="8" max="8" width="16.77734375" customWidth="1"/>
  </cols>
  <sheetData>
    <row r="1" spans="1:8" ht="64.2" customHeight="1" x14ac:dyDescent="0.3">
      <c r="A1" s="378" t="s">
        <v>253</v>
      </c>
      <c r="B1" s="378"/>
      <c r="C1" s="378"/>
      <c r="D1" s="378"/>
      <c r="E1" s="378"/>
      <c r="F1" s="378"/>
      <c r="G1" s="378"/>
      <c r="H1" s="378"/>
    </row>
    <row r="2" spans="1:8" ht="36" x14ac:dyDescent="0.3">
      <c r="A2" s="21" t="s">
        <v>9</v>
      </c>
      <c r="B2" s="21" t="s">
        <v>252</v>
      </c>
      <c r="C2" s="21" t="s">
        <v>251</v>
      </c>
      <c r="D2" s="21" t="s">
        <v>242</v>
      </c>
      <c r="E2" s="21" t="s">
        <v>241</v>
      </c>
      <c r="F2" s="21" t="s">
        <v>246</v>
      </c>
      <c r="G2" s="21" t="s">
        <v>14</v>
      </c>
      <c r="H2" s="21" t="s">
        <v>16</v>
      </c>
    </row>
    <row r="3" spans="1:8" ht="18" x14ac:dyDescent="0.3">
      <c r="A3" s="20">
        <v>1</v>
      </c>
      <c r="B3" s="24">
        <v>1</v>
      </c>
      <c r="C3" s="24">
        <v>1</v>
      </c>
      <c r="D3" s="16" t="s">
        <v>260</v>
      </c>
      <c r="E3" s="16">
        <v>6</v>
      </c>
      <c r="F3" s="16">
        <f>VLOOKUP(D3,'2.2-Пер2'!$A$2:$C$13,3)</f>
        <v>8.81</v>
      </c>
      <c r="G3" s="16" t="s">
        <v>158</v>
      </c>
      <c r="H3" s="23">
        <f t="shared" ref="H3:H10" si="0">E3*F3/1000</f>
        <v>5.2859999999999997E-2</v>
      </c>
    </row>
    <row r="4" spans="1:8" ht="18" x14ac:dyDescent="0.3">
      <c r="A4" s="20"/>
      <c r="B4" s="24"/>
      <c r="C4" s="24"/>
      <c r="D4" s="16"/>
      <c r="E4" s="16"/>
      <c r="F4" s="16"/>
      <c r="G4" s="16"/>
      <c r="H4" s="23"/>
    </row>
    <row r="5" spans="1:8" ht="18" x14ac:dyDescent="0.3">
      <c r="A5" s="20">
        <v>2</v>
      </c>
      <c r="B5" s="24">
        <v>1</v>
      </c>
      <c r="C5" s="24">
        <v>2</v>
      </c>
      <c r="D5" s="16" t="s">
        <v>264</v>
      </c>
      <c r="E5" s="16">
        <v>3</v>
      </c>
      <c r="F5" s="16">
        <f>VLOOKUP(D5,'2.2-Пер2'!$A$2:$C$13,3)</f>
        <v>22.4</v>
      </c>
      <c r="G5" s="16" t="s">
        <v>158</v>
      </c>
      <c r="H5" s="23">
        <f t="shared" si="0"/>
        <v>6.7199999999999982E-2</v>
      </c>
    </row>
    <row r="6" spans="1:8" ht="18" x14ac:dyDescent="0.3">
      <c r="A6" s="20">
        <v>3</v>
      </c>
      <c r="B6" s="24">
        <v>1</v>
      </c>
      <c r="C6" s="24">
        <v>2</v>
      </c>
      <c r="D6" s="16" t="s">
        <v>257</v>
      </c>
      <c r="E6" s="16">
        <v>2</v>
      </c>
      <c r="F6" s="16">
        <f>VLOOKUP(D6,'2.2-Пер2'!$A$2:$C$13,3)</f>
        <v>21.307692307692303</v>
      </c>
      <c r="G6" s="16" t="s">
        <v>158</v>
      </c>
      <c r="H6" s="23">
        <f t="shared" si="0"/>
        <v>4.2615384615384604E-2</v>
      </c>
    </row>
    <row r="7" spans="1:8" ht="18" x14ac:dyDescent="0.3">
      <c r="A7" s="20">
        <v>4</v>
      </c>
      <c r="B7" s="24">
        <v>1</v>
      </c>
      <c r="C7" s="24">
        <v>2</v>
      </c>
      <c r="D7" s="16" t="s">
        <v>263</v>
      </c>
      <c r="E7" s="16">
        <v>2</v>
      </c>
      <c r="F7" s="16">
        <f>VLOOKUP(D7,'2.2-Пер2'!$A$2:$C$13,3)</f>
        <v>56.629999999999995</v>
      </c>
      <c r="G7" s="16" t="s">
        <v>158</v>
      </c>
      <c r="H7" s="23">
        <f t="shared" si="0"/>
        <v>0.11325999999999999</v>
      </c>
    </row>
    <row r="8" spans="1:8" ht="18" x14ac:dyDescent="0.3">
      <c r="A8" s="20">
        <v>5</v>
      </c>
      <c r="B8" s="24">
        <v>1</v>
      </c>
      <c r="C8" s="24">
        <v>2</v>
      </c>
      <c r="D8" s="16" t="s">
        <v>265</v>
      </c>
      <c r="E8" s="16">
        <v>1</v>
      </c>
      <c r="F8" s="16">
        <f>VLOOKUP(D8,'2.2-Пер2'!$A$2:$C$13,3)</f>
        <v>18.690000000000001</v>
      </c>
      <c r="G8" s="16" t="s">
        <v>158</v>
      </c>
      <c r="H8" s="23">
        <f t="shared" si="0"/>
        <v>1.8690000000000002E-2</v>
      </c>
    </row>
    <row r="9" spans="1:8" ht="18" x14ac:dyDescent="0.3">
      <c r="A9" s="20"/>
      <c r="B9" s="24"/>
      <c r="C9" s="24"/>
      <c r="D9" s="16"/>
      <c r="E9" s="16"/>
      <c r="F9" s="16"/>
      <c r="G9" s="16"/>
      <c r="H9" s="23"/>
    </row>
    <row r="10" spans="1:8" ht="18" x14ac:dyDescent="0.3">
      <c r="A10" s="20">
        <v>6</v>
      </c>
      <c r="B10" s="24">
        <v>1</v>
      </c>
      <c r="C10" s="24">
        <v>3</v>
      </c>
      <c r="D10" s="16" t="s">
        <v>258</v>
      </c>
      <c r="E10" s="16">
        <v>1</v>
      </c>
      <c r="F10" s="16">
        <f>VLOOKUP(D10,'2.2-Пер2'!$A$2:$C$13,3)</f>
        <v>12.170909090909092</v>
      </c>
      <c r="G10" s="16" t="s">
        <v>158</v>
      </c>
      <c r="H10" s="23">
        <f t="shared" si="0"/>
        <v>1.2170909090909092E-2</v>
      </c>
    </row>
    <row r="11" spans="1:8" ht="18" x14ac:dyDescent="0.3">
      <c r="A11" s="20">
        <v>7</v>
      </c>
      <c r="B11" s="24">
        <v>1</v>
      </c>
      <c r="C11" s="24">
        <v>3</v>
      </c>
      <c r="D11" s="16" t="s">
        <v>257</v>
      </c>
      <c r="E11" s="16">
        <v>1</v>
      </c>
      <c r="F11" s="16">
        <f>VLOOKUP(D11,'2.2-Пер2'!$A$2:$C$13,3)</f>
        <v>21.307692307692303</v>
      </c>
      <c r="G11" s="16" t="s">
        <v>158</v>
      </c>
      <c r="H11" s="23">
        <f t="shared" ref="H11" si="1">E11*F11/1000</f>
        <v>2.1307692307692302E-2</v>
      </c>
    </row>
    <row r="12" spans="1:8" ht="18" x14ac:dyDescent="0.3">
      <c r="A12" s="20">
        <v>8</v>
      </c>
      <c r="B12" s="25">
        <v>2</v>
      </c>
      <c r="C12" s="25">
        <v>1</v>
      </c>
      <c r="D12" s="16" t="s">
        <v>260</v>
      </c>
      <c r="E12" s="16">
        <v>6</v>
      </c>
      <c r="F12" s="16">
        <f>VLOOKUP(D12,'2.2-Пер2'!$A$2:$C$13,3)</f>
        <v>8.81</v>
      </c>
      <c r="G12" s="16" t="s">
        <v>158</v>
      </c>
      <c r="H12" s="23">
        <f>E12*F12/1000</f>
        <v>5.2859999999999997E-2</v>
      </c>
    </row>
    <row r="13" spans="1:8" ht="18" x14ac:dyDescent="0.3">
      <c r="A13" s="20"/>
      <c r="B13" s="25"/>
      <c r="C13" s="25"/>
      <c r="D13" s="16"/>
      <c r="E13" s="16"/>
      <c r="F13" s="16"/>
      <c r="G13" s="16"/>
      <c r="H13" s="23"/>
    </row>
    <row r="14" spans="1:8" ht="18" x14ac:dyDescent="0.3">
      <c r="A14" s="20">
        <v>9</v>
      </c>
      <c r="B14" s="25">
        <v>2</v>
      </c>
      <c r="C14" s="25">
        <v>3</v>
      </c>
      <c r="D14" s="16" t="s">
        <v>259</v>
      </c>
      <c r="E14" s="16">
        <v>3</v>
      </c>
      <c r="F14" s="16">
        <f>VLOOKUP(D14,'2.2-Пер2'!$A$2:$C$13,3)</f>
        <v>6.93</v>
      </c>
      <c r="G14" s="16" t="s">
        <v>158</v>
      </c>
      <c r="H14" s="23">
        <f>E14*F14/1000</f>
        <v>2.0789999999999999E-2</v>
      </c>
    </row>
    <row r="15" spans="1:8" ht="18" x14ac:dyDescent="0.3">
      <c r="A15" s="20">
        <v>10</v>
      </c>
      <c r="B15" s="25">
        <v>2</v>
      </c>
      <c r="C15" s="25">
        <v>3</v>
      </c>
      <c r="D15" s="16" t="s">
        <v>260</v>
      </c>
      <c r="E15" s="16">
        <v>1</v>
      </c>
      <c r="F15" s="16">
        <f>VLOOKUP(D15,'2.2-Пер2'!$A$2:$C$13,3)</f>
        <v>8.81</v>
      </c>
      <c r="G15" s="16" t="s">
        <v>158</v>
      </c>
      <c r="H15" s="23">
        <f t="shared" ref="H15:H23" si="2">E15*F15/1000</f>
        <v>8.8100000000000001E-3</v>
      </c>
    </row>
    <row r="16" spans="1:8" ht="18" x14ac:dyDescent="0.3">
      <c r="A16" s="20">
        <v>11</v>
      </c>
      <c r="B16" s="25">
        <v>2</v>
      </c>
      <c r="C16" s="25">
        <v>3</v>
      </c>
      <c r="D16" s="16" t="s">
        <v>262</v>
      </c>
      <c r="E16" s="16">
        <v>2</v>
      </c>
      <c r="F16" s="16">
        <f>VLOOKUP(D16,'2.2-Пер2'!$A$2:$C$13,3)</f>
        <v>5.8500000000000005</v>
      </c>
      <c r="G16" s="16" t="s">
        <v>158</v>
      </c>
      <c r="H16" s="23">
        <f>E16*F16/1000</f>
        <v>1.17E-2</v>
      </c>
    </row>
    <row r="17" spans="1:8" ht="18" x14ac:dyDescent="0.3">
      <c r="A17" s="20"/>
      <c r="B17" s="25"/>
      <c r="C17" s="25"/>
      <c r="D17" s="16"/>
      <c r="E17" s="16"/>
      <c r="F17" s="16"/>
      <c r="G17" s="16"/>
      <c r="H17" s="23"/>
    </row>
    <row r="18" spans="1:8" ht="18" x14ac:dyDescent="0.3">
      <c r="A18" s="20">
        <v>12</v>
      </c>
      <c r="B18" s="26">
        <v>3</v>
      </c>
      <c r="C18" s="26">
        <v>1</v>
      </c>
      <c r="D18" s="16" t="s">
        <v>260</v>
      </c>
      <c r="E18" s="16">
        <v>3</v>
      </c>
      <c r="F18" s="16">
        <f>VLOOKUP(D18,'2.2-Пер2'!$A$2:$C$13,3)</f>
        <v>8.81</v>
      </c>
      <c r="G18" s="16" t="s">
        <v>158</v>
      </c>
      <c r="H18" s="23">
        <f>E18*F18/1000</f>
        <v>2.6429999999999999E-2</v>
      </c>
    </row>
    <row r="19" spans="1:8" ht="18" x14ac:dyDescent="0.3">
      <c r="A19" s="20"/>
      <c r="B19" s="26"/>
      <c r="C19" s="26"/>
      <c r="D19" s="16"/>
      <c r="E19" s="16"/>
      <c r="F19" s="16"/>
      <c r="G19" s="16"/>
      <c r="H19" s="23"/>
    </row>
    <row r="20" spans="1:8" ht="18" x14ac:dyDescent="0.3">
      <c r="A20" s="20">
        <v>13</v>
      </c>
      <c r="B20" s="26">
        <v>3</v>
      </c>
      <c r="C20" s="26">
        <v>2</v>
      </c>
      <c r="D20" s="16" t="s">
        <v>260</v>
      </c>
      <c r="E20" s="16">
        <v>2</v>
      </c>
      <c r="F20" s="16">
        <f>VLOOKUP(D20,'2.2-Пер2'!$A$2:$C$13,3)</f>
        <v>8.81</v>
      </c>
      <c r="G20" s="16" t="s">
        <v>158</v>
      </c>
      <c r="H20" s="23">
        <f t="shared" si="2"/>
        <v>1.762E-2</v>
      </c>
    </row>
    <row r="21" spans="1:8" ht="18" x14ac:dyDescent="0.3">
      <c r="A21" s="20">
        <v>14</v>
      </c>
      <c r="B21" s="26">
        <v>3</v>
      </c>
      <c r="C21" s="26">
        <v>2</v>
      </c>
      <c r="D21" s="16" t="s">
        <v>256</v>
      </c>
      <c r="E21" s="16">
        <v>2</v>
      </c>
      <c r="F21" s="16">
        <f>VLOOKUP(D21,'2.2-Пер2'!$A$2:$C$13,3)</f>
        <v>46.84</v>
      </c>
      <c r="G21" s="16" t="s">
        <v>158</v>
      </c>
      <c r="H21" s="23">
        <f t="shared" si="2"/>
        <v>9.3680000000000013E-2</v>
      </c>
    </row>
    <row r="22" spans="1:8" ht="18" x14ac:dyDescent="0.3">
      <c r="A22" s="20">
        <v>15</v>
      </c>
      <c r="B22" s="26">
        <v>3</v>
      </c>
      <c r="C22" s="26">
        <v>2</v>
      </c>
      <c r="D22" s="16" t="s">
        <v>264</v>
      </c>
      <c r="E22" s="16">
        <v>1</v>
      </c>
      <c r="F22" s="16">
        <f>VLOOKUP(D22,'2.2-Пер2'!$A$2:$C$13,3)</f>
        <v>22.4</v>
      </c>
      <c r="G22" s="16" t="s">
        <v>158</v>
      </c>
      <c r="H22" s="23">
        <f t="shared" si="2"/>
        <v>2.24E-2</v>
      </c>
    </row>
    <row r="23" spans="1:8" ht="18" x14ac:dyDescent="0.3">
      <c r="A23" s="20">
        <v>16</v>
      </c>
      <c r="B23" s="26">
        <v>3</v>
      </c>
      <c r="C23" s="26">
        <v>2</v>
      </c>
      <c r="D23" s="16" t="s">
        <v>763</v>
      </c>
      <c r="E23" s="16">
        <v>1</v>
      </c>
      <c r="F23" s="16">
        <v>21.47</v>
      </c>
      <c r="G23" s="16" t="s">
        <v>158</v>
      </c>
      <c r="H23" s="23">
        <f t="shared" si="2"/>
        <v>2.147E-2</v>
      </c>
    </row>
    <row r="24" spans="1:8" ht="18" x14ac:dyDescent="0.3">
      <c r="A24" s="20">
        <v>17</v>
      </c>
      <c r="B24" s="26">
        <v>3</v>
      </c>
      <c r="C24" s="26">
        <v>3</v>
      </c>
      <c r="D24" s="16" t="s">
        <v>265</v>
      </c>
      <c r="E24" s="16">
        <v>2</v>
      </c>
      <c r="F24" s="16">
        <f>VLOOKUP(D24,'2.2-Пер2'!$A$2:$C$13,3)</f>
        <v>18.690000000000001</v>
      </c>
      <c r="G24" s="16" t="s">
        <v>158</v>
      </c>
      <c r="H24" s="23">
        <f t="shared" ref="H24" si="3">E24*F24/1000</f>
        <v>3.7380000000000004E-2</v>
      </c>
    </row>
    <row r="25" spans="1:8" ht="18" x14ac:dyDescent="0.3">
      <c r="A25" s="20"/>
      <c r="B25" s="16"/>
      <c r="C25" s="16"/>
      <c r="D25" s="16"/>
      <c r="E25" s="28">
        <f>SUM(E3:E24)</f>
        <v>39</v>
      </c>
      <c r="F25" s="16" t="s">
        <v>231</v>
      </c>
      <c r="G25" s="16" t="s">
        <v>158</v>
      </c>
      <c r="H25" s="23">
        <f>SUM(H3:H24)</f>
        <v>0.64124398601398591</v>
      </c>
    </row>
    <row r="26" spans="1:8" x14ac:dyDescent="0.3">
      <c r="A26" s="380"/>
      <c r="B26" s="380"/>
      <c r="C26" s="380"/>
      <c r="D26" s="380"/>
      <c r="E26" s="380"/>
      <c r="F26" s="380"/>
      <c r="G26" s="380"/>
      <c r="H26" s="380"/>
    </row>
    <row r="27" spans="1:8" ht="15.6" x14ac:dyDescent="0.3">
      <c r="A27" s="29" t="s">
        <v>255</v>
      </c>
      <c r="B27" s="29" t="s">
        <v>254</v>
      </c>
      <c r="C27" s="31" t="s">
        <v>268</v>
      </c>
      <c r="D27" s="31" t="s">
        <v>764</v>
      </c>
      <c r="E27" s="381"/>
      <c r="F27" s="372"/>
      <c r="G27" s="372"/>
      <c r="H27" s="372"/>
    </row>
    <row r="28" spans="1:8" ht="15.6" x14ac:dyDescent="0.3">
      <c r="A28" s="30" t="s">
        <v>256</v>
      </c>
      <c r="B28" s="29">
        <f>SUMIF($D$3:$D$24,A28,$E$3:$E$24)</f>
        <v>2</v>
      </c>
      <c r="C28" s="289">
        <v>46.84</v>
      </c>
      <c r="D28" s="289">
        <f>B28*C28</f>
        <v>93.68</v>
      </c>
      <c r="E28" s="381"/>
      <c r="F28" s="372"/>
      <c r="G28" s="372"/>
      <c r="H28" s="372"/>
    </row>
    <row r="29" spans="1:8" ht="15.6" x14ac:dyDescent="0.3">
      <c r="A29" s="30" t="s">
        <v>264</v>
      </c>
      <c r="B29" s="29">
        <f t="shared" ref="B29:B37" si="4">SUMIF($D$3:$D$24,A29,$E$3:$E$24)</f>
        <v>4</v>
      </c>
      <c r="C29" s="289">
        <v>22.4</v>
      </c>
      <c r="D29" s="289">
        <f t="shared" ref="D29:D37" si="5">B29*C29</f>
        <v>89.6</v>
      </c>
      <c r="E29" s="381"/>
      <c r="F29" s="372"/>
      <c r="G29" s="372"/>
      <c r="H29" s="372"/>
    </row>
    <row r="30" spans="1:8" ht="15.6" x14ac:dyDescent="0.3">
      <c r="A30" s="30" t="s">
        <v>257</v>
      </c>
      <c r="B30" s="29">
        <f t="shared" si="4"/>
        <v>3</v>
      </c>
      <c r="C30" s="289">
        <v>21.307692307692303</v>
      </c>
      <c r="D30" s="289">
        <f t="shared" si="5"/>
        <v>63.923076923076906</v>
      </c>
      <c r="E30" s="381"/>
      <c r="F30" s="372"/>
      <c r="G30" s="372"/>
      <c r="H30" s="372"/>
    </row>
    <row r="31" spans="1:8" ht="15.6" x14ac:dyDescent="0.3">
      <c r="A31" s="30" t="s">
        <v>263</v>
      </c>
      <c r="B31" s="29">
        <f t="shared" si="4"/>
        <v>2</v>
      </c>
      <c r="C31" s="289">
        <v>56.629999999999995</v>
      </c>
      <c r="D31" s="289">
        <f t="shared" si="5"/>
        <v>113.25999999999999</v>
      </c>
      <c r="E31" s="381"/>
      <c r="F31" s="372"/>
      <c r="G31" s="372"/>
      <c r="H31" s="372"/>
    </row>
    <row r="32" spans="1:8" ht="15.6" x14ac:dyDescent="0.3">
      <c r="A32" s="30" t="s">
        <v>265</v>
      </c>
      <c r="B32" s="29">
        <f t="shared" si="4"/>
        <v>3</v>
      </c>
      <c r="C32" s="289">
        <v>18.690000000000001</v>
      </c>
      <c r="D32" s="289">
        <f t="shared" si="5"/>
        <v>56.070000000000007</v>
      </c>
      <c r="E32" s="381"/>
      <c r="F32" s="372"/>
      <c r="G32" s="372"/>
      <c r="H32" s="372"/>
    </row>
    <row r="33" spans="1:8" ht="15.6" x14ac:dyDescent="0.3">
      <c r="A33" s="30" t="s">
        <v>763</v>
      </c>
      <c r="B33" s="29">
        <f t="shared" si="4"/>
        <v>1</v>
      </c>
      <c r="C33" s="289">
        <f>18.69+1.7*2-0.31*2</f>
        <v>21.47</v>
      </c>
      <c r="D33" s="289">
        <f t="shared" ref="D33" si="6">B33*C33</f>
        <v>21.47</v>
      </c>
      <c r="E33" s="381"/>
      <c r="F33" s="372"/>
      <c r="G33" s="372"/>
      <c r="H33" s="372"/>
    </row>
    <row r="34" spans="1:8" ht="15.6" x14ac:dyDescent="0.3">
      <c r="A34" s="30" t="s">
        <v>258</v>
      </c>
      <c r="B34" s="29">
        <f t="shared" si="4"/>
        <v>1</v>
      </c>
      <c r="C34" s="289">
        <v>12.170909090909092</v>
      </c>
      <c r="D34" s="289">
        <f t="shared" si="5"/>
        <v>12.170909090909092</v>
      </c>
      <c r="E34" s="381"/>
      <c r="F34" s="372"/>
      <c r="G34" s="372"/>
      <c r="H34" s="372"/>
    </row>
    <row r="35" spans="1:8" ht="15.6" x14ac:dyDescent="0.3">
      <c r="A35" s="30" t="s">
        <v>259</v>
      </c>
      <c r="B35" s="29">
        <f t="shared" si="4"/>
        <v>3</v>
      </c>
      <c r="C35" s="289">
        <v>6.93</v>
      </c>
      <c r="D35" s="289">
        <f t="shared" si="5"/>
        <v>20.79</v>
      </c>
      <c r="E35" s="381"/>
      <c r="F35" s="372"/>
      <c r="G35" s="372"/>
      <c r="H35" s="372"/>
    </row>
    <row r="36" spans="1:8" ht="15.6" x14ac:dyDescent="0.3">
      <c r="A36" s="30" t="s">
        <v>260</v>
      </c>
      <c r="B36" s="29">
        <f t="shared" si="4"/>
        <v>18</v>
      </c>
      <c r="C36" s="289">
        <v>8.81</v>
      </c>
      <c r="D36" s="289">
        <f t="shared" si="5"/>
        <v>158.58000000000001</v>
      </c>
      <c r="E36" s="381"/>
      <c r="F36" s="372"/>
      <c r="G36" s="372"/>
      <c r="H36" s="372"/>
    </row>
    <row r="37" spans="1:8" ht="15.6" x14ac:dyDescent="0.3">
      <c r="A37" s="30" t="s">
        <v>262</v>
      </c>
      <c r="B37" s="29">
        <f t="shared" si="4"/>
        <v>2</v>
      </c>
      <c r="C37" s="289">
        <v>5.8500000000000005</v>
      </c>
      <c r="D37" s="289">
        <f t="shared" si="5"/>
        <v>11.700000000000001</v>
      </c>
      <c r="E37" s="381"/>
      <c r="F37" s="372"/>
      <c r="G37" s="372"/>
      <c r="H37" s="372"/>
    </row>
    <row r="38" spans="1:8" ht="15.6" x14ac:dyDescent="0.3">
      <c r="A38" s="34"/>
      <c r="B38" s="31">
        <f>SUM(B28:B37)</f>
        <v>39</v>
      </c>
      <c r="C38" s="31" t="s">
        <v>765</v>
      </c>
      <c r="D38" s="31">
        <f>SUM(D28:D37)</f>
        <v>641.24398601398605</v>
      </c>
      <c r="E38" s="381"/>
      <c r="F38" s="372"/>
      <c r="G38" s="372"/>
      <c r="H38" s="372"/>
    </row>
  </sheetData>
  <mergeCells count="3">
    <mergeCell ref="A1:H1"/>
    <mergeCell ref="A26:H26"/>
    <mergeCell ref="E27:H3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1"/>
    </sheetView>
  </sheetViews>
  <sheetFormatPr defaultRowHeight="18" x14ac:dyDescent="0.35"/>
  <cols>
    <col min="1" max="1" width="11.5546875" style="14" customWidth="1"/>
    <col min="2" max="2" width="28.77734375" style="14" customWidth="1"/>
    <col min="3" max="3" width="11.88671875" style="14" customWidth="1"/>
    <col min="4" max="4" width="16.77734375" style="14" customWidth="1"/>
    <col min="5" max="16384" width="8.88671875" style="14"/>
  </cols>
  <sheetData>
    <row r="1" spans="1:4" ht="81" customHeight="1" x14ac:dyDescent="0.35">
      <c r="A1" s="377" t="s">
        <v>232</v>
      </c>
      <c r="B1" s="377"/>
      <c r="C1" s="377"/>
      <c r="D1" s="377"/>
    </row>
    <row r="2" spans="1:4" s="18" customFormat="1" ht="36" x14ac:dyDescent="0.35">
      <c r="A2" s="21" t="s">
        <v>9</v>
      </c>
      <c r="B2" s="21" t="s">
        <v>228</v>
      </c>
      <c r="C2" s="21" t="s">
        <v>14</v>
      </c>
      <c r="D2" s="21" t="s">
        <v>16</v>
      </c>
    </row>
    <row r="3" spans="1:4" ht="36" x14ac:dyDescent="0.35">
      <c r="A3" s="20">
        <v>1</v>
      </c>
      <c r="B3" s="16" t="s">
        <v>234</v>
      </c>
      <c r="C3" s="16" t="s">
        <v>23</v>
      </c>
      <c r="D3" s="19">
        <v>128.9</v>
      </c>
    </row>
    <row r="4" spans="1:4" ht="36" x14ac:dyDescent="0.35">
      <c r="A4" s="20">
        <v>2</v>
      </c>
      <c r="B4" s="16" t="s">
        <v>237</v>
      </c>
      <c r="C4" s="16" t="s">
        <v>23</v>
      </c>
      <c r="D4" s="19">
        <v>571.25</v>
      </c>
    </row>
    <row r="5" spans="1:4" ht="36" x14ac:dyDescent="0.35">
      <c r="A5" s="20">
        <v>3</v>
      </c>
      <c r="B5" s="16" t="s">
        <v>238</v>
      </c>
      <c r="C5" s="16" t="s">
        <v>23</v>
      </c>
      <c r="D5" s="19">
        <v>28</v>
      </c>
    </row>
    <row r="6" spans="1:4" x14ac:dyDescent="0.35">
      <c r="A6" s="20"/>
      <c r="B6" s="16" t="s">
        <v>231</v>
      </c>
      <c r="C6" s="16" t="s">
        <v>23</v>
      </c>
      <c r="D6" s="19">
        <f>SUM(D3:D5)</f>
        <v>728.15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1"/>
    </sheetView>
  </sheetViews>
  <sheetFormatPr defaultRowHeight="14.4" x14ac:dyDescent="0.3"/>
  <cols>
    <col min="1" max="1" width="11.5546875" customWidth="1"/>
    <col min="2" max="2" width="28.77734375" customWidth="1"/>
    <col min="3" max="3" width="11.88671875" customWidth="1"/>
    <col min="4" max="4" width="16.77734375" customWidth="1"/>
  </cols>
  <sheetData>
    <row r="1" spans="1:4" ht="64.2" customHeight="1" x14ac:dyDescent="0.3">
      <c r="A1" s="378" t="s">
        <v>233</v>
      </c>
      <c r="B1" s="378"/>
      <c r="C1" s="378"/>
      <c r="D1" s="378"/>
    </row>
    <row r="2" spans="1:4" ht="36" x14ac:dyDescent="0.3">
      <c r="A2" s="21" t="s">
        <v>9</v>
      </c>
      <c r="B2" s="21" t="s">
        <v>228</v>
      </c>
      <c r="C2" s="21" t="s">
        <v>14</v>
      </c>
      <c r="D2" s="21" t="s">
        <v>16</v>
      </c>
    </row>
    <row r="3" spans="1:4" ht="36" x14ac:dyDescent="0.3">
      <c r="A3" s="20">
        <v>1</v>
      </c>
      <c r="B3" s="16" t="s">
        <v>234</v>
      </c>
      <c r="C3" s="16" t="s">
        <v>34</v>
      </c>
      <c r="D3" s="19">
        <v>33.86</v>
      </c>
    </row>
    <row r="4" spans="1:4" ht="36" x14ac:dyDescent="0.3">
      <c r="A4" s="20">
        <v>2</v>
      </c>
      <c r="B4" s="16" t="s">
        <v>235</v>
      </c>
      <c r="C4" s="16" t="s">
        <v>34</v>
      </c>
      <c r="D4" s="19">
        <v>26.36</v>
      </c>
    </row>
    <row r="5" spans="1:4" ht="36" x14ac:dyDescent="0.3">
      <c r="A5" s="20">
        <v>3</v>
      </c>
      <c r="B5" s="16" t="s">
        <v>236</v>
      </c>
      <c r="C5" s="16" t="s">
        <v>34</v>
      </c>
      <c r="D5" s="19">
        <v>25.2</v>
      </c>
    </row>
    <row r="6" spans="1:4" ht="36" x14ac:dyDescent="0.3">
      <c r="A6" s="20">
        <v>4</v>
      </c>
      <c r="B6" s="16" t="s">
        <v>238</v>
      </c>
      <c r="C6" s="16" t="s">
        <v>34</v>
      </c>
      <c r="D6" s="19">
        <v>38.299999999999997</v>
      </c>
    </row>
    <row r="7" spans="1:4" ht="18" x14ac:dyDescent="0.3">
      <c r="A7" s="20"/>
      <c r="B7" s="16" t="s">
        <v>231</v>
      </c>
      <c r="C7" s="16" t="s">
        <v>34</v>
      </c>
      <c r="D7" s="19">
        <f>SUM(D3:D6)</f>
        <v>123.72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D15"/>
  <sheetViews>
    <sheetView workbookViewId="0">
      <selection sqref="A1:D1"/>
    </sheetView>
  </sheetViews>
  <sheetFormatPr defaultRowHeight="18" x14ac:dyDescent="0.35"/>
  <cols>
    <col min="1" max="1" width="11.5546875" style="14" customWidth="1"/>
    <col min="2" max="2" width="28.77734375" style="14" customWidth="1"/>
    <col min="3" max="3" width="11.88671875" style="14" customWidth="1"/>
    <col min="4" max="4" width="16.77734375" style="14" customWidth="1"/>
    <col min="5" max="16384" width="8.88671875" style="14"/>
  </cols>
  <sheetData>
    <row r="1" spans="1:4" ht="81" customHeight="1" x14ac:dyDescent="0.35">
      <c r="A1" s="377" t="s">
        <v>232</v>
      </c>
      <c r="B1" s="377"/>
      <c r="C1" s="377"/>
      <c r="D1" s="377"/>
    </row>
    <row r="2" spans="1:4" ht="42" customHeight="1" x14ac:dyDescent="0.35">
      <c r="A2" s="382" t="s">
        <v>301</v>
      </c>
      <c r="B2" s="382"/>
      <c r="C2" s="382"/>
      <c r="D2" s="382"/>
    </row>
    <row r="3" spans="1:4" s="18" customFormat="1" ht="36" x14ac:dyDescent="0.35">
      <c r="A3" s="21" t="s">
        <v>9</v>
      </c>
      <c r="B3" s="21" t="s">
        <v>228</v>
      </c>
      <c r="C3" s="21" t="s">
        <v>14</v>
      </c>
      <c r="D3" s="21" t="s">
        <v>16</v>
      </c>
    </row>
    <row r="4" spans="1:4" s="18" customFormat="1" ht="36" x14ac:dyDescent="0.35">
      <c r="A4" s="20">
        <v>1</v>
      </c>
      <c r="B4" s="16" t="s">
        <v>297</v>
      </c>
      <c r="C4" s="16" t="s">
        <v>23</v>
      </c>
      <c r="D4" s="19">
        <f>31.275*3.15 - 4</f>
        <v>94.516249999999999</v>
      </c>
    </row>
    <row r="5" spans="1:4" s="18" customFormat="1" ht="36" x14ac:dyDescent="0.35">
      <c r="A5" s="20">
        <v>1</v>
      </c>
      <c r="B5" s="16" t="s">
        <v>304</v>
      </c>
      <c r="C5" s="16" t="s">
        <v>23</v>
      </c>
      <c r="D5" s="108">
        <f>64.3 * 3.15 -4</f>
        <v>198.54499999999999</v>
      </c>
    </row>
    <row r="6" spans="1:4" s="18" customFormat="1" ht="36" x14ac:dyDescent="0.35">
      <c r="A6" s="20">
        <v>2</v>
      </c>
      <c r="B6" s="16" t="s">
        <v>298</v>
      </c>
      <c r="C6" s="16" t="s">
        <v>23</v>
      </c>
      <c r="D6" s="108">
        <f>65.8 * 3.15 -4</f>
        <v>203.26999999999998</v>
      </c>
    </row>
    <row r="7" spans="1:4" x14ac:dyDescent="0.35">
      <c r="A7" s="20"/>
      <c r="B7" s="16" t="s">
        <v>231</v>
      </c>
      <c r="C7" s="16" t="s">
        <v>23</v>
      </c>
      <c r="D7" s="19">
        <f>SUM(D4:D6)</f>
        <v>496.33124999999995</v>
      </c>
    </row>
    <row r="8" spans="1:4" ht="42" customHeight="1" x14ac:dyDescent="0.35">
      <c r="A8" s="109"/>
      <c r="B8" s="21"/>
      <c r="C8" s="21"/>
      <c r="D8" s="110"/>
    </row>
    <row r="9" spans="1:4" ht="22.2" customHeight="1" x14ac:dyDescent="0.35">
      <c r="A9" s="383" t="s">
        <v>302</v>
      </c>
      <c r="B9" s="384"/>
      <c r="C9" s="384"/>
      <c r="D9" s="385"/>
    </row>
    <row r="10" spans="1:4" ht="36" x14ac:dyDescent="0.35">
      <c r="A10" s="35" t="s">
        <v>9</v>
      </c>
      <c r="B10" s="35" t="s">
        <v>228</v>
      </c>
      <c r="C10" s="35" t="s">
        <v>14</v>
      </c>
      <c r="D10" s="35" t="s">
        <v>16</v>
      </c>
    </row>
    <row r="11" spans="1:4" ht="36" x14ac:dyDescent="0.35">
      <c r="A11" s="50">
        <v>1</v>
      </c>
      <c r="B11" s="51" t="s">
        <v>299</v>
      </c>
      <c r="C11" s="51" t="s">
        <v>23</v>
      </c>
      <c r="D11" s="111">
        <f>3.55*4</f>
        <v>14.2</v>
      </c>
    </row>
    <row r="12" spans="1:4" ht="36" x14ac:dyDescent="0.35">
      <c r="A12" s="50">
        <v>2</v>
      </c>
      <c r="B12" s="16" t="s">
        <v>235</v>
      </c>
      <c r="C12" s="16" t="s">
        <v>23</v>
      </c>
      <c r="D12" s="108">
        <f>(3.75+3.58)*4-2</f>
        <v>27.32</v>
      </c>
    </row>
    <row r="13" spans="1:4" ht="36" x14ac:dyDescent="0.35">
      <c r="A13" s="50">
        <v>3</v>
      </c>
      <c r="B13" s="16" t="s">
        <v>236</v>
      </c>
      <c r="C13" s="16" t="s">
        <v>23</v>
      </c>
      <c r="D13" s="108">
        <f>(3.58+3.75+4.45+3.58)*4-4</f>
        <v>57.440000000000005</v>
      </c>
    </row>
    <row r="14" spans="1:4" ht="36" x14ac:dyDescent="0.35">
      <c r="A14" s="50">
        <v>4</v>
      </c>
      <c r="B14" s="16" t="s">
        <v>300</v>
      </c>
      <c r="C14" s="16" t="s">
        <v>23</v>
      </c>
      <c r="D14" s="108">
        <f>3.55*2*4</f>
        <v>28.4</v>
      </c>
    </row>
    <row r="15" spans="1:4" x14ac:dyDescent="0.35">
      <c r="A15" s="20"/>
      <c r="B15" s="16" t="s">
        <v>231</v>
      </c>
      <c r="C15" s="16" t="s">
        <v>23</v>
      </c>
      <c r="D15" s="19">
        <f>SUM(D11:D14)</f>
        <v>127.36000000000001</v>
      </c>
    </row>
  </sheetData>
  <mergeCells count="3">
    <mergeCell ref="A1:D1"/>
    <mergeCell ref="A2:D2"/>
    <mergeCell ref="A9:D9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D13"/>
  <sheetViews>
    <sheetView workbookViewId="0">
      <selection sqref="A1:D1"/>
    </sheetView>
  </sheetViews>
  <sheetFormatPr defaultRowHeight="14.4" x14ac:dyDescent="0.3"/>
  <cols>
    <col min="1" max="1" width="11.5546875" customWidth="1"/>
    <col min="2" max="2" width="28.77734375" customWidth="1"/>
    <col min="3" max="3" width="11.88671875" customWidth="1"/>
    <col min="4" max="4" width="16.77734375" customWidth="1"/>
  </cols>
  <sheetData>
    <row r="1" spans="1:4" ht="64.2" customHeight="1" x14ac:dyDescent="0.3">
      <c r="A1" s="378" t="s">
        <v>233</v>
      </c>
      <c r="B1" s="378"/>
      <c r="C1" s="378"/>
      <c r="D1" s="378"/>
    </row>
    <row r="2" spans="1:4" ht="36" x14ac:dyDescent="0.3">
      <c r="A2" s="21" t="s">
        <v>9</v>
      </c>
      <c r="B2" s="21" t="s">
        <v>228</v>
      </c>
      <c r="C2" s="21" t="s">
        <v>14</v>
      </c>
      <c r="D2" s="21" t="s">
        <v>16</v>
      </c>
    </row>
    <row r="3" spans="1:4" ht="36" x14ac:dyDescent="0.3">
      <c r="A3" s="20">
        <v>1</v>
      </c>
      <c r="B3" s="16" t="s">
        <v>297</v>
      </c>
      <c r="C3" s="16" t="s">
        <v>34</v>
      </c>
      <c r="D3" s="19">
        <f>3.96-0.2*1.15*0.4</f>
        <v>3.8679999999999999</v>
      </c>
    </row>
    <row r="4" spans="1:4" ht="36" x14ac:dyDescent="0.3">
      <c r="A4" s="20">
        <v>2</v>
      </c>
      <c r="B4" s="16" t="s">
        <v>304</v>
      </c>
      <c r="C4" s="16" t="s">
        <v>34</v>
      </c>
      <c r="D4" s="19">
        <f>2.83-0.2*1.15*0.4</f>
        <v>2.738</v>
      </c>
    </row>
    <row r="5" spans="1:4" ht="36" x14ac:dyDescent="0.3">
      <c r="A5" s="20">
        <v>2</v>
      </c>
      <c r="B5" s="16" t="s">
        <v>298</v>
      </c>
      <c r="C5" s="16" t="s">
        <v>34</v>
      </c>
      <c r="D5" s="19">
        <f>4.5-0.2*1.15*0.4</f>
        <v>4.4080000000000004</v>
      </c>
    </row>
    <row r="6" spans="1:4" ht="18" x14ac:dyDescent="0.3">
      <c r="A6" s="20"/>
      <c r="B6" s="16" t="s">
        <v>231</v>
      </c>
      <c r="C6" s="16" t="s">
        <v>34</v>
      </c>
      <c r="D6" s="19">
        <f>SUM(D3:D5)</f>
        <v>11.013999999999999</v>
      </c>
    </row>
    <row r="7" spans="1:4" s="14" customFormat="1" ht="42" customHeight="1" x14ac:dyDescent="0.35">
      <c r="A7" s="109"/>
      <c r="B7" s="21"/>
      <c r="C7" s="21"/>
      <c r="D7" s="110"/>
    </row>
    <row r="8" spans="1:4" s="14" customFormat="1" ht="22.2" customHeight="1" x14ac:dyDescent="0.35">
      <c r="A8" s="383" t="s">
        <v>302</v>
      </c>
      <c r="B8" s="384"/>
      <c r="C8" s="384"/>
      <c r="D8" s="385"/>
    </row>
    <row r="9" spans="1:4" ht="36" x14ac:dyDescent="0.3">
      <c r="A9" s="20">
        <v>2</v>
      </c>
      <c r="B9" s="16" t="s">
        <v>234</v>
      </c>
      <c r="C9" s="16" t="s">
        <v>34</v>
      </c>
      <c r="D9" s="19">
        <v>8.4499999999999993</v>
      </c>
    </row>
    <row r="10" spans="1:4" ht="36" x14ac:dyDescent="0.3">
      <c r="A10" s="20">
        <v>1</v>
      </c>
      <c r="B10" s="16" t="s">
        <v>299</v>
      </c>
      <c r="C10" s="16" t="s">
        <v>34</v>
      </c>
      <c r="D10" s="19">
        <v>8.18</v>
      </c>
    </row>
    <row r="11" spans="1:4" ht="36" x14ac:dyDescent="0.3">
      <c r="A11" s="20">
        <v>2</v>
      </c>
      <c r="B11" s="16" t="s">
        <v>303</v>
      </c>
      <c r="C11" s="16" t="s">
        <v>34</v>
      </c>
      <c r="D11" s="19">
        <v>18.239999999999998</v>
      </c>
    </row>
    <row r="12" spans="1:4" ht="36" x14ac:dyDescent="0.3">
      <c r="A12" s="20">
        <v>3</v>
      </c>
      <c r="B12" s="16" t="s">
        <v>300</v>
      </c>
      <c r="C12" s="16" t="s">
        <v>34</v>
      </c>
      <c r="D12" s="19">
        <v>45.9</v>
      </c>
    </row>
    <row r="13" spans="1:4" ht="18" x14ac:dyDescent="0.3">
      <c r="A13" s="20"/>
      <c r="B13" s="16" t="s">
        <v>231</v>
      </c>
      <c r="C13" s="16" t="s">
        <v>34</v>
      </c>
      <c r="D13" s="19">
        <f>SUM(D9:D12)</f>
        <v>80.77</v>
      </c>
    </row>
  </sheetData>
  <mergeCells count="2">
    <mergeCell ref="A1:D1"/>
    <mergeCell ref="A8:D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sqref="A1:H1"/>
    </sheetView>
  </sheetViews>
  <sheetFormatPr defaultRowHeight="14.4" x14ac:dyDescent="0.3"/>
  <cols>
    <col min="1" max="1" width="11.5546875" customWidth="1"/>
    <col min="2" max="2" width="8.44140625" style="22" customWidth="1"/>
    <col min="3" max="3" width="11.44140625" style="22" customWidth="1"/>
    <col min="4" max="6" width="9.5546875" customWidth="1"/>
    <col min="7" max="7" width="11.88671875" customWidth="1"/>
    <col min="8" max="8" width="16.77734375" customWidth="1"/>
  </cols>
  <sheetData>
    <row r="1" spans="1:8" ht="64.2" customHeight="1" x14ac:dyDescent="0.3">
      <c r="A1" s="378" t="s">
        <v>187</v>
      </c>
      <c r="B1" s="378"/>
      <c r="C1" s="378"/>
      <c r="D1" s="378"/>
      <c r="E1" s="378"/>
      <c r="F1" s="378"/>
      <c r="G1" s="378"/>
      <c r="H1" s="378"/>
    </row>
    <row r="2" spans="1:8" ht="36" x14ac:dyDescent="0.3">
      <c r="A2" s="21" t="s">
        <v>9</v>
      </c>
      <c r="B2" s="21" t="s">
        <v>252</v>
      </c>
      <c r="C2" s="21" t="s">
        <v>251</v>
      </c>
      <c r="D2" s="21" t="s">
        <v>242</v>
      </c>
      <c r="E2" s="21" t="s">
        <v>241</v>
      </c>
      <c r="F2" s="21" t="s">
        <v>246</v>
      </c>
      <c r="G2" s="21" t="s">
        <v>14</v>
      </c>
      <c r="H2" s="21" t="s">
        <v>16</v>
      </c>
    </row>
    <row r="3" spans="1:8" ht="18" x14ac:dyDescent="0.3">
      <c r="A3" s="20">
        <v>1</v>
      </c>
      <c r="B3" s="24">
        <v>1</v>
      </c>
      <c r="C3" s="24">
        <v>1</v>
      </c>
      <c r="D3" s="16" t="s">
        <v>243</v>
      </c>
      <c r="E3" s="16">
        <v>19</v>
      </c>
      <c r="F3" s="16">
        <f>35.8+2+3.1</f>
        <v>40.9</v>
      </c>
      <c r="G3" s="16" t="s">
        <v>158</v>
      </c>
      <c r="H3" s="23">
        <f t="shared" ref="H3:H21" si="0">E3*F3/1000</f>
        <v>0.77710000000000001</v>
      </c>
    </row>
    <row r="4" spans="1:8" ht="18" x14ac:dyDescent="0.3">
      <c r="A4" s="20">
        <v>2</v>
      </c>
      <c r="B4" s="24">
        <v>1</v>
      </c>
      <c r="C4" s="24">
        <v>1</v>
      </c>
      <c r="D4" s="16" t="s">
        <v>245</v>
      </c>
      <c r="E4" s="16">
        <v>4</v>
      </c>
      <c r="F4" s="16">
        <f>35.8+3.1+2.15</f>
        <v>41.05</v>
      </c>
      <c r="G4" s="16" t="s">
        <v>158</v>
      </c>
      <c r="H4" s="23">
        <f t="shared" si="0"/>
        <v>0.16419999999999998</v>
      </c>
    </row>
    <row r="5" spans="1:8" ht="18" x14ac:dyDescent="0.3">
      <c r="A5" s="20">
        <v>3</v>
      </c>
      <c r="B5" s="24">
        <v>1</v>
      </c>
      <c r="C5" s="24">
        <v>2</v>
      </c>
      <c r="D5" s="16" t="s">
        <v>247</v>
      </c>
      <c r="E5" s="16">
        <f>23-9</f>
        <v>14</v>
      </c>
      <c r="F5" s="16">
        <f>30.36+2.1+1.05</f>
        <v>33.51</v>
      </c>
      <c r="G5" s="16" t="s">
        <v>158</v>
      </c>
      <c r="H5" s="23">
        <f t="shared" ref="H5" si="1">E5*F5/1000</f>
        <v>0.46914</v>
      </c>
    </row>
    <row r="6" spans="1:8" ht="18" x14ac:dyDescent="0.3">
      <c r="A6" s="20">
        <v>4</v>
      </c>
      <c r="B6" s="24">
        <v>1</v>
      </c>
      <c r="C6" s="24">
        <v>2</v>
      </c>
      <c r="D6" s="16" t="s">
        <v>248</v>
      </c>
      <c r="E6" s="16">
        <v>4</v>
      </c>
      <c r="F6" s="16">
        <f>49.2+9.8</f>
        <v>59</v>
      </c>
      <c r="G6" s="16" t="s">
        <v>158</v>
      </c>
      <c r="H6" s="23">
        <f t="shared" ref="H6:H8" si="2">E6*F6/1000</f>
        <v>0.23599999999999999</v>
      </c>
    </row>
    <row r="7" spans="1:8" ht="18" x14ac:dyDescent="0.3">
      <c r="A7" s="20">
        <v>5</v>
      </c>
      <c r="B7" s="24">
        <v>1</v>
      </c>
      <c r="C7" s="24">
        <v>2</v>
      </c>
      <c r="D7" s="16" t="s">
        <v>244</v>
      </c>
      <c r="E7" s="16">
        <v>15</v>
      </c>
      <c r="F7" s="16">
        <f>30.36+2.1+1.47</f>
        <v>33.93</v>
      </c>
      <c r="G7" s="16" t="s">
        <v>158</v>
      </c>
      <c r="H7" s="23">
        <f t="shared" ref="H7" si="3">E7*F7/1000</f>
        <v>0.50895000000000001</v>
      </c>
    </row>
    <row r="8" spans="1:8" ht="18" x14ac:dyDescent="0.3">
      <c r="A8" s="20">
        <v>6</v>
      </c>
      <c r="B8" s="24">
        <v>1</v>
      </c>
      <c r="C8" s="24">
        <v>2</v>
      </c>
      <c r="D8" s="16" t="s">
        <v>250</v>
      </c>
      <c r="E8" s="16">
        <v>2</v>
      </c>
      <c r="F8" s="16">
        <f>29.07+2.1+1.47</f>
        <v>32.64</v>
      </c>
      <c r="G8" s="16" t="s">
        <v>158</v>
      </c>
      <c r="H8" s="23">
        <f t="shared" si="2"/>
        <v>6.5280000000000005E-2</v>
      </c>
    </row>
    <row r="9" spans="1:8" ht="18" x14ac:dyDescent="0.3">
      <c r="A9" s="20">
        <v>7</v>
      </c>
      <c r="B9" s="24">
        <v>1</v>
      </c>
      <c r="C9" s="24">
        <v>3</v>
      </c>
      <c r="D9" s="16" t="s">
        <v>243</v>
      </c>
      <c r="E9" s="16">
        <v>8</v>
      </c>
      <c r="F9" s="16">
        <f>35.8+2+3.1</f>
        <v>40.9</v>
      </c>
      <c r="G9" s="16" t="s">
        <v>158</v>
      </c>
      <c r="H9" s="23">
        <f t="shared" ref="H9:H12" si="4">E9*F9/1000</f>
        <v>0.32719999999999999</v>
      </c>
    </row>
    <row r="10" spans="1:8" ht="18" x14ac:dyDescent="0.3">
      <c r="A10" s="20">
        <v>8</v>
      </c>
      <c r="B10" s="24">
        <v>1</v>
      </c>
      <c r="C10" s="24">
        <v>3</v>
      </c>
      <c r="D10" s="16" t="s">
        <v>248</v>
      </c>
      <c r="E10" s="16">
        <v>4</v>
      </c>
      <c r="F10" s="16">
        <f>49.2+9.8</f>
        <v>59</v>
      </c>
      <c r="G10" s="16" t="s">
        <v>158</v>
      </c>
      <c r="H10" s="23">
        <f t="shared" si="4"/>
        <v>0.23599999999999999</v>
      </c>
    </row>
    <row r="11" spans="1:8" ht="18" x14ac:dyDescent="0.3">
      <c r="A11" s="20">
        <v>9</v>
      </c>
      <c r="B11" s="24">
        <v>1</v>
      </c>
      <c r="C11" s="24">
        <v>3</v>
      </c>
      <c r="D11" s="16" t="s">
        <v>249</v>
      </c>
      <c r="E11" s="16">
        <v>1</v>
      </c>
      <c r="F11" s="16">
        <f>29.07+2.1+1.05</f>
        <v>32.22</v>
      </c>
      <c r="G11" s="16" t="s">
        <v>158</v>
      </c>
      <c r="H11" s="23">
        <f t="shared" si="4"/>
        <v>3.2219999999999999E-2</v>
      </c>
    </row>
    <row r="12" spans="1:8" ht="18" x14ac:dyDescent="0.3">
      <c r="A12" s="20">
        <v>10</v>
      </c>
      <c r="B12" s="24">
        <v>1</v>
      </c>
      <c r="C12" s="24">
        <v>3</v>
      </c>
      <c r="D12" s="16" t="s">
        <v>250</v>
      </c>
      <c r="E12" s="16">
        <v>2</v>
      </c>
      <c r="F12" s="16">
        <f>29.07+2.1+1.47</f>
        <v>32.64</v>
      </c>
      <c r="G12" s="16" t="s">
        <v>158</v>
      </c>
      <c r="H12" s="23">
        <f t="shared" si="4"/>
        <v>6.5280000000000005E-2</v>
      </c>
    </row>
    <row r="13" spans="1:8" ht="18" x14ac:dyDescent="0.3">
      <c r="A13" s="20">
        <v>11</v>
      </c>
      <c r="B13" s="25">
        <v>2</v>
      </c>
      <c r="C13" s="25">
        <v>1</v>
      </c>
      <c r="D13" s="16" t="s">
        <v>239</v>
      </c>
      <c r="E13" s="16">
        <v>8</v>
      </c>
      <c r="F13" s="16">
        <f>35.4+1.7+3.1</f>
        <v>40.200000000000003</v>
      </c>
      <c r="G13" s="16" t="s">
        <v>158</v>
      </c>
      <c r="H13" s="23">
        <f>E13*F13/1000</f>
        <v>0.3216</v>
      </c>
    </row>
    <row r="14" spans="1:8" ht="18" x14ac:dyDescent="0.3">
      <c r="A14" s="20">
        <v>12</v>
      </c>
      <c r="B14" s="25">
        <v>2</v>
      </c>
      <c r="C14" s="25">
        <v>1</v>
      </c>
      <c r="D14" s="16" t="s">
        <v>240</v>
      </c>
      <c r="E14" s="16">
        <v>12</v>
      </c>
      <c r="F14" s="16">
        <f>35.4+2.15+3.1</f>
        <v>40.65</v>
      </c>
      <c r="G14" s="16" t="s">
        <v>158</v>
      </c>
      <c r="H14" s="23">
        <f t="shared" si="0"/>
        <v>0.48779999999999996</v>
      </c>
    </row>
    <row r="15" spans="1:8" ht="18" x14ac:dyDescent="0.3">
      <c r="A15" s="20">
        <v>13</v>
      </c>
      <c r="B15" s="25">
        <v>2</v>
      </c>
      <c r="C15" s="25">
        <v>3</v>
      </c>
      <c r="D15" s="16" t="s">
        <v>239</v>
      </c>
      <c r="E15" s="16">
        <v>16</v>
      </c>
      <c r="F15" s="16">
        <f>35.4+1.7+3.1</f>
        <v>40.200000000000003</v>
      </c>
      <c r="G15" s="16" t="s">
        <v>158</v>
      </c>
      <c r="H15" s="23">
        <f>E15*F15/1000</f>
        <v>0.64319999999999999</v>
      </c>
    </row>
    <row r="16" spans="1:8" ht="18" x14ac:dyDescent="0.3">
      <c r="A16" s="20">
        <v>14</v>
      </c>
      <c r="B16" s="25">
        <v>2</v>
      </c>
      <c r="C16" s="25">
        <v>3</v>
      </c>
      <c r="D16" s="16" t="s">
        <v>240</v>
      </c>
      <c r="E16" s="16">
        <v>21</v>
      </c>
      <c r="F16" s="16">
        <f>35.4+2.15+3.1</f>
        <v>40.65</v>
      </c>
      <c r="G16" s="16" t="s">
        <v>158</v>
      </c>
      <c r="H16" s="23">
        <f t="shared" ref="H16:H20" si="5">E16*F16/1000</f>
        <v>0.85365000000000002</v>
      </c>
    </row>
    <row r="17" spans="1:8" ht="18" x14ac:dyDescent="0.3">
      <c r="A17" s="20">
        <v>15</v>
      </c>
      <c r="B17" s="26">
        <v>3</v>
      </c>
      <c r="C17" s="26">
        <v>1</v>
      </c>
      <c r="D17" s="16" t="s">
        <v>239</v>
      </c>
      <c r="E17" s="16">
        <v>4</v>
      </c>
      <c r="F17" s="16">
        <f>35.4+1.7+3.1</f>
        <v>40.200000000000003</v>
      </c>
      <c r="G17" s="16" t="s">
        <v>158</v>
      </c>
      <c r="H17" s="23">
        <f>E17*F17/1000</f>
        <v>0.1608</v>
      </c>
    </row>
    <row r="18" spans="1:8" ht="18" x14ac:dyDescent="0.3">
      <c r="A18" s="20">
        <v>16</v>
      </c>
      <c r="B18" s="26">
        <v>3</v>
      </c>
      <c r="C18" s="26">
        <v>1</v>
      </c>
      <c r="D18" s="16" t="s">
        <v>240</v>
      </c>
      <c r="E18" s="16">
        <v>6</v>
      </c>
      <c r="F18" s="16">
        <f>35.4+2.15+3.1</f>
        <v>40.65</v>
      </c>
      <c r="G18" s="16" t="s">
        <v>158</v>
      </c>
      <c r="H18" s="23">
        <f t="shared" si="5"/>
        <v>0.24389999999999998</v>
      </c>
    </row>
    <row r="19" spans="1:8" ht="18" x14ac:dyDescent="0.3">
      <c r="A19" s="20">
        <v>17</v>
      </c>
      <c r="B19" s="26">
        <v>3</v>
      </c>
      <c r="C19" s="26">
        <v>3</v>
      </c>
      <c r="D19" s="16" t="s">
        <v>239</v>
      </c>
      <c r="E19" s="16">
        <v>12</v>
      </c>
      <c r="F19" s="16">
        <f>35.4+1.7+3.1</f>
        <v>40.200000000000003</v>
      </c>
      <c r="G19" s="16" t="s">
        <v>158</v>
      </c>
      <c r="H19" s="23">
        <f t="shared" si="5"/>
        <v>0.48240000000000005</v>
      </c>
    </row>
    <row r="20" spans="1:8" ht="18" x14ac:dyDescent="0.3">
      <c r="A20" s="20">
        <v>18</v>
      </c>
      <c r="B20" s="26">
        <v>3</v>
      </c>
      <c r="C20" s="26">
        <v>3</v>
      </c>
      <c r="D20" s="16" t="s">
        <v>240</v>
      </c>
      <c r="E20" s="16">
        <v>24</v>
      </c>
      <c r="F20" s="16">
        <f>35.4+2.15+3.1</f>
        <v>40.65</v>
      </c>
      <c r="G20" s="16" t="s">
        <v>158</v>
      </c>
      <c r="H20" s="23">
        <f t="shared" si="5"/>
        <v>0.97559999999999991</v>
      </c>
    </row>
    <row r="21" spans="1:8" ht="18" x14ac:dyDescent="0.3">
      <c r="A21" s="20">
        <v>19</v>
      </c>
      <c r="B21" s="27">
        <v>4</v>
      </c>
      <c r="C21" s="27">
        <v>3</v>
      </c>
      <c r="D21" s="16" t="s">
        <v>239</v>
      </c>
      <c r="E21" s="16">
        <v>8</v>
      </c>
      <c r="F21" s="16">
        <f>35.4+1.7+3.1</f>
        <v>40.200000000000003</v>
      </c>
      <c r="G21" s="16" t="s">
        <v>158</v>
      </c>
      <c r="H21" s="23">
        <f t="shared" si="0"/>
        <v>0.3216</v>
      </c>
    </row>
    <row r="22" spans="1:8" ht="18" x14ac:dyDescent="0.3">
      <c r="A22" s="20">
        <v>20</v>
      </c>
      <c r="B22" s="27">
        <v>4</v>
      </c>
      <c r="C22" s="27">
        <v>3</v>
      </c>
      <c r="D22" s="16" t="s">
        <v>240</v>
      </c>
      <c r="E22" s="16">
        <v>19</v>
      </c>
      <c r="F22" s="16">
        <f>35.4+2.15+3.1</f>
        <v>40.65</v>
      </c>
      <c r="G22" s="16" t="s">
        <v>158</v>
      </c>
      <c r="H22" s="23">
        <f t="shared" ref="H22" si="6">E22*F22/1000</f>
        <v>0.77234999999999998</v>
      </c>
    </row>
    <row r="23" spans="1:8" ht="18" x14ac:dyDescent="0.3">
      <c r="A23" s="20"/>
      <c r="B23" s="16"/>
      <c r="C23" s="16"/>
      <c r="D23" s="16"/>
      <c r="E23" s="16"/>
      <c r="F23" s="16" t="s">
        <v>231</v>
      </c>
      <c r="G23" s="16" t="s">
        <v>158</v>
      </c>
      <c r="H23" s="23">
        <f>SUM(H3:H22)</f>
        <v>8.1442700000000006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H13"/>
  <sheetViews>
    <sheetView workbookViewId="0">
      <selection sqref="A1:H1"/>
    </sheetView>
  </sheetViews>
  <sheetFormatPr defaultRowHeight="14.4" x14ac:dyDescent="0.3"/>
  <sheetData>
    <row r="1" spans="1:8" ht="58.8" customHeight="1" x14ac:dyDescent="0.3">
      <c r="A1" s="378" t="s">
        <v>187</v>
      </c>
      <c r="B1" s="378"/>
      <c r="C1" s="378"/>
      <c r="D1" s="378"/>
      <c r="E1" s="378"/>
      <c r="F1" s="378"/>
      <c r="G1" s="378"/>
      <c r="H1" s="378"/>
    </row>
    <row r="2" spans="1:8" ht="36" x14ac:dyDescent="0.3">
      <c r="A2" s="35" t="s">
        <v>9</v>
      </c>
      <c r="B2" s="35" t="s">
        <v>252</v>
      </c>
      <c r="C2" s="35" t="s">
        <v>251</v>
      </c>
      <c r="D2" s="35" t="s">
        <v>242</v>
      </c>
      <c r="E2" s="35" t="s">
        <v>241</v>
      </c>
      <c r="F2" s="35" t="s">
        <v>246</v>
      </c>
      <c r="G2" s="35" t="s">
        <v>14</v>
      </c>
      <c r="H2" s="35" t="s">
        <v>16</v>
      </c>
    </row>
    <row r="3" spans="1:8" ht="18" x14ac:dyDescent="0.3">
      <c r="A3" s="35">
        <v>1</v>
      </c>
      <c r="B3" s="36">
        <v>-1</v>
      </c>
      <c r="C3" s="36">
        <v>1</v>
      </c>
      <c r="D3" s="35" t="s">
        <v>243</v>
      </c>
      <c r="E3" s="35">
        <v>3</v>
      </c>
      <c r="F3" s="35">
        <f>35.8+3.5+2+3.1</f>
        <v>44.4</v>
      </c>
      <c r="G3" s="35" t="s">
        <v>158</v>
      </c>
      <c r="H3" s="23">
        <f t="shared" ref="H3:H12" si="0">E3*F3/1000</f>
        <v>0.13319999999999999</v>
      </c>
    </row>
    <row r="4" spans="1:8" ht="18" x14ac:dyDescent="0.3">
      <c r="A4" s="35">
        <v>2</v>
      </c>
      <c r="B4" s="36">
        <v>-1</v>
      </c>
      <c r="C4" s="36">
        <v>1</v>
      </c>
      <c r="D4" s="35" t="s">
        <v>245</v>
      </c>
      <c r="E4" s="35">
        <v>1</v>
      </c>
      <c r="F4" s="35">
        <f>35.8+3.5+3.1+2.15</f>
        <v>44.55</v>
      </c>
      <c r="G4" s="35" t="s">
        <v>158</v>
      </c>
      <c r="H4" s="23">
        <f t="shared" si="0"/>
        <v>4.4549999999999999E-2</v>
      </c>
    </row>
    <row r="5" spans="1:8" ht="18" x14ac:dyDescent="0.3">
      <c r="A5" s="35">
        <v>3</v>
      </c>
      <c r="B5" s="36">
        <v>-1</v>
      </c>
      <c r="C5" s="36">
        <v>1</v>
      </c>
      <c r="D5" s="16" t="s">
        <v>247</v>
      </c>
      <c r="E5" s="16">
        <v>1</v>
      </c>
      <c r="F5" s="16">
        <f>30.36+2.1+1.05</f>
        <v>33.51</v>
      </c>
      <c r="G5" s="35" t="s">
        <v>158</v>
      </c>
      <c r="H5" s="23">
        <f t="shared" si="0"/>
        <v>3.3509999999999998E-2</v>
      </c>
    </row>
    <row r="6" spans="1:8" ht="18" x14ac:dyDescent="0.3">
      <c r="A6" s="35">
        <v>4</v>
      </c>
      <c r="B6" s="36">
        <v>-1</v>
      </c>
      <c r="C6" s="36">
        <v>1</v>
      </c>
      <c r="D6" s="35" t="s">
        <v>244</v>
      </c>
      <c r="E6" s="35">
        <v>1</v>
      </c>
      <c r="F6" s="35">
        <f>30.36+2.1+1.47</f>
        <v>33.93</v>
      </c>
      <c r="G6" s="35" t="s">
        <v>158</v>
      </c>
      <c r="H6" s="23">
        <f t="shared" si="0"/>
        <v>3.3930000000000002E-2</v>
      </c>
    </row>
    <row r="7" spans="1:8" ht="18" x14ac:dyDescent="0.3">
      <c r="A7" s="35">
        <v>5</v>
      </c>
      <c r="B7" s="37">
        <v>-1</v>
      </c>
      <c r="C7" s="37">
        <v>2</v>
      </c>
      <c r="D7" s="35" t="s">
        <v>243</v>
      </c>
      <c r="E7" s="35">
        <v>7</v>
      </c>
      <c r="F7" s="35">
        <f>35.8+3.5+2+3.1</f>
        <v>44.4</v>
      </c>
      <c r="G7" s="35" t="s">
        <v>158</v>
      </c>
      <c r="H7" s="23">
        <f t="shared" si="0"/>
        <v>0.31080000000000002</v>
      </c>
    </row>
    <row r="8" spans="1:8" ht="18" x14ac:dyDescent="0.3">
      <c r="A8" s="35">
        <v>6</v>
      </c>
      <c r="B8" s="37">
        <v>-1</v>
      </c>
      <c r="C8" s="37">
        <v>2</v>
      </c>
      <c r="D8" s="35" t="s">
        <v>245</v>
      </c>
      <c r="E8" s="35">
        <v>1</v>
      </c>
      <c r="F8" s="35">
        <f>35.8+3.5+3.1+2.15</f>
        <v>44.55</v>
      </c>
      <c r="G8" s="35" t="s">
        <v>158</v>
      </c>
      <c r="H8" s="23">
        <f t="shared" si="0"/>
        <v>4.4549999999999999E-2</v>
      </c>
    </row>
    <row r="9" spans="1:8" ht="18" x14ac:dyDescent="0.3">
      <c r="A9" s="35">
        <v>7</v>
      </c>
      <c r="B9" s="37">
        <v>-1</v>
      </c>
      <c r="C9" s="37">
        <v>2</v>
      </c>
      <c r="D9" s="16" t="s">
        <v>247</v>
      </c>
      <c r="E9" s="35">
        <v>2</v>
      </c>
      <c r="F9" s="16">
        <f>30.36+2.1+1.05</f>
        <v>33.51</v>
      </c>
      <c r="G9" s="35" t="s">
        <v>158</v>
      </c>
      <c r="H9" s="23">
        <f t="shared" si="0"/>
        <v>6.7019999999999996E-2</v>
      </c>
    </row>
    <row r="10" spans="1:8" ht="18" x14ac:dyDescent="0.3">
      <c r="A10" s="35">
        <v>8</v>
      </c>
      <c r="B10" s="38">
        <v>-1</v>
      </c>
      <c r="C10" s="38">
        <v>3</v>
      </c>
      <c r="D10" s="35" t="s">
        <v>243</v>
      </c>
      <c r="E10" s="35">
        <v>7</v>
      </c>
      <c r="F10" s="35">
        <f>35.8+3.5+2+3.1</f>
        <v>44.4</v>
      </c>
      <c r="G10" s="35" t="s">
        <v>158</v>
      </c>
      <c r="H10" s="23">
        <f t="shared" si="0"/>
        <v>0.31080000000000002</v>
      </c>
    </row>
    <row r="11" spans="1:8" ht="18" x14ac:dyDescent="0.3">
      <c r="A11" s="35">
        <v>9</v>
      </c>
      <c r="B11" s="38">
        <v>-1</v>
      </c>
      <c r="C11" s="38">
        <v>3</v>
      </c>
      <c r="D11" s="35" t="s">
        <v>245</v>
      </c>
      <c r="E11" s="35">
        <v>2</v>
      </c>
      <c r="F11" s="35">
        <f>35.8+3.5+3.1+2.15</f>
        <v>44.55</v>
      </c>
      <c r="G11" s="35" t="s">
        <v>158</v>
      </c>
      <c r="H11" s="23">
        <f t="shared" si="0"/>
        <v>8.9099999999999999E-2</v>
      </c>
    </row>
    <row r="12" spans="1:8" ht="18" x14ac:dyDescent="0.3">
      <c r="A12" s="35">
        <v>10</v>
      </c>
      <c r="B12" s="38">
        <v>-1</v>
      </c>
      <c r="C12" s="38">
        <v>3</v>
      </c>
      <c r="D12" s="16" t="s">
        <v>247</v>
      </c>
      <c r="E12" s="35">
        <v>2</v>
      </c>
      <c r="F12" s="16">
        <f>30.36+2.1+1.05</f>
        <v>33.51</v>
      </c>
      <c r="G12" s="35" t="s">
        <v>158</v>
      </c>
      <c r="H12" s="23">
        <f t="shared" si="0"/>
        <v>6.7019999999999996E-2</v>
      </c>
    </row>
    <row r="13" spans="1:8" ht="18" x14ac:dyDescent="0.3">
      <c r="A13" s="40"/>
      <c r="B13" s="35"/>
      <c r="C13" s="35"/>
      <c r="D13" s="35"/>
      <c r="E13" s="35"/>
      <c r="F13" s="35" t="s">
        <v>231</v>
      </c>
      <c r="G13" s="35" t="s">
        <v>158</v>
      </c>
      <c r="H13" s="41">
        <f>SUM(H3:H12)</f>
        <v>1.1344799999999999</v>
      </c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26"/>
  <sheetViews>
    <sheetView workbookViewId="0">
      <selection sqref="A1:H1"/>
    </sheetView>
  </sheetViews>
  <sheetFormatPr defaultRowHeight="14.4" x14ac:dyDescent="0.3"/>
  <sheetData>
    <row r="1" spans="1:8" ht="58.8" customHeight="1" x14ac:dyDescent="0.3">
      <c r="A1" s="378" t="s">
        <v>187</v>
      </c>
      <c r="B1" s="378"/>
      <c r="C1" s="378"/>
      <c r="D1" s="378"/>
      <c r="E1" s="378"/>
      <c r="F1" s="378"/>
      <c r="G1" s="378"/>
      <c r="H1" s="378"/>
    </row>
    <row r="2" spans="1:8" ht="36" x14ac:dyDescent="0.3">
      <c r="A2" s="35" t="s">
        <v>9</v>
      </c>
      <c r="B2" s="35" t="s">
        <v>252</v>
      </c>
      <c r="C2" s="35" t="s">
        <v>251</v>
      </c>
      <c r="D2" s="35" t="s">
        <v>242</v>
      </c>
      <c r="E2" s="35" t="s">
        <v>241</v>
      </c>
      <c r="F2" s="35" t="s">
        <v>246</v>
      </c>
      <c r="G2" s="35" t="s">
        <v>14</v>
      </c>
      <c r="H2" s="35" t="s">
        <v>16</v>
      </c>
    </row>
    <row r="3" spans="1:8" ht="18" x14ac:dyDescent="0.3">
      <c r="A3" s="35">
        <v>1</v>
      </c>
      <c r="B3" s="36">
        <v>1</v>
      </c>
      <c r="C3" s="36">
        <v>1</v>
      </c>
      <c r="D3" s="35" t="s">
        <v>270</v>
      </c>
      <c r="E3" s="35">
        <v>2</v>
      </c>
      <c r="F3" s="35">
        <f>30.7+3+2.15+3.1</f>
        <v>38.950000000000003</v>
      </c>
      <c r="G3" s="35" t="s">
        <v>158</v>
      </c>
      <c r="H3" s="23">
        <f t="shared" ref="H3:H25" si="0">E3*F3/1000</f>
        <v>7.7900000000000011E-2</v>
      </c>
    </row>
    <row r="4" spans="1:8" ht="18" x14ac:dyDescent="0.3">
      <c r="A4" s="35">
        <v>2</v>
      </c>
      <c r="B4" s="36">
        <v>1</v>
      </c>
      <c r="C4" s="36">
        <v>2</v>
      </c>
      <c r="D4" s="35" t="s">
        <v>243</v>
      </c>
      <c r="E4" s="35">
        <v>7</v>
      </c>
      <c r="F4" s="35">
        <f>35.8+3.5+2+3.1</f>
        <v>44.4</v>
      </c>
      <c r="G4" s="35" t="s">
        <v>158</v>
      </c>
      <c r="H4" s="23">
        <f t="shared" si="0"/>
        <v>0.31080000000000002</v>
      </c>
    </row>
    <row r="5" spans="1:8" ht="18" x14ac:dyDescent="0.3">
      <c r="A5" s="35">
        <v>3</v>
      </c>
      <c r="B5" s="36">
        <v>1</v>
      </c>
      <c r="C5" s="36">
        <v>2</v>
      </c>
      <c r="D5" s="35" t="s">
        <v>245</v>
      </c>
      <c r="E5" s="35">
        <v>3</v>
      </c>
      <c r="F5" s="35">
        <f>35.8+3.5+3.1+2.15</f>
        <v>44.55</v>
      </c>
      <c r="G5" s="35" t="s">
        <v>158</v>
      </c>
      <c r="H5" s="23">
        <f t="shared" si="0"/>
        <v>0.13364999999999999</v>
      </c>
    </row>
    <row r="6" spans="1:8" ht="18" x14ac:dyDescent="0.3">
      <c r="A6" s="35">
        <v>4</v>
      </c>
      <c r="B6" s="36">
        <v>1</v>
      </c>
      <c r="C6" s="36">
        <v>2</v>
      </c>
      <c r="D6" s="35" t="s">
        <v>271</v>
      </c>
      <c r="E6" s="35">
        <v>2</v>
      </c>
      <c r="F6" s="35">
        <f>34.4+1.4+0.48</f>
        <v>36.279999999999994</v>
      </c>
      <c r="G6" s="35" t="s">
        <v>158</v>
      </c>
      <c r="H6" s="23">
        <f t="shared" si="0"/>
        <v>7.2559999999999986E-2</v>
      </c>
    </row>
    <row r="7" spans="1:8" ht="18" x14ac:dyDescent="0.3">
      <c r="A7" s="35">
        <v>5</v>
      </c>
      <c r="B7" s="36">
        <v>1</v>
      </c>
      <c r="C7" s="36">
        <v>3</v>
      </c>
      <c r="D7" s="35" t="s">
        <v>243</v>
      </c>
      <c r="E7" s="35">
        <v>2</v>
      </c>
      <c r="F7" s="35">
        <f>35.8+2+3.1</f>
        <v>40.9</v>
      </c>
      <c r="G7" s="35" t="s">
        <v>158</v>
      </c>
      <c r="H7" s="23">
        <f t="shared" si="0"/>
        <v>8.1799999999999998E-2</v>
      </c>
    </row>
    <row r="8" spans="1:8" ht="18" x14ac:dyDescent="0.3">
      <c r="A8" s="35">
        <v>6</v>
      </c>
      <c r="B8" s="36">
        <v>1</v>
      </c>
      <c r="C8" s="36">
        <v>3</v>
      </c>
      <c r="D8" s="35" t="s">
        <v>244</v>
      </c>
      <c r="E8" s="35">
        <v>1</v>
      </c>
      <c r="F8" s="35">
        <f>30.36+2.1+1.47</f>
        <v>33.93</v>
      </c>
      <c r="G8" s="35" t="s">
        <v>158</v>
      </c>
      <c r="H8" s="23">
        <f t="shared" si="0"/>
        <v>3.3930000000000002E-2</v>
      </c>
    </row>
    <row r="9" spans="1:8" ht="18" x14ac:dyDescent="0.3">
      <c r="A9" s="35">
        <v>7</v>
      </c>
      <c r="B9" s="37">
        <v>2</v>
      </c>
      <c r="C9" s="37">
        <v>1</v>
      </c>
      <c r="D9" s="35" t="s">
        <v>272</v>
      </c>
      <c r="E9" s="35">
        <v>1</v>
      </c>
      <c r="F9" s="35">
        <f>29.99+2.1+1.05</f>
        <v>33.139999999999993</v>
      </c>
      <c r="G9" s="35" t="s">
        <v>158</v>
      </c>
      <c r="H9" s="23">
        <f t="shared" si="0"/>
        <v>3.3139999999999996E-2</v>
      </c>
    </row>
    <row r="10" spans="1:8" ht="18" x14ac:dyDescent="0.3">
      <c r="A10" s="35">
        <v>8</v>
      </c>
      <c r="B10" s="37">
        <v>2</v>
      </c>
      <c r="C10" s="37">
        <v>1</v>
      </c>
      <c r="D10" s="35" t="s">
        <v>273</v>
      </c>
      <c r="E10" s="35">
        <v>1</v>
      </c>
      <c r="F10" s="35">
        <f>29.99+2.1+1.47</f>
        <v>33.559999999999995</v>
      </c>
      <c r="G10" s="35" t="s">
        <v>158</v>
      </c>
      <c r="H10" s="23">
        <f t="shared" si="0"/>
        <v>3.3559999999999993E-2</v>
      </c>
    </row>
    <row r="11" spans="1:8" ht="18" x14ac:dyDescent="0.3">
      <c r="A11" s="35">
        <v>9</v>
      </c>
      <c r="B11" s="37">
        <v>2</v>
      </c>
      <c r="C11" s="37">
        <v>2</v>
      </c>
      <c r="D11" s="35" t="s">
        <v>240</v>
      </c>
      <c r="E11" s="35">
        <v>5</v>
      </c>
      <c r="F11" s="35">
        <f>35.4+3.5+2.15+3.1</f>
        <v>44.15</v>
      </c>
      <c r="G11" s="35" t="s">
        <v>158</v>
      </c>
      <c r="H11" s="23">
        <f t="shared" si="0"/>
        <v>0.22075</v>
      </c>
    </row>
    <row r="12" spans="1:8" ht="18" x14ac:dyDescent="0.3">
      <c r="A12" s="35">
        <v>10</v>
      </c>
      <c r="B12" s="37">
        <v>2</v>
      </c>
      <c r="C12" s="37">
        <v>2</v>
      </c>
      <c r="D12" s="35" t="s">
        <v>272</v>
      </c>
      <c r="E12" s="35">
        <v>8</v>
      </c>
      <c r="F12" s="35">
        <f>29.99+2.1+1.05</f>
        <v>33.139999999999993</v>
      </c>
      <c r="G12" s="35" t="s">
        <v>158</v>
      </c>
      <c r="H12" s="23">
        <f t="shared" si="0"/>
        <v>0.26511999999999997</v>
      </c>
    </row>
    <row r="13" spans="1:8" ht="18" x14ac:dyDescent="0.3">
      <c r="A13" s="35">
        <v>11</v>
      </c>
      <c r="B13" s="37">
        <v>2</v>
      </c>
      <c r="C13" s="37">
        <v>3</v>
      </c>
      <c r="D13" s="35" t="s">
        <v>239</v>
      </c>
      <c r="E13" s="35">
        <v>1</v>
      </c>
      <c r="F13" s="35">
        <f>35.4+3.5+1.7+3.1</f>
        <v>43.7</v>
      </c>
      <c r="G13" s="35" t="s">
        <v>158</v>
      </c>
      <c r="H13" s="23">
        <f t="shared" si="0"/>
        <v>4.3700000000000003E-2</v>
      </c>
    </row>
    <row r="14" spans="1:8" ht="18" x14ac:dyDescent="0.3">
      <c r="A14" s="35">
        <v>12</v>
      </c>
      <c r="B14" s="37">
        <v>2</v>
      </c>
      <c r="C14" s="37">
        <v>3</v>
      </c>
      <c r="D14" s="35" t="s">
        <v>240</v>
      </c>
      <c r="E14" s="35">
        <v>3</v>
      </c>
      <c r="F14" s="35">
        <f>35.4+3.5+2.15+3.1</f>
        <v>44.15</v>
      </c>
      <c r="G14" s="35" t="s">
        <v>158</v>
      </c>
      <c r="H14" s="23">
        <f t="shared" si="0"/>
        <v>0.13244999999999998</v>
      </c>
    </row>
    <row r="15" spans="1:8" ht="18" x14ac:dyDescent="0.3">
      <c r="A15" s="35">
        <v>13</v>
      </c>
      <c r="B15" s="37">
        <v>2</v>
      </c>
      <c r="C15" s="37">
        <v>3</v>
      </c>
      <c r="D15" s="35" t="s">
        <v>272</v>
      </c>
      <c r="E15" s="35">
        <v>6</v>
      </c>
      <c r="F15" s="35">
        <f>29.99+2.1+1.05</f>
        <v>33.139999999999993</v>
      </c>
      <c r="G15" s="35" t="s">
        <v>158</v>
      </c>
      <c r="H15" s="23">
        <f t="shared" si="0"/>
        <v>0.19883999999999996</v>
      </c>
    </row>
    <row r="16" spans="1:8" ht="18" x14ac:dyDescent="0.3">
      <c r="A16" s="35">
        <v>14</v>
      </c>
      <c r="B16" s="38">
        <v>3</v>
      </c>
      <c r="C16" s="38">
        <v>1</v>
      </c>
      <c r="D16" s="35" t="s">
        <v>272</v>
      </c>
      <c r="E16" s="35">
        <v>1</v>
      </c>
      <c r="F16" s="35">
        <f>29.99+2.1+1.05</f>
        <v>33.139999999999993</v>
      </c>
      <c r="G16" s="35" t="s">
        <v>158</v>
      </c>
      <c r="H16" s="23">
        <f t="shared" si="0"/>
        <v>3.3139999999999996E-2</v>
      </c>
    </row>
    <row r="17" spans="1:8" ht="18" x14ac:dyDescent="0.3">
      <c r="A17" s="35">
        <v>15</v>
      </c>
      <c r="B17" s="38">
        <v>3</v>
      </c>
      <c r="C17" s="38">
        <v>1</v>
      </c>
      <c r="D17" s="35" t="s">
        <v>273</v>
      </c>
      <c r="E17" s="35">
        <v>1</v>
      </c>
      <c r="F17" s="35">
        <f>29.99+2.1+1.47</f>
        <v>33.559999999999995</v>
      </c>
      <c r="G17" s="35" t="s">
        <v>158</v>
      </c>
      <c r="H17" s="23">
        <f t="shared" si="0"/>
        <v>3.3559999999999993E-2</v>
      </c>
    </row>
    <row r="18" spans="1:8" ht="18" x14ac:dyDescent="0.3">
      <c r="A18" s="35">
        <v>16</v>
      </c>
      <c r="B18" s="38">
        <v>3</v>
      </c>
      <c r="C18" s="38">
        <v>2</v>
      </c>
      <c r="D18" s="35" t="s">
        <v>239</v>
      </c>
      <c r="E18" s="35">
        <v>3</v>
      </c>
      <c r="F18" s="35">
        <f>35.4+3.5+1.7+3.1</f>
        <v>43.7</v>
      </c>
      <c r="G18" s="35" t="s">
        <v>158</v>
      </c>
      <c r="H18" s="23">
        <f t="shared" si="0"/>
        <v>0.13110000000000002</v>
      </c>
    </row>
    <row r="19" spans="1:8" ht="18" x14ac:dyDescent="0.3">
      <c r="A19" s="35">
        <v>17</v>
      </c>
      <c r="B19" s="38">
        <v>3</v>
      </c>
      <c r="C19" s="38">
        <v>2</v>
      </c>
      <c r="D19" s="35" t="s">
        <v>240</v>
      </c>
      <c r="E19" s="35">
        <v>12</v>
      </c>
      <c r="F19" s="35">
        <f>35.4+3.5+2.15+3.1</f>
        <v>44.15</v>
      </c>
      <c r="G19" s="35" t="s">
        <v>158</v>
      </c>
      <c r="H19" s="23">
        <f t="shared" si="0"/>
        <v>0.52979999999999994</v>
      </c>
    </row>
    <row r="20" spans="1:8" ht="18" x14ac:dyDescent="0.3">
      <c r="A20" s="35">
        <v>18</v>
      </c>
      <c r="B20" s="38">
        <v>3</v>
      </c>
      <c r="C20" s="38">
        <v>2</v>
      </c>
      <c r="D20" s="35" t="s">
        <v>272</v>
      </c>
      <c r="E20" s="35">
        <v>1</v>
      </c>
      <c r="F20" s="35">
        <f>29.99+2.1+1.05</f>
        <v>33.139999999999993</v>
      </c>
      <c r="G20" s="35" t="s">
        <v>158</v>
      </c>
      <c r="H20" s="23">
        <f t="shared" si="0"/>
        <v>3.3139999999999996E-2</v>
      </c>
    </row>
    <row r="21" spans="1:8" ht="18" x14ac:dyDescent="0.3">
      <c r="A21" s="35">
        <v>19</v>
      </c>
      <c r="B21" s="38">
        <v>3</v>
      </c>
      <c r="C21" s="38">
        <v>3</v>
      </c>
      <c r="D21" s="35" t="s">
        <v>239</v>
      </c>
      <c r="E21" s="35">
        <v>2</v>
      </c>
      <c r="F21" s="35">
        <f>35.4+3.5+1.7+3.1</f>
        <v>43.7</v>
      </c>
      <c r="G21" s="35" t="s">
        <v>158</v>
      </c>
      <c r="H21" s="23">
        <f t="shared" si="0"/>
        <v>8.7400000000000005E-2</v>
      </c>
    </row>
    <row r="22" spans="1:8" ht="18" x14ac:dyDescent="0.3">
      <c r="A22" s="35">
        <v>20</v>
      </c>
      <c r="B22" s="38">
        <v>3</v>
      </c>
      <c r="C22" s="38">
        <v>3</v>
      </c>
      <c r="D22" s="35" t="s">
        <v>240</v>
      </c>
      <c r="E22" s="35">
        <v>2</v>
      </c>
      <c r="F22" s="35">
        <f>35.4+3.5+2.15+3.1</f>
        <v>44.15</v>
      </c>
      <c r="G22" s="35" t="s">
        <v>158</v>
      </c>
      <c r="H22" s="23">
        <f t="shared" si="0"/>
        <v>8.8300000000000003E-2</v>
      </c>
    </row>
    <row r="23" spans="1:8" ht="18" x14ac:dyDescent="0.3">
      <c r="A23" s="35">
        <v>21</v>
      </c>
      <c r="B23" s="38">
        <v>3</v>
      </c>
      <c r="C23" s="38">
        <v>3</v>
      </c>
      <c r="D23" s="35" t="s">
        <v>272</v>
      </c>
      <c r="E23" s="35">
        <v>5</v>
      </c>
      <c r="F23" s="35">
        <f>29.99+2.1+1.05</f>
        <v>33.139999999999993</v>
      </c>
      <c r="G23" s="35" t="s">
        <v>158</v>
      </c>
      <c r="H23" s="23">
        <f t="shared" si="0"/>
        <v>0.16569999999999996</v>
      </c>
    </row>
    <row r="24" spans="1:8" ht="18" x14ac:dyDescent="0.3">
      <c r="A24" s="35">
        <v>22</v>
      </c>
      <c r="B24" s="39">
        <v>4</v>
      </c>
      <c r="C24" s="39">
        <v>3</v>
      </c>
      <c r="D24" s="35" t="s">
        <v>240</v>
      </c>
      <c r="E24" s="35">
        <v>2</v>
      </c>
      <c r="F24" s="35">
        <f>35.4+3.5+2.15+3.1</f>
        <v>44.15</v>
      </c>
      <c r="G24" s="35" t="s">
        <v>158</v>
      </c>
      <c r="H24" s="23">
        <f t="shared" si="0"/>
        <v>8.8300000000000003E-2</v>
      </c>
    </row>
    <row r="25" spans="1:8" ht="18" x14ac:dyDescent="0.3">
      <c r="A25" s="35">
        <v>23</v>
      </c>
      <c r="B25" s="39">
        <v>4</v>
      </c>
      <c r="C25" s="39">
        <v>3</v>
      </c>
      <c r="D25" s="35" t="s">
        <v>272</v>
      </c>
      <c r="E25" s="35">
        <v>1</v>
      </c>
      <c r="F25" s="35">
        <f>29.99+2.1+1.05</f>
        <v>33.139999999999993</v>
      </c>
      <c r="G25" s="35" t="s">
        <v>158</v>
      </c>
      <c r="H25" s="23">
        <f t="shared" si="0"/>
        <v>3.3139999999999996E-2</v>
      </c>
    </row>
    <row r="26" spans="1:8" ht="18" x14ac:dyDescent="0.3">
      <c r="A26" s="40"/>
      <c r="B26" s="35"/>
      <c r="C26" s="35"/>
      <c r="D26" s="35"/>
      <c r="E26" s="35"/>
      <c r="F26" s="35" t="s">
        <v>231</v>
      </c>
      <c r="G26" s="35" t="s">
        <v>158</v>
      </c>
      <c r="H26" s="41">
        <f>SUM(H3:H25)</f>
        <v>2.8617799999999995</v>
      </c>
    </row>
  </sheetData>
  <mergeCells count="1"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6"/>
  <sheetViews>
    <sheetView workbookViewId="0">
      <selection sqref="A1:H1"/>
    </sheetView>
  </sheetViews>
  <sheetFormatPr defaultRowHeight="14.4" x14ac:dyDescent="0.3"/>
  <cols>
    <col min="1" max="1" width="14.5546875" customWidth="1"/>
    <col min="2" max="2" width="10.77734375" customWidth="1"/>
    <col min="3" max="3" width="9" customWidth="1"/>
    <col min="7" max="7" width="11" customWidth="1"/>
    <col min="8" max="8" width="11.88671875" customWidth="1"/>
    <col min="9" max="9" width="18.77734375" customWidth="1"/>
  </cols>
  <sheetData>
    <row r="1" spans="1:8" ht="54.6" customHeight="1" x14ac:dyDescent="0.3">
      <c r="A1" s="386" t="s">
        <v>187</v>
      </c>
      <c r="B1" s="387"/>
      <c r="C1" s="387"/>
      <c r="D1" s="387"/>
      <c r="E1" s="387"/>
      <c r="F1" s="387"/>
      <c r="G1" s="387"/>
      <c r="H1" s="388"/>
    </row>
    <row r="2" spans="1:8" ht="36" x14ac:dyDescent="0.3">
      <c r="A2" s="43" t="s">
        <v>9</v>
      </c>
      <c r="B2" s="44" t="s">
        <v>251</v>
      </c>
      <c r="C2" s="44" t="s">
        <v>252</v>
      </c>
      <c r="D2" s="44" t="s">
        <v>242</v>
      </c>
      <c r="E2" s="44" t="s">
        <v>241</v>
      </c>
      <c r="F2" s="44" t="s">
        <v>246</v>
      </c>
      <c r="G2" s="44" t="s">
        <v>14</v>
      </c>
      <c r="H2" s="44" t="s">
        <v>16</v>
      </c>
    </row>
    <row r="3" spans="1:8" ht="18" x14ac:dyDescent="0.3">
      <c r="A3" s="42">
        <v>1</v>
      </c>
      <c r="B3" s="36">
        <v>1</v>
      </c>
      <c r="C3" s="36">
        <v>1</v>
      </c>
      <c r="D3" s="35" t="s">
        <v>270</v>
      </c>
      <c r="E3" s="35">
        <v>2</v>
      </c>
      <c r="F3" s="35">
        <f>30.7+3+2.15+3.1</f>
        <v>38.950000000000003</v>
      </c>
      <c r="G3" s="35" t="s">
        <v>158</v>
      </c>
      <c r="H3" s="23">
        <f t="shared" ref="H3:H25" si="0">E3*F3/1000</f>
        <v>7.7900000000000011E-2</v>
      </c>
    </row>
    <row r="4" spans="1:8" ht="18" x14ac:dyDescent="0.3">
      <c r="A4" s="42">
        <v>2</v>
      </c>
      <c r="B4" s="37">
        <v>1</v>
      </c>
      <c r="C4" s="37">
        <v>2</v>
      </c>
      <c r="D4" s="35" t="s">
        <v>272</v>
      </c>
      <c r="E4" s="35">
        <v>1</v>
      </c>
      <c r="F4" s="35">
        <f>29.99+2.1+1.05</f>
        <v>33.139999999999993</v>
      </c>
      <c r="G4" s="35" t="s">
        <v>158</v>
      </c>
      <c r="H4" s="23">
        <f t="shared" si="0"/>
        <v>3.3139999999999996E-2</v>
      </c>
    </row>
    <row r="5" spans="1:8" ht="18" x14ac:dyDescent="0.3">
      <c r="A5" s="42">
        <v>3</v>
      </c>
      <c r="B5" s="37">
        <v>1</v>
      </c>
      <c r="C5" s="37">
        <v>2</v>
      </c>
      <c r="D5" s="35" t="s">
        <v>273</v>
      </c>
      <c r="E5" s="35">
        <v>1</v>
      </c>
      <c r="F5" s="35">
        <f>29.99+2.1+1.47</f>
        <v>33.559999999999995</v>
      </c>
      <c r="G5" s="35" t="s">
        <v>158</v>
      </c>
      <c r="H5" s="23">
        <f t="shared" si="0"/>
        <v>3.3559999999999993E-2</v>
      </c>
    </row>
    <row r="6" spans="1:8" ht="18" x14ac:dyDescent="0.3">
      <c r="A6" s="42">
        <v>4</v>
      </c>
      <c r="B6" s="38">
        <v>1</v>
      </c>
      <c r="C6" s="38">
        <v>3</v>
      </c>
      <c r="D6" s="35" t="s">
        <v>272</v>
      </c>
      <c r="E6" s="35">
        <v>1</v>
      </c>
      <c r="F6" s="35">
        <f>29.99+2.1+1.05</f>
        <v>33.139999999999993</v>
      </c>
      <c r="G6" s="35" t="s">
        <v>158</v>
      </c>
      <c r="H6" s="23">
        <f t="shared" si="0"/>
        <v>3.3139999999999996E-2</v>
      </c>
    </row>
    <row r="7" spans="1:8" ht="18" x14ac:dyDescent="0.3">
      <c r="A7" s="42">
        <v>5</v>
      </c>
      <c r="B7" s="38">
        <v>1</v>
      </c>
      <c r="C7" s="38">
        <v>3</v>
      </c>
      <c r="D7" s="35" t="s">
        <v>273</v>
      </c>
      <c r="E7" s="35">
        <v>1</v>
      </c>
      <c r="F7" s="35">
        <f>29.99+2.1+1.47</f>
        <v>33.559999999999995</v>
      </c>
      <c r="G7" s="35" t="s">
        <v>158</v>
      </c>
      <c r="H7" s="23">
        <f t="shared" si="0"/>
        <v>3.3559999999999993E-2</v>
      </c>
    </row>
    <row r="8" spans="1:8" ht="18" x14ac:dyDescent="0.3">
      <c r="A8" s="42">
        <v>6</v>
      </c>
      <c r="B8" s="36">
        <v>2</v>
      </c>
      <c r="C8" s="36">
        <v>1</v>
      </c>
      <c r="D8" s="35" t="s">
        <v>243</v>
      </c>
      <c r="E8" s="35">
        <v>7</v>
      </c>
      <c r="F8" s="35">
        <f>35.8+3.5+2+3.1</f>
        <v>44.4</v>
      </c>
      <c r="G8" s="35" t="s">
        <v>158</v>
      </c>
      <c r="H8" s="23">
        <f t="shared" si="0"/>
        <v>0.31080000000000002</v>
      </c>
    </row>
    <row r="9" spans="1:8" ht="18" x14ac:dyDescent="0.3">
      <c r="A9" s="42">
        <v>7</v>
      </c>
      <c r="B9" s="36">
        <v>2</v>
      </c>
      <c r="C9" s="36">
        <v>1</v>
      </c>
      <c r="D9" s="35" t="s">
        <v>245</v>
      </c>
      <c r="E9" s="35">
        <v>3</v>
      </c>
      <c r="F9" s="35">
        <f>35.8+3.5+3.1+2.15</f>
        <v>44.55</v>
      </c>
      <c r="G9" s="35" t="s">
        <v>158</v>
      </c>
      <c r="H9" s="23">
        <f t="shared" si="0"/>
        <v>0.13364999999999999</v>
      </c>
    </row>
    <row r="10" spans="1:8" ht="18" x14ac:dyDescent="0.3">
      <c r="A10" s="42">
        <v>8</v>
      </c>
      <c r="B10" s="36">
        <v>2</v>
      </c>
      <c r="C10" s="36">
        <v>1</v>
      </c>
      <c r="D10" s="35" t="s">
        <v>271</v>
      </c>
      <c r="E10" s="35">
        <v>2</v>
      </c>
      <c r="F10" s="35">
        <f>34.4+1.4+0.48</f>
        <v>36.279999999999994</v>
      </c>
      <c r="G10" s="35" t="s">
        <v>158</v>
      </c>
      <c r="H10" s="23">
        <f t="shared" si="0"/>
        <v>7.2559999999999986E-2</v>
      </c>
    </row>
    <row r="11" spans="1:8" ht="18" x14ac:dyDescent="0.3">
      <c r="A11" s="42">
        <v>9</v>
      </c>
      <c r="B11" s="37">
        <v>2</v>
      </c>
      <c r="C11" s="37">
        <v>2</v>
      </c>
      <c r="D11" s="35" t="s">
        <v>240</v>
      </c>
      <c r="E11" s="35">
        <v>5</v>
      </c>
      <c r="F11" s="35">
        <f>35.4+3.5+2.15+3.1</f>
        <v>44.15</v>
      </c>
      <c r="G11" s="35" t="s">
        <v>158</v>
      </c>
      <c r="H11" s="23">
        <f t="shared" si="0"/>
        <v>0.22075</v>
      </c>
    </row>
    <row r="12" spans="1:8" ht="18" x14ac:dyDescent="0.3">
      <c r="A12" s="42">
        <v>10</v>
      </c>
      <c r="B12" s="37">
        <v>2</v>
      </c>
      <c r="C12" s="37">
        <v>2</v>
      </c>
      <c r="D12" s="35" t="s">
        <v>272</v>
      </c>
      <c r="E12" s="35">
        <v>8</v>
      </c>
      <c r="F12" s="35">
        <f>29.99+2.1+1.05</f>
        <v>33.139999999999993</v>
      </c>
      <c r="G12" s="35" t="s">
        <v>158</v>
      </c>
      <c r="H12" s="23">
        <f t="shared" si="0"/>
        <v>0.26511999999999997</v>
      </c>
    </row>
    <row r="13" spans="1:8" ht="18" x14ac:dyDescent="0.3">
      <c r="A13" s="42">
        <v>11</v>
      </c>
      <c r="B13" s="38">
        <v>2</v>
      </c>
      <c r="C13" s="38">
        <v>3</v>
      </c>
      <c r="D13" s="35" t="s">
        <v>239</v>
      </c>
      <c r="E13" s="35">
        <v>3</v>
      </c>
      <c r="F13" s="35">
        <f>35.4+3.5+1.7+3.1</f>
        <v>43.7</v>
      </c>
      <c r="G13" s="35" t="s">
        <v>158</v>
      </c>
      <c r="H13" s="23">
        <f t="shared" si="0"/>
        <v>0.13110000000000002</v>
      </c>
    </row>
    <row r="14" spans="1:8" ht="18" x14ac:dyDescent="0.3">
      <c r="A14" s="42">
        <v>12</v>
      </c>
      <c r="B14" s="38">
        <v>2</v>
      </c>
      <c r="C14" s="38">
        <v>3</v>
      </c>
      <c r="D14" s="35" t="s">
        <v>240</v>
      </c>
      <c r="E14" s="35">
        <v>12</v>
      </c>
      <c r="F14" s="35">
        <f>35.4+3.5+2.15+3.1</f>
        <v>44.15</v>
      </c>
      <c r="G14" s="35" t="s">
        <v>158</v>
      </c>
      <c r="H14" s="23">
        <f t="shared" si="0"/>
        <v>0.52979999999999994</v>
      </c>
    </row>
    <row r="15" spans="1:8" ht="18" x14ac:dyDescent="0.3">
      <c r="A15" s="42">
        <v>13</v>
      </c>
      <c r="B15" s="38">
        <v>2</v>
      </c>
      <c r="C15" s="38">
        <v>3</v>
      </c>
      <c r="D15" s="35" t="s">
        <v>272</v>
      </c>
      <c r="E15" s="35">
        <v>1</v>
      </c>
      <c r="F15" s="35">
        <f>29.99+2.1+1.05</f>
        <v>33.139999999999993</v>
      </c>
      <c r="G15" s="35" t="s">
        <v>158</v>
      </c>
      <c r="H15" s="23">
        <f t="shared" si="0"/>
        <v>3.3139999999999996E-2</v>
      </c>
    </row>
    <row r="16" spans="1:8" ht="18" x14ac:dyDescent="0.3">
      <c r="A16" s="42">
        <v>14</v>
      </c>
      <c r="B16" s="36">
        <v>3</v>
      </c>
      <c r="C16" s="36">
        <v>1</v>
      </c>
      <c r="D16" s="35" t="s">
        <v>243</v>
      </c>
      <c r="E16" s="35">
        <v>2</v>
      </c>
      <c r="F16" s="35">
        <f>35.8+2+3.1</f>
        <v>40.9</v>
      </c>
      <c r="G16" s="35" t="s">
        <v>158</v>
      </c>
      <c r="H16" s="23">
        <f t="shared" si="0"/>
        <v>8.1799999999999998E-2</v>
      </c>
    </row>
    <row r="17" spans="1:8" ht="18" x14ac:dyDescent="0.3">
      <c r="A17" s="42">
        <v>15</v>
      </c>
      <c r="B17" s="36">
        <v>3</v>
      </c>
      <c r="C17" s="36">
        <v>1</v>
      </c>
      <c r="D17" s="35" t="s">
        <v>244</v>
      </c>
      <c r="E17" s="35">
        <v>1</v>
      </c>
      <c r="F17" s="35">
        <f>30.36+2.1+1.47</f>
        <v>33.93</v>
      </c>
      <c r="G17" s="35" t="s">
        <v>158</v>
      </c>
      <c r="H17" s="23">
        <f t="shared" si="0"/>
        <v>3.3930000000000002E-2</v>
      </c>
    </row>
    <row r="18" spans="1:8" ht="18" x14ac:dyDescent="0.3">
      <c r="A18" s="42">
        <v>16</v>
      </c>
      <c r="B18" s="37">
        <v>3</v>
      </c>
      <c r="C18" s="37">
        <v>2</v>
      </c>
      <c r="D18" s="35" t="s">
        <v>239</v>
      </c>
      <c r="E18" s="35">
        <v>1</v>
      </c>
      <c r="F18" s="35">
        <f>35.4+3.5+1.7+3.1</f>
        <v>43.7</v>
      </c>
      <c r="G18" s="35" t="s">
        <v>158</v>
      </c>
      <c r="H18" s="23">
        <f t="shared" si="0"/>
        <v>4.3700000000000003E-2</v>
      </c>
    </row>
    <row r="19" spans="1:8" ht="18" x14ac:dyDescent="0.3">
      <c r="A19" s="42">
        <v>17</v>
      </c>
      <c r="B19" s="37">
        <v>3</v>
      </c>
      <c r="C19" s="37">
        <v>2</v>
      </c>
      <c r="D19" s="35" t="s">
        <v>240</v>
      </c>
      <c r="E19" s="35">
        <v>3</v>
      </c>
      <c r="F19" s="35">
        <f>35.4+3.5+2.15+3.1</f>
        <v>44.15</v>
      </c>
      <c r="G19" s="35" t="s">
        <v>158</v>
      </c>
      <c r="H19" s="23">
        <f t="shared" si="0"/>
        <v>0.13244999999999998</v>
      </c>
    </row>
    <row r="20" spans="1:8" ht="18" x14ac:dyDescent="0.3">
      <c r="A20" s="42">
        <v>18</v>
      </c>
      <c r="B20" s="37">
        <v>3</v>
      </c>
      <c r="C20" s="37">
        <v>2</v>
      </c>
      <c r="D20" s="35" t="s">
        <v>272</v>
      </c>
      <c r="E20" s="35">
        <v>6</v>
      </c>
      <c r="F20" s="35">
        <f>29.99+2.1+1.05</f>
        <v>33.139999999999993</v>
      </c>
      <c r="G20" s="35" t="s">
        <v>158</v>
      </c>
      <c r="H20" s="23">
        <f t="shared" si="0"/>
        <v>0.19883999999999996</v>
      </c>
    </row>
    <row r="21" spans="1:8" ht="18" x14ac:dyDescent="0.3">
      <c r="A21" s="42">
        <v>19</v>
      </c>
      <c r="B21" s="38">
        <v>3</v>
      </c>
      <c r="C21" s="38">
        <v>3</v>
      </c>
      <c r="D21" s="35" t="s">
        <v>239</v>
      </c>
      <c r="E21" s="35">
        <v>2</v>
      </c>
      <c r="F21" s="35">
        <f>35.4+3.5+1.7+3.1</f>
        <v>43.7</v>
      </c>
      <c r="G21" s="35" t="s">
        <v>158</v>
      </c>
      <c r="H21" s="23">
        <f t="shared" si="0"/>
        <v>8.7400000000000005E-2</v>
      </c>
    </row>
    <row r="22" spans="1:8" ht="18" x14ac:dyDescent="0.3">
      <c r="A22" s="42">
        <v>20</v>
      </c>
      <c r="B22" s="38">
        <v>3</v>
      </c>
      <c r="C22" s="38">
        <v>3</v>
      </c>
      <c r="D22" s="35" t="s">
        <v>240</v>
      </c>
      <c r="E22" s="35">
        <v>2</v>
      </c>
      <c r="F22" s="35">
        <f>35.4+3.5+2.15+3.1</f>
        <v>44.15</v>
      </c>
      <c r="G22" s="35" t="s">
        <v>158</v>
      </c>
      <c r="H22" s="23">
        <f t="shared" si="0"/>
        <v>8.8300000000000003E-2</v>
      </c>
    </row>
    <row r="23" spans="1:8" ht="18" x14ac:dyDescent="0.3">
      <c r="A23" s="42">
        <v>21</v>
      </c>
      <c r="B23" s="38">
        <v>3</v>
      </c>
      <c r="C23" s="38">
        <v>3</v>
      </c>
      <c r="D23" s="35" t="s">
        <v>272</v>
      </c>
      <c r="E23" s="35">
        <v>5</v>
      </c>
      <c r="F23" s="35">
        <f>29.99+2.1+1.05</f>
        <v>33.139999999999993</v>
      </c>
      <c r="G23" s="35" t="s">
        <v>158</v>
      </c>
      <c r="H23" s="23">
        <f t="shared" si="0"/>
        <v>0.16569999999999996</v>
      </c>
    </row>
    <row r="24" spans="1:8" ht="18" x14ac:dyDescent="0.3">
      <c r="A24" s="42">
        <v>22</v>
      </c>
      <c r="B24" s="39">
        <v>3</v>
      </c>
      <c r="C24" s="39">
        <v>4</v>
      </c>
      <c r="D24" s="35" t="s">
        <v>240</v>
      </c>
      <c r="E24" s="35">
        <v>2</v>
      </c>
      <c r="F24" s="35">
        <f>35.4+3.5+2.15+3.1</f>
        <v>44.15</v>
      </c>
      <c r="G24" s="35" t="s">
        <v>158</v>
      </c>
      <c r="H24" s="23">
        <f t="shared" si="0"/>
        <v>8.8300000000000003E-2</v>
      </c>
    </row>
    <row r="25" spans="1:8" ht="18" x14ac:dyDescent="0.3">
      <c r="A25" s="42">
        <v>23</v>
      </c>
      <c r="B25" s="39">
        <v>3</v>
      </c>
      <c r="C25" s="39">
        <v>4</v>
      </c>
      <c r="D25" s="35" t="s">
        <v>272</v>
      </c>
      <c r="E25" s="35">
        <v>1</v>
      </c>
      <c r="F25" s="35">
        <f>29.99+2.1+1.05</f>
        <v>33.139999999999993</v>
      </c>
      <c r="G25" s="35" t="s">
        <v>158</v>
      </c>
      <c r="H25" s="23">
        <f t="shared" si="0"/>
        <v>3.3139999999999996E-2</v>
      </c>
    </row>
    <row r="26" spans="1:8" ht="18" x14ac:dyDescent="0.3">
      <c r="A26" s="45"/>
      <c r="B26" s="44"/>
      <c r="C26" s="44"/>
      <c r="D26" s="44"/>
      <c r="E26" s="44"/>
      <c r="F26" s="44" t="s">
        <v>231</v>
      </c>
      <c r="G26" s="44" t="s">
        <v>158</v>
      </c>
      <c r="H26" s="46">
        <f>SUM(H3:H25)</f>
        <v>2.8617799999999995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sqref="A1:H1"/>
    </sheetView>
  </sheetViews>
  <sheetFormatPr defaultRowHeight="14.4" x14ac:dyDescent="0.3"/>
  <cols>
    <col min="1" max="1" width="11.5546875" customWidth="1"/>
    <col min="2" max="2" width="8.44140625" style="22" customWidth="1"/>
    <col min="3" max="3" width="11.44140625" style="22" customWidth="1"/>
    <col min="4" max="6" width="9.5546875" customWidth="1"/>
    <col min="7" max="7" width="11.88671875" customWidth="1"/>
    <col min="8" max="8" width="16.77734375" customWidth="1"/>
  </cols>
  <sheetData>
    <row r="1" spans="1:8" ht="64.2" customHeight="1" x14ac:dyDescent="0.3">
      <c r="A1" s="378" t="s">
        <v>253</v>
      </c>
      <c r="B1" s="378"/>
      <c r="C1" s="378"/>
      <c r="D1" s="378"/>
      <c r="E1" s="378"/>
      <c r="F1" s="378"/>
      <c r="G1" s="378"/>
      <c r="H1" s="378"/>
    </row>
    <row r="2" spans="1:8" ht="36" x14ac:dyDescent="0.3">
      <c r="A2" s="21" t="s">
        <v>9</v>
      </c>
      <c r="B2" s="21" t="s">
        <v>252</v>
      </c>
      <c r="C2" s="21" t="s">
        <v>251</v>
      </c>
      <c r="D2" s="21" t="s">
        <v>242</v>
      </c>
      <c r="E2" s="21" t="s">
        <v>241</v>
      </c>
      <c r="F2" s="21" t="s">
        <v>246</v>
      </c>
      <c r="G2" s="21" t="s">
        <v>14</v>
      </c>
      <c r="H2" s="21" t="s">
        <v>16</v>
      </c>
    </row>
    <row r="3" spans="1:8" ht="18" x14ac:dyDescent="0.3">
      <c r="A3" s="20">
        <v>1</v>
      </c>
      <c r="B3" s="24">
        <v>1</v>
      </c>
      <c r="C3" s="24">
        <v>1</v>
      </c>
      <c r="D3" s="16" t="s">
        <v>256</v>
      </c>
      <c r="E3" s="16">
        <v>5</v>
      </c>
      <c r="F3" s="16">
        <f>VLOOKUP(D3,'2.2-Пер2'!$A$2:$C$13,3)</f>
        <v>46.84</v>
      </c>
      <c r="G3" s="16" t="s">
        <v>158</v>
      </c>
      <c r="H3" s="23">
        <f t="shared" ref="H3:H22" si="0">E3*F3/1000</f>
        <v>0.23420000000000002</v>
      </c>
    </row>
    <row r="4" spans="1:8" ht="18" x14ac:dyDescent="0.3">
      <c r="A4" s="20">
        <v>2</v>
      </c>
      <c r="B4" s="24">
        <v>1</v>
      </c>
      <c r="C4" s="24">
        <v>1</v>
      </c>
      <c r="D4" s="16" t="s">
        <v>264</v>
      </c>
      <c r="E4" s="16">
        <v>1</v>
      </c>
      <c r="F4" s="16">
        <f>VLOOKUP(D4,'2.2-Пер2'!$A$2:$C$13,3)</f>
        <v>22.4</v>
      </c>
      <c r="G4" s="16" t="s">
        <v>158</v>
      </c>
      <c r="H4" s="23">
        <f t="shared" ref="H4" si="1">E4*F4/1000</f>
        <v>2.24E-2</v>
      </c>
    </row>
    <row r="5" spans="1:8" ht="18" x14ac:dyDescent="0.3">
      <c r="A5" s="20">
        <v>3</v>
      </c>
      <c r="B5" s="24">
        <v>1</v>
      </c>
      <c r="C5" s="24">
        <v>1</v>
      </c>
      <c r="D5" s="16" t="s">
        <v>257</v>
      </c>
      <c r="E5" s="16">
        <v>1</v>
      </c>
      <c r="F5" s="16">
        <f>VLOOKUP(D5,'2.2-Пер2'!$A$2:$C$13,3)</f>
        <v>21.307692307692303</v>
      </c>
      <c r="G5" s="16" t="s">
        <v>158</v>
      </c>
      <c r="H5" s="23">
        <f t="shared" ref="H5" si="2">E5*F5/1000</f>
        <v>2.1307692307692302E-2</v>
      </c>
    </row>
    <row r="6" spans="1:8" ht="18" x14ac:dyDescent="0.3">
      <c r="A6" s="20">
        <v>4</v>
      </c>
      <c r="B6" s="24">
        <v>1</v>
      </c>
      <c r="C6" s="24">
        <v>1</v>
      </c>
      <c r="D6" s="16" t="s">
        <v>265</v>
      </c>
      <c r="E6" s="16">
        <v>1</v>
      </c>
      <c r="F6" s="16">
        <f>VLOOKUP(D6,'2.2-Пер2'!$A$2:$C$13,3)</f>
        <v>18.690000000000001</v>
      </c>
      <c r="G6" s="16" t="s">
        <v>158</v>
      </c>
      <c r="H6" s="23">
        <f>E6*F6/1000</f>
        <v>1.8690000000000002E-2</v>
      </c>
    </row>
    <row r="7" spans="1:8" ht="18" x14ac:dyDescent="0.3">
      <c r="A7" s="20">
        <v>5</v>
      </c>
      <c r="B7" s="24">
        <v>1</v>
      </c>
      <c r="C7" s="24">
        <v>1</v>
      </c>
      <c r="D7" s="16" t="s">
        <v>259</v>
      </c>
      <c r="E7" s="16">
        <v>1</v>
      </c>
      <c r="F7" s="16">
        <f>VLOOKUP(D7,'2.2-Пер2'!$A$2:$C$13,3)</f>
        <v>6.93</v>
      </c>
      <c r="G7" s="16" t="s">
        <v>158</v>
      </c>
      <c r="H7" s="23">
        <f t="shared" ref="H7:H8" si="3">E7*F7/1000</f>
        <v>6.9299999999999995E-3</v>
      </c>
    </row>
    <row r="8" spans="1:8" ht="18" x14ac:dyDescent="0.3">
      <c r="A8" s="20">
        <v>6</v>
      </c>
      <c r="B8" s="24">
        <v>1</v>
      </c>
      <c r="C8" s="24">
        <v>1</v>
      </c>
      <c r="D8" s="16" t="s">
        <v>260</v>
      </c>
      <c r="E8" s="16">
        <v>3</v>
      </c>
      <c r="F8" s="16">
        <f>VLOOKUP(D8,'2.2-Пер2'!$A$2:$C$13,3)</f>
        <v>8.81</v>
      </c>
      <c r="G8" s="16" t="s">
        <v>158</v>
      </c>
      <c r="H8" s="23">
        <f t="shared" si="3"/>
        <v>2.6429999999999999E-2</v>
      </c>
    </row>
    <row r="9" spans="1:8" ht="18" x14ac:dyDescent="0.3">
      <c r="A9" s="20"/>
      <c r="B9" s="24"/>
      <c r="C9" s="24"/>
      <c r="D9" s="16"/>
      <c r="E9" s="16"/>
      <c r="F9" s="16"/>
      <c r="G9" s="16"/>
      <c r="H9" s="23"/>
    </row>
    <row r="10" spans="1:8" ht="18" x14ac:dyDescent="0.3">
      <c r="A10" s="20">
        <v>7</v>
      </c>
      <c r="B10" s="24">
        <v>1</v>
      </c>
      <c r="C10" s="24">
        <v>2</v>
      </c>
      <c r="D10" s="16" t="s">
        <v>257</v>
      </c>
      <c r="E10" s="16">
        <v>1</v>
      </c>
      <c r="F10" s="16">
        <f>VLOOKUP(D10,'2.2-Пер2'!$A$2:$C$13,3)</f>
        <v>21.307692307692303</v>
      </c>
      <c r="G10" s="16" t="s">
        <v>158</v>
      </c>
      <c r="H10" s="23">
        <f t="shared" si="0"/>
        <v>2.1307692307692302E-2</v>
      </c>
    </row>
    <row r="11" spans="1:8" ht="18" x14ac:dyDescent="0.3">
      <c r="A11" s="20">
        <v>8</v>
      </c>
      <c r="B11" s="24">
        <v>1</v>
      </c>
      <c r="C11" s="24">
        <v>2</v>
      </c>
      <c r="D11" s="16" t="s">
        <v>258</v>
      </c>
      <c r="E11" s="16">
        <v>9</v>
      </c>
      <c r="F11" s="16">
        <f>VLOOKUP(D11,'2.2-Пер2'!$A$2:$C$13,3)</f>
        <v>12.170909090909092</v>
      </c>
      <c r="G11" s="16" t="s">
        <v>158</v>
      </c>
      <c r="H11" s="23">
        <f t="shared" si="0"/>
        <v>0.10953818181818183</v>
      </c>
    </row>
    <row r="12" spans="1:8" ht="18" x14ac:dyDescent="0.3">
      <c r="A12" s="20">
        <v>9</v>
      </c>
      <c r="B12" s="24">
        <v>1</v>
      </c>
      <c r="C12" s="24">
        <v>2</v>
      </c>
      <c r="D12" s="16" t="s">
        <v>259</v>
      </c>
      <c r="E12" s="16">
        <v>6</v>
      </c>
      <c r="F12" s="16">
        <f>VLOOKUP(D12,'2.2-Пер2'!$A$2:$C$13,3)</f>
        <v>6.93</v>
      </c>
      <c r="G12" s="16" t="s">
        <v>158</v>
      </c>
      <c r="H12" s="23">
        <f t="shared" si="0"/>
        <v>4.1579999999999999E-2</v>
      </c>
    </row>
    <row r="13" spans="1:8" ht="18" x14ac:dyDescent="0.3">
      <c r="A13" s="20">
        <v>10</v>
      </c>
      <c r="B13" s="24">
        <v>1</v>
      </c>
      <c r="C13" s="24">
        <v>2</v>
      </c>
      <c r="D13" s="16" t="s">
        <v>260</v>
      </c>
      <c r="E13" s="16">
        <v>8</v>
      </c>
      <c r="F13" s="16">
        <f>VLOOKUP(D13,'2.2-Пер2'!$A$2:$C$13,3)</f>
        <v>8.81</v>
      </c>
      <c r="G13" s="16" t="s">
        <v>158</v>
      </c>
      <c r="H13" s="23">
        <f t="shared" si="0"/>
        <v>7.0480000000000001E-2</v>
      </c>
    </row>
    <row r="14" spans="1:8" ht="18" x14ac:dyDescent="0.3">
      <c r="A14" s="20">
        <v>11</v>
      </c>
      <c r="B14" s="24">
        <v>1</v>
      </c>
      <c r="C14" s="24">
        <v>2</v>
      </c>
      <c r="D14" s="16" t="s">
        <v>261</v>
      </c>
      <c r="E14" s="16">
        <v>1</v>
      </c>
      <c r="F14" s="16">
        <f>VLOOKUP(D14,'2.2-Пер2'!$A$2:$C$13,3)</f>
        <v>27.95</v>
      </c>
      <c r="G14" s="16" t="s">
        <v>158</v>
      </c>
      <c r="H14" s="23">
        <f t="shared" si="0"/>
        <v>2.7949999999999999E-2</v>
      </c>
    </row>
    <row r="15" spans="1:8" ht="18" x14ac:dyDescent="0.3">
      <c r="A15" s="20">
        <v>12</v>
      </c>
      <c r="B15" s="24">
        <v>1</v>
      </c>
      <c r="C15" s="24">
        <v>2</v>
      </c>
      <c r="D15" s="16" t="s">
        <v>262</v>
      </c>
      <c r="E15" s="16">
        <v>3</v>
      </c>
      <c r="F15" s="16">
        <f>VLOOKUP(D15,'2.2-Пер2'!$A$2:$C$13,3)</f>
        <v>5.8500000000000005</v>
      </c>
      <c r="G15" s="16" t="s">
        <v>158</v>
      </c>
      <c r="H15" s="23">
        <f t="shared" si="0"/>
        <v>1.755E-2</v>
      </c>
    </row>
    <row r="16" spans="1:8" ht="18" x14ac:dyDescent="0.3">
      <c r="A16" s="20"/>
      <c r="B16" s="24"/>
      <c r="C16" s="24"/>
      <c r="D16" s="16"/>
      <c r="E16" s="16"/>
      <c r="F16" s="16"/>
      <c r="G16" s="16"/>
      <c r="H16" s="23"/>
    </row>
    <row r="17" spans="1:8" ht="18" x14ac:dyDescent="0.3">
      <c r="A17" s="20">
        <v>13</v>
      </c>
      <c r="B17" s="24">
        <v>1</v>
      </c>
      <c r="C17" s="24">
        <v>3</v>
      </c>
      <c r="D17" s="16" t="s">
        <v>256</v>
      </c>
      <c r="E17" s="16">
        <v>1</v>
      </c>
      <c r="F17" s="16">
        <f>VLOOKUP(D17,'2.2-Пер2'!$A$2:$C$13,3)</f>
        <v>46.84</v>
      </c>
      <c r="G17" s="16" t="s">
        <v>158</v>
      </c>
      <c r="H17" s="23">
        <f t="shared" si="0"/>
        <v>4.6840000000000007E-2</v>
      </c>
    </row>
    <row r="18" spans="1:8" ht="18" x14ac:dyDescent="0.3">
      <c r="A18" s="20"/>
      <c r="B18" s="24"/>
      <c r="C18" s="24"/>
      <c r="D18" s="16"/>
      <c r="E18" s="16"/>
      <c r="F18" s="16"/>
      <c r="G18" s="16"/>
      <c r="H18" s="23"/>
    </row>
    <row r="19" spans="1:8" ht="18" x14ac:dyDescent="0.3">
      <c r="A19" s="20">
        <v>14</v>
      </c>
      <c r="B19" s="25">
        <v>2</v>
      </c>
      <c r="C19" s="25">
        <v>1</v>
      </c>
      <c r="D19" s="16" t="s">
        <v>263</v>
      </c>
      <c r="E19" s="16">
        <v>1</v>
      </c>
      <c r="F19" s="16">
        <f>VLOOKUP(D19,'2.2-Пер2'!$A$2:$C$13,3)</f>
        <v>56.629999999999995</v>
      </c>
      <c r="G19" s="16" t="s">
        <v>158</v>
      </c>
      <c r="H19" s="23">
        <f>E19*F19/1000</f>
        <v>5.6629999999999993E-2</v>
      </c>
    </row>
    <row r="20" spans="1:8" ht="18" x14ac:dyDescent="0.3">
      <c r="A20" s="20">
        <v>15</v>
      </c>
      <c r="B20" s="25">
        <v>2</v>
      </c>
      <c r="C20" s="25">
        <v>1</v>
      </c>
      <c r="D20" s="16" t="s">
        <v>264</v>
      </c>
      <c r="E20" s="16">
        <v>1</v>
      </c>
      <c r="F20" s="16">
        <f>VLOOKUP(D20,'2.2-Пер2'!$A$2:$C$13,3)</f>
        <v>22.4</v>
      </c>
      <c r="G20" s="16" t="s">
        <v>158</v>
      </c>
      <c r="H20" s="23">
        <f t="shared" ref="H20" si="4">E20*F20/1000</f>
        <v>2.24E-2</v>
      </c>
    </row>
    <row r="21" spans="1:8" ht="18" x14ac:dyDescent="0.3">
      <c r="A21" s="20">
        <v>16</v>
      </c>
      <c r="B21" s="25">
        <v>2</v>
      </c>
      <c r="C21" s="25">
        <v>1</v>
      </c>
      <c r="D21" s="16" t="s">
        <v>260</v>
      </c>
      <c r="E21" s="16">
        <v>2</v>
      </c>
      <c r="F21" s="16">
        <f>VLOOKUP(D21,'2.2-Пер2'!$A$2:$C$13,3)</f>
        <v>8.81</v>
      </c>
      <c r="G21" s="16" t="s">
        <v>158</v>
      </c>
      <c r="H21" s="23">
        <f>E21*F21/1000</f>
        <v>1.762E-2</v>
      </c>
    </row>
    <row r="22" spans="1:8" ht="18" x14ac:dyDescent="0.3">
      <c r="A22" s="20">
        <v>17</v>
      </c>
      <c r="B22" s="25">
        <v>2</v>
      </c>
      <c r="C22" s="25">
        <v>1</v>
      </c>
      <c r="D22" s="16" t="s">
        <v>256</v>
      </c>
      <c r="E22" s="16">
        <v>4</v>
      </c>
      <c r="F22" s="16">
        <f>VLOOKUP(D22,'2.2-Пер2'!$A$2:$C$13,3)</f>
        <v>46.84</v>
      </c>
      <c r="G22" s="16" t="s">
        <v>158</v>
      </c>
      <c r="H22" s="23">
        <f t="shared" si="0"/>
        <v>0.18736000000000003</v>
      </c>
    </row>
    <row r="23" spans="1:8" ht="18" x14ac:dyDescent="0.3">
      <c r="A23" s="20"/>
      <c r="B23" s="25"/>
      <c r="C23" s="25"/>
      <c r="D23" s="16"/>
      <c r="E23" s="16"/>
      <c r="F23" s="16"/>
      <c r="G23" s="16"/>
      <c r="H23" s="23"/>
    </row>
    <row r="24" spans="1:8" ht="18" x14ac:dyDescent="0.3">
      <c r="A24" s="20">
        <v>18</v>
      </c>
      <c r="B24" s="25">
        <v>2</v>
      </c>
      <c r="C24" s="25">
        <v>3</v>
      </c>
      <c r="D24" s="16" t="s">
        <v>256</v>
      </c>
      <c r="E24" s="16">
        <v>5</v>
      </c>
      <c r="F24" s="16">
        <f>VLOOKUP(D24,'2.2-Пер2'!$A$2:$C$13,3)</f>
        <v>46.84</v>
      </c>
      <c r="G24" s="16" t="s">
        <v>158</v>
      </c>
      <c r="H24" s="23">
        <f>E24*F24/1000</f>
        <v>0.23420000000000002</v>
      </c>
    </row>
    <row r="25" spans="1:8" ht="18" x14ac:dyDescent="0.3">
      <c r="A25" s="20">
        <v>19</v>
      </c>
      <c r="B25" s="25">
        <v>2</v>
      </c>
      <c r="C25" s="25">
        <v>3</v>
      </c>
      <c r="D25" s="16" t="s">
        <v>264</v>
      </c>
      <c r="E25" s="16">
        <v>6</v>
      </c>
      <c r="F25" s="16">
        <f>VLOOKUP(D25,'2.2-Пер2'!$A$2:$C$13,3)</f>
        <v>22.4</v>
      </c>
      <c r="G25" s="16" t="s">
        <v>158</v>
      </c>
      <c r="H25" s="23">
        <f t="shared" ref="H25:H35" si="5">E25*F25/1000</f>
        <v>0.13439999999999996</v>
      </c>
    </row>
    <row r="26" spans="1:8" ht="18" x14ac:dyDescent="0.3">
      <c r="A26" s="20">
        <v>20</v>
      </c>
      <c r="B26" s="25">
        <v>2</v>
      </c>
      <c r="C26" s="25">
        <v>3</v>
      </c>
      <c r="D26" s="16" t="s">
        <v>257</v>
      </c>
      <c r="E26" s="16">
        <v>1</v>
      </c>
      <c r="F26" s="16">
        <f>VLOOKUP(D26,'2.2-Пер2'!$A$2:$C$13,3)</f>
        <v>21.307692307692303</v>
      </c>
      <c r="G26" s="16" t="s">
        <v>158</v>
      </c>
      <c r="H26" s="23">
        <f>E26*F26/1000</f>
        <v>2.1307692307692302E-2</v>
      </c>
    </row>
    <row r="27" spans="1:8" ht="18" x14ac:dyDescent="0.3">
      <c r="A27" s="20">
        <v>21</v>
      </c>
      <c r="B27" s="25">
        <v>2</v>
      </c>
      <c r="C27" s="25">
        <v>3</v>
      </c>
      <c r="D27" s="16" t="s">
        <v>265</v>
      </c>
      <c r="E27" s="16">
        <v>2</v>
      </c>
      <c r="F27" s="16">
        <f>VLOOKUP(D27,'2.2-Пер2'!$A$2:$C$13,3)</f>
        <v>18.690000000000001</v>
      </c>
      <c r="G27" s="16" t="s">
        <v>158</v>
      </c>
      <c r="H27" s="23">
        <f t="shared" ref="H27" si="6">E27*F27/1000</f>
        <v>3.7380000000000004E-2</v>
      </c>
    </row>
    <row r="28" spans="1:8" ht="18" x14ac:dyDescent="0.3">
      <c r="A28" s="20"/>
      <c r="B28" s="25"/>
      <c r="C28" s="25"/>
      <c r="D28" s="16"/>
      <c r="E28" s="16"/>
      <c r="F28" s="16"/>
      <c r="G28" s="16"/>
      <c r="H28" s="23"/>
    </row>
    <row r="29" spans="1:8" ht="18" x14ac:dyDescent="0.3">
      <c r="A29" s="20">
        <v>22</v>
      </c>
      <c r="B29" s="26">
        <v>3</v>
      </c>
      <c r="C29" s="26">
        <v>1</v>
      </c>
      <c r="D29" s="16" t="s">
        <v>256</v>
      </c>
      <c r="E29" s="16">
        <v>1</v>
      </c>
      <c r="F29" s="16">
        <f>VLOOKUP(D29,'2.2-Пер2'!$A$2:$C$13,3)</f>
        <v>46.84</v>
      </c>
      <c r="G29" s="16" t="s">
        <v>158</v>
      </c>
      <c r="H29" s="23">
        <f>E29*F29/1000</f>
        <v>4.6840000000000007E-2</v>
      </c>
    </row>
    <row r="30" spans="1:8" ht="18" x14ac:dyDescent="0.3">
      <c r="A30" s="20">
        <v>23</v>
      </c>
      <c r="B30" s="26">
        <v>3</v>
      </c>
      <c r="C30" s="26">
        <v>1</v>
      </c>
      <c r="D30" s="16" t="s">
        <v>264</v>
      </c>
      <c r="E30" s="16">
        <v>1</v>
      </c>
      <c r="F30" s="16">
        <f>VLOOKUP(D30,'2.2-Пер2'!$A$2:$C$13,3)</f>
        <v>22.4</v>
      </c>
      <c r="G30" s="16" t="s">
        <v>158</v>
      </c>
      <c r="H30" s="23">
        <f t="shared" si="5"/>
        <v>2.24E-2</v>
      </c>
    </row>
    <row r="31" spans="1:8" ht="18" x14ac:dyDescent="0.3">
      <c r="A31" s="20">
        <v>24</v>
      </c>
      <c r="B31" s="26">
        <v>3</v>
      </c>
      <c r="C31" s="26">
        <v>1</v>
      </c>
      <c r="D31" s="16" t="s">
        <v>263</v>
      </c>
      <c r="E31" s="16">
        <v>1</v>
      </c>
      <c r="F31" s="16">
        <f>VLOOKUP(D31,'2.2-Пер2'!$A$2:$C$13,3)</f>
        <v>56.629999999999995</v>
      </c>
      <c r="G31" s="16" t="s">
        <v>158</v>
      </c>
      <c r="H31" s="23">
        <f>E31*F31/1000</f>
        <v>5.6629999999999993E-2</v>
      </c>
    </row>
    <row r="32" spans="1:8" ht="18" x14ac:dyDescent="0.3">
      <c r="A32" s="20">
        <v>25</v>
      </c>
      <c r="B32" s="26">
        <v>3</v>
      </c>
      <c r="C32" s="26">
        <v>1</v>
      </c>
      <c r="D32" s="16" t="s">
        <v>260</v>
      </c>
      <c r="E32" s="16">
        <v>2</v>
      </c>
      <c r="F32" s="16">
        <f>VLOOKUP(D32,'2.2-Пер2'!$A$2:$C$13,3)</f>
        <v>8.81</v>
      </c>
      <c r="G32" s="16" t="s">
        <v>158</v>
      </c>
      <c r="H32" s="23">
        <f t="shared" ref="H32" si="7">E32*F32/1000</f>
        <v>1.762E-2</v>
      </c>
    </row>
    <row r="33" spans="1:8" ht="18" x14ac:dyDescent="0.3">
      <c r="A33" s="20"/>
      <c r="B33" s="26"/>
      <c r="C33" s="26"/>
      <c r="D33" s="16"/>
      <c r="E33" s="16"/>
      <c r="F33" s="16"/>
      <c r="G33" s="16"/>
      <c r="H33" s="23"/>
    </row>
    <row r="34" spans="1:8" ht="18" x14ac:dyDescent="0.3">
      <c r="A34" s="20">
        <v>26</v>
      </c>
      <c r="B34" s="26">
        <v>3</v>
      </c>
      <c r="C34" s="26">
        <v>3</v>
      </c>
      <c r="D34" s="16" t="s">
        <v>256</v>
      </c>
      <c r="E34" s="16">
        <v>7</v>
      </c>
      <c r="F34" s="16">
        <f>VLOOKUP(D34,'2.2-Пер2'!$A$2:$C$13,3)</f>
        <v>46.84</v>
      </c>
      <c r="G34" s="16" t="s">
        <v>158</v>
      </c>
      <c r="H34" s="23">
        <f t="shared" si="5"/>
        <v>0.32788</v>
      </c>
    </row>
    <row r="35" spans="1:8" ht="18" x14ac:dyDescent="0.3">
      <c r="A35" s="20">
        <v>27</v>
      </c>
      <c r="B35" s="26">
        <v>3</v>
      </c>
      <c r="C35" s="26">
        <v>3</v>
      </c>
      <c r="D35" s="16" t="s">
        <v>264</v>
      </c>
      <c r="E35" s="16">
        <v>5</v>
      </c>
      <c r="F35" s="16">
        <f>VLOOKUP(D35,'2.2-Пер2'!$A$2:$C$13,3)</f>
        <v>22.4</v>
      </c>
      <c r="G35" s="16" t="s">
        <v>158</v>
      </c>
      <c r="H35" s="23">
        <f t="shared" si="5"/>
        <v>0.112</v>
      </c>
    </row>
    <row r="36" spans="1:8" ht="18" x14ac:dyDescent="0.3">
      <c r="A36" s="20">
        <v>28</v>
      </c>
      <c r="B36" s="26">
        <v>3</v>
      </c>
      <c r="C36" s="26">
        <v>3</v>
      </c>
      <c r="D36" s="16" t="s">
        <v>265</v>
      </c>
      <c r="E36" s="16">
        <v>5</v>
      </c>
      <c r="F36" s="16">
        <f>VLOOKUP(D36,'2.2-Пер2'!$A$2:$C$13,3)</f>
        <v>18.690000000000001</v>
      </c>
      <c r="G36" s="16" t="s">
        <v>158</v>
      </c>
      <c r="H36" s="23">
        <f t="shared" ref="H36:H37" si="8">E36*F36/1000</f>
        <v>9.3450000000000005E-2</v>
      </c>
    </row>
    <row r="37" spans="1:8" ht="18" x14ac:dyDescent="0.3">
      <c r="A37" s="20">
        <v>29</v>
      </c>
      <c r="B37" s="26">
        <v>3</v>
      </c>
      <c r="C37" s="26">
        <v>3</v>
      </c>
      <c r="D37" s="16" t="s">
        <v>266</v>
      </c>
      <c r="E37" s="16">
        <v>1</v>
      </c>
      <c r="F37" s="16">
        <f>VLOOKUP(D37,'2.2-Пер2'!$A$2:$C$13,3)</f>
        <v>18.690000000000001</v>
      </c>
      <c r="G37" s="16" t="s">
        <v>158</v>
      </c>
      <c r="H37" s="23">
        <f t="shared" si="8"/>
        <v>1.8690000000000002E-2</v>
      </c>
    </row>
    <row r="38" spans="1:8" ht="18" x14ac:dyDescent="0.3">
      <c r="A38" s="20"/>
      <c r="B38" s="26"/>
      <c r="C38" s="26"/>
      <c r="D38" s="16"/>
      <c r="E38" s="16"/>
      <c r="F38" s="16"/>
      <c r="G38" s="16"/>
      <c r="H38" s="23"/>
    </row>
    <row r="39" spans="1:8" ht="18" x14ac:dyDescent="0.3">
      <c r="A39" s="20">
        <v>30</v>
      </c>
      <c r="B39" s="27">
        <v>4</v>
      </c>
      <c r="C39" s="27">
        <v>3</v>
      </c>
      <c r="D39" s="16" t="s">
        <v>256</v>
      </c>
      <c r="E39" s="16">
        <v>7</v>
      </c>
      <c r="F39" s="16">
        <f>VLOOKUP(D39,'2.2-Пер2'!$A$2:$C$13,3)</f>
        <v>46.84</v>
      </c>
      <c r="G39" s="16" t="s">
        <v>158</v>
      </c>
      <c r="H39" s="23">
        <f t="shared" ref="H39" si="9">E39*F39/1000</f>
        <v>0.32788</v>
      </c>
    </row>
    <row r="40" spans="1:8" ht="18" x14ac:dyDescent="0.3">
      <c r="A40" s="20">
        <v>31</v>
      </c>
      <c r="B40" s="27">
        <v>4</v>
      </c>
      <c r="C40" s="27">
        <v>3</v>
      </c>
      <c r="D40" s="16" t="s">
        <v>264</v>
      </c>
      <c r="E40" s="16">
        <v>2</v>
      </c>
      <c r="F40" s="16">
        <f>VLOOKUP(D40,'2.2-Пер2'!$A$2:$C$13,3)</f>
        <v>22.4</v>
      </c>
      <c r="G40" s="16" t="s">
        <v>158</v>
      </c>
      <c r="H40" s="23">
        <f>E40*F40/1000</f>
        <v>4.48E-2</v>
      </c>
    </row>
    <row r="41" spans="1:8" ht="18" x14ac:dyDescent="0.3">
      <c r="A41" s="20">
        <v>32</v>
      </c>
      <c r="B41" s="27">
        <v>4</v>
      </c>
      <c r="C41" s="27">
        <v>3</v>
      </c>
      <c r="D41" s="16" t="s">
        <v>267</v>
      </c>
      <c r="E41" s="16">
        <v>1</v>
      </c>
      <c r="F41" s="16">
        <f>VLOOKUP(D41,'2.2-Пер2'!$A$2:$C$13,3)</f>
        <v>5.44</v>
      </c>
      <c r="G41" s="16" t="s">
        <v>158</v>
      </c>
      <c r="H41" s="23">
        <f>E41*F41/1000</f>
        <v>5.4400000000000004E-3</v>
      </c>
    </row>
    <row r="42" spans="1:8" ht="18" x14ac:dyDescent="0.3">
      <c r="A42" s="20"/>
      <c r="B42" s="16"/>
      <c r="C42" s="16"/>
      <c r="D42" s="16"/>
      <c r="E42" s="28">
        <f>SUM(E3:E41)</f>
        <v>96</v>
      </c>
      <c r="F42" s="16" t="s">
        <v>231</v>
      </c>
      <c r="G42" s="16" t="s">
        <v>158</v>
      </c>
      <c r="H42" s="23">
        <f>SUM(H3:H41)</f>
        <v>2.4501312587412585</v>
      </c>
    </row>
  </sheetData>
  <mergeCells count="1"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.6" x14ac:dyDescent="0.3"/>
  <cols>
    <col min="1" max="1" width="14.109375" style="33" customWidth="1"/>
    <col min="2" max="2" width="14.21875" style="33" customWidth="1"/>
    <col min="3" max="4" width="8.88671875" style="32"/>
    <col min="5" max="16384" width="8.88671875" style="33"/>
  </cols>
  <sheetData>
    <row r="1" spans="1:4" x14ac:dyDescent="0.3">
      <c r="A1" s="29" t="s">
        <v>255</v>
      </c>
      <c r="B1" s="29" t="s">
        <v>254</v>
      </c>
      <c r="C1" s="31" t="s">
        <v>268</v>
      </c>
      <c r="D1" s="31" t="s">
        <v>231</v>
      </c>
    </row>
    <row r="2" spans="1:4" x14ac:dyDescent="0.3">
      <c r="A2" s="30" t="s">
        <v>256</v>
      </c>
      <c r="B2" s="29">
        <v>30</v>
      </c>
      <c r="C2" s="31">
        <v>46.84</v>
      </c>
      <c r="D2" s="31">
        <f>B2*C2</f>
        <v>1405.2</v>
      </c>
    </row>
    <row r="3" spans="1:4" x14ac:dyDescent="0.3">
      <c r="A3" s="30" t="s">
        <v>264</v>
      </c>
      <c r="B3" s="29">
        <v>16</v>
      </c>
      <c r="C3" s="31">
        <v>22.4</v>
      </c>
      <c r="D3" s="31">
        <f t="shared" ref="D3:D13" si="0">B3*C3</f>
        <v>358.4</v>
      </c>
    </row>
    <row r="4" spans="1:4" x14ac:dyDescent="0.3">
      <c r="A4" s="30" t="s">
        <v>257</v>
      </c>
      <c r="B4" s="29">
        <v>3</v>
      </c>
      <c r="C4" s="31">
        <v>21.307692307692303</v>
      </c>
      <c r="D4" s="31">
        <f t="shared" si="0"/>
        <v>63.923076923076906</v>
      </c>
    </row>
    <row r="5" spans="1:4" x14ac:dyDescent="0.3">
      <c r="A5" s="30" t="s">
        <v>263</v>
      </c>
      <c r="B5" s="29">
        <v>2</v>
      </c>
      <c r="C5" s="31">
        <v>56.629999999999995</v>
      </c>
      <c r="D5" s="31">
        <f t="shared" si="0"/>
        <v>113.25999999999999</v>
      </c>
    </row>
    <row r="6" spans="1:4" x14ac:dyDescent="0.3">
      <c r="A6" s="30" t="s">
        <v>265</v>
      </c>
      <c r="B6" s="29">
        <v>8</v>
      </c>
      <c r="C6" s="31">
        <v>18.690000000000001</v>
      </c>
      <c r="D6" s="31">
        <f t="shared" si="0"/>
        <v>149.52000000000001</v>
      </c>
    </row>
    <row r="7" spans="1:4" x14ac:dyDescent="0.3">
      <c r="A7" s="30" t="s">
        <v>266</v>
      </c>
      <c r="B7" s="29">
        <v>1</v>
      </c>
      <c r="C7" s="31">
        <v>18.690000000000001</v>
      </c>
      <c r="D7" s="31">
        <f t="shared" si="0"/>
        <v>18.690000000000001</v>
      </c>
    </row>
    <row r="8" spans="1:4" x14ac:dyDescent="0.3">
      <c r="A8" s="30" t="s">
        <v>258</v>
      </c>
      <c r="B8" s="29">
        <v>9</v>
      </c>
      <c r="C8" s="31">
        <v>12.170909090909092</v>
      </c>
      <c r="D8" s="31">
        <f t="shared" si="0"/>
        <v>109.53818181818183</v>
      </c>
    </row>
    <row r="9" spans="1:4" x14ac:dyDescent="0.3">
      <c r="A9" s="30" t="s">
        <v>267</v>
      </c>
      <c r="B9" s="29">
        <v>1</v>
      </c>
      <c r="C9" s="31">
        <v>5.44</v>
      </c>
      <c r="D9" s="31">
        <f t="shared" si="0"/>
        <v>5.44</v>
      </c>
    </row>
    <row r="10" spans="1:4" x14ac:dyDescent="0.3">
      <c r="A10" s="30" t="s">
        <v>259</v>
      </c>
      <c r="B10" s="29">
        <v>7</v>
      </c>
      <c r="C10" s="31">
        <v>6.93</v>
      </c>
      <c r="D10" s="31">
        <f t="shared" si="0"/>
        <v>48.51</v>
      </c>
    </row>
    <row r="11" spans="1:4" x14ac:dyDescent="0.3">
      <c r="A11" s="30" t="s">
        <v>260</v>
      </c>
      <c r="B11" s="29">
        <v>15</v>
      </c>
      <c r="C11" s="31">
        <v>8.81</v>
      </c>
      <c r="D11" s="31">
        <f t="shared" si="0"/>
        <v>132.15</v>
      </c>
    </row>
    <row r="12" spans="1:4" x14ac:dyDescent="0.3">
      <c r="A12" s="30" t="s">
        <v>261</v>
      </c>
      <c r="B12" s="29">
        <v>1</v>
      </c>
      <c r="C12" s="31">
        <v>27.95</v>
      </c>
      <c r="D12" s="31">
        <f t="shared" si="0"/>
        <v>27.95</v>
      </c>
    </row>
    <row r="13" spans="1:4" x14ac:dyDescent="0.3">
      <c r="A13" s="30" t="s">
        <v>262</v>
      </c>
      <c r="B13" s="29">
        <v>3</v>
      </c>
      <c r="C13" s="31">
        <v>5.8500000000000005</v>
      </c>
      <c r="D13" s="31">
        <f t="shared" si="0"/>
        <v>17.55</v>
      </c>
    </row>
    <row r="14" spans="1:4" x14ac:dyDescent="0.3">
      <c r="A14" s="34"/>
      <c r="B14" s="31">
        <f>SUM(B2:B13)</f>
        <v>96</v>
      </c>
      <c r="C14" s="31" t="s">
        <v>269</v>
      </c>
      <c r="D14" s="31">
        <f>SUM(D2:D13)</f>
        <v>2450.131258741259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4" x14ac:dyDescent="0.3"/>
  <cols>
    <col min="1" max="1" width="11.5546875" customWidth="1"/>
    <col min="2" max="2" width="55.6640625" customWidth="1"/>
    <col min="3" max="3" width="28.77734375" customWidth="1"/>
    <col min="4" max="4" width="11.88671875" customWidth="1"/>
    <col min="5" max="5" width="16.77734375" customWidth="1"/>
  </cols>
  <sheetData>
    <row r="1" spans="1:5" s="18" customFormat="1" ht="36" x14ac:dyDescent="0.35">
      <c r="A1" s="17" t="s">
        <v>9</v>
      </c>
      <c r="B1" s="17" t="s">
        <v>11</v>
      </c>
      <c r="C1" s="17" t="s">
        <v>228</v>
      </c>
      <c r="D1" s="17" t="s">
        <v>14</v>
      </c>
      <c r="E1" s="17" t="s">
        <v>16</v>
      </c>
    </row>
    <row r="2" spans="1:5" s="14" customFormat="1" ht="54" x14ac:dyDescent="0.35">
      <c r="A2" s="20">
        <v>1</v>
      </c>
      <c r="B2" s="15" t="s">
        <v>32</v>
      </c>
      <c r="C2" s="16" t="s">
        <v>229</v>
      </c>
      <c r="D2" s="16" t="s">
        <v>34</v>
      </c>
      <c r="E2" s="19">
        <v>26.36</v>
      </c>
    </row>
    <row r="3" spans="1:5" s="14" customFormat="1" ht="54" x14ac:dyDescent="0.35">
      <c r="A3" s="20">
        <v>2</v>
      </c>
      <c r="B3" s="15" t="s">
        <v>32</v>
      </c>
      <c r="C3" s="16" t="s">
        <v>230</v>
      </c>
      <c r="D3" s="16" t="s">
        <v>34</v>
      </c>
      <c r="E3" s="19">
        <v>23.04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918"/>
  <sheetViews>
    <sheetView workbookViewId="0"/>
  </sheetViews>
  <sheetFormatPr defaultRowHeight="13.2" x14ac:dyDescent="0.3"/>
  <cols>
    <col min="1" max="1" width="8.88671875" style="168"/>
    <col min="2" max="2" width="8.77734375" style="168" customWidth="1"/>
    <col min="3" max="3" width="10.33203125" style="168" customWidth="1"/>
    <col min="4" max="4" width="10.5546875" style="168" customWidth="1"/>
    <col min="5" max="5" width="11.6640625" style="168" customWidth="1"/>
    <col min="6" max="6" width="47.5546875" style="168" customWidth="1"/>
    <col min="7" max="7" width="60.21875" style="150" hidden="1" customWidth="1"/>
    <col min="8" max="16384" width="8.88671875" style="136"/>
  </cols>
  <sheetData>
    <row r="1" spans="1:7" ht="26.4" x14ac:dyDescent="0.3">
      <c r="A1" s="156" t="s">
        <v>252</v>
      </c>
      <c r="B1" s="157" t="s">
        <v>251</v>
      </c>
      <c r="C1" s="158" t="s">
        <v>724</v>
      </c>
      <c r="D1" s="159" t="s">
        <v>634</v>
      </c>
      <c r="E1" s="160" t="s">
        <v>635</v>
      </c>
      <c r="F1" s="161" t="s">
        <v>636</v>
      </c>
      <c r="G1" s="151" t="s">
        <v>687</v>
      </c>
    </row>
    <row r="2" spans="1:7" x14ac:dyDescent="0.3">
      <c r="A2" s="162">
        <v>1</v>
      </c>
      <c r="B2" s="163">
        <v>1</v>
      </c>
      <c r="C2" s="164">
        <v>1001</v>
      </c>
      <c r="D2" s="165" t="s">
        <v>637</v>
      </c>
      <c r="E2" s="166">
        <v>12.6</v>
      </c>
      <c r="F2" s="167" t="s">
        <v>725</v>
      </c>
      <c r="G2" s="152" t="s">
        <v>688</v>
      </c>
    </row>
    <row r="3" spans="1:7" x14ac:dyDescent="0.3">
      <c r="A3" s="162">
        <v>1</v>
      </c>
      <c r="B3" s="163">
        <v>1</v>
      </c>
      <c r="C3" s="164">
        <v>1001</v>
      </c>
      <c r="D3" s="165" t="s">
        <v>638</v>
      </c>
      <c r="E3" s="166">
        <v>55.1</v>
      </c>
      <c r="F3" s="167" t="s">
        <v>726</v>
      </c>
      <c r="G3" s="152" t="s">
        <v>689</v>
      </c>
    </row>
    <row r="4" spans="1:7" x14ac:dyDescent="0.3">
      <c r="A4" s="162">
        <v>1</v>
      </c>
      <c r="B4" s="163">
        <v>1</v>
      </c>
      <c r="C4" s="164">
        <v>1001</v>
      </c>
      <c r="D4" s="165" t="s">
        <v>639</v>
      </c>
      <c r="E4" s="166">
        <v>5.7</v>
      </c>
      <c r="F4" s="167" t="s">
        <v>727</v>
      </c>
      <c r="G4" s="152" t="s">
        <v>690</v>
      </c>
    </row>
    <row r="5" spans="1:7" x14ac:dyDescent="0.3">
      <c r="A5" s="162">
        <v>1</v>
      </c>
      <c r="B5" s="163">
        <v>1</v>
      </c>
      <c r="C5" s="164">
        <v>1001</v>
      </c>
      <c r="D5" s="165" t="s">
        <v>640</v>
      </c>
      <c r="E5" s="166">
        <v>40.4</v>
      </c>
      <c r="F5" s="167" t="s">
        <v>728</v>
      </c>
      <c r="G5" s="152" t="s">
        <v>691</v>
      </c>
    </row>
    <row r="6" spans="1:7" x14ac:dyDescent="0.3">
      <c r="A6" s="162">
        <v>1</v>
      </c>
      <c r="B6" s="163">
        <v>1</v>
      </c>
      <c r="C6" s="164">
        <v>1001</v>
      </c>
      <c r="D6" s="165" t="s">
        <v>641</v>
      </c>
      <c r="E6" s="166">
        <v>15</v>
      </c>
      <c r="F6" s="167" t="s">
        <v>729</v>
      </c>
      <c r="G6" s="152" t="s">
        <v>692</v>
      </c>
    </row>
    <row r="7" spans="1:7" x14ac:dyDescent="0.3">
      <c r="A7" s="162">
        <v>1</v>
      </c>
      <c r="B7" s="163">
        <v>1</v>
      </c>
      <c r="C7" s="164">
        <v>1002</v>
      </c>
      <c r="D7" s="165" t="s">
        <v>637</v>
      </c>
      <c r="E7" s="166">
        <v>6.2</v>
      </c>
      <c r="F7" s="167" t="s">
        <v>725</v>
      </c>
      <c r="G7" s="152" t="s">
        <v>688</v>
      </c>
    </row>
    <row r="8" spans="1:7" x14ac:dyDescent="0.3">
      <c r="A8" s="162">
        <v>1</v>
      </c>
      <c r="B8" s="163">
        <v>1</v>
      </c>
      <c r="C8" s="164">
        <v>1002</v>
      </c>
      <c r="D8" s="165" t="s">
        <v>638</v>
      </c>
      <c r="E8" s="166">
        <v>81.3</v>
      </c>
      <c r="F8" s="167" t="s">
        <v>726</v>
      </c>
      <c r="G8" s="152" t="s">
        <v>689</v>
      </c>
    </row>
    <row r="9" spans="1:7" x14ac:dyDescent="0.3">
      <c r="A9" s="162">
        <v>1</v>
      </c>
      <c r="B9" s="163">
        <v>1</v>
      </c>
      <c r="C9" s="164">
        <v>1002</v>
      </c>
      <c r="D9" s="165" t="s">
        <v>639</v>
      </c>
      <c r="E9" s="166">
        <v>2.9</v>
      </c>
      <c r="F9" s="167" t="s">
        <v>727</v>
      </c>
      <c r="G9" s="152" t="s">
        <v>690</v>
      </c>
    </row>
    <row r="10" spans="1:7" x14ac:dyDescent="0.3">
      <c r="A10" s="162">
        <v>1</v>
      </c>
      <c r="B10" s="163">
        <v>1</v>
      </c>
      <c r="C10" s="164">
        <v>1002</v>
      </c>
      <c r="D10" s="165" t="s">
        <v>640</v>
      </c>
      <c r="E10" s="166">
        <v>10</v>
      </c>
      <c r="F10" s="167" t="s">
        <v>728</v>
      </c>
      <c r="G10" s="152" t="s">
        <v>691</v>
      </c>
    </row>
    <row r="11" spans="1:7" x14ac:dyDescent="0.3">
      <c r="A11" s="162">
        <v>1</v>
      </c>
      <c r="B11" s="163">
        <v>1</v>
      </c>
      <c r="C11" s="164">
        <v>1002</v>
      </c>
      <c r="D11" s="165" t="s">
        <v>641</v>
      </c>
      <c r="E11" s="166">
        <v>3.8</v>
      </c>
      <c r="F11" s="167" t="s">
        <v>729</v>
      </c>
      <c r="G11" s="152" t="s">
        <v>692</v>
      </c>
    </row>
    <row r="12" spans="1:7" x14ac:dyDescent="0.3">
      <c r="A12" s="162">
        <v>1</v>
      </c>
      <c r="B12" s="163">
        <v>1</v>
      </c>
      <c r="C12" s="164">
        <v>1003</v>
      </c>
      <c r="D12" s="165" t="s">
        <v>637</v>
      </c>
      <c r="E12" s="166">
        <v>7.8</v>
      </c>
      <c r="F12" s="167" t="s">
        <v>725</v>
      </c>
      <c r="G12" s="152" t="s">
        <v>688</v>
      </c>
    </row>
    <row r="13" spans="1:7" x14ac:dyDescent="0.3">
      <c r="A13" s="162">
        <v>1</v>
      </c>
      <c r="B13" s="163">
        <v>1</v>
      </c>
      <c r="C13" s="164">
        <v>1003</v>
      </c>
      <c r="D13" s="165" t="s">
        <v>638</v>
      </c>
      <c r="E13" s="166">
        <v>59.9</v>
      </c>
      <c r="F13" s="167" t="s">
        <v>726</v>
      </c>
      <c r="G13" s="152" t="s">
        <v>689</v>
      </c>
    </row>
    <row r="14" spans="1:7" x14ac:dyDescent="0.3">
      <c r="A14" s="162">
        <v>1</v>
      </c>
      <c r="B14" s="163">
        <v>1</v>
      </c>
      <c r="C14" s="164">
        <v>1003</v>
      </c>
      <c r="D14" s="165" t="s">
        <v>639</v>
      </c>
      <c r="E14" s="166">
        <v>5</v>
      </c>
      <c r="F14" s="167" t="s">
        <v>727</v>
      </c>
      <c r="G14" s="152" t="s">
        <v>690</v>
      </c>
    </row>
    <row r="15" spans="1:7" x14ac:dyDescent="0.3">
      <c r="A15" s="162">
        <v>1</v>
      </c>
      <c r="B15" s="163">
        <v>1</v>
      </c>
      <c r="C15" s="164">
        <v>1003</v>
      </c>
      <c r="D15" s="165" t="s">
        <v>640</v>
      </c>
      <c r="E15" s="166">
        <v>31.7</v>
      </c>
      <c r="F15" s="167" t="s">
        <v>728</v>
      </c>
      <c r="G15" s="152" t="s">
        <v>691</v>
      </c>
    </row>
    <row r="16" spans="1:7" x14ac:dyDescent="0.3">
      <c r="A16" s="162">
        <v>1</v>
      </c>
      <c r="B16" s="163">
        <v>1</v>
      </c>
      <c r="C16" s="164">
        <v>1003</v>
      </c>
      <c r="D16" s="165" t="s">
        <v>641</v>
      </c>
      <c r="E16" s="166">
        <v>3.8</v>
      </c>
      <c r="F16" s="167" t="s">
        <v>729</v>
      </c>
      <c r="G16" s="152" t="s">
        <v>692</v>
      </c>
    </row>
    <row r="17" spans="1:7" x14ac:dyDescent="0.3">
      <c r="A17" s="162">
        <v>1</v>
      </c>
      <c r="B17" s="163">
        <v>1</v>
      </c>
      <c r="C17" s="164">
        <v>1004</v>
      </c>
      <c r="D17" s="165" t="s">
        <v>637</v>
      </c>
      <c r="E17" s="166">
        <v>6.4</v>
      </c>
      <c r="F17" s="167" t="s">
        <v>725</v>
      </c>
      <c r="G17" s="152" t="s">
        <v>688</v>
      </c>
    </row>
    <row r="18" spans="1:7" x14ac:dyDescent="0.3">
      <c r="A18" s="162">
        <v>1</v>
      </c>
      <c r="B18" s="163">
        <v>1</v>
      </c>
      <c r="C18" s="164">
        <v>1004</v>
      </c>
      <c r="D18" s="165" t="s">
        <v>638</v>
      </c>
      <c r="E18" s="166">
        <v>58.3</v>
      </c>
      <c r="F18" s="167" t="s">
        <v>726</v>
      </c>
      <c r="G18" s="152" t="s">
        <v>689</v>
      </c>
    </row>
    <row r="19" spans="1:7" x14ac:dyDescent="0.3">
      <c r="A19" s="162">
        <v>1</v>
      </c>
      <c r="B19" s="163">
        <v>1</v>
      </c>
      <c r="C19" s="164">
        <v>1004</v>
      </c>
      <c r="D19" s="165" t="s">
        <v>639</v>
      </c>
      <c r="E19" s="166">
        <v>5.0999999999999996</v>
      </c>
      <c r="F19" s="167" t="s">
        <v>727</v>
      </c>
      <c r="G19" s="152" t="s">
        <v>690</v>
      </c>
    </row>
    <row r="20" spans="1:7" x14ac:dyDescent="0.3">
      <c r="A20" s="162">
        <v>1</v>
      </c>
      <c r="B20" s="163">
        <v>1</v>
      </c>
      <c r="C20" s="164">
        <v>1004</v>
      </c>
      <c r="D20" s="165" t="s">
        <v>640</v>
      </c>
      <c r="E20" s="166">
        <v>32.799999999999997</v>
      </c>
      <c r="F20" s="167" t="s">
        <v>728</v>
      </c>
      <c r="G20" s="152" t="s">
        <v>691</v>
      </c>
    </row>
    <row r="21" spans="1:7" x14ac:dyDescent="0.3">
      <c r="A21" s="162">
        <v>1</v>
      </c>
      <c r="B21" s="163">
        <v>1</v>
      </c>
      <c r="C21" s="164">
        <v>1004</v>
      </c>
      <c r="D21" s="165" t="s">
        <v>641</v>
      </c>
      <c r="E21" s="166">
        <v>3.9</v>
      </c>
      <c r="F21" s="167" t="s">
        <v>729</v>
      </c>
      <c r="G21" s="152" t="s">
        <v>692</v>
      </c>
    </row>
    <row r="22" spans="1:7" x14ac:dyDescent="0.3">
      <c r="A22" s="162">
        <v>1</v>
      </c>
      <c r="B22" s="163">
        <v>1</v>
      </c>
      <c r="C22" s="164">
        <v>1005</v>
      </c>
      <c r="D22" s="165" t="s">
        <v>637</v>
      </c>
      <c r="E22" s="166">
        <v>3.4</v>
      </c>
      <c r="F22" s="167" t="s">
        <v>725</v>
      </c>
      <c r="G22" s="152" t="s">
        <v>688</v>
      </c>
    </row>
    <row r="23" spans="1:7" x14ac:dyDescent="0.3">
      <c r="A23" s="162">
        <v>1</v>
      </c>
      <c r="B23" s="163">
        <v>1</v>
      </c>
      <c r="C23" s="164">
        <v>1005</v>
      </c>
      <c r="D23" s="165" t="s">
        <v>638</v>
      </c>
      <c r="E23" s="166">
        <v>73</v>
      </c>
      <c r="F23" s="167" t="s">
        <v>726</v>
      </c>
      <c r="G23" s="152" t="s">
        <v>689</v>
      </c>
    </row>
    <row r="24" spans="1:7" x14ac:dyDescent="0.3">
      <c r="A24" s="162">
        <v>1</v>
      </c>
      <c r="B24" s="163">
        <v>1</v>
      </c>
      <c r="C24" s="164">
        <v>1005</v>
      </c>
      <c r="D24" s="165" t="s">
        <v>639</v>
      </c>
      <c r="E24" s="166">
        <v>2.2000000000000002</v>
      </c>
      <c r="F24" s="167" t="s">
        <v>727</v>
      </c>
      <c r="G24" s="152" t="s">
        <v>690</v>
      </c>
    </row>
    <row r="25" spans="1:7" x14ac:dyDescent="0.3">
      <c r="A25" s="162">
        <v>1</v>
      </c>
      <c r="B25" s="163">
        <v>1</v>
      </c>
      <c r="C25" s="164">
        <v>1005</v>
      </c>
      <c r="D25" s="165" t="s">
        <v>640</v>
      </c>
      <c r="E25" s="166">
        <v>8.5</v>
      </c>
      <c r="F25" s="167" t="s">
        <v>728</v>
      </c>
      <c r="G25" s="152" t="s">
        <v>691</v>
      </c>
    </row>
    <row r="26" spans="1:7" x14ac:dyDescent="0.3">
      <c r="A26" s="162">
        <v>1</v>
      </c>
      <c r="B26" s="163">
        <v>1</v>
      </c>
      <c r="C26" s="164">
        <v>1005</v>
      </c>
      <c r="D26" s="165" t="s">
        <v>641</v>
      </c>
      <c r="E26" s="166">
        <v>3.6</v>
      </c>
      <c r="F26" s="167" t="s">
        <v>729</v>
      </c>
      <c r="G26" s="152" t="s">
        <v>692</v>
      </c>
    </row>
    <row r="27" spans="1:7" x14ac:dyDescent="0.3">
      <c r="A27" s="162">
        <v>1</v>
      </c>
      <c r="B27" s="163">
        <v>1</v>
      </c>
      <c r="C27" s="164">
        <v>1006</v>
      </c>
      <c r="D27" s="165" t="s">
        <v>637</v>
      </c>
      <c r="E27" s="166">
        <v>3</v>
      </c>
      <c r="F27" s="167" t="s">
        <v>725</v>
      </c>
      <c r="G27" s="152" t="s">
        <v>688</v>
      </c>
    </row>
    <row r="28" spans="1:7" x14ac:dyDescent="0.3">
      <c r="A28" s="162">
        <v>1</v>
      </c>
      <c r="B28" s="163">
        <v>1</v>
      </c>
      <c r="C28" s="164">
        <v>1006</v>
      </c>
      <c r="D28" s="165" t="s">
        <v>638</v>
      </c>
      <c r="E28" s="166">
        <v>42</v>
      </c>
      <c r="F28" s="167" t="s">
        <v>726</v>
      </c>
      <c r="G28" s="152" t="s">
        <v>689</v>
      </c>
    </row>
    <row r="29" spans="1:7" x14ac:dyDescent="0.3">
      <c r="A29" s="162">
        <v>1</v>
      </c>
      <c r="B29" s="163">
        <v>1</v>
      </c>
      <c r="C29" s="164">
        <v>1006</v>
      </c>
      <c r="D29" s="165" t="s">
        <v>639</v>
      </c>
      <c r="E29" s="166">
        <v>2.9</v>
      </c>
      <c r="F29" s="167" t="s">
        <v>727</v>
      </c>
      <c r="G29" s="152" t="s">
        <v>690</v>
      </c>
    </row>
    <row r="30" spans="1:7" x14ac:dyDescent="0.3">
      <c r="A30" s="162">
        <v>1</v>
      </c>
      <c r="B30" s="163">
        <v>1</v>
      </c>
      <c r="C30" s="164">
        <v>1006</v>
      </c>
      <c r="D30" s="165" t="s">
        <v>640</v>
      </c>
      <c r="E30" s="166">
        <v>29.8</v>
      </c>
      <c r="F30" s="167" t="s">
        <v>728</v>
      </c>
      <c r="G30" s="152" t="s">
        <v>691</v>
      </c>
    </row>
    <row r="31" spans="1:7" x14ac:dyDescent="0.3">
      <c r="A31" s="162">
        <v>1</v>
      </c>
      <c r="B31" s="163">
        <v>1</v>
      </c>
      <c r="C31" s="164">
        <v>1007</v>
      </c>
      <c r="D31" s="165" t="s">
        <v>637</v>
      </c>
      <c r="E31" s="166">
        <v>7.8</v>
      </c>
      <c r="F31" s="167" t="s">
        <v>725</v>
      </c>
      <c r="G31" s="152" t="s">
        <v>688</v>
      </c>
    </row>
    <row r="32" spans="1:7" x14ac:dyDescent="0.3">
      <c r="A32" s="162">
        <v>1</v>
      </c>
      <c r="B32" s="163">
        <v>1</v>
      </c>
      <c r="C32" s="164">
        <v>1007</v>
      </c>
      <c r="D32" s="165" t="s">
        <v>638</v>
      </c>
      <c r="E32" s="166">
        <v>74</v>
      </c>
      <c r="F32" s="167" t="s">
        <v>726</v>
      </c>
      <c r="G32" s="152" t="s">
        <v>689</v>
      </c>
    </row>
    <row r="33" spans="1:7" x14ac:dyDescent="0.3">
      <c r="A33" s="162">
        <v>1</v>
      </c>
      <c r="B33" s="163">
        <v>1</v>
      </c>
      <c r="C33" s="164">
        <v>1007</v>
      </c>
      <c r="D33" s="165" t="s">
        <v>639</v>
      </c>
      <c r="E33" s="166">
        <v>7.5</v>
      </c>
      <c r="F33" s="167" t="s">
        <v>727</v>
      </c>
      <c r="G33" s="152" t="s">
        <v>690</v>
      </c>
    </row>
    <row r="34" spans="1:7" x14ac:dyDescent="0.3">
      <c r="A34" s="162">
        <v>1</v>
      </c>
      <c r="B34" s="163">
        <v>1</v>
      </c>
      <c r="C34" s="164">
        <v>1007</v>
      </c>
      <c r="D34" s="165" t="s">
        <v>640</v>
      </c>
      <c r="E34" s="166">
        <v>56</v>
      </c>
      <c r="F34" s="167" t="s">
        <v>728</v>
      </c>
      <c r="G34" s="152" t="s">
        <v>691</v>
      </c>
    </row>
    <row r="35" spans="1:7" x14ac:dyDescent="0.3">
      <c r="A35" s="162">
        <v>1</v>
      </c>
      <c r="B35" s="163">
        <v>1</v>
      </c>
      <c r="C35" s="164">
        <v>1007</v>
      </c>
      <c r="D35" s="165" t="s">
        <v>641</v>
      </c>
      <c r="E35" s="166">
        <v>7.3</v>
      </c>
      <c r="F35" s="167" t="s">
        <v>729</v>
      </c>
      <c r="G35" s="152" t="s">
        <v>692</v>
      </c>
    </row>
    <row r="36" spans="1:7" x14ac:dyDescent="0.3">
      <c r="A36" s="162">
        <v>1</v>
      </c>
      <c r="B36" s="163">
        <v>1</v>
      </c>
      <c r="C36" s="164">
        <v>1008</v>
      </c>
      <c r="D36" s="165" t="s">
        <v>639</v>
      </c>
      <c r="E36" s="166">
        <v>2.8</v>
      </c>
      <c r="F36" s="167" t="s">
        <v>727</v>
      </c>
      <c r="G36" s="152" t="s">
        <v>690</v>
      </c>
    </row>
    <row r="37" spans="1:7" x14ac:dyDescent="0.3">
      <c r="A37" s="162">
        <v>1</v>
      </c>
      <c r="B37" s="163">
        <v>1</v>
      </c>
      <c r="C37" s="164">
        <v>1008</v>
      </c>
      <c r="D37" s="165" t="s">
        <v>642</v>
      </c>
      <c r="E37" s="166">
        <v>55.6</v>
      </c>
      <c r="F37" s="167" t="s">
        <v>728</v>
      </c>
      <c r="G37" s="152" t="s">
        <v>693</v>
      </c>
    </row>
    <row r="38" spans="1:7" x14ac:dyDescent="0.3">
      <c r="A38" s="162">
        <v>1</v>
      </c>
      <c r="B38" s="163">
        <v>1</v>
      </c>
      <c r="C38" s="164">
        <v>1008</v>
      </c>
      <c r="D38" s="165" t="s">
        <v>643</v>
      </c>
      <c r="E38" s="166">
        <v>19.899999999999999</v>
      </c>
      <c r="F38" s="167" t="s">
        <v>725</v>
      </c>
      <c r="G38" s="152" t="s">
        <v>693</v>
      </c>
    </row>
    <row r="39" spans="1:7" x14ac:dyDescent="0.3">
      <c r="A39" s="162">
        <v>1</v>
      </c>
      <c r="B39" s="163">
        <v>1</v>
      </c>
      <c r="C39" s="164">
        <v>1009</v>
      </c>
      <c r="D39" s="165" t="s">
        <v>644</v>
      </c>
      <c r="E39" s="166">
        <v>3.4</v>
      </c>
      <c r="F39" s="167" t="s">
        <v>725</v>
      </c>
      <c r="G39" s="152" t="s">
        <v>694</v>
      </c>
    </row>
    <row r="40" spans="1:7" x14ac:dyDescent="0.3">
      <c r="A40" s="162">
        <v>1</v>
      </c>
      <c r="B40" s="163">
        <v>1</v>
      </c>
      <c r="C40" s="164">
        <v>1009</v>
      </c>
      <c r="D40" s="165" t="s">
        <v>645</v>
      </c>
      <c r="E40" s="166">
        <v>2.4</v>
      </c>
      <c r="F40" s="167" t="s">
        <v>725</v>
      </c>
      <c r="G40" s="152" t="s">
        <v>695</v>
      </c>
    </row>
    <row r="41" spans="1:7" ht="26.4" x14ac:dyDescent="0.3">
      <c r="A41" s="162">
        <v>1</v>
      </c>
      <c r="B41" s="163">
        <v>1</v>
      </c>
      <c r="C41" s="164">
        <v>1009</v>
      </c>
      <c r="D41" s="165" t="s">
        <v>646</v>
      </c>
      <c r="E41" s="166">
        <v>1.3</v>
      </c>
      <c r="F41" s="167" t="s">
        <v>730</v>
      </c>
      <c r="G41" s="152" t="s">
        <v>696</v>
      </c>
    </row>
    <row r="42" spans="1:7" x14ac:dyDescent="0.3">
      <c r="A42" s="162">
        <v>1</v>
      </c>
      <c r="B42" s="163">
        <v>1</v>
      </c>
      <c r="C42" s="164">
        <v>1009</v>
      </c>
      <c r="D42" s="165" t="s">
        <v>647</v>
      </c>
      <c r="E42" s="166">
        <v>2.1</v>
      </c>
      <c r="F42" s="167" t="s">
        <v>732</v>
      </c>
      <c r="G42" s="152" t="s">
        <v>697</v>
      </c>
    </row>
    <row r="43" spans="1:7" x14ac:dyDescent="0.3">
      <c r="A43" s="162">
        <v>1</v>
      </c>
      <c r="B43" s="163">
        <v>1</v>
      </c>
      <c r="C43" s="164">
        <v>1009</v>
      </c>
      <c r="D43" s="165" t="s">
        <v>648</v>
      </c>
      <c r="E43" s="166">
        <v>19.600000000000001</v>
      </c>
      <c r="F43" s="167" t="s">
        <v>728</v>
      </c>
      <c r="G43" s="152" t="s">
        <v>698</v>
      </c>
    </row>
    <row r="44" spans="1:7" x14ac:dyDescent="0.3">
      <c r="A44" s="162">
        <v>1</v>
      </c>
      <c r="B44" s="163">
        <v>1</v>
      </c>
      <c r="C44" s="164">
        <v>1009</v>
      </c>
      <c r="D44" s="165" t="s">
        <v>649</v>
      </c>
      <c r="E44" s="166">
        <v>42.3</v>
      </c>
      <c r="F44" s="167" t="s">
        <v>729</v>
      </c>
      <c r="G44" s="152" t="s">
        <v>699</v>
      </c>
    </row>
    <row r="45" spans="1:7" x14ac:dyDescent="0.3">
      <c r="A45" s="162">
        <v>1</v>
      </c>
      <c r="B45" s="163">
        <v>1</v>
      </c>
      <c r="C45" s="164">
        <v>1010</v>
      </c>
      <c r="D45" s="165" t="s">
        <v>645</v>
      </c>
      <c r="E45" s="166">
        <v>14.4</v>
      </c>
      <c r="F45" s="167" t="s">
        <v>725</v>
      </c>
      <c r="G45" s="152" t="s">
        <v>695</v>
      </c>
    </row>
    <row r="46" spans="1:7" x14ac:dyDescent="0.3">
      <c r="A46" s="162">
        <v>1</v>
      </c>
      <c r="B46" s="163">
        <v>1</v>
      </c>
      <c r="C46" s="164">
        <v>1010</v>
      </c>
      <c r="D46" s="165" t="s">
        <v>650</v>
      </c>
      <c r="E46" s="166">
        <v>2.2999999999999998</v>
      </c>
      <c r="F46" s="167" t="s">
        <v>727</v>
      </c>
      <c r="G46" s="152" t="s">
        <v>700</v>
      </c>
    </row>
    <row r="47" spans="1:7" x14ac:dyDescent="0.3">
      <c r="A47" s="162">
        <v>1</v>
      </c>
      <c r="B47" s="163">
        <v>1</v>
      </c>
      <c r="C47" s="164">
        <v>1010</v>
      </c>
      <c r="D47" s="165" t="s">
        <v>651</v>
      </c>
      <c r="E47" s="166">
        <v>15</v>
      </c>
      <c r="F47" s="167" t="s">
        <v>728</v>
      </c>
      <c r="G47" s="152" t="s">
        <v>694</v>
      </c>
    </row>
    <row r="48" spans="1:7" x14ac:dyDescent="0.3">
      <c r="A48" s="162">
        <v>1</v>
      </c>
      <c r="B48" s="163">
        <v>1</v>
      </c>
      <c r="C48" s="164">
        <v>1010</v>
      </c>
      <c r="D48" s="165" t="s">
        <v>649</v>
      </c>
      <c r="E48" s="166">
        <v>7.9</v>
      </c>
      <c r="F48" s="167" t="s">
        <v>729</v>
      </c>
      <c r="G48" s="152" t="s">
        <v>699</v>
      </c>
    </row>
    <row r="49" spans="1:7" x14ac:dyDescent="0.3">
      <c r="A49" s="162">
        <v>1</v>
      </c>
      <c r="B49" s="163">
        <v>1</v>
      </c>
      <c r="C49" s="164">
        <v>1011</v>
      </c>
      <c r="D49" s="165" t="s">
        <v>639</v>
      </c>
      <c r="E49" s="166">
        <v>2.2000000000000002</v>
      </c>
      <c r="F49" s="167" t="s">
        <v>727</v>
      </c>
      <c r="G49" s="152" t="s">
        <v>690</v>
      </c>
    </row>
    <row r="50" spans="1:7" x14ac:dyDescent="0.3">
      <c r="A50" s="162">
        <v>1</v>
      </c>
      <c r="B50" s="163">
        <v>1</v>
      </c>
      <c r="C50" s="164">
        <v>1011</v>
      </c>
      <c r="D50" s="165" t="s">
        <v>642</v>
      </c>
      <c r="E50" s="166">
        <v>46.7</v>
      </c>
      <c r="F50" s="167" t="s">
        <v>728</v>
      </c>
      <c r="G50" s="152" t="s">
        <v>693</v>
      </c>
    </row>
    <row r="51" spans="1:7" x14ac:dyDescent="0.3">
      <c r="A51" s="162">
        <v>1</v>
      </c>
      <c r="B51" s="163">
        <v>1</v>
      </c>
      <c r="C51" s="164">
        <v>1012</v>
      </c>
      <c r="D51" s="165" t="s">
        <v>644</v>
      </c>
      <c r="E51" s="166">
        <v>6.1</v>
      </c>
      <c r="F51" s="167" t="s">
        <v>725</v>
      </c>
      <c r="G51" s="152" t="s">
        <v>694</v>
      </c>
    </row>
    <row r="52" spans="1:7" x14ac:dyDescent="0.3">
      <c r="A52" s="162">
        <v>1</v>
      </c>
      <c r="B52" s="163">
        <v>1</v>
      </c>
      <c r="C52" s="164">
        <v>1012</v>
      </c>
      <c r="D52" s="165" t="s">
        <v>645</v>
      </c>
      <c r="E52" s="166">
        <v>2.5</v>
      </c>
      <c r="F52" s="167" t="s">
        <v>725</v>
      </c>
      <c r="G52" s="152" t="s">
        <v>695</v>
      </c>
    </row>
    <row r="53" spans="1:7" ht="26.4" x14ac:dyDescent="0.3">
      <c r="A53" s="162">
        <v>1</v>
      </c>
      <c r="B53" s="163">
        <v>1</v>
      </c>
      <c r="C53" s="164">
        <v>1012</v>
      </c>
      <c r="D53" s="165" t="s">
        <v>646</v>
      </c>
      <c r="E53" s="166">
        <v>1.3</v>
      </c>
      <c r="F53" s="167" t="s">
        <v>730</v>
      </c>
      <c r="G53" s="152" t="s">
        <v>696</v>
      </c>
    </row>
    <row r="54" spans="1:7" x14ac:dyDescent="0.3">
      <c r="A54" s="162">
        <v>1</v>
      </c>
      <c r="B54" s="163">
        <v>1</v>
      </c>
      <c r="C54" s="164">
        <v>1012</v>
      </c>
      <c r="D54" s="165" t="s">
        <v>652</v>
      </c>
      <c r="E54" s="166">
        <v>19.5</v>
      </c>
      <c r="F54" s="167" t="s">
        <v>726</v>
      </c>
      <c r="G54" s="152" t="s">
        <v>695</v>
      </c>
    </row>
    <row r="55" spans="1:7" x14ac:dyDescent="0.3">
      <c r="A55" s="162">
        <v>1</v>
      </c>
      <c r="B55" s="163">
        <v>1</v>
      </c>
      <c r="C55" s="164">
        <v>1012</v>
      </c>
      <c r="D55" s="165" t="s">
        <v>650</v>
      </c>
      <c r="E55" s="166">
        <v>2.1</v>
      </c>
      <c r="F55" s="167" t="s">
        <v>727</v>
      </c>
      <c r="G55" s="152" t="s">
        <v>700</v>
      </c>
    </row>
    <row r="56" spans="1:7" x14ac:dyDescent="0.3">
      <c r="A56" s="162">
        <v>1</v>
      </c>
      <c r="B56" s="163">
        <v>1</v>
      </c>
      <c r="C56" s="164">
        <v>1012</v>
      </c>
      <c r="D56" s="165" t="s">
        <v>648</v>
      </c>
      <c r="E56" s="166">
        <v>3.1</v>
      </c>
      <c r="F56" s="167" t="s">
        <v>728</v>
      </c>
      <c r="G56" s="152" t="s">
        <v>698</v>
      </c>
    </row>
    <row r="57" spans="1:7" x14ac:dyDescent="0.3">
      <c r="A57" s="162">
        <v>1</v>
      </c>
      <c r="B57" s="163">
        <v>1</v>
      </c>
      <c r="C57" s="164">
        <v>1012</v>
      </c>
      <c r="D57" s="165" t="s">
        <v>649</v>
      </c>
      <c r="E57" s="166">
        <v>39.799999999999997</v>
      </c>
      <c r="F57" s="167" t="s">
        <v>729</v>
      </c>
      <c r="G57" s="152" t="s">
        <v>699</v>
      </c>
    </row>
    <row r="58" spans="1:7" x14ac:dyDescent="0.3">
      <c r="A58" s="162">
        <v>1</v>
      </c>
      <c r="B58" s="163">
        <v>1</v>
      </c>
      <c r="C58" s="164">
        <v>1013</v>
      </c>
      <c r="D58" s="165" t="s">
        <v>645</v>
      </c>
      <c r="E58" s="166">
        <v>22.8</v>
      </c>
      <c r="F58" s="167" t="s">
        <v>725</v>
      </c>
      <c r="G58" s="152" t="s">
        <v>695</v>
      </c>
    </row>
    <row r="59" spans="1:7" ht="26.4" x14ac:dyDescent="0.3">
      <c r="A59" s="162">
        <v>1</v>
      </c>
      <c r="B59" s="163">
        <v>1</v>
      </c>
      <c r="C59" s="164">
        <v>1013</v>
      </c>
      <c r="D59" s="165" t="s">
        <v>653</v>
      </c>
      <c r="E59" s="166">
        <v>4.5999999999999996</v>
      </c>
      <c r="F59" s="167" t="s">
        <v>731</v>
      </c>
      <c r="G59" s="152" t="s">
        <v>693</v>
      </c>
    </row>
    <row r="60" spans="1:7" ht="26.4" x14ac:dyDescent="0.3">
      <c r="A60" s="162">
        <v>1</v>
      </c>
      <c r="B60" s="163">
        <v>1</v>
      </c>
      <c r="C60" s="164">
        <v>1013</v>
      </c>
      <c r="D60" s="165" t="s">
        <v>646</v>
      </c>
      <c r="E60" s="166">
        <v>1.1000000000000001</v>
      </c>
      <c r="F60" s="167" t="s">
        <v>730</v>
      </c>
      <c r="G60" s="152" t="s">
        <v>696</v>
      </c>
    </row>
    <row r="61" spans="1:7" x14ac:dyDescent="0.3">
      <c r="A61" s="162">
        <v>1</v>
      </c>
      <c r="B61" s="163">
        <v>1</v>
      </c>
      <c r="C61" s="164">
        <v>1013</v>
      </c>
      <c r="D61" s="165" t="s">
        <v>647</v>
      </c>
      <c r="E61" s="166">
        <v>1.6</v>
      </c>
      <c r="F61" s="167" t="s">
        <v>732</v>
      </c>
      <c r="G61" s="152" t="s">
        <v>697</v>
      </c>
    </row>
    <row r="62" spans="1:7" x14ac:dyDescent="0.3">
      <c r="A62" s="162">
        <v>1</v>
      </c>
      <c r="B62" s="163">
        <v>1</v>
      </c>
      <c r="C62" s="164">
        <v>1013</v>
      </c>
      <c r="D62" s="165" t="s">
        <v>654</v>
      </c>
      <c r="E62" s="166">
        <v>0.3</v>
      </c>
      <c r="F62" s="167" t="s">
        <v>733</v>
      </c>
      <c r="G62" s="152" t="s">
        <v>690</v>
      </c>
    </row>
    <row r="63" spans="1:7" x14ac:dyDescent="0.3">
      <c r="A63" s="162">
        <v>1</v>
      </c>
      <c r="B63" s="163">
        <v>1</v>
      </c>
      <c r="C63" s="164">
        <v>1013</v>
      </c>
      <c r="D63" s="165" t="s">
        <v>655</v>
      </c>
      <c r="E63" s="166">
        <v>5.9</v>
      </c>
      <c r="F63" s="167" t="s">
        <v>729</v>
      </c>
      <c r="G63" s="152" t="s">
        <v>701</v>
      </c>
    </row>
    <row r="64" spans="1:7" x14ac:dyDescent="0.3">
      <c r="A64" s="162">
        <v>1</v>
      </c>
      <c r="B64" s="163">
        <v>1</v>
      </c>
      <c r="C64" s="164">
        <v>1014</v>
      </c>
      <c r="D64" s="165" t="s">
        <v>645</v>
      </c>
      <c r="E64" s="166">
        <v>14</v>
      </c>
      <c r="F64" s="167" t="s">
        <v>725</v>
      </c>
      <c r="G64" s="152" t="s">
        <v>695</v>
      </c>
    </row>
    <row r="65" spans="1:7" ht="26.4" x14ac:dyDescent="0.3">
      <c r="A65" s="162">
        <v>1</v>
      </c>
      <c r="B65" s="163">
        <v>1</v>
      </c>
      <c r="C65" s="164">
        <v>1014</v>
      </c>
      <c r="D65" s="165" t="s">
        <v>653</v>
      </c>
      <c r="E65" s="166">
        <v>3</v>
      </c>
      <c r="F65" s="167" t="s">
        <v>731</v>
      </c>
      <c r="G65" s="152" t="s">
        <v>693</v>
      </c>
    </row>
    <row r="66" spans="1:7" ht="26.4" x14ac:dyDescent="0.3">
      <c r="A66" s="162">
        <v>1</v>
      </c>
      <c r="B66" s="163">
        <v>1</v>
      </c>
      <c r="C66" s="164">
        <v>1014</v>
      </c>
      <c r="D66" s="165" t="s">
        <v>646</v>
      </c>
      <c r="E66" s="166">
        <v>3.3</v>
      </c>
      <c r="F66" s="167" t="s">
        <v>730</v>
      </c>
      <c r="G66" s="152" t="s">
        <v>696</v>
      </c>
    </row>
    <row r="67" spans="1:7" x14ac:dyDescent="0.3">
      <c r="A67" s="162">
        <v>1</v>
      </c>
      <c r="B67" s="163">
        <v>1</v>
      </c>
      <c r="C67" s="164">
        <v>1014</v>
      </c>
      <c r="D67" s="165" t="s">
        <v>647</v>
      </c>
      <c r="E67" s="166">
        <v>1.6</v>
      </c>
      <c r="F67" s="167" t="s">
        <v>732</v>
      </c>
      <c r="G67" s="152" t="s">
        <v>697</v>
      </c>
    </row>
    <row r="68" spans="1:7" x14ac:dyDescent="0.3">
      <c r="A68" s="162">
        <v>1</v>
      </c>
      <c r="B68" s="163">
        <v>1</v>
      </c>
      <c r="C68" s="164">
        <v>1014</v>
      </c>
      <c r="D68" s="165" t="s">
        <v>654</v>
      </c>
      <c r="E68" s="166">
        <v>0.3</v>
      </c>
      <c r="F68" s="167" t="s">
        <v>733</v>
      </c>
      <c r="G68" s="152" t="s">
        <v>690</v>
      </c>
    </row>
    <row r="69" spans="1:7" x14ac:dyDescent="0.3">
      <c r="A69" s="162">
        <v>1</v>
      </c>
      <c r="B69" s="163">
        <v>1</v>
      </c>
      <c r="C69" s="164">
        <v>1014</v>
      </c>
      <c r="D69" s="165" t="s">
        <v>649</v>
      </c>
      <c r="E69" s="166">
        <v>18</v>
      </c>
      <c r="F69" s="167" t="s">
        <v>729</v>
      </c>
      <c r="G69" s="152" t="s">
        <v>699</v>
      </c>
    </row>
    <row r="70" spans="1:7" x14ac:dyDescent="0.3">
      <c r="A70" s="162">
        <v>1</v>
      </c>
      <c r="B70" s="163">
        <v>1</v>
      </c>
      <c r="C70" s="164">
        <v>1015</v>
      </c>
      <c r="D70" s="165" t="s">
        <v>637</v>
      </c>
      <c r="E70" s="166">
        <v>51.4</v>
      </c>
      <c r="F70" s="167" t="s">
        <v>725</v>
      </c>
      <c r="G70" s="152" t="s">
        <v>688</v>
      </c>
    </row>
    <row r="71" spans="1:7" x14ac:dyDescent="0.3">
      <c r="A71" s="162">
        <v>1</v>
      </c>
      <c r="B71" s="163">
        <v>1</v>
      </c>
      <c r="C71" s="164">
        <v>1015</v>
      </c>
      <c r="D71" s="165" t="s">
        <v>638</v>
      </c>
      <c r="E71" s="166">
        <v>115.8</v>
      </c>
      <c r="F71" s="167" t="s">
        <v>726</v>
      </c>
      <c r="G71" s="152" t="s">
        <v>689</v>
      </c>
    </row>
    <row r="72" spans="1:7" x14ac:dyDescent="0.3">
      <c r="A72" s="162">
        <v>1</v>
      </c>
      <c r="B72" s="163">
        <v>1</v>
      </c>
      <c r="C72" s="164">
        <v>1015</v>
      </c>
      <c r="D72" s="165" t="s">
        <v>639</v>
      </c>
      <c r="E72" s="166">
        <v>10.8</v>
      </c>
      <c r="F72" s="167" t="s">
        <v>727</v>
      </c>
      <c r="G72" s="152" t="s">
        <v>690</v>
      </c>
    </row>
    <row r="73" spans="1:7" x14ac:dyDescent="0.3">
      <c r="A73" s="162">
        <v>1</v>
      </c>
      <c r="B73" s="163">
        <v>1</v>
      </c>
      <c r="C73" s="164">
        <v>1015</v>
      </c>
      <c r="D73" s="165" t="s">
        <v>640</v>
      </c>
      <c r="E73" s="166">
        <v>69.2</v>
      </c>
      <c r="F73" s="167" t="s">
        <v>728</v>
      </c>
      <c r="G73" s="152" t="s">
        <v>691</v>
      </c>
    </row>
    <row r="74" spans="1:7" x14ac:dyDescent="0.3">
      <c r="A74" s="162">
        <v>1</v>
      </c>
      <c r="B74" s="163">
        <v>1</v>
      </c>
      <c r="C74" s="164">
        <v>1016</v>
      </c>
      <c r="D74" s="165" t="s">
        <v>637</v>
      </c>
      <c r="E74" s="166">
        <v>100.7</v>
      </c>
      <c r="F74" s="167" t="s">
        <v>725</v>
      </c>
      <c r="G74" s="152" t="s">
        <v>688</v>
      </c>
    </row>
    <row r="75" spans="1:7" x14ac:dyDescent="0.3">
      <c r="A75" s="162">
        <v>1</v>
      </c>
      <c r="B75" s="163">
        <v>1</v>
      </c>
      <c r="C75" s="164">
        <v>1016</v>
      </c>
      <c r="D75" s="165" t="s">
        <v>638</v>
      </c>
      <c r="E75" s="166">
        <v>163.30000000000001</v>
      </c>
      <c r="F75" s="167" t="s">
        <v>726</v>
      </c>
      <c r="G75" s="152" t="s">
        <v>689</v>
      </c>
    </row>
    <row r="76" spans="1:7" x14ac:dyDescent="0.3">
      <c r="A76" s="162">
        <v>1</v>
      </c>
      <c r="B76" s="163">
        <v>1</v>
      </c>
      <c r="C76" s="164">
        <v>1016</v>
      </c>
      <c r="D76" s="165" t="s">
        <v>639</v>
      </c>
      <c r="E76" s="166">
        <v>17.100000000000001</v>
      </c>
      <c r="F76" s="167" t="s">
        <v>727</v>
      </c>
      <c r="G76" s="152" t="s">
        <v>690</v>
      </c>
    </row>
    <row r="77" spans="1:7" x14ac:dyDescent="0.3">
      <c r="A77" s="162">
        <v>1</v>
      </c>
      <c r="B77" s="163">
        <v>1</v>
      </c>
      <c r="C77" s="164">
        <v>1016</v>
      </c>
      <c r="D77" s="165" t="s">
        <v>640</v>
      </c>
      <c r="E77" s="166">
        <v>45.5</v>
      </c>
      <c r="F77" s="167" t="s">
        <v>728</v>
      </c>
      <c r="G77" s="152" t="s">
        <v>691</v>
      </c>
    </row>
    <row r="78" spans="1:7" ht="15.6" x14ac:dyDescent="0.3">
      <c r="A78" s="137">
        <v>1</v>
      </c>
      <c r="B78" s="138">
        <v>2</v>
      </c>
      <c r="C78" s="139">
        <v>1017</v>
      </c>
      <c r="D78" s="140" t="s">
        <v>638</v>
      </c>
      <c r="E78" s="141">
        <v>10.1</v>
      </c>
      <c r="F78" s="142" t="s">
        <v>676</v>
      </c>
      <c r="G78" s="152" t="s">
        <v>689</v>
      </c>
    </row>
    <row r="79" spans="1:7" ht="15.6" x14ac:dyDescent="0.3">
      <c r="A79" s="137">
        <v>1</v>
      </c>
      <c r="B79" s="138">
        <v>2</v>
      </c>
      <c r="C79" s="139">
        <v>1017</v>
      </c>
      <c r="D79" s="140" t="s">
        <v>639</v>
      </c>
      <c r="E79" s="141">
        <v>4</v>
      </c>
      <c r="F79" s="142" t="s">
        <v>677</v>
      </c>
      <c r="G79" s="152" t="s">
        <v>690</v>
      </c>
    </row>
    <row r="80" spans="1:7" ht="15.6" x14ac:dyDescent="0.3">
      <c r="A80" s="137">
        <v>1</v>
      </c>
      <c r="B80" s="138">
        <v>2</v>
      </c>
      <c r="C80" s="139">
        <v>1017</v>
      </c>
      <c r="D80" s="140" t="s">
        <v>640</v>
      </c>
      <c r="E80" s="141">
        <v>36.700000000000003</v>
      </c>
      <c r="F80" s="142" t="s">
        <v>678</v>
      </c>
      <c r="G80" s="152" t="s">
        <v>691</v>
      </c>
    </row>
    <row r="81" spans="1:7" ht="15.6" x14ac:dyDescent="0.3">
      <c r="A81" s="137">
        <v>1</v>
      </c>
      <c r="B81" s="138">
        <v>2</v>
      </c>
      <c r="C81" s="139">
        <v>1017</v>
      </c>
      <c r="D81" s="140" t="s">
        <v>642</v>
      </c>
      <c r="E81" s="141">
        <v>7</v>
      </c>
      <c r="F81" s="142" t="s">
        <v>678</v>
      </c>
      <c r="G81" s="152" t="s">
        <v>693</v>
      </c>
    </row>
    <row r="82" spans="1:7" ht="15.6" x14ac:dyDescent="0.3">
      <c r="A82" s="137">
        <v>1</v>
      </c>
      <c r="B82" s="138">
        <v>2</v>
      </c>
      <c r="C82" s="139">
        <v>1017</v>
      </c>
      <c r="D82" s="140" t="s">
        <v>643</v>
      </c>
      <c r="E82" s="141">
        <v>4.5</v>
      </c>
      <c r="F82" s="142" t="s">
        <v>675</v>
      </c>
      <c r="G82" s="152" t="s">
        <v>693</v>
      </c>
    </row>
    <row r="83" spans="1:7" ht="15.6" x14ac:dyDescent="0.3">
      <c r="A83" s="137">
        <v>1</v>
      </c>
      <c r="B83" s="138">
        <v>2</v>
      </c>
      <c r="C83" s="139">
        <v>1018</v>
      </c>
      <c r="D83" s="140" t="s">
        <v>638</v>
      </c>
      <c r="E83" s="141">
        <v>1.7</v>
      </c>
      <c r="F83" s="142" t="s">
        <v>676</v>
      </c>
      <c r="G83" s="152" t="s">
        <v>689</v>
      </c>
    </row>
    <row r="84" spans="1:7" ht="15.6" x14ac:dyDescent="0.3">
      <c r="A84" s="137">
        <v>1</v>
      </c>
      <c r="B84" s="138">
        <v>2</v>
      </c>
      <c r="C84" s="139">
        <v>1018</v>
      </c>
      <c r="D84" s="140" t="s">
        <v>656</v>
      </c>
      <c r="E84" s="141">
        <v>13.9</v>
      </c>
      <c r="F84" s="142" t="s">
        <v>677</v>
      </c>
      <c r="G84" s="152" t="s">
        <v>702</v>
      </c>
    </row>
    <row r="85" spans="1:7" ht="15.6" x14ac:dyDescent="0.3">
      <c r="A85" s="137">
        <v>1</v>
      </c>
      <c r="B85" s="138">
        <v>2</v>
      </c>
      <c r="C85" s="139">
        <v>1018</v>
      </c>
      <c r="D85" s="140" t="s">
        <v>640</v>
      </c>
      <c r="E85" s="141">
        <v>6.4</v>
      </c>
      <c r="F85" s="142" t="s">
        <v>678</v>
      </c>
      <c r="G85" s="152" t="s">
        <v>691</v>
      </c>
    </row>
    <row r="86" spans="1:7" ht="15.6" x14ac:dyDescent="0.3">
      <c r="A86" s="137">
        <v>1</v>
      </c>
      <c r="B86" s="138">
        <v>2</v>
      </c>
      <c r="C86" s="139">
        <v>1019</v>
      </c>
      <c r="D86" s="140" t="s">
        <v>637</v>
      </c>
      <c r="E86" s="141">
        <v>37.5</v>
      </c>
      <c r="F86" s="142" t="s">
        <v>675</v>
      </c>
      <c r="G86" s="152" t="s">
        <v>688</v>
      </c>
    </row>
    <row r="87" spans="1:7" ht="15.6" x14ac:dyDescent="0.3">
      <c r="A87" s="137">
        <v>1</v>
      </c>
      <c r="B87" s="138">
        <v>2</v>
      </c>
      <c r="C87" s="139">
        <v>1019</v>
      </c>
      <c r="D87" s="140" t="s">
        <v>638</v>
      </c>
      <c r="E87" s="141">
        <v>37.5</v>
      </c>
      <c r="F87" s="142" t="s">
        <v>676</v>
      </c>
      <c r="G87" s="152" t="s">
        <v>689</v>
      </c>
    </row>
    <row r="88" spans="1:7" ht="15.6" x14ac:dyDescent="0.3">
      <c r="A88" s="137">
        <v>1</v>
      </c>
      <c r="B88" s="138">
        <v>2</v>
      </c>
      <c r="C88" s="139">
        <v>1019</v>
      </c>
      <c r="D88" s="140" t="s">
        <v>639</v>
      </c>
      <c r="E88" s="141">
        <v>2.1</v>
      </c>
      <c r="F88" s="142" t="s">
        <v>677</v>
      </c>
      <c r="G88" s="152" t="s">
        <v>690</v>
      </c>
    </row>
    <row r="89" spans="1:7" ht="15.6" x14ac:dyDescent="0.3">
      <c r="A89" s="137">
        <v>1</v>
      </c>
      <c r="B89" s="138">
        <v>2</v>
      </c>
      <c r="C89" s="139">
        <v>1019</v>
      </c>
      <c r="D89" s="140" t="s">
        <v>640</v>
      </c>
      <c r="E89" s="141">
        <v>69.3</v>
      </c>
      <c r="F89" s="142" t="s">
        <v>678</v>
      </c>
      <c r="G89" s="152" t="s">
        <v>691</v>
      </c>
    </row>
    <row r="90" spans="1:7" ht="15.6" x14ac:dyDescent="0.3">
      <c r="A90" s="137">
        <v>1</v>
      </c>
      <c r="B90" s="138">
        <v>2</v>
      </c>
      <c r="C90" s="139">
        <v>1020</v>
      </c>
      <c r="D90" s="140" t="s">
        <v>637</v>
      </c>
      <c r="E90" s="141">
        <v>36.1</v>
      </c>
      <c r="F90" s="142" t="s">
        <v>675</v>
      </c>
      <c r="G90" s="152" t="s">
        <v>688</v>
      </c>
    </row>
    <row r="91" spans="1:7" ht="15.6" x14ac:dyDescent="0.3">
      <c r="A91" s="137">
        <v>1</v>
      </c>
      <c r="B91" s="138">
        <v>2</v>
      </c>
      <c r="C91" s="139">
        <v>1020</v>
      </c>
      <c r="D91" s="140" t="s">
        <v>638</v>
      </c>
      <c r="E91" s="141">
        <v>27.6</v>
      </c>
      <c r="F91" s="142" t="s">
        <v>676</v>
      </c>
      <c r="G91" s="152" t="s">
        <v>689</v>
      </c>
    </row>
    <row r="92" spans="1:7" ht="15.6" x14ac:dyDescent="0.3">
      <c r="A92" s="137">
        <v>1</v>
      </c>
      <c r="B92" s="138">
        <v>2</v>
      </c>
      <c r="C92" s="139">
        <v>1020</v>
      </c>
      <c r="D92" s="140" t="s">
        <v>639</v>
      </c>
      <c r="E92" s="141">
        <v>3.7</v>
      </c>
      <c r="F92" s="142" t="s">
        <v>677</v>
      </c>
      <c r="G92" s="152" t="s">
        <v>690</v>
      </c>
    </row>
    <row r="93" spans="1:7" ht="15.6" x14ac:dyDescent="0.3">
      <c r="A93" s="137">
        <v>1</v>
      </c>
      <c r="B93" s="138">
        <v>2</v>
      </c>
      <c r="C93" s="139">
        <v>1021</v>
      </c>
      <c r="D93" s="140" t="s">
        <v>638</v>
      </c>
      <c r="E93" s="141">
        <v>48.4</v>
      </c>
      <c r="F93" s="142" t="s">
        <v>676</v>
      </c>
      <c r="G93" s="152" t="s">
        <v>689</v>
      </c>
    </row>
    <row r="94" spans="1:7" ht="15.6" x14ac:dyDescent="0.3">
      <c r="A94" s="137">
        <v>1</v>
      </c>
      <c r="B94" s="138">
        <v>2</v>
      </c>
      <c r="C94" s="139">
        <v>1021</v>
      </c>
      <c r="D94" s="140" t="s">
        <v>639</v>
      </c>
      <c r="E94" s="141">
        <v>2.9</v>
      </c>
      <c r="F94" s="142" t="s">
        <v>677</v>
      </c>
      <c r="G94" s="152" t="s">
        <v>690</v>
      </c>
    </row>
    <row r="95" spans="1:7" ht="15.6" x14ac:dyDescent="0.3">
      <c r="A95" s="137">
        <v>1</v>
      </c>
      <c r="B95" s="138">
        <v>2</v>
      </c>
      <c r="C95" s="139">
        <v>1021</v>
      </c>
      <c r="D95" s="140" t="s">
        <v>640</v>
      </c>
      <c r="E95" s="141">
        <v>5.3</v>
      </c>
      <c r="F95" s="142" t="s">
        <v>678</v>
      </c>
      <c r="G95" s="152" t="s">
        <v>691</v>
      </c>
    </row>
    <row r="96" spans="1:7" ht="15.6" x14ac:dyDescent="0.3">
      <c r="A96" s="137">
        <v>1</v>
      </c>
      <c r="B96" s="138">
        <v>2</v>
      </c>
      <c r="C96" s="139">
        <v>1022</v>
      </c>
      <c r="D96" s="140" t="s">
        <v>645</v>
      </c>
      <c r="E96" s="141">
        <v>18.899999999999999</v>
      </c>
      <c r="F96" s="142" t="s">
        <v>675</v>
      </c>
      <c r="G96" s="152" t="s">
        <v>695</v>
      </c>
    </row>
    <row r="97" spans="1:7" ht="15.6" x14ac:dyDescent="0.3">
      <c r="A97" s="137">
        <v>1</v>
      </c>
      <c r="B97" s="138">
        <v>2</v>
      </c>
      <c r="C97" s="139">
        <v>1022</v>
      </c>
      <c r="D97" s="140" t="s">
        <v>652</v>
      </c>
      <c r="E97" s="141">
        <v>10</v>
      </c>
      <c r="F97" s="142" t="s">
        <v>676</v>
      </c>
      <c r="G97" s="152" t="s">
        <v>695</v>
      </c>
    </row>
    <row r="98" spans="1:7" ht="15.6" x14ac:dyDescent="0.3">
      <c r="A98" s="137">
        <v>1</v>
      </c>
      <c r="B98" s="138">
        <v>2</v>
      </c>
      <c r="C98" s="139">
        <v>1022</v>
      </c>
      <c r="D98" s="140" t="s">
        <v>649</v>
      </c>
      <c r="E98" s="141">
        <v>11.4</v>
      </c>
      <c r="F98" s="142" t="s">
        <v>679</v>
      </c>
      <c r="G98" s="152" t="s">
        <v>699</v>
      </c>
    </row>
    <row r="99" spans="1:7" ht="15.6" x14ac:dyDescent="0.3">
      <c r="A99" s="137">
        <v>1</v>
      </c>
      <c r="B99" s="138">
        <v>2</v>
      </c>
      <c r="C99" s="139">
        <v>1023</v>
      </c>
      <c r="D99" s="140" t="s">
        <v>639</v>
      </c>
      <c r="E99" s="141">
        <v>2.1</v>
      </c>
      <c r="F99" s="142" t="s">
        <v>677</v>
      </c>
      <c r="G99" s="152" t="s">
        <v>690</v>
      </c>
    </row>
    <row r="100" spans="1:7" ht="15.6" x14ac:dyDescent="0.3">
      <c r="A100" s="137">
        <v>1</v>
      </c>
      <c r="B100" s="138">
        <v>2</v>
      </c>
      <c r="C100" s="139">
        <v>1023</v>
      </c>
      <c r="D100" s="140" t="s">
        <v>642</v>
      </c>
      <c r="E100" s="141">
        <v>86</v>
      </c>
      <c r="F100" s="142" t="s">
        <v>678</v>
      </c>
      <c r="G100" s="152" t="s">
        <v>693</v>
      </c>
    </row>
    <row r="101" spans="1:7" ht="15.6" x14ac:dyDescent="0.3">
      <c r="A101" s="137">
        <v>1</v>
      </c>
      <c r="B101" s="138">
        <v>2</v>
      </c>
      <c r="C101" s="139">
        <v>1023</v>
      </c>
      <c r="D101" s="140" t="s">
        <v>643</v>
      </c>
      <c r="E101" s="141">
        <v>10.199999999999999</v>
      </c>
      <c r="F101" s="142" t="s">
        <v>675</v>
      </c>
      <c r="G101" s="152" t="s">
        <v>693</v>
      </c>
    </row>
    <row r="102" spans="1:7" ht="15.6" x14ac:dyDescent="0.3">
      <c r="A102" s="137">
        <v>1</v>
      </c>
      <c r="B102" s="138">
        <v>2</v>
      </c>
      <c r="C102" s="139">
        <v>1024</v>
      </c>
      <c r="D102" s="140" t="s">
        <v>642</v>
      </c>
      <c r="E102" s="141">
        <v>50.4</v>
      </c>
      <c r="F102" s="142" t="s">
        <v>678</v>
      </c>
      <c r="G102" s="152" t="s">
        <v>693</v>
      </c>
    </row>
    <row r="103" spans="1:7" ht="15.6" x14ac:dyDescent="0.3">
      <c r="A103" s="137">
        <v>1</v>
      </c>
      <c r="B103" s="138">
        <v>2</v>
      </c>
      <c r="C103" s="139">
        <v>1025</v>
      </c>
      <c r="D103" s="140" t="s">
        <v>638</v>
      </c>
      <c r="E103" s="141">
        <v>269.8</v>
      </c>
      <c r="F103" s="142" t="s">
        <v>676</v>
      </c>
      <c r="G103" s="152" t="s">
        <v>689</v>
      </c>
    </row>
    <row r="104" spans="1:7" ht="15.6" x14ac:dyDescent="0.3">
      <c r="A104" s="137">
        <v>1</v>
      </c>
      <c r="B104" s="138">
        <v>2</v>
      </c>
      <c r="C104" s="139">
        <v>1025</v>
      </c>
      <c r="D104" s="140" t="s">
        <v>639</v>
      </c>
      <c r="E104" s="141">
        <v>16.399999999999999</v>
      </c>
      <c r="F104" s="142" t="s">
        <v>677</v>
      </c>
      <c r="G104" s="152" t="s">
        <v>690</v>
      </c>
    </row>
    <row r="105" spans="1:7" ht="15.6" x14ac:dyDescent="0.3">
      <c r="A105" s="137">
        <v>1</v>
      </c>
      <c r="B105" s="138">
        <v>2</v>
      </c>
      <c r="C105" s="139">
        <v>1025</v>
      </c>
      <c r="D105" s="140" t="s">
        <v>640</v>
      </c>
      <c r="E105" s="141">
        <v>79.5</v>
      </c>
      <c r="F105" s="142" t="s">
        <v>678</v>
      </c>
      <c r="G105" s="152" t="s">
        <v>703</v>
      </c>
    </row>
    <row r="106" spans="1:7" ht="15.6" x14ac:dyDescent="0.3">
      <c r="A106" s="137">
        <v>1</v>
      </c>
      <c r="B106" s="138">
        <v>2</v>
      </c>
      <c r="C106" s="139">
        <v>1026</v>
      </c>
      <c r="D106" s="140" t="s">
        <v>637</v>
      </c>
      <c r="E106" s="141">
        <v>32.5</v>
      </c>
      <c r="F106" s="142" t="s">
        <v>675</v>
      </c>
      <c r="G106" s="152" t="s">
        <v>704</v>
      </c>
    </row>
    <row r="107" spans="1:7" ht="15.6" x14ac:dyDescent="0.3">
      <c r="A107" s="137">
        <v>1</v>
      </c>
      <c r="B107" s="138">
        <v>2</v>
      </c>
      <c r="C107" s="139">
        <v>1026</v>
      </c>
      <c r="D107" s="140" t="s">
        <v>638</v>
      </c>
      <c r="E107" s="141">
        <v>24.8</v>
      </c>
      <c r="F107" s="142" t="s">
        <v>676</v>
      </c>
      <c r="G107" s="152" t="s">
        <v>705</v>
      </c>
    </row>
    <row r="108" spans="1:7" ht="15.6" x14ac:dyDescent="0.3">
      <c r="A108" s="137">
        <v>1</v>
      </c>
      <c r="B108" s="138">
        <v>2</v>
      </c>
      <c r="C108" s="139">
        <v>1026</v>
      </c>
      <c r="D108" s="140" t="s">
        <v>639</v>
      </c>
      <c r="E108" s="141">
        <v>3.2</v>
      </c>
      <c r="F108" s="142" t="s">
        <v>677</v>
      </c>
      <c r="G108" s="152" t="s">
        <v>690</v>
      </c>
    </row>
    <row r="109" spans="1:7" ht="15.6" x14ac:dyDescent="0.3">
      <c r="A109" s="137">
        <v>1</v>
      </c>
      <c r="B109" s="138">
        <v>2</v>
      </c>
      <c r="C109" s="139">
        <v>1026</v>
      </c>
      <c r="D109" s="140" t="s">
        <v>640</v>
      </c>
      <c r="E109" s="141">
        <v>3.5</v>
      </c>
      <c r="F109" s="142" t="s">
        <v>678</v>
      </c>
      <c r="G109" s="152" t="s">
        <v>703</v>
      </c>
    </row>
    <row r="110" spans="1:7" ht="15.6" x14ac:dyDescent="0.3">
      <c r="A110" s="137">
        <v>1</v>
      </c>
      <c r="B110" s="138">
        <v>2</v>
      </c>
      <c r="C110" s="139">
        <v>1027</v>
      </c>
      <c r="D110" s="140" t="s">
        <v>645</v>
      </c>
      <c r="E110" s="141">
        <v>19</v>
      </c>
      <c r="F110" s="142" t="s">
        <v>675</v>
      </c>
      <c r="G110" s="152" t="s">
        <v>695</v>
      </c>
    </row>
    <row r="111" spans="1:7" ht="15.6" x14ac:dyDescent="0.3">
      <c r="A111" s="137">
        <v>1</v>
      </c>
      <c r="B111" s="138">
        <v>2</v>
      </c>
      <c r="C111" s="139">
        <v>1027</v>
      </c>
      <c r="D111" s="140" t="s">
        <v>652</v>
      </c>
      <c r="E111" s="141">
        <v>3.9</v>
      </c>
      <c r="F111" s="142" t="s">
        <v>676</v>
      </c>
      <c r="G111" s="152" t="s">
        <v>695</v>
      </c>
    </row>
    <row r="112" spans="1:7" ht="15.6" x14ac:dyDescent="0.3">
      <c r="A112" s="137">
        <v>1</v>
      </c>
      <c r="B112" s="138">
        <v>2</v>
      </c>
      <c r="C112" s="139">
        <v>1027</v>
      </c>
      <c r="D112" s="140" t="s">
        <v>655</v>
      </c>
      <c r="E112" s="141">
        <v>12.9</v>
      </c>
      <c r="F112" s="142" t="s">
        <v>679</v>
      </c>
      <c r="G112" s="152" t="s">
        <v>701</v>
      </c>
    </row>
    <row r="113" spans="1:7" ht="15.6" x14ac:dyDescent="0.3">
      <c r="A113" s="137">
        <v>1</v>
      </c>
      <c r="B113" s="138">
        <v>2</v>
      </c>
      <c r="C113" s="139">
        <v>1028</v>
      </c>
      <c r="D113" s="140" t="s">
        <v>637</v>
      </c>
      <c r="E113" s="141">
        <v>27</v>
      </c>
      <c r="F113" s="142" t="s">
        <v>675</v>
      </c>
      <c r="G113" s="152" t="s">
        <v>704</v>
      </c>
    </row>
    <row r="114" spans="1:7" ht="15.6" x14ac:dyDescent="0.3">
      <c r="A114" s="137">
        <v>1</v>
      </c>
      <c r="B114" s="138">
        <v>2</v>
      </c>
      <c r="C114" s="139">
        <v>1028</v>
      </c>
      <c r="D114" s="140" t="s">
        <v>645</v>
      </c>
      <c r="E114" s="141">
        <v>5.8</v>
      </c>
      <c r="F114" s="142" t="s">
        <v>675</v>
      </c>
      <c r="G114" s="152" t="s">
        <v>695</v>
      </c>
    </row>
    <row r="115" spans="1:7" ht="31.2" x14ac:dyDescent="0.3">
      <c r="A115" s="137">
        <v>1</v>
      </c>
      <c r="B115" s="138">
        <v>2</v>
      </c>
      <c r="C115" s="139">
        <v>1028</v>
      </c>
      <c r="D115" s="140" t="s">
        <v>653</v>
      </c>
      <c r="E115" s="141">
        <v>1.1000000000000001</v>
      </c>
      <c r="F115" s="142" t="s">
        <v>682</v>
      </c>
      <c r="G115" s="152" t="s">
        <v>693</v>
      </c>
    </row>
    <row r="116" spans="1:7" ht="31.2" x14ac:dyDescent="0.3">
      <c r="A116" s="137">
        <v>1</v>
      </c>
      <c r="B116" s="138">
        <v>2</v>
      </c>
      <c r="C116" s="139">
        <v>1028</v>
      </c>
      <c r="D116" s="140" t="s">
        <v>646</v>
      </c>
      <c r="E116" s="141">
        <v>3.9</v>
      </c>
      <c r="F116" s="142" t="s">
        <v>680</v>
      </c>
      <c r="G116" s="152" t="s">
        <v>696</v>
      </c>
    </row>
    <row r="117" spans="1:7" ht="31.2" x14ac:dyDescent="0.3">
      <c r="A117" s="137">
        <v>1</v>
      </c>
      <c r="B117" s="138">
        <v>2</v>
      </c>
      <c r="C117" s="139">
        <v>1028</v>
      </c>
      <c r="D117" s="140" t="s">
        <v>657</v>
      </c>
      <c r="E117" s="141">
        <v>3.5</v>
      </c>
      <c r="F117" s="142" t="s">
        <v>680</v>
      </c>
      <c r="G117" s="152" t="s">
        <v>694</v>
      </c>
    </row>
    <row r="118" spans="1:7" ht="46.8" x14ac:dyDescent="0.3">
      <c r="A118" s="137">
        <v>1</v>
      </c>
      <c r="B118" s="138">
        <v>2</v>
      </c>
      <c r="C118" s="139">
        <v>1028</v>
      </c>
      <c r="D118" s="140" t="s">
        <v>658</v>
      </c>
      <c r="E118" s="141">
        <v>0.6</v>
      </c>
      <c r="F118" s="142" t="s">
        <v>684</v>
      </c>
      <c r="G118" s="152" t="s">
        <v>706</v>
      </c>
    </row>
    <row r="119" spans="1:7" ht="15.6" x14ac:dyDescent="0.3">
      <c r="A119" s="137">
        <v>1</v>
      </c>
      <c r="B119" s="138">
        <v>2</v>
      </c>
      <c r="C119" s="139">
        <v>1028</v>
      </c>
      <c r="D119" s="140" t="s">
        <v>642</v>
      </c>
      <c r="E119" s="141">
        <v>0.5</v>
      </c>
      <c r="F119" s="142" t="s">
        <v>678</v>
      </c>
      <c r="G119" s="152" t="s">
        <v>693</v>
      </c>
    </row>
    <row r="120" spans="1:7" ht="15.6" x14ac:dyDescent="0.3">
      <c r="A120" s="137">
        <v>1</v>
      </c>
      <c r="B120" s="138">
        <v>2</v>
      </c>
      <c r="C120" s="139">
        <v>1028</v>
      </c>
      <c r="D120" s="140" t="s">
        <v>651</v>
      </c>
      <c r="E120" s="141">
        <v>3</v>
      </c>
      <c r="F120" s="142" t="s">
        <v>678</v>
      </c>
      <c r="G120" s="152" t="s">
        <v>694</v>
      </c>
    </row>
    <row r="121" spans="1:7" ht="15.6" x14ac:dyDescent="0.3">
      <c r="A121" s="137">
        <v>1</v>
      </c>
      <c r="B121" s="138">
        <v>2</v>
      </c>
      <c r="C121" s="139">
        <v>1028</v>
      </c>
      <c r="D121" s="140" t="s">
        <v>641</v>
      </c>
      <c r="E121" s="141">
        <v>10.8</v>
      </c>
      <c r="F121" s="142" t="s">
        <v>679</v>
      </c>
      <c r="G121" s="152" t="s">
        <v>707</v>
      </c>
    </row>
    <row r="122" spans="1:7" ht="15.6" x14ac:dyDescent="0.3">
      <c r="A122" s="137">
        <v>1</v>
      </c>
      <c r="B122" s="138">
        <v>2</v>
      </c>
      <c r="C122" s="139">
        <v>1028</v>
      </c>
      <c r="D122" s="140" t="s">
        <v>649</v>
      </c>
      <c r="E122" s="141">
        <v>19</v>
      </c>
      <c r="F122" s="142" t="s">
        <v>679</v>
      </c>
      <c r="G122" s="152" t="s">
        <v>699</v>
      </c>
    </row>
    <row r="123" spans="1:7" ht="15.6" x14ac:dyDescent="0.3">
      <c r="A123" s="137">
        <v>1</v>
      </c>
      <c r="B123" s="138">
        <v>2</v>
      </c>
      <c r="C123" s="139">
        <v>1029</v>
      </c>
      <c r="D123" s="140" t="s">
        <v>639</v>
      </c>
      <c r="E123" s="141">
        <v>1.8</v>
      </c>
      <c r="F123" s="142" t="s">
        <v>677</v>
      </c>
      <c r="G123" s="152" t="s">
        <v>690</v>
      </c>
    </row>
    <row r="124" spans="1:7" ht="15.6" x14ac:dyDescent="0.3">
      <c r="A124" s="137">
        <v>1</v>
      </c>
      <c r="B124" s="138">
        <v>2</v>
      </c>
      <c r="C124" s="139">
        <v>1029</v>
      </c>
      <c r="D124" s="140" t="s">
        <v>642</v>
      </c>
      <c r="E124" s="141">
        <v>75.599999999999994</v>
      </c>
      <c r="F124" s="142" t="s">
        <v>678</v>
      </c>
      <c r="G124" s="152" t="s">
        <v>693</v>
      </c>
    </row>
    <row r="125" spans="1:7" ht="15.6" x14ac:dyDescent="0.3">
      <c r="A125" s="137">
        <v>1</v>
      </c>
      <c r="B125" s="138">
        <v>2</v>
      </c>
      <c r="C125" s="139">
        <v>1029</v>
      </c>
      <c r="D125" s="140" t="s">
        <v>643</v>
      </c>
      <c r="E125" s="141">
        <v>10.7</v>
      </c>
      <c r="F125" s="142" t="s">
        <v>675</v>
      </c>
      <c r="G125" s="152" t="s">
        <v>693</v>
      </c>
    </row>
    <row r="126" spans="1:7" ht="15.6" x14ac:dyDescent="0.3">
      <c r="A126" s="137">
        <v>1</v>
      </c>
      <c r="B126" s="138">
        <v>2</v>
      </c>
      <c r="C126" s="139">
        <v>1030</v>
      </c>
      <c r="D126" s="140" t="s">
        <v>637</v>
      </c>
      <c r="E126" s="141">
        <v>49.4</v>
      </c>
      <c r="F126" s="142" t="s">
        <v>675</v>
      </c>
      <c r="G126" s="152" t="s">
        <v>704</v>
      </c>
    </row>
    <row r="127" spans="1:7" ht="15.6" x14ac:dyDescent="0.3">
      <c r="A127" s="137">
        <v>1</v>
      </c>
      <c r="B127" s="138">
        <v>2</v>
      </c>
      <c r="C127" s="139">
        <v>1030</v>
      </c>
      <c r="D127" s="140" t="s">
        <v>638</v>
      </c>
      <c r="E127" s="141">
        <v>3</v>
      </c>
      <c r="F127" s="142" t="s">
        <v>676</v>
      </c>
      <c r="G127" s="152" t="s">
        <v>705</v>
      </c>
    </row>
    <row r="128" spans="1:7" ht="15.6" x14ac:dyDescent="0.3">
      <c r="A128" s="137">
        <v>1</v>
      </c>
      <c r="B128" s="138">
        <v>2</v>
      </c>
      <c r="C128" s="139">
        <v>1030</v>
      </c>
      <c r="D128" s="140" t="s">
        <v>640</v>
      </c>
      <c r="E128" s="141">
        <v>34.6</v>
      </c>
      <c r="F128" s="142" t="s">
        <v>678</v>
      </c>
      <c r="G128" s="152" t="s">
        <v>703</v>
      </c>
    </row>
    <row r="129" spans="1:7" ht="15.6" x14ac:dyDescent="0.3">
      <c r="A129" s="137">
        <v>1</v>
      </c>
      <c r="B129" s="138">
        <v>2</v>
      </c>
      <c r="C129" s="139">
        <v>1031</v>
      </c>
      <c r="D129" s="140" t="s">
        <v>644</v>
      </c>
      <c r="E129" s="141">
        <v>38.700000000000003</v>
      </c>
      <c r="F129" s="142" t="s">
        <v>675</v>
      </c>
      <c r="G129" s="152" t="s">
        <v>694</v>
      </c>
    </row>
    <row r="130" spans="1:7" ht="31.2" x14ac:dyDescent="0.3">
      <c r="A130" s="137">
        <v>1</v>
      </c>
      <c r="B130" s="138">
        <v>2</v>
      </c>
      <c r="C130" s="139">
        <v>1031</v>
      </c>
      <c r="D130" s="140" t="s">
        <v>653</v>
      </c>
      <c r="E130" s="141">
        <v>7</v>
      </c>
      <c r="F130" s="142" t="s">
        <v>682</v>
      </c>
      <c r="G130" s="152" t="s">
        <v>693</v>
      </c>
    </row>
    <row r="131" spans="1:7" ht="15.6" x14ac:dyDescent="0.3">
      <c r="A131" s="137">
        <v>1</v>
      </c>
      <c r="B131" s="138">
        <v>2</v>
      </c>
      <c r="C131" s="139">
        <v>1031</v>
      </c>
      <c r="D131" s="140" t="s">
        <v>652</v>
      </c>
      <c r="E131" s="141">
        <v>18.3</v>
      </c>
      <c r="F131" s="142" t="s">
        <v>676</v>
      </c>
      <c r="G131" s="152" t="s">
        <v>695</v>
      </c>
    </row>
    <row r="132" spans="1:7" ht="46.8" x14ac:dyDescent="0.3">
      <c r="A132" s="137">
        <v>1</v>
      </c>
      <c r="B132" s="138">
        <v>2</v>
      </c>
      <c r="C132" s="139">
        <v>1031</v>
      </c>
      <c r="D132" s="140" t="s">
        <v>658</v>
      </c>
      <c r="E132" s="141">
        <v>3.7</v>
      </c>
      <c r="F132" s="142" t="s">
        <v>684</v>
      </c>
      <c r="G132" s="152" t="s">
        <v>708</v>
      </c>
    </row>
    <row r="133" spans="1:7" ht="15.6" x14ac:dyDescent="0.3">
      <c r="A133" s="137">
        <v>1</v>
      </c>
      <c r="B133" s="138">
        <v>2</v>
      </c>
      <c r="C133" s="139">
        <v>1032</v>
      </c>
      <c r="D133" s="140" t="s">
        <v>645</v>
      </c>
      <c r="E133" s="141">
        <v>41.7</v>
      </c>
      <c r="F133" s="142" t="s">
        <v>675</v>
      </c>
      <c r="G133" s="152" t="s">
        <v>695</v>
      </c>
    </row>
    <row r="134" spans="1:7" ht="31.2" x14ac:dyDescent="0.3">
      <c r="A134" s="137">
        <v>1</v>
      </c>
      <c r="B134" s="138">
        <v>2</v>
      </c>
      <c r="C134" s="139">
        <v>1032</v>
      </c>
      <c r="D134" s="140" t="s">
        <v>653</v>
      </c>
      <c r="E134" s="141">
        <v>1.6</v>
      </c>
      <c r="F134" s="142" t="s">
        <v>682</v>
      </c>
      <c r="G134" s="152" t="s">
        <v>693</v>
      </c>
    </row>
    <row r="135" spans="1:7" ht="15.6" x14ac:dyDescent="0.3">
      <c r="A135" s="137">
        <v>1</v>
      </c>
      <c r="B135" s="138">
        <v>2</v>
      </c>
      <c r="C135" s="139">
        <v>1033</v>
      </c>
      <c r="D135" s="140" t="s">
        <v>645</v>
      </c>
      <c r="E135" s="141">
        <v>41</v>
      </c>
      <c r="F135" s="142" t="s">
        <v>675</v>
      </c>
      <c r="G135" s="152" t="s">
        <v>695</v>
      </c>
    </row>
    <row r="136" spans="1:7" ht="31.2" x14ac:dyDescent="0.3">
      <c r="A136" s="137">
        <v>1</v>
      </c>
      <c r="B136" s="138">
        <v>2</v>
      </c>
      <c r="C136" s="139">
        <v>1033</v>
      </c>
      <c r="D136" s="140" t="s">
        <v>653</v>
      </c>
      <c r="E136" s="141">
        <v>1.5</v>
      </c>
      <c r="F136" s="142" t="s">
        <v>682</v>
      </c>
      <c r="G136" s="152" t="s">
        <v>693</v>
      </c>
    </row>
    <row r="137" spans="1:7" ht="15.6" x14ac:dyDescent="0.3">
      <c r="A137" s="137">
        <v>1</v>
      </c>
      <c r="B137" s="138">
        <v>2</v>
      </c>
      <c r="C137" s="139">
        <v>1034</v>
      </c>
      <c r="D137" s="140" t="s">
        <v>644</v>
      </c>
      <c r="E137" s="141">
        <v>39.4</v>
      </c>
      <c r="F137" s="142" t="s">
        <v>675</v>
      </c>
      <c r="G137" s="152" t="s">
        <v>694</v>
      </c>
    </row>
    <row r="138" spans="1:7" ht="31.2" x14ac:dyDescent="0.3">
      <c r="A138" s="137">
        <v>1</v>
      </c>
      <c r="B138" s="138">
        <v>2</v>
      </c>
      <c r="C138" s="139">
        <v>1034</v>
      </c>
      <c r="D138" s="140" t="s">
        <v>653</v>
      </c>
      <c r="E138" s="141">
        <v>2.4</v>
      </c>
      <c r="F138" s="142" t="s">
        <v>682</v>
      </c>
      <c r="G138" s="152" t="s">
        <v>693</v>
      </c>
    </row>
    <row r="139" spans="1:7" ht="31.2" x14ac:dyDescent="0.3">
      <c r="A139" s="137">
        <v>1</v>
      </c>
      <c r="B139" s="138">
        <v>2</v>
      </c>
      <c r="C139" s="139">
        <v>1034</v>
      </c>
      <c r="D139" s="140" t="s">
        <v>657</v>
      </c>
      <c r="E139" s="141">
        <v>12.5</v>
      </c>
      <c r="F139" s="142" t="s">
        <v>680</v>
      </c>
      <c r="G139" s="152" t="s">
        <v>694</v>
      </c>
    </row>
    <row r="140" spans="1:7" ht="15.6" x14ac:dyDescent="0.3">
      <c r="A140" s="137">
        <v>1</v>
      </c>
      <c r="B140" s="138">
        <v>2</v>
      </c>
      <c r="C140" s="139">
        <v>1035</v>
      </c>
      <c r="D140" s="140" t="s">
        <v>644</v>
      </c>
      <c r="E140" s="141">
        <v>50.9</v>
      </c>
      <c r="F140" s="142" t="s">
        <v>675</v>
      </c>
      <c r="G140" s="152" t="s">
        <v>694</v>
      </c>
    </row>
    <row r="141" spans="1:7" ht="31.2" x14ac:dyDescent="0.3">
      <c r="A141" s="137">
        <v>1</v>
      </c>
      <c r="B141" s="138">
        <v>2</v>
      </c>
      <c r="C141" s="139">
        <v>1035</v>
      </c>
      <c r="D141" s="140" t="s">
        <v>653</v>
      </c>
      <c r="E141" s="141">
        <v>2.2999999999999998</v>
      </c>
      <c r="F141" s="142" t="s">
        <v>682</v>
      </c>
      <c r="G141" s="152" t="s">
        <v>693</v>
      </c>
    </row>
    <row r="142" spans="1:7" ht="15.6" x14ac:dyDescent="0.3">
      <c r="A142" s="137">
        <v>1</v>
      </c>
      <c r="B142" s="138">
        <v>2</v>
      </c>
      <c r="C142" s="139">
        <v>1036</v>
      </c>
      <c r="D142" s="140" t="s">
        <v>637</v>
      </c>
      <c r="E142" s="141">
        <v>39.799999999999997</v>
      </c>
      <c r="F142" s="142" t="s">
        <v>675</v>
      </c>
      <c r="G142" s="152" t="s">
        <v>704</v>
      </c>
    </row>
    <row r="143" spans="1:7" ht="15.6" x14ac:dyDescent="0.3">
      <c r="A143" s="137">
        <v>1</v>
      </c>
      <c r="B143" s="138">
        <v>2</v>
      </c>
      <c r="C143" s="139">
        <v>1036</v>
      </c>
      <c r="D143" s="140" t="s">
        <v>638</v>
      </c>
      <c r="E143" s="141">
        <v>24.4</v>
      </c>
      <c r="F143" s="142" t="s">
        <v>676</v>
      </c>
      <c r="G143" s="152" t="s">
        <v>705</v>
      </c>
    </row>
    <row r="144" spans="1:7" ht="15.6" x14ac:dyDescent="0.3">
      <c r="A144" s="137">
        <v>1</v>
      </c>
      <c r="B144" s="138">
        <v>2</v>
      </c>
      <c r="C144" s="139">
        <v>1036</v>
      </c>
      <c r="D144" s="140" t="s">
        <v>639</v>
      </c>
      <c r="E144" s="141">
        <v>9.5</v>
      </c>
      <c r="F144" s="142" t="s">
        <v>677</v>
      </c>
      <c r="G144" s="152" t="s">
        <v>690</v>
      </c>
    </row>
    <row r="145" spans="1:7" ht="15.6" x14ac:dyDescent="0.3">
      <c r="A145" s="137">
        <v>1</v>
      </c>
      <c r="B145" s="138">
        <v>2</v>
      </c>
      <c r="C145" s="139">
        <v>1036</v>
      </c>
      <c r="D145" s="140" t="s">
        <v>640</v>
      </c>
      <c r="E145" s="141">
        <v>0.8</v>
      </c>
      <c r="F145" s="142" t="s">
        <v>678</v>
      </c>
      <c r="G145" s="152" t="s">
        <v>703</v>
      </c>
    </row>
    <row r="146" spans="1:7" ht="15.6" x14ac:dyDescent="0.3">
      <c r="A146" s="137">
        <v>1</v>
      </c>
      <c r="B146" s="138">
        <v>2</v>
      </c>
      <c r="C146" s="139">
        <v>1037</v>
      </c>
      <c r="D146" s="140" t="s">
        <v>637</v>
      </c>
      <c r="E146" s="141">
        <v>67</v>
      </c>
      <c r="F146" s="142" t="s">
        <v>675</v>
      </c>
      <c r="G146" s="152" t="s">
        <v>688</v>
      </c>
    </row>
    <row r="147" spans="1:7" ht="15.6" x14ac:dyDescent="0.3">
      <c r="A147" s="137">
        <v>1</v>
      </c>
      <c r="B147" s="138">
        <v>2</v>
      </c>
      <c r="C147" s="139">
        <v>1038</v>
      </c>
      <c r="D147" s="140" t="s">
        <v>637</v>
      </c>
      <c r="E147" s="141">
        <v>47.1</v>
      </c>
      <c r="F147" s="142" t="s">
        <v>675</v>
      </c>
      <c r="G147" s="152" t="s">
        <v>688</v>
      </c>
    </row>
    <row r="148" spans="1:7" ht="15.6" x14ac:dyDescent="0.3">
      <c r="A148" s="137">
        <v>1</v>
      </c>
      <c r="B148" s="138">
        <v>2</v>
      </c>
      <c r="C148" s="139">
        <v>1038</v>
      </c>
      <c r="D148" s="140" t="s">
        <v>638</v>
      </c>
      <c r="E148" s="141">
        <v>81.8</v>
      </c>
      <c r="F148" s="142" t="s">
        <v>676</v>
      </c>
      <c r="G148" s="152" t="s">
        <v>705</v>
      </c>
    </row>
    <row r="149" spans="1:7" ht="15.6" x14ac:dyDescent="0.3">
      <c r="A149" s="137">
        <v>1</v>
      </c>
      <c r="B149" s="138">
        <v>2</v>
      </c>
      <c r="C149" s="139">
        <v>1038</v>
      </c>
      <c r="D149" s="140" t="s">
        <v>639</v>
      </c>
      <c r="E149" s="141">
        <v>1.9</v>
      </c>
      <c r="F149" s="142" t="s">
        <v>677</v>
      </c>
      <c r="G149" s="152" t="s">
        <v>690</v>
      </c>
    </row>
    <row r="150" spans="1:7" ht="15.6" x14ac:dyDescent="0.3">
      <c r="A150" s="137">
        <v>1</v>
      </c>
      <c r="B150" s="138">
        <v>2</v>
      </c>
      <c r="C150" s="139">
        <v>1038</v>
      </c>
      <c r="D150" s="140" t="s">
        <v>640</v>
      </c>
      <c r="E150" s="141">
        <v>11.8</v>
      </c>
      <c r="F150" s="142" t="s">
        <v>678</v>
      </c>
      <c r="G150" s="152" t="s">
        <v>703</v>
      </c>
    </row>
    <row r="151" spans="1:7" ht="15.6" x14ac:dyDescent="0.3">
      <c r="A151" s="137">
        <v>1</v>
      </c>
      <c r="B151" s="138">
        <v>2</v>
      </c>
      <c r="C151" s="139">
        <v>1039</v>
      </c>
      <c r="D151" s="140" t="s">
        <v>637</v>
      </c>
      <c r="E151" s="141">
        <v>25.7</v>
      </c>
      <c r="F151" s="142" t="s">
        <v>675</v>
      </c>
      <c r="G151" s="152" t="s">
        <v>688</v>
      </c>
    </row>
    <row r="152" spans="1:7" ht="15.6" x14ac:dyDescent="0.3">
      <c r="A152" s="137">
        <v>1</v>
      </c>
      <c r="B152" s="138">
        <v>2</v>
      </c>
      <c r="C152" s="139">
        <v>1039</v>
      </c>
      <c r="D152" s="140" t="s">
        <v>645</v>
      </c>
      <c r="E152" s="141">
        <v>98.3</v>
      </c>
      <c r="F152" s="142" t="s">
        <v>675</v>
      </c>
      <c r="G152" s="152" t="s">
        <v>695</v>
      </c>
    </row>
    <row r="153" spans="1:7" ht="15.6" x14ac:dyDescent="0.3">
      <c r="A153" s="137">
        <v>1</v>
      </c>
      <c r="B153" s="138">
        <v>2</v>
      </c>
      <c r="C153" s="139">
        <v>1039</v>
      </c>
      <c r="D153" s="140" t="s">
        <v>638</v>
      </c>
      <c r="E153" s="141">
        <v>18</v>
      </c>
      <c r="F153" s="142" t="s">
        <v>676</v>
      </c>
      <c r="G153" s="152" t="s">
        <v>705</v>
      </c>
    </row>
    <row r="154" spans="1:7" ht="15.6" x14ac:dyDescent="0.3">
      <c r="A154" s="137">
        <v>1</v>
      </c>
      <c r="B154" s="138">
        <v>2</v>
      </c>
      <c r="C154" s="139">
        <v>1039</v>
      </c>
      <c r="D154" s="140" t="s">
        <v>652</v>
      </c>
      <c r="E154" s="141">
        <v>9.6</v>
      </c>
      <c r="F154" s="142" t="s">
        <v>676</v>
      </c>
      <c r="G154" s="152" t="s">
        <v>695</v>
      </c>
    </row>
    <row r="155" spans="1:7" ht="15.6" x14ac:dyDescent="0.3">
      <c r="A155" s="137">
        <v>1</v>
      </c>
      <c r="B155" s="138">
        <v>2</v>
      </c>
      <c r="C155" s="139">
        <v>1039</v>
      </c>
      <c r="D155" s="140" t="s">
        <v>640</v>
      </c>
      <c r="E155" s="141">
        <v>13.7</v>
      </c>
      <c r="F155" s="142" t="s">
        <v>678</v>
      </c>
      <c r="G155" s="152" t="s">
        <v>691</v>
      </c>
    </row>
    <row r="156" spans="1:7" ht="15.6" x14ac:dyDescent="0.3">
      <c r="A156" s="137">
        <v>1</v>
      </c>
      <c r="B156" s="138">
        <v>2</v>
      </c>
      <c r="C156" s="139">
        <v>1039</v>
      </c>
      <c r="D156" s="140" t="s">
        <v>648</v>
      </c>
      <c r="E156" s="141">
        <v>28.7</v>
      </c>
      <c r="F156" s="142" t="s">
        <v>678</v>
      </c>
      <c r="G156" s="152" t="s">
        <v>698</v>
      </c>
    </row>
    <row r="157" spans="1:7" ht="15.6" x14ac:dyDescent="0.3">
      <c r="A157" s="137">
        <v>1</v>
      </c>
      <c r="B157" s="138">
        <v>2</v>
      </c>
      <c r="C157" s="139">
        <v>1040</v>
      </c>
      <c r="D157" s="140" t="s">
        <v>638</v>
      </c>
      <c r="E157" s="141">
        <v>14.5</v>
      </c>
      <c r="F157" s="142" t="s">
        <v>676</v>
      </c>
      <c r="G157" s="152" t="s">
        <v>689</v>
      </c>
    </row>
    <row r="158" spans="1:7" ht="15.6" x14ac:dyDescent="0.3">
      <c r="A158" s="137">
        <v>1</v>
      </c>
      <c r="B158" s="138">
        <v>2</v>
      </c>
      <c r="C158" s="139">
        <v>1040</v>
      </c>
      <c r="D158" s="140" t="s">
        <v>640</v>
      </c>
      <c r="E158" s="141">
        <v>82.4</v>
      </c>
      <c r="F158" s="142" t="s">
        <v>678</v>
      </c>
      <c r="G158" s="152" t="s">
        <v>691</v>
      </c>
    </row>
    <row r="159" spans="1:7" ht="15.6" x14ac:dyDescent="0.3">
      <c r="A159" s="137">
        <v>1</v>
      </c>
      <c r="B159" s="138">
        <v>2</v>
      </c>
      <c r="C159" s="139">
        <v>1040</v>
      </c>
      <c r="D159" s="140" t="s">
        <v>648</v>
      </c>
      <c r="E159" s="141">
        <v>6</v>
      </c>
      <c r="F159" s="142" t="s">
        <v>678</v>
      </c>
      <c r="G159" s="152" t="s">
        <v>698</v>
      </c>
    </row>
    <row r="160" spans="1:7" ht="15.6" x14ac:dyDescent="0.3">
      <c r="A160" s="137">
        <v>1</v>
      </c>
      <c r="B160" s="138">
        <v>2</v>
      </c>
      <c r="C160" s="139">
        <v>1040</v>
      </c>
      <c r="D160" s="140" t="s">
        <v>641</v>
      </c>
      <c r="E160" s="141">
        <v>8.4</v>
      </c>
      <c r="F160" s="142" t="s">
        <v>679</v>
      </c>
      <c r="G160" s="152" t="s">
        <v>692</v>
      </c>
    </row>
    <row r="161" spans="1:7" ht="15.6" x14ac:dyDescent="0.3">
      <c r="A161" s="137">
        <v>1</v>
      </c>
      <c r="B161" s="138">
        <v>2</v>
      </c>
      <c r="C161" s="139">
        <v>1041</v>
      </c>
      <c r="D161" s="140" t="s">
        <v>637</v>
      </c>
      <c r="E161" s="141">
        <v>39.6</v>
      </c>
      <c r="F161" s="142" t="s">
        <v>675</v>
      </c>
      <c r="G161" s="152" t="s">
        <v>688</v>
      </c>
    </row>
    <row r="162" spans="1:7" ht="15.6" x14ac:dyDescent="0.3">
      <c r="A162" s="137">
        <v>1</v>
      </c>
      <c r="B162" s="138">
        <v>2</v>
      </c>
      <c r="C162" s="139">
        <v>1041</v>
      </c>
      <c r="D162" s="140" t="s">
        <v>638</v>
      </c>
      <c r="E162" s="141">
        <v>58.2</v>
      </c>
      <c r="F162" s="142" t="s">
        <v>676</v>
      </c>
      <c r="G162" s="152" t="s">
        <v>689</v>
      </c>
    </row>
    <row r="163" spans="1:7" ht="15.6" x14ac:dyDescent="0.3">
      <c r="A163" s="137">
        <v>1</v>
      </c>
      <c r="B163" s="138">
        <v>2</v>
      </c>
      <c r="C163" s="139">
        <v>1041</v>
      </c>
      <c r="D163" s="140" t="s">
        <v>640</v>
      </c>
      <c r="E163" s="141">
        <v>9.4</v>
      </c>
      <c r="F163" s="142" t="s">
        <v>678</v>
      </c>
      <c r="G163" s="152" t="s">
        <v>691</v>
      </c>
    </row>
    <row r="164" spans="1:7" ht="15.6" x14ac:dyDescent="0.3">
      <c r="A164" s="137">
        <v>1</v>
      </c>
      <c r="B164" s="138">
        <v>2</v>
      </c>
      <c r="C164" s="139">
        <v>1041</v>
      </c>
      <c r="D164" s="140" t="s">
        <v>649</v>
      </c>
      <c r="E164" s="141">
        <v>42.3</v>
      </c>
      <c r="F164" s="142" t="s">
        <v>679</v>
      </c>
      <c r="G164" s="152" t="s">
        <v>699</v>
      </c>
    </row>
    <row r="165" spans="1:7" ht="15.6" x14ac:dyDescent="0.3">
      <c r="A165" s="137">
        <v>1</v>
      </c>
      <c r="B165" s="138">
        <v>2</v>
      </c>
      <c r="C165" s="139">
        <v>1042</v>
      </c>
      <c r="D165" s="140" t="s">
        <v>652</v>
      </c>
      <c r="E165" s="141">
        <v>18.7</v>
      </c>
      <c r="F165" s="142" t="s">
        <v>676</v>
      </c>
      <c r="G165" s="152" t="s">
        <v>695</v>
      </c>
    </row>
    <row r="166" spans="1:7" ht="15.6" x14ac:dyDescent="0.3">
      <c r="A166" s="137">
        <v>1</v>
      </c>
      <c r="B166" s="138">
        <v>2</v>
      </c>
      <c r="C166" s="139">
        <v>1042</v>
      </c>
      <c r="D166" s="140" t="s">
        <v>655</v>
      </c>
      <c r="E166" s="141">
        <v>26.9</v>
      </c>
      <c r="F166" s="142" t="s">
        <v>679</v>
      </c>
      <c r="G166" s="152" t="s">
        <v>701</v>
      </c>
    </row>
    <row r="167" spans="1:7" ht="15.6" x14ac:dyDescent="0.3">
      <c r="A167" s="137">
        <v>1</v>
      </c>
      <c r="B167" s="138">
        <v>2</v>
      </c>
      <c r="C167" s="139">
        <v>1043</v>
      </c>
      <c r="D167" s="140" t="s">
        <v>645</v>
      </c>
      <c r="E167" s="141">
        <v>83</v>
      </c>
      <c r="F167" s="142" t="s">
        <v>675</v>
      </c>
      <c r="G167" s="152" t="s">
        <v>695</v>
      </c>
    </row>
    <row r="168" spans="1:7" ht="15.6" x14ac:dyDescent="0.3">
      <c r="A168" s="137">
        <v>1</v>
      </c>
      <c r="B168" s="138">
        <v>2</v>
      </c>
      <c r="C168" s="139">
        <v>1043</v>
      </c>
      <c r="D168" s="140" t="s">
        <v>647</v>
      </c>
      <c r="E168" s="141">
        <v>1.5</v>
      </c>
      <c r="F168" s="142" t="s">
        <v>681</v>
      </c>
      <c r="G168" s="152" t="s">
        <v>697</v>
      </c>
    </row>
    <row r="169" spans="1:7" ht="15.6" x14ac:dyDescent="0.3">
      <c r="A169" s="137">
        <v>1</v>
      </c>
      <c r="B169" s="138">
        <v>2</v>
      </c>
      <c r="C169" s="139">
        <v>1043</v>
      </c>
      <c r="D169" s="140" t="s">
        <v>648</v>
      </c>
      <c r="E169" s="141">
        <v>18.2</v>
      </c>
      <c r="F169" s="142" t="s">
        <v>678</v>
      </c>
      <c r="G169" s="152" t="s">
        <v>698</v>
      </c>
    </row>
    <row r="170" spans="1:7" ht="15.6" x14ac:dyDescent="0.3">
      <c r="A170" s="137">
        <v>1</v>
      </c>
      <c r="B170" s="138">
        <v>2</v>
      </c>
      <c r="C170" s="139">
        <v>1044</v>
      </c>
      <c r="D170" s="140" t="s">
        <v>645</v>
      </c>
      <c r="E170" s="141">
        <v>51.1</v>
      </c>
      <c r="F170" s="142" t="s">
        <v>675</v>
      </c>
      <c r="G170" s="152" t="s">
        <v>695</v>
      </c>
    </row>
    <row r="171" spans="1:7" ht="15.6" x14ac:dyDescent="0.3">
      <c r="A171" s="137">
        <v>1</v>
      </c>
      <c r="B171" s="138">
        <v>2</v>
      </c>
      <c r="C171" s="139">
        <v>1044</v>
      </c>
      <c r="D171" s="140" t="s">
        <v>652</v>
      </c>
      <c r="E171" s="141">
        <v>8.4</v>
      </c>
      <c r="F171" s="142" t="s">
        <v>676</v>
      </c>
      <c r="G171" s="152" t="s">
        <v>695</v>
      </c>
    </row>
    <row r="172" spans="1:7" ht="15.6" x14ac:dyDescent="0.3">
      <c r="A172" s="137">
        <v>1</v>
      </c>
      <c r="B172" s="138">
        <v>2</v>
      </c>
      <c r="C172" s="139">
        <v>1045</v>
      </c>
      <c r="D172" s="140" t="s">
        <v>645</v>
      </c>
      <c r="E172" s="141">
        <v>53</v>
      </c>
      <c r="F172" s="142" t="s">
        <v>675</v>
      </c>
      <c r="G172" s="152" t="s">
        <v>695</v>
      </c>
    </row>
    <row r="173" spans="1:7" ht="15.6" x14ac:dyDescent="0.3">
      <c r="A173" s="137">
        <v>1</v>
      </c>
      <c r="B173" s="138">
        <v>2</v>
      </c>
      <c r="C173" s="139">
        <v>1045</v>
      </c>
      <c r="D173" s="140" t="s">
        <v>652</v>
      </c>
      <c r="E173" s="141">
        <v>8.1999999999999993</v>
      </c>
      <c r="F173" s="142" t="s">
        <v>676</v>
      </c>
      <c r="G173" s="152" t="s">
        <v>695</v>
      </c>
    </row>
    <row r="174" spans="1:7" ht="15.6" x14ac:dyDescent="0.3">
      <c r="A174" s="137">
        <v>1</v>
      </c>
      <c r="B174" s="138">
        <v>2</v>
      </c>
      <c r="C174" s="139">
        <v>1045</v>
      </c>
      <c r="D174" s="140" t="s">
        <v>648</v>
      </c>
      <c r="E174" s="141">
        <v>5.9</v>
      </c>
      <c r="F174" s="142" t="s">
        <v>678</v>
      </c>
      <c r="G174" s="152" t="s">
        <v>698</v>
      </c>
    </row>
    <row r="175" spans="1:7" ht="15.6" x14ac:dyDescent="0.3">
      <c r="A175" s="137">
        <v>1</v>
      </c>
      <c r="B175" s="138">
        <v>2</v>
      </c>
      <c r="C175" s="139">
        <v>1046</v>
      </c>
      <c r="D175" s="140" t="s">
        <v>645</v>
      </c>
      <c r="E175" s="141">
        <v>42.3</v>
      </c>
      <c r="F175" s="142" t="s">
        <v>675</v>
      </c>
      <c r="G175" s="152" t="s">
        <v>695</v>
      </c>
    </row>
    <row r="176" spans="1:7" ht="15.6" x14ac:dyDescent="0.3">
      <c r="A176" s="137">
        <v>1</v>
      </c>
      <c r="B176" s="138">
        <v>2</v>
      </c>
      <c r="C176" s="139">
        <v>1046</v>
      </c>
      <c r="D176" s="140" t="s">
        <v>652</v>
      </c>
      <c r="E176" s="141">
        <v>2.7</v>
      </c>
      <c r="F176" s="142" t="s">
        <v>676</v>
      </c>
      <c r="G176" s="152" t="s">
        <v>695</v>
      </c>
    </row>
    <row r="177" spans="1:7" ht="15.6" x14ac:dyDescent="0.3">
      <c r="A177" s="137">
        <v>1</v>
      </c>
      <c r="B177" s="138">
        <v>2</v>
      </c>
      <c r="C177" s="139">
        <v>1046</v>
      </c>
      <c r="D177" s="140" t="s">
        <v>647</v>
      </c>
      <c r="E177" s="141">
        <v>2.9</v>
      </c>
      <c r="F177" s="142" t="s">
        <v>681</v>
      </c>
      <c r="G177" s="152" t="s">
        <v>697</v>
      </c>
    </row>
    <row r="178" spans="1:7" ht="15.6" x14ac:dyDescent="0.3">
      <c r="A178" s="137">
        <v>1</v>
      </c>
      <c r="B178" s="138">
        <v>2</v>
      </c>
      <c r="C178" s="139">
        <v>1046</v>
      </c>
      <c r="D178" s="140" t="s">
        <v>648</v>
      </c>
      <c r="E178" s="141">
        <v>2.6</v>
      </c>
      <c r="F178" s="142" t="s">
        <v>678</v>
      </c>
      <c r="G178" s="152" t="s">
        <v>698</v>
      </c>
    </row>
    <row r="179" spans="1:7" ht="15.6" x14ac:dyDescent="0.3">
      <c r="A179" s="137">
        <v>1</v>
      </c>
      <c r="B179" s="138">
        <v>2</v>
      </c>
      <c r="C179" s="139">
        <v>1047</v>
      </c>
      <c r="D179" s="140" t="s">
        <v>645</v>
      </c>
      <c r="E179" s="141">
        <v>42.8</v>
      </c>
      <c r="F179" s="142" t="s">
        <v>675</v>
      </c>
      <c r="G179" s="152" t="s">
        <v>695</v>
      </c>
    </row>
    <row r="180" spans="1:7" ht="15.6" x14ac:dyDescent="0.3">
      <c r="A180" s="137">
        <v>1</v>
      </c>
      <c r="B180" s="138">
        <v>2</v>
      </c>
      <c r="C180" s="139">
        <v>1047</v>
      </c>
      <c r="D180" s="140" t="s">
        <v>652</v>
      </c>
      <c r="E180" s="141">
        <v>4.2</v>
      </c>
      <c r="F180" s="142" t="s">
        <v>676</v>
      </c>
      <c r="G180" s="152" t="s">
        <v>695</v>
      </c>
    </row>
    <row r="181" spans="1:7" ht="15.6" x14ac:dyDescent="0.3">
      <c r="A181" s="137">
        <v>1</v>
      </c>
      <c r="B181" s="138">
        <v>2</v>
      </c>
      <c r="C181" s="139">
        <v>1047</v>
      </c>
      <c r="D181" s="140" t="s">
        <v>647</v>
      </c>
      <c r="E181" s="141">
        <v>4.0999999999999996</v>
      </c>
      <c r="F181" s="142" t="s">
        <v>681</v>
      </c>
      <c r="G181" s="152" t="s">
        <v>697</v>
      </c>
    </row>
    <row r="182" spans="1:7" ht="15.6" x14ac:dyDescent="0.3">
      <c r="A182" s="137">
        <v>1</v>
      </c>
      <c r="B182" s="138">
        <v>3</v>
      </c>
      <c r="C182" s="139">
        <v>1048</v>
      </c>
      <c r="D182" s="140" t="s">
        <v>645</v>
      </c>
      <c r="E182" s="141">
        <v>68.099999999999994</v>
      </c>
      <c r="F182" s="142" t="s">
        <v>675</v>
      </c>
      <c r="G182" s="152" t="s">
        <v>695</v>
      </c>
    </row>
    <row r="183" spans="1:7" ht="15.6" x14ac:dyDescent="0.3">
      <c r="A183" s="137">
        <v>1</v>
      </c>
      <c r="B183" s="138">
        <v>3</v>
      </c>
      <c r="C183" s="139">
        <v>1048</v>
      </c>
      <c r="D183" s="140" t="s">
        <v>652</v>
      </c>
      <c r="E183" s="141">
        <v>22.4</v>
      </c>
      <c r="F183" s="142" t="s">
        <v>676</v>
      </c>
      <c r="G183" s="152" t="s">
        <v>695</v>
      </c>
    </row>
    <row r="184" spans="1:7" ht="15.6" x14ac:dyDescent="0.3">
      <c r="A184" s="137">
        <v>1</v>
      </c>
      <c r="B184" s="138">
        <v>2</v>
      </c>
      <c r="C184" s="139">
        <v>1049</v>
      </c>
      <c r="D184" s="140" t="s">
        <v>645</v>
      </c>
      <c r="E184" s="141">
        <v>52.2</v>
      </c>
      <c r="F184" s="142" t="s">
        <v>675</v>
      </c>
      <c r="G184" s="152" t="s">
        <v>695</v>
      </c>
    </row>
    <row r="185" spans="1:7" ht="15.6" x14ac:dyDescent="0.3">
      <c r="A185" s="137">
        <v>1</v>
      </c>
      <c r="B185" s="138">
        <v>2</v>
      </c>
      <c r="C185" s="139">
        <v>1050</v>
      </c>
      <c r="D185" s="140" t="s">
        <v>645</v>
      </c>
      <c r="E185" s="141">
        <v>94.9</v>
      </c>
      <c r="F185" s="142" t="s">
        <v>675</v>
      </c>
      <c r="G185" s="152" t="s">
        <v>695</v>
      </c>
    </row>
    <row r="186" spans="1:7" ht="15.6" x14ac:dyDescent="0.3">
      <c r="A186" s="137">
        <v>1</v>
      </c>
      <c r="B186" s="138">
        <v>2</v>
      </c>
      <c r="C186" s="139">
        <v>1050</v>
      </c>
      <c r="D186" s="140" t="s">
        <v>652</v>
      </c>
      <c r="E186" s="141">
        <v>41.6</v>
      </c>
      <c r="F186" s="142" t="s">
        <v>676</v>
      </c>
      <c r="G186" s="152" t="s">
        <v>695</v>
      </c>
    </row>
    <row r="187" spans="1:7" ht="15.6" x14ac:dyDescent="0.3">
      <c r="A187" s="137">
        <v>1</v>
      </c>
      <c r="B187" s="138">
        <v>2</v>
      </c>
      <c r="C187" s="139">
        <v>1050</v>
      </c>
      <c r="D187" s="140" t="s">
        <v>648</v>
      </c>
      <c r="E187" s="141">
        <v>3.9</v>
      </c>
      <c r="F187" s="142" t="s">
        <v>678</v>
      </c>
      <c r="G187" s="152" t="s">
        <v>698</v>
      </c>
    </row>
    <row r="188" spans="1:7" ht="15.6" x14ac:dyDescent="0.3">
      <c r="A188" s="137">
        <v>1</v>
      </c>
      <c r="B188" s="138">
        <v>2</v>
      </c>
      <c r="C188" s="139">
        <v>1051</v>
      </c>
      <c r="D188" s="140" t="s">
        <v>645</v>
      </c>
      <c r="E188" s="141">
        <v>62.2</v>
      </c>
      <c r="F188" s="142" t="s">
        <v>675</v>
      </c>
      <c r="G188" s="152" t="s">
        <v>695</v>
      </c>
    </row>
    <row r="189" spans="1:7" ht="15.6" x14ac:dyDescent="0.3">
      <c r="A189" s="137">
        <v>1</v>
      </c>
      <c r="B189" s="138">
        <v>2</v>
      </c>
      <c r="C189" s="139">
        <v>1051</v>
      </c>
      <c r="D189" s="140" t="s">
        <v>652</v>
      </c>
      <c r="E189" s="141">
        <v>20</v>
      </c>
      <c r="F189" s="142" t="s">
        <v>676</v>
      </c>
      <c r="G189" s="152" t="s">
        <v>695</v>
      </c>
    </row>
    <row r="190" spans="1:7" ht="15.6" x14ac:dyDescent="0.3">
      <c r="A190" s="137">
        <v>1</v>
      </c>
      <c r="B190" s="138">
        <v>2</v>
      </c>
      <c r="C190" s="139">
        <v>1051</v>
      </c>
      <c r="D190" s="140" t="s">
        <v>648</v>
      </c>
      <c r="E190" s="141">
        <v>3.8</v>
      </c>
      <c r="F190" s="142" t="s">
        <v>678</v>
      </c>
      <c r="G190" s="152" t="s">
        <v>698</v>
      </c>
    </row>
    <row r="191" spans="1:7" ht="15.6" x14ac:dyDescent="0.3">
      <c r="A191" s="137">
        <v>1</v>
      </c>
      <c r="B191" s="138">
        <v>3</v>
      </c>
      <c r="C191" s="139">
        <v>1052</v>
      </c>
      <c r="D191" s="140" t="s">
        <v>645</v>
      </c>
      <c r="E191" s="141">
        <v>41.2</v>
      </c>
      <c r="F191" s="142" t="s">
        <v>675</v>
      </c>
      <c r="G191" s="152" t="s">
        <v>695</v>
      </c>
    </row>
    <row r="192" spans="1:7" ht="15.6" x14ac:dyDescent="0.3">
      <c r="A192" s="137">
        <v>1</v>
      </c>
      <c r="B192" s="138">
        <v>3</v>
      </c>
      <c r="C192" s="139">
        <v>1052</v>
      </c>
      <c r="D192" s="140" t="s">
        <v>652</v>
      </c>
      <c r="E192" s="141">
        <v>2.1</v>
      </c>
      <c r="F192" s="142" t="s">
        <v>676</v>
      </c>
      <c r="G192" s="152" t="s">
        <v>695</v>
      </c>
    </row>
    <row r="193" spans="1:7" ht="15.6" x14ac:dyDescent="0.3">
      <c r="A193" s="137">
        <v>1</v>
      </c>
      <c r="B193" s="138">
        <v>3</v>
      </c>
      <c r="C193" s="139">
        <v>1052</v>
      </c>
      <c r="D193" s="140" t="s">
        <v>647</v>
      </c>
      <c r="E193" s="141">
        <v>3.2</v>
      </c>
      <c r="F193" s="142" t="s">
        <v>681</v>
      </c>
      <c r="G193" s="152" t="s">
        <v>697</v>
      </c>
    </row>
    <row r="194" spans="1:7" ht="15.6" x14ac:dyDescent="0.3">
      <c r="A194" s="137">
        <v>1</v>
      </c>
      <c r="B194" s="138">
        <v>3</v>
      </c>
      <c r="C194" s="139">
        <v>1052</v>
      </c>
      <c r="D194" s="140" t="s">
        <v>648</v>
      </c>
      <c r="E194" s="141">
        <v>2.9</v>
      </c>
      <c r="F194" s="142" t="s">
        <v>678</v>
      </c>
      <c r="G194" s="152" t="s">
        <v>698</v>
      </c>
    </row>
    <row r="195" spans="1:7" ht="15.6" x14ac:dyDescent="0.3">
      <c r="A195" s="137">
        <v>1</v>
      </c>
      <c r="B195" s="138">
        <v>2</v>
      </c>
      <c r="C195" s="139">
        <v>1053</v>
      </c>
      <c r="D195" s="140" t="s">
        <v>645</v>
      </c>
      <c r="E195" s="141">
        <v>39.299999999999997</v>
      </c>
      <c r="F195" s="142" t="s">
        <v>675</v>
      </c>
      <c r="G195" s="152" t="s">
        <v>695</v>
      </c>
    </row>
    <row r="196" spans="1:7" ht="15.6" x14ac:dyDescent="0.3">
      <c r="A196" s="137">
        <v>1</v>
      </c>
      <c r="B196" s="138">
        <v>2</v>
      </c>
      <c r="C196" s="139">
        <v>1053</v>
      </c>
      <c r="D196" s="140" t="s">
        <v>652</v>
      </c>
      <c r="E196" s="141">
        <v>1.6</v>
      </c>
      <c r="F196" s="142" t="s">
        <v>676</v>
      </c>
      <c r="G196" s="152" t="s">
        <v>695</v>
      </c>
    </row>
    <row r="197" spans="1:7" ht="15.6" x14ac:dyDescent="0.3">
      <c r="A197" s="137">
        <v>1</v>
      </c>
      <c r="B197" s="138">
        <v>2</v>
      </c>
      <c r="C197" s="139">
        <v>1053</v>
      </c>
      <c r="D197" s="140" t="s">
        <v>647</v>
      </c>
      <c r="E197" s="141">
        <v>3.4</v>
      </c>
      <c r="F197" s="142" t="s">
        <v>681</v>
      </c>
      <c r="G197" s="152" t="s">
        <v>697</v>
      </c>
    </row>
    <row r="198" spans="1:7" ht="15.6" x14ac:dyDescent="0.3">
      <c r="A198" s="137">
        <v>1</v>
      </c>
      <c r="B198" s="138">
        <v>2</v>
      </c>
      <c r="C198" s="139">
        <v>1053</v>
      </c>
      <c r="D198" s="140" t="s">
        <v>648</v>
      </c>
      <c r="E198" s="141">
        <v>1.2</v>
      </c>
      <c r="F198" s="142" t="s">
        <v>678</v>
      </c>
      <c r="G198" s="152" t="s">
        <v>698</v>
      </c>
    </row>
    <row r="199" spans="1:7" ht="15.6" x14ac:dyDescent="0.3">
      <c r="A199" s="137">
        <v>1</v>
      </c>
      <c r="B199" s="138">
        <v>2</v>
      </c>
      <c r="C199" s="139">
        <v>1054</v>
      </c>
      <c r="D199" s="140" t="s">
        <v>645</v>
      </c>
      <c r="E199" s="141">
        <v>95.7</v>
      </c>
      <c r="F199" s="142" t="s">
        <v>675</v>
      </c>
      <c r="G199" s="152" t="s">
        <v>695</v>
      </c>
    </row>
    <row r="200" spans="1:7" ht="15.6" x14ac:dyDescent="0.3">
      <c r="A200" s="137">
        <v>1</v>
      </c>
      <c r="B200" s="138">
        <v>2</v>
      </c>
      <c r="C200" s="139">
        <v>1055</v>
      </c>
      <c r="D200" s="140" t="s">
        <v>645</v>
      </c>
      <c r="E200" s="141">
        <v>4.9000000000000004</v>
      </c>
      <c r="F200" s="142" t="s">
        <v>675</v>
      </c>
      <c r="G200" s="152" t="s">
        <v>695</v>
      </c>
    </row>
    <row r="201" spans="1:7" ht="15.6" x14ac:dyDescent="0.3">
      <c r="A201" s="137">
        <v>1</v>
      </c>
      <c r="B201" s="138">
        <v>2</v>
      </c>
      <c r="C201" s="139">
        <v>1055</v>
      </c>
      <c r="D201" s="140" t="s">
        <v>652</v>
      </c>
      <c r="E201" s="141">
        <v>4.9000000000000004</v>
      </c>
      <c r="F201" s="142" t="s">
        <v>676</v>
      </c>
      <c r="G201" s="152" t="s">
        <v>695</v>
      </c>
    </row>
    <row r="202" spans="1:7" ht="15.6" x14ac:dyDescent="0.3">
      <c r="A202" s="137">
        <v>1</v>
      </c>
      <c r="B202" s="138">
        <v>2</v>
      </c>
      <c r="C202" s="139">
        <v>1055</v>
      </c>
      <c r="D202" s="140" t="s">
        <v>655</v>
      </c>
      <c r="E202" s="141">
        <v>21.8</v>
      </c>
      <c r="F202" s="142" t="s">
        <v>679</v>
      </c>
      <c r="G202" s="152" t="s">
        <v>701</v>
      </c>
    </row>
    <row r="203" spans="1:7" ht="15.6" x14ac:dyDescent="0.3">
      <c r="A203" s="137">
        <v>1</v>
      </c>
      <c r="B203" s="138">
        <v>2</v>
      </c>
      <c r="C203" s="139">
        <v>1056</v>
      </c>
      <c r="D203" s="140" t="s">
        <v>645</v>
      </c>
      <c r="E203" s="141">
        <v>30.6</v>
      </c>
      <c r="F203" s="142" t="s">
        <v>675</v>
      </c>
      <c r="G203" s="152" t="s">
        <v>695</v>
      </c>
    </row>
    <row r="204" spans="1:7" ht="15.6" x14ac:dyDescent="0.3">
      <c r="A204" s="137">
        <v>1</v>
      </c>
      <c r="B204" s="138">
        <v>2</v>
      </c>
      <c r="C204" s="139">
        <v>1056</v>
      </c>
      <c r="D204" s="140" t="s">
        <v>648</v>
      </c>
      <c r="E204" s="141">
        <v>5.4</v>
      </c>
      <c r="F204" s="142" t="s">
        <v>678</v>
      </c>
      <c r="G204" s="152" t="s">
        <v>698</v>
      </c>
    </row>
    <row r="205" spans="1:7" ht="15.6" x14ac:dyDescent="0.3">
      <c r="A205" s="137">
        <v>1</v>
      </c>
      <c r="B205" s="138">
        <v>2</v>
      </c>
      <c r="C205" s="139">
        <v>1056</v>
      </c>
      <c r="D205" s="140" t="s">
        <v>655</v>
      </c>
      <c r="E205" s="141">
        <v>12.1</v>
      </c>
      <c r="F205" s="142" t="s">
        <v>679</v>
      </c>
      <c r="G205" s="152" t="s">
        <v>701</v>
      </c>
    </row>
    <row r="206" spans="1:7" ht="15.6" x14ac:dyDescent="0.3">
      <c r="A206" s="137">
        <v>1</v>
      </c>
      <c r="B206" s="138">
        <v>3</v>
      </c>
      <c r="C206" s="139">
        <v>1057</v>
      </c>
      <c r="D206" s="140" t="s">
        <v>645</v>
      </c>
      <c r="E206" s="141">
        <v>28.2</v>
      </c>
      <c r="F206" s="142" t="s">
        <v>675</v>
      </c>
      <c r="G206" s="152" t="s">
        <v>695</v>
      </c>
    </row>
    <row r="207" spans="1:7" ht="15.6" x14ac:dyDescent="0.3">
      <c r="A207" s="137">
        <v>1</v>
      </c>
      <c r="B207" s="138">
        <v>3</v>
      </c>
      <c r="C207" s="139">
        <v>1057</v>
      </c>
      <c r="D207" s="140" t="s">
        <v>652</v>
      </c>
      <c r="E207" s="141">
        <v>14.6</v>
      </c>
      <c r="F207" s="142" t="s">
        <v>676</v>
      </c>
      <c r="G207" s="152" t="s">
        <v>695</v>
      </c>
    </row>
    <row r="208" spans="1:7" ht="15.6" x14ac:dyDescent="0.3">
      <c r="A208" s="137">
        <v>1</v>
      </c>
      <c r="B208" s="138">
        <v>3</v>
      </c>
      <c r="C208" s="139">
        <v>1057</v>
      </c>
      <c r="D208" s="140" t="s">
        <v>655</v>
      </c>
      <c r="E208" s="141">
        <v>7.1</v>
      </c>
      <c r="F208" s="142" t="s">
        <v>679</v>
      </c>
      <c r="G208" s="152" t="s">
        <v>701</v>
      </c>
    </row>
    <row r="209" spans="1:7" ht="15.6" x14ac:dyDescent="0.3">
      <c r="A209" s="137">
        <v>1</v>
      </c>
      <c r="B209" s="138">
        <v>3</v>
      </c>
      <c r="C209" s="139">
        <v>1058</v>
      </c>
      <c r="D209" s="140" t="s">
        <v>645</v>
      </c>
      <c r="E209" s="141">
        <v>37</v>
      </c>
      <c r="F209" s="142" t="s">
        <v>675</v>
      </c>
      <c r="G209" s="152" t="s">
        <v>695</v>
      </c>
    </row>
    <row r="210" spans="1:7" ht="15.6" x14ac:dyDescent="0.3">
      <c r="A210" s="137">
        <v>1</v>
      </c>
      <c r="B210" s="138">
        <v>3</v>
      </c>
      <c r="C210" s="139">
        <v>1058</v>
      </c>
      <c r="D210" s="140" t="s">
        <v>652</v>
      </c>
      <c r="E210" s="141">
        <v>2.4</v>
      </c>
      <c r="F210" s="142" t="s">
        <v>676</v>
      </c>
      <c r="G210" s="152" t="s">
        <v>695</v>
      </c>
    </row>
    <row r="211" spans="1:7" ht="15.6" x14ac:dyDescent="0.3">
      <c r="A211" s="137">
        <v>1</v>
      </c>
      <c r="B211" s="138">
        <v>3</v>
      </c>
      <c r="C211" s="139">
        <v>1058</v>
      </c>
      <c r="D211" s="140" t="s">
        <v>647</v>
      </c>
      <c r="E211" s="141">
        <v>2.7</v>
      </c>
      <c r="F211" s="142" t="s">
        <v>681</v>
      </c>
      <c r="G211" s="152" t="s">
        <v>697</v>
      </c>
    </row>
    <row r="212" spans="1:7" ht="15.6" x14ac:dyDescent="0.3">
      <c r="A212" s="137">
        <v>1</v>
      </c>
      <c r="B212" s="138">
        <v>3</v>
      </c>
      <c r="C212" s="139">
        <v>1058</v>
      </c>
      <c r="D212" s="140" t="s">
        <v>648</v>
      </c>
      <c r="E212" s="141">
        <v>7.4</v>
      </c>
      <c r="F212" s="142" t="s">
        <v>678</v>
      </c>
      <c r="G212" s="152" t="s">
        <v>698</v>
      </c>
    </row>
    <row r="213" spans="1:7" ht="15.6" x14ac:dyDescent="0.3">
      <c r="A213" s="137">
        <v>1</v>
      </c>
      <c r="B213" s="138">
        <v>3</v>
      </c>
      <c r="C213" s="139">
        <v>1059</v>
      </c>
      <c r="D213" s="140" t="s">
        <v>637</v>
      </c>
      <c r="E213" s="141">
        <v>35.5</v>
      </c>
      <c r="F213" s="142" t="s">
        <v>675</v>
      </c>
      <c r="G213" s="152" t="s">
        <v>688</v>
      </c>
    </row>
    <row r="214" spans="1:7" ht="15.6" x14ac:dyDescent="0.3">
      <c r="A214" s="137">
        <v>1</v>
      </c>
      <c r="B214" s="138">
        <v>3</v>
      </c>
      <c r="C214" s="139">
        <v>1059</v>
      </c>
      <c r="D214" s="140" t="s">
        <v>638</v>
      </c>
      <c r="E214" s="141">
        <v>50.1</v>
      </c>
      <c r="F214" s="142" t="s">
        <v>676</v>
      </c>
      <c r="G214" s="152" t="s">
        <v>689</v>
      </c>
    </row>
    <row r="215" spans="1:7" ht="15.6" x14ac:dyDescent="0.3">
      <c r="A215" s="137">
        <v>1</v>
      </c>
      <c r="B215" s="138">
        <v>3</v>
      </c>
      <c r="C215" s="139">
        <v>1059</v>
      </c>
      <c r="D215" s="140" t="s">
        <v>640</v>
      </c>
      <c r="E215" s="141">
        <v>3</v>
      </c>
      <c r="F215" s="142" t="s">
        <v>678</v>
      </c>
      <c r="G215" s="152" t="s">
        <v>691</v>
      </c>
    </row>
    <row r="216" spans="1:7" ht="15.6" x14ac:dyDescent="0.3">
      <c r="A216" s="137">
        <v>1</v>
      </c>
      <c r="B216" s="138">
        <v>3</v>
      </c>
      <c r="C216" s="139">
        <v>1060</v>
      </c>
      <c r="D216" s="140" t="s">
        <v>637</v>
      </c>
      <c r="E216" s="141">
        <v>27.1</v>
      </c>
      <c r="F216" s="142" t="s">
        <v>675</v>
      </c>
      <c r="G216" s="152" t="s">
        <v>688</v>
      </c>
    </row>
    <row r="217" spans="1:7" ht="15.6" x14ac:dyDescent="0.3">
      <c r="A217" s="137">
        <v>1</v>
      </c>
      <c r="B217" s="138">
        <v>3</v>
      </c>
      <c r="C217" s="139">
        <v>1060</v>
      </c>
      <c r="D217" s="140" t="s">
        <v>638</v>
      </c>
      <c r="E217" s="141">
        <v>12.2</v>
      </c>
      <c r="F217" s="142" t="s">
        <v>676</v>
      </c>
      <c r="G217" s="152" t="s">
        <v>689</v>
      </c>
    </row>
    <row r="218" spans="1:7" ht="15.6" x14ac:dyDescent="0.3">
      <c r="A218" s="137">
        <v>1</v>
      </c>
      <c r="B218" s="138">
        <v>3</v>
      </c>
      <c r="C218" s="139">
        <v>1061</v>
      </c>
      <c r="D218" s="140" t="s">
        <v>637</v>
      </c>
      <c r="E218" s="141">
        <v>63</v>
      </c>
      <c r="F218" s="142" t="s">
        <v>675</v>
      </c>
      <c r="G218" s="152" t="s">
        <v>688</v>
      </c>
    </row>
    <row r="219" spans="1:7" ht="15.6" x14ac:dyDescent="0.3">
      <c r="A219" s="137">
        <v>1</v>
      </c>
      <c r="B219" s="138">
        <v>3</v>
      </c>
      <c r="C219" s="139">
        <v>1061</v>
      </c>
      <c r="D219" s="140" t="s">
        <v>638</v>
      </c>
      <c r="E219" s="141">
        <v>9.3000000000000007</v>
      </c>
      <c r="F219" s="142" t="s">
        <v>676</v>
      </c>
      <c r="G219" s="152" t="s">
        <v>689</v>
      </c>
    </row>
    <row r="220" spans="1:7" ht="15.6" x14ac:dyDescent="0.3">
      <c r="A220" s="137">
        <v>1</v>
      </c>
      <c r="B220" s="138">
        <v>3</v>
      </c>
      <c r="C220" s="139">
        <v>1061</v>
      </c>
      <c r="D220" s="140" t="s">
        <v>640</v>
      </c>
      <c r="E220" s="141">
        <v>8.4</v>
      </c>
      <c r="F220" s="142" t="s">
        <v>678</v>
      </c>
      <c r="G220" s="152" t="s">
        <v>691</v>
      </c>
    </row>
    <row r="221" spans="1:7" ht="15.6" x14ac:dyDescent="0.3">
      <c r="A221" s="137">
        <v>1</v>
      </c>
      <c r="B221" s="138">
        <v>3</v>
      </c>
      <c r="C221" s="139">
        <v>1061</v>
      </c>
      <c r="D221" s="140" t="s">
        <v>641</v>
      </c>
      <c r="E221" s="141">
        <v>8.5</v>
      </c>
      <c r="F221" s="142" t="s">
        <v>679</v>
      </c>
      <c r="G221" s="152" t="s">
        <v>692</v>
      </c>
    </row>
    <row r="222" spans="1:7" ht="15.6" x14ac:dyDescent="0.3">
      <c r="A222" s="137">
        <v>1</v>
      </c>
      <c r="B222" s="138">
        <v>3</v>
      </c>
      <c r="C222" s="139">
        <v>1062</v>
      </c>
      <c r="D222" s="140" t="s">
        <v>645</v>
      </c>
      <c r="E222" s="141">
        <v>28.3</v>
      </c>
      <c r="F222" s="142" t="s">
        <v>675</v>
      </c>
      <c r="G222" s="152" t="s">
        <v>695</v>
      </c>
    </row>
    <row r="223" spans="1:7" ht="15.6" x14ac:dyDescent="0.3">
      <c r="A223" s="137">
        <v>1</v>
      </c>
      <c r="B223" s="138">
        <v>3</v>
      </c>
      <c r="C223" s="139">
        <v>1062</v>
      </c>
      <c r="D223" s="140" t="s">
        <v>652</v>
      </c>
      <c r="E223" s="141">
        <v>13.1</v>
      </c>
      <c r="F223" s="142" t="s">
        <v>676</v>
      </c>
      <c r="G223" s="152" t="s">
        <v>695</v>
      </c>
    </row>
    <row r="224" spans="1:7" ht="15.6" x14ac:dyDescent="0.3">
      <c r="A224" s="137">
        <v>1</v>
      </c>
      <c r="B224" s="138">
        <v>3</v>
      </c>
      <c r="C224" s="139">
        <v>1062</v>
      </c>
      <c r="D224" s="140" t="s">
        <v>648</v>
      </c>
      <c r="E224" s="141">
        <v>3.1</v>
      </c>
      <c r="F224" s="142" t="s">
        <v>678</v>
      </c>
      <c r="G224" s="152" t="s">
        <v>698</v>
      </c>
    </row>
    <row r="225" spans="1:7" ht="15.6" x14ac:dyDescent="0.3">
      <c r="A225" s="137">
        <v>1</v>
      </c>
      <c r="B225" s="138">
        <v>3</v>
      </c>
      <c r="C225" s="139">
        <v>1062</v>
      </c>
      <c r="D225" s="140" t="s">
        <v>655</v>
      </c>
      <c r="E225" s="141">
        <v>11.3</v>
      </c>
      <c r="F225" s="142" t="s">
        <v>679</v>
      </c>
      <c r="G225" s="152" t="s">
        <v>701</v>
      </c>
    </row>
    <row r="226" spans="1:7" ht="15.6" x14ac:dyDescent="0.3">
      <c r="A226" s="137">
        <v>1</v>
      </c>
      <c r="B226" s="138">
        <v>3</v>
      </c>
      <c r="C226" s="139">
        <v>1063</v>
      </c>
      <c r="D226" s="140" t="s">
        <v>645</v>
      </c>
      <c r="E226" s="141">
        <v>26.4</v>
      </c>
      <c r="F226" s="142" t="s">
        <v>675</v>
      </c>
      <c r="G226" s="152" t="s">
        <v>695</v>
      </c>
    </row>
    <row r="227" spans="1:7" ht="15.6" x14ac:dyDescent="0.3">
      <c r="A227" s="137">
        <v>1</v>
      </c>
      <c r="B227" s="138">
        <v>3</v>
      </c>
      <c r="C227" s="139">
        <v>1063</v>
      </c>
      <c r="D227" s="140" t="s">
        <v>652</v>
      </c>
      <c r="E227" s="141">
        <v>3.8</v>
      </c>
      <c r="F227" s="142" t="s">
        <v>676</v>
      </c>
      <c r="G227" s="152" t="s">
        <v>695</v>
      </c>
    </row>
    <row r="228" spans="1:7" ht="15.6" x14ac:dyDescent="0.3">
      <c r="A228" s="137">
        <v>1</v>
      </c>
      <c r="B228" s="138">
        <v>3</v>
      </c>
      <c r="C228" s="139">
        <v>1063</v>
      </c>
      <c r="D228" s="140" t="s">
        <v>655</v>
      </c>
      <c r="E228" s="141">
        <v>6.1</v>
      </c>
      <c r="F228" s="142" t="s">
        <v>679</v>
      </c>
      <c r="G228" s="152" t="s">
        <v>701</v>
      </c>
    </row>
    <row r="229" spans="1:7" ht="15.6" x14ac:dyDescent="0.3">
      <c r="A229" s="137">
        <v>1</v>
      </c>
      <c r="B229" s="138">
        <v>3</v>
      </c>
      <c r="C229" s="139">
        <v>1064</v>
      </c>
      <c r="D229" s="140" t="s">
        <v>645</v>
      </c>
      <c r="E229" s="141">
        <v>26.4</v>
      </c>
      <c r="F229" s="142" t="s">
        <v>675</v>
      </c>
      <c r="G229" s="152" t="s">
        <v>695</v>
      </c>
    </row>
    <row r="230" spans="1:7" ht="15.6" x14ac:dyDescent="0.3">
      <c r="A230" s="137">
        <v>1</v>
      </c>
      <c r="B230" s="138">
        <v>3</v>
      </c>
      <c r="C230" s="139">
        <v>1064</v>
      </c>
      <c r="D230" s="140" t="s">
        <v>648</v>
      </c>
      <c r="E230" s="141">
        <v>5.0999999999999996</v>
      </c>
      <c r="F230" s="142" t="s">
        <v>678</v>
      </c>
      <c r="G230" s="152" t="s">
        <v>698</v>
      </c>
    </row>
    <row r="231" spans="1:7" ht="15.6" x14ac:dyDescent="0.3">
      <c r="A231" s="137">
        <v>1</v>
      </c>
      <c r="B231" s="138">
        <v>3</v>
      </c>
      <c r="C231" s="139">
        <v>1064</v>
      </c>
      <c r="D231" s="140" t="s">
        <v>655</v>
      </c>
      <c r="E231" s="141">
        <v>7.4</v>
      </c>
      <c r="F231" s="142" t="s">
        <v>679</v>
      </c>
      <c r="G231" s="152" t="s">
        <v>701</v>
      </c>
    </row>
    <row r="232" spans="1:7" ht="15.6" x14ac:dyDescent="0.3">
      <c r="A232" s="137">
        <v>1</v>
      </c>
      <c r="B232" s="138">
        <v>3</v>
      </c>
      <c r="C232" s="139">
        <v>1065</v>
      </c>
      <c r="D232" s="140" t="s">
        <v>644</v>
      </c>
      <c r="E232" s="141">
        <v>18</v>
      </c>
      <c r="F232" s="142" t="s">
        <v>675</v>
      </c>
      <c r="G232" s="152" t="s">
        <v>694</v>
      </c>
    </row>
    <row r="233" spans="1:7" ht="31.2" x14ac:dyDescent="0.3">
      <c r="A233" s="137">
        <v>1</v>
      </c>
      <c r="B233" s="138">
        <v>3</v>
      </c>
      <c r="C233" s="139">
        <v>1065</v>
      </c>
      <c r="D233" s="140" t="s">
        <v>657</v>
      </c>
      <c r="E233" s="141">
        <v>8.6</v>
      </c>
      <c r="F233" s="142" t="s">
        <v>680</v>
      </c>
      <c r="G233" s="152" t="s">
        <v>694</v>
      </c>
    </row>
    <row r="234" spans="1:7" ht="15.6" x14ac:dyDescent="0.3">
      <c r="A234" s="137">
        <v>1</v>
      </c>
      <c r="B234" s="138">
        <v>3</v>
      </c>
      <c r="C234" s="139">
        <v>1065</v>
      </c>
      <c r="D234" s="140" t="s">
        <v>649</v>
      </c>
      <c r="E234" s="141">
        <v>7.2</v>
      </c>
      <c r="F234" s="142" t="s">
        <v>679</v>
      </c>
      <c r="G234" s="152" t="s">
        <v>699</v>
      </c>
    </row>
    <row r="235" spans="1:7" ht="15.6" x14ac:dyDescent="0.3">
      <c r="A235" s="137">
        <v>1</v>
      </c>
      <c r="B235" s="138">
        <v>3</v>
      </c>
      <c r="C235" s="139">
        <v>1066</v>
      </c>
      <c r="D235" s="140" t="s">
        <v>645</v>
      </c>
      <c r="E235" s="141">
        <v>11.1</v>
      </c>
      <c r="F235" s="142" t="s">
        <v>675</v>
      </c>
      <c r="G235" s="152" t="s">
        <v>695</v>
      </c>
    </row>
    <row r="236" spans="1:7" ht="31.2" x14ac:dyDescent="0.3">
      <c r="A236" s="137">
        <v>1</v>
      </c>
      <c r="B236" s="138">
        <v>3</v>
      </c>
      <c r="C236" s="139">
        <v>1066</v>
      </c>
      <c r="D236" s="140" t="s">
        <v>653</v>
      </c>
      <c r="E236" s="141">
        <v>2</v>
      </c>
      <c r="F236" s="142" t="s">
        <v>682</v>
      </c>
      <c r="G236" s="152" t="s">
        <v>693</v>
      </c>
    </row>
    <row r="237" spans="1:7" ht="31.2" x14ac:dyDescent="0.3">
      <c r="A237" s="137">
        <v>1</v>
      </c>
      <c r="B237" s="138">
        <v>3</v>
      </c>
      <c r="C237" s="139">
        <v>1066</v>
      </c>
      <c r="D237" s="140" t="s">
        <v>646</v>
      </c>
      <c r="E237" s="141">
        <v>1.4</v>
      </c>
      <c r="F237" s="142" t="s">
        <v>680</v>
      </c>
      <c r="G237" s="152" t="s">
        <v>696</v>
      </c>
    </row>
    <row r="238" spans="1:7" ht="15.6" x14ac:dyDescent="0.3">
      <c r="A238" s="137">
        <v>1</v>
      </c>
      <c r="B238" s="138">
        <v>3</v>
      </c>
      <c r="C238" s="139">
        <v>1066</v>
      </c>
      <c r="D238" s="140" t="s">
        <v>652</v>
      </c>
      <c r="E238" s="141">
        <v>8.9</v>
      </c>
      <c r="F238" s="142" t="s">
        <v>676</v>
      </c>
      <c r="G238" s="152" t="s">
        <v>695</v>
      </c>
    </row>
    <row r="239" spans="1:7" ht="46.8" x14ac:dyDescent="0.3">
      <c r="A239" s="137">
        <v>1</v>
      </c>
      <c r="B239" s="138">
        <v>3</v>
      </c>
      <c r="C239" s="139">
        <v>1066</v>
      </c>
      <c r="D239" s="140" t="s">
        <v>658</v>
      </c>
      <c r="E239" s="141">
        <v>2</v>
      </c>
      <c r="F239" s="142" t="s">
        <v>684</v>
      </c>
      <c r="G239" s="152" t="s">
        <v>708</v>
      </c>
    </row>
    <row r="240" spans="1:7" ht="15.6" x14ac:dyDescent="0.3">
      <c r="A240" s="137">
        <v>1</v>
      </c>
      <c r="B240" s="138">
        <v>3</v>
      </c>
      <c r="C240" s="139">
        <v>1066</v>
      </c>
      <c r="D240" s="140" t="s">
        <v>642</v>
      </c>
      <c r="E240" s="141">
        <v>1.4</v>
      </c>
      <c r="F240" s="142" t="s">
        <v>678</v>
      </c>
      <c r="G240" s="152" t="s">
        <v>693</v>
      </c>
    </row>
    <row r="241" spans="1:7" ht="15.6" x14ac:dyDescent="0.3">
      <c r="A241" s="137">
        <v>1</v>
      </c>
      <c r="B241" s="138">
        <v>3</v>
      </c>
      <c r="C241" s="139">
        <v>1066</v>
      </c>
      <c r="D241" s="140" t="s">
        <v>648</v>
      </c>
      <c r="E241" s="141">
        <v>7.6</v>
      </c>
      <c r="F241" s="142" t="s">
        <v>678</v>
      </c>
      <c r="G241" s="152" t="s">
        <v>698</v>
      </c>
    </row>
    <row r="242" spans="1:7" ht="15.6" x14ac:dyDescent="0.3">
      <c r="A242" s="137">
        <v>1</v>
      </c>
      <c r="B242" s="138">
        <v>3</v>
      </c>
      <c r="C242" s="139">
        <v>1066</v>
      </c>
      <c r="D242" s="140" t="s">
        <v>655</v>
      </c>
      <c r="E242" s="141">
        <v>7.5</v>
      </c>
      <c r="F242" s="142" t="s">
        <v>679</v>
      </c>
      <c r="G242" s="152" t="s">
        <v>701</v>
      </c>
    </row>
    <row r="243" spans="1:7" ht="15.6" x14ac:dyDescent="0.3">
      <c r="A243" s="137">
        <v>1</v>
      </c>
      <c r="B243" s="138">
        <v>3</v>
      </c>
      <c r="C243" s="139">
        <v>1067</v>
      </c>
      <c r="D243" s="140" t="s">
        <v>637</v>
      </c>
      <c r="E243" s="141">
        <v>49.7</v>
      </c>
      <c r="F243" s="142" t="s">
        <v>675</v>
      </c>
      <c r="G243" s="152" t="s">
        <v>688</v>
      </c>
    </row>
    <row r="244" spans="1:7" ht="15.6" x14ac:dyDescent="0.3">
      <c r="A244" s="137">
        <v>1</v>
      </c>
      <c r="B244" s="138">
        <v>3</v>
      </c>
      <c r="C244" s="139">
        <v>1067</v>
      </c>
      <c r="D244" s="140" t="s">
        <v>638</v>
      </c>
      <c r="E244" s="141">
        <v>240</v>
      </c>
      <c r="F244" s="142" t="s">
        <v>676</v>
      </c>
      <c r="G244" s="152" t="s">
        <v>689</v>
      </c>
    </row>
    <row r="245" spans="1:7" ht="15.6" x14ac:dyDescent="0.3">
      <c r="A245" s="137">
        <v>1</v>
      </c>
      <c r="B245" s="138">
        <v>3</v>
      </c>
      <c r="C245" s="139">
        <v>1067</v>
      </c>
      <c r="D245" s="140" t="s">
        <v>640</v>
      </c>
      <c r="E245" s="141">
        <v>100.3</v>
      </c>
      <c r="F245" s="142" t="s">
        <v>678</v>
      </c>
      <c r="G245" s="152" t="s">
        <v>691</v>
      </c>
    </row>
    <row r="246" spans="1:7" ht="15.6" x14ac:dyDescent="0.3">
      <c r="A246" s="137">
        <v>1</v>
      </c>
      <c r="B246" s="138">
        <v>3</v>
      </c>
      <c r="C246" s="139">
        <v>1068</v>
      </c>
      <c r="D246" s="140" t="s">
        <v>640</v>
      </c>
      <c r="E246" s="141">
        <v>126.5</v>
      </c>
      <c r="F246" s="142" t="s">
        <v>678</v>
      </c>
      <c r="G246" s="152" t="s">
        <v>691</v>
      </c>
    </row>
    <row r="247" spans="1:7" ht="15.6" x14ac:dyDescent="0.3">
      <c r="A247" s="137">
        <v>1</v>
      </c>
      <c r="B247" s="138">
        <v>3</v>
      </c>
      <c r="C247" s="139">
        <v>1068</v>
      </c>
      <c r="D247" s="140" t="s">
        <v>659</v>
      </c>
      <c r="E247" s="141">
        <v>320.8</v>
      </c>
      <c r="F247" s="142" t="s">
        <v>685</v>
      </c>
      <c r="G247" s="152" t="s">
        <v>709</v>
      </c>
    </row>
    <row r="248" spans="1:7" ht="15.6" x14ac:dyDescent="0.3">
      <c r="A248" s="137">
        <v>1</v>
      </c>
      <c r="B248" s="138">
        <v>3</v>
      </c>
      <c r="C248" s="139">
        <v>1068</v>
      </c>
      <c r="D248" s="140" t="s">
        <v>660</v>
      </c>
      <c r="E248" s="141">
        <v>29.1</v>
      </c>
      <c r="F248" s="142" t="s">
        <v>685</v>
      </c>
      <c r="G248" s="152" t="s">
        <v>710</v>
      </c>
    </row>
    <row r="249" spans="1:7" ht="15.6" x14ac:dyDescent="0.3">
      <c r="A249" s="137">
        <v>1</v>
      </c>
      <c r="B249" s="138">
        <v>3</v>
      </c>
      <c r="C249" s="139">
        <v>1068</v>
      </c>
      <c r="D249" s="140" t="s">
        <v>661</v>
      </c>
      <c r="E249" s="141">
        <v>150</v>
      </c>
      <c r="F249" s="142" t="s">
        <v>685</v>
      </c>
      <c r="G249" s="152" t="s">
        <v>710</v>
      </c>
    </row>
    <row r="250" spans="1:7" ht="15.6" x14ac:dyDescent="0.3">
      <c r="A250" s="137">
        <v>1</v>
      </c>
      <c r="B250" s="138">
        <v>2</v>
      </c>
      <c r="C250" s="139">
        <v>1069</v>
      </c>
      <c r="D250" s="140" t="s">
        <v>645</v>
      </c>
      <c r="E250" s="141">
        <v>24.8</v>
      </c>
      <c r="F250" s="142" t="s">
        <v>675</v>
      </c>
      <c r="G250" s="152" t="s">
        <v>695</v>
      </c>
    </row>
    <row r="251" spans="1:7" ht="15.6" x14ac:dyDescent="0.3">
      <c r="A251" s="137">
        <v>1</v>
      </c>
      <c r="B251" s="138">
        <v>2</v>
      </c>
      <c r="C251" s="139">
        <v>1069</v>
      </c>
      <c r="D251" s="140" t="s">
        <v>638</v>
      </c>
      <c r="E251" s="141">
        <v>22.5</v>
      </c>
      <c r="F251" s="142" t="s">
        <v>676</v>
      </c>
      <c r="G251" s="152" t="s">
        <v>689</v>
      </c>
    </row>
    <row r="252" spans="1:7" ht="15.6" x14ac:dyDescent="0.3">
      <c r="A252" s="137">
        <v>1</v>
      </c>
      <c r="B252" s="138">
        <v>2</v>
      </c>
      <c r="C252" s="139">
        <v>1070</v>
      </c>
      <c r="D252" s="140" t="s">
        <v>637</v>
      </c>
      <c r="E252" s="141">
        <v>37.700000000000003</v>
      </c>
      <c r="F252" s="142" t="s">
        <v>675</v>
      </c>
      <c r="G252" s="152" t="s">
        <v>688</v>
      </c>
    </row>
    <row r="253" spans="1:7" ht="15.6" x14ac:dyDescent="0.3">
      <c r="A253" s="137">
        <v>1</v>
      </c>
      <c r="B253" s="138">
        <v>2</v>
      </c>
      <c r="C253" s="139">
        <v>1070</v>
      </c>
      <c r="D253" s="140" t="s">
        <v>638</v>
      </c>
      <c r="E253" s="141">
        <v>8.8000000000000007</v>
      </c>
      <c r="F253" s="142" t="s">
        <v>676</v>
      </c>
      <c r="G253" s="152" t="s">
        <v>689</v>
      </c>
    </row>
    <row r="254" spans="1:7" ht="15.6" x14ac:dyDescent="0.3">
      <c r="A254" s="137">
        <v>1</v>
      </c>
      <c r="B254" s="138">
        <v>2</v>
      </c>
      <c r="C254" s="139">
        <v>1070</v>
      </c>
      <c r="D254" s="140" t="s">
        <v>640</v>
      </c>
      <c r="E254" s="141">
        <v>3.1</v>
      </c>
      <c r="F254" s="142" t="s">
        <v>678</v>
      </c>
      <c r="G254" s="152" t="s">
        <v>691</v>
      </c>
    </row>
    <row r="255" spans="1:7" ht="15.6" x14ac:dyDescent="0.3">
      <c r="A255" s="137">
        <v>1</v>
      </c>
      <c r="B255" s="138">
        <v>3</v>
      </c>
      <c r="C255" s="139">
        <v>1071</v>
      </c>
      <c r="D255" s="140" t="s">
        <v>637</v>
      </c>
      <c r="E255" s="141">
        <v>35.1</v>
      </c>
      <c r="F255" s="142" t="s">
        <v>675</v>
      </c>
      <c r="G255" s="152" t="s">
        <v>688</v>
      </c>
    </row>
    <row r="256" spans="1:7" ht="15.6" x14ac:dyDescent="0.3">
      <c r="A256" s="137">
        <v>1</v>
      </c>
      <c r="B256" s="138">
        <v>3</v>
      </c>
      <c r="C256" s="139">
        <v>1071</v>
      </c>
      <c r="D256" s="140" t="s">
        <v>638</v>
      </c>
      <c r="E256" s="141">
        <v>5.7</v>
      </c>
      <c r="F256" s="142" t="s">
        <v>676</v>
      </c>
      <c r="G256" s="152" t="s">
        <v>689</v>
      </c>
    </row>
    <row r="257" spans="1:7" ht="15.6" x14ac:dyDescent="0.3">
      <c r="A257" s="137">
        <v>1</v>
      </c>
      <c r="B257" s="138">
        <v>3</v>
      </c>
      <c r="C257" s="139">
        <v>1071</v>
      </c>
      <c r="D257" s="140" t="s">
        <v>640</v>
      </c>
      <c r="E257" s="141">
        <v>4.9000000000000004</v>
      </c>
      <c r="F257" s="142" t="s">
        <v>678</v>
      </c>
      <c r="G257" s="152" t="s">
        <v>691</v>
      </c>
    </row>
    <row r="258" spans="1:7" ht="15.6" x14ac:dyDescent="0.3">
      <c r="A258" s="137">
        <v>1</v>
      </c>
      <c r="B258" s="138">
        <v>3</v>
      </c>
      <c r="C258" s="139">
        <v>1071</v>
      </c>
      <c r="D258" s="140" t="s">
        <v>641</v>
      </c>
      <c r="E258" s="141">
        <v>5.4</v>
      </c>
      <c r="F258" s="142" t="s">
        <v>679</v>
      </c>
      <c r="G258" s="152" t="s">
        <v>692</v>
      </c>
    </row>
    <row r="259" spans="1:7" ht="15.6" x14ac:dyDescent="0.3">
      <c r="A259" s="137">
        <v>1</v>
      </c>
      <c r="B259" s="138">
        <v>3</v>
      </c>
      <c r="C259" s="139">
        <v>1072</v>
      </c>
      <c r="D259" s="140" t="s">
        <v>656</v>
      </c>
      <c r="E259" s="141">
        <v>23.1</v>
      </c>
      <c r="F259" s="142" t="s">
        <v>677</v>
      </c>
      <c r="G259" s="152" t="s">
        <v>702</v>
      </c>
    </row>
    <row r="260" spans="1:7" ht="15.6" x14ac:dyDescent="0.3">
      <c r="A260" s="137">
        <v>1</v>
      </c>
      <c r="B260" s="138">
        <v>3</v>
      </c>
      <c r="C260" s="139">
        <v>1073</v>
      </c>
      <c r="D260" s="140" t="s">
        <v>638</v>
      </c>
      <c r="E260" s="141">
        <v>28.8</v>
      </c>
      <c r="F260" s="142" t="s">
        <v>676</v>
      </c>
      <c r="G260" s="152" t="s">
        <v>689</v>
      </c>
    </row>
    <row r="261" spans="1:7" ht="15.6" x14ac:dyDescent="0.3">
      <c r="A261" s="137">
        <v>1</v>
      </c>
      <c r="B261" s="138">
        <v>3</v>
      </c>
      <c r="C261" s="139">
        <v>1073</v>
      </c>
      <c r="D261" s="140" t="s">
        <v>640</v>
      </c>
      <c r="E261" s="141">
        <v>60.2</v>
      </c>
      <c r="F261" s="142" t="s">
        <v>678</v>
      </c>
      <c r="G261" s="152" t="s">
        <v>691</v>
      </c>
    </row>
    <row r="262" spans="1:7" ht="15.6" x14ac:dyDescent="0.3">
      <c r="A262" s="137">
        <v>1</v>
      </c>
      <c r="B262" s="138">
        <v>3</v>
      </c>
      <c r="C262" s="139">
        <v>1074</v>
      </c>
      <c r="D262" s="140" t="s">
        <v>638</v>
      </c>
      <c r="E262" s="141">
        <v>41</v>
      </c>
      <c r="F262" s="142" t="s">
        <v>676</v>
      </c>
      <c r="G262" s="152" t="s">
        <v>689</v>
      </c>
    </row>
    <row r="263" spans="1:7" ht="15.6" x14ac:dyDescent="0.3">
      <c r="A263" s="137">
        <v>1</v>
      </c>
      <c r="B263" s="138">
        <v>3</v>
      </c>
      <c r="C263" s="139">
        <v>1074</v>
      </c>
      <c r="D263" s="140" t="s">
        <v>640</v>
      </c>
      <c r="E263" s="141">
        <v>32.799999999999997</v>
      </c>
      <c r="F263" s="142" t="s">
        <v>678</v>
      </c>
      <c r="G263" s="152" t="s">
        <v>691</v>
      </c>
    </row>
    <row r="264" spans="1:7" ht="15.6" x14ac:dyDescent="0.3">
      <c r="A264" s="137">
        <v>1</v>
      </c>
      <c r="B264" s="138">
        <v>3</v>
      </c>
      <c r="C264" s="139">
        <v>1074</v>
      </c>
      <c r="D264" s="140" t="s">
        <v>648</v>
      </c>
      <c r="E264" s="141">
        <v>6.2</v>
      </c>
      <c r="F264" s="142" t="s">
        <v>678</v>
      </c>
      <c r="G264" s="152" t="s">
        <v>698</v>
      </c>
    </row>
    <row r="265" spans="1:7" ht="15.6" x14ac:dyDescent="0.3">
      <c r="A265" s="137">
        <v>1</v>
      </c>
      <c r="B265" s="138">
        <v>3</v>
      </c>
      <c r="C265" s="139">
        <v>1075</v>
      </c>
      <c r="D265" s="140" t="s">
        <v>638</v>
      </c>
      <c r="E265" s="141">
        <v>132.5</v>
      </c>
      <c r="F265" s="142" t="s">
        <v>676</v>
      </c>
      <c r="G265" s="152" t="s">
        <v>689</v>
      </c>
    </row>
    <row r="266" spans="1:7" ht="15.6" x14ac:dyDescent="0.3">
      <c r="A266" s="137">
        <v>1</v>
      </c>
      <c r="B266" s="138">
        <v>3</v>
      </c>
      <c r="C266" s="139">
        <v>1075</v>
      </c>
      <c r="D266" s="140" t="s">
        <v>639</v>
      </c>
      <c r="E266" s="141">
        <v>4.9000000000000004</v>
      </c>
      <c r="F266" s="142" t="s">
        <v>677</v>
      </c>
      <c r="G266" s="152" t="s">
        <v>690</v>
      </c>
    </row>
    <row r="267" spans="1:7" ht="15.6" x14ac:dyDescent="0.3">
      <c r="A267" s="137">
        <v>1</v>
      </c>
      <c r="B267" s="138">
        <v>3</v>
      </c>
      <c r="C267" s="139">
        <v>1075</v>
      </c>
      <c r="D267" s="140" t="s">
        <v>640</v>
      </c>
      <c r="E267" s="141">
        <v>3.9</v>
      </c>
      <c r="F267" s="142" t="s">
        <v>678</v>
      </c>
      <c r="G267" s="152" t="s">
        <v>691</v>
      </c>
    </row>
    <row r="268" spans="1:7" ht="15.6" x14ac:dyDescent="0.3">
      <c r="A268" s="137">
        <v>1</v>
      </c>
      <c r="B268" s="138">
        <v>3</v>
      </c>
      <c r="C268" s="139">
        <v>1076</v>
      </c>
      <c r="D268" s="140" t="s">
        <v>637</v>
      </c>
      <c r="E268" s="141">
        <v>69.400000000000006</v>
      </c>
      <c r="F268" s="142" t="s">
        <v>675</v>
      </c>
      <c r="G268" s="152" t="s">
        <v>688</v>
      </c>
    </row>
    <row r="269" spans="1:7" ht="15.6" x14ac:dyDescent="0.3">
      <c r="A269" s="137">
        <v>1</v>
      </c>
      <c r="B269" s="138">
        <v>3</v>
      </c>
      <c r="C269" s="139">
        <v>1076</v>
      </c>
      <c r="D269" s="140" t="s">
        <v>638</v>
      </c>
      <c r="E269" s="141">
        <v>37.4</v>
      </c>
      <c r="F269" s="142" t="s">
        <v>676</v>
      </c>
      <c r="G269" s="152" t="s">
        <v>689</v>
      </c>
    </row>
    <row r="270" spans="1:7" ht="15.6" x14ac:dyDescent="0.3">
      <c r="A270" s="137">
        <v>1</v>
      </c>
      <c r="B270" s="138">
        <v>3</v>
      </c>
      <c r="C270" s="139">
        <v>1076</v>
      </c>
      <c r="D270" s="140" t="s">
        <v>640</v>
      </c>
      <c r="E270" s="141">
        <v>30</v>
      </c>
      <c r="F270" s="142" t="s">
        <v>678</v>
      </c>
      <c r="G270" s="152" t="s">
        <v>691</v>
      </c>
    </row>
    <row r="271" spans="1:7" ht="15.6" x14ac:dyDescent="0.3">
      <c r="A271" s="137">
        <v>1</v>
      </c>
      <c r="B271" s="138">
        <v>3</v>
      </c>
      <c r="C271" s="139">
        <v>1077</v>
      </c>
      <c r="D271" s="140" t="s">
        <v>637</v>
      </c>
      <c r="E271" s="141">
        <v>39.1</v>
      </c>
      <c r="F271" s="142" t="s">
        <v>675</v>
      </c>
      <c r="G271" s="152" t="s">
        <v>688</v>
      </c>
    </row>
    <row r="272" spans="1:7" ht="15.6" x14ac:dyDescent="0.3">
      <c r="A272" s="137">
        <v>1</v>
      </c>
      <c r="B272" s="138">
        <v>3</v>
      </c>
      <c r="C272" s="139">
        <v>1077</v>
      </c>
      <c r="D272" s="140" t="s">
        <v>638</v>
      </c>
      <c r="E272" s="141">
        <v>20.399999999999999</v>
      </c>
      <c r="F272" s="142" t="s">
        <v>676</v>
      </c>
      <c r="G272" s="152" t="s">
        <v>689</v>
      </c>
    </row>
    <row r="273" spans="1:7" ht="15.6" x14ac:dyDescent="0.3">
      <c r="A273" s="137">
        <v>1</v>
      </c>
      <c r="B273" s="138">
        <v>3</v>
      </c>
      <c r="C273" s="139">
        <v>1077</v>
      </c>
      <c r="D273" s="140" t="s">
        <v>640</v>
      </c>
      <c r="E273" s="141">
        <v>20.6</v>
      </c>
      <c r="F273" s="142" t="s">
        <v>678</v>
      </c>
      <c r="G273" s="152" t="s">
        <v>691</v>
      </c>
    </row>
    <row r="274" spans="1:7" ht="15.6" x14ac:dyDescent="0.3">
      <c r="A274" s="137">
        <v>1</v>
      </c>
      <c r="B274" s="138">
        <v>3</v>
      </c>
      <c r="C274" s="139">
        <v>1078</v>
      </c>
      <c r="D274" s="140" t="s">
        <v>637</v>
      </c>
      <c r="E274" s="141">
        <v>21.1</v>
      </c>
      <c r="F274" s="142" t="s">
        <v>675</v>
      </c>
      <c r="G274" s="152" t="s">
        <v>688</v>
      </c>
    </row>
    <row r="275" spans="1:7" ht="15.6" x14ac:dyDescent="0.3">
      <c r="A275" s="137">
        <v>1</v>
      </c>
      <c r="B275" s="138">
        <v>3</v>
      </c>
      <c r="C275" s="139">
        <v>1078</v>
      </c>
      <c r="D275" s="140" t="s">
        <v>638</v>
      </c>
      <c r="E275" s="141">
        <v>58</v>
      </c>
      <c r="F275" s="142" t="s">
        <v>676</v>
      </c>
      <c r="G275" s="152" t="s">
        <v>689</v>
      </c>
    </row>
    <row r="276" spans="1:7" ht="15.6" x14ac:dyDescent="0.3">
      <c r="A276" s="137">
        <v>1</v>
      </c>
      <c r="B276" s="138">
        <v>3</v>
      </c>
      <c r="C276" s="139">
        <v>1078</v>
      </c>
      <c r="D276" s="140" t="s">
        <v>640</v>
      </c>
      <c r="E276" s="141">
        <v>14.9</v>
      </c>
      <c r="F276" s="142" t="s">
        <v>678</v>
      </c>
      <c r="G276" s="152" t="s">
        <v>691</v>
      </c>
    </row>
    <row r="277" spans="1:7" ht="15.6" x14ac:dyDescent="0.3">
      <c r="A277" s="137">
        <v>1</v>
      </c>
      <c r="B277" s="138">
        <v>3</v>
      </c>
      <c r="C277" s="139">
        <v>1078</v>
      </c>
      <c r="D277" s="140" t="s">
        <v>641</v>
      </c>
      <c r="E277" s="141">
        <v>5</v>
      </c>
      <c r="F277" s="142" t="s">
        <v>679</v>
      </c>
      <c r="G277" s="152" t="s">
        <v>692</v>
      </c>
    </row>
    <row r="278" spans="1:7" ht="15.6" x14ac:dyDescent="0.3">
      <c r="A278" s="137">
        <v>1</v>
      </c>
      <c r="B278" s="138">
        <v>3</v>
      </c>
      <c r="C278" s="139">
        <v>1079</v>
      </c>
      <c r="D278" s="140" t="s">
        <v>637</v>
      </c>
      <c r="E278" s="141">
        <v>9.5</v>
      </c>
      <c r="F278" s="142" t="s">
        <v>675</v>
      </c>
      <c r="G278" s="152" t="s">
        <v>688</v>
      </c>
    </row>
    <row r="279" spans="1:7" ht="15.6" x14ac:dyDescent="0.3">
      <c r="A279" s="137">
        <v>1</v>
      </c>
      <c r="B279" s="138">
        <v>3</v>
      </c>
      <c r="C279" s="139">
        <v>1079</v>
      </c>
      <c r="D279" s="140" t="s">
        <v>638</v>
      </c>
      <c r="E279" s="141">
        <v>95.5</v>
      </c>
      <c r="F279" s="142" t="s">
        <v>676</v>
      </c>
      <c r="G279" s="152" t="s">
        <v>689</v>
      </c>
    </row>
    <row r="280" spans="1:7" ht="15.6" x14ac:dyDescent="0.3">
      <c r="A280" s="137">
        <v>1</v>
      </c>
      <c r="B280" s="138">
        <v>3</v>
      </c>
      <c r="C280" s="139">
        <v>1079</v>
      </c>
      <c r="D280" s="140" t="s">
        <v>639</v>
      </c>
      <c r="E280" s="141">
        <v>3.8</v>
      </c>
      <c r="F280" s="142" t="s">
        <v>677</v>
      </c>
      <c r="G280" s="152" t="s">
        <v>690</v>
      </c>
    </row>
    <row r="281" spans="1:7" ht="15.6" x14ac:dyDescent="0.3">
      <c r="A281" s="137">
        <v>1</v>
      </c>
      <c r="B281" s="138">
        <v>3</v>
      </c>
      <c r="C281" s="139">
        <v>1079</v>
      </c>
      <c r="D281" s="140" t="s">
        <v>640</v>
      </c>
      <c r="E281" s="141">
        <v>5.0999999999999996</v>
      </c>
      <c r="F281" s="142" t="s">
        <v>678</v>
      </c>
      <c r="G281" s="152" t="s">
        <v>691</v>
      </c>
    </row>
    <row r="282" spans="1:7" ht="15.6" x14ac:dyDescent="0.3">
      <c r="A282" s="137">
        <v>1</v>
      </c>
      <c r="B282" s="138">
        <v>3</v>
      </c>
      <c r="C282" s="139">
        <v>1079</v>
      </c>
      <c r="D282" s="140" t="s">
        <v>641</v>
      </c>
      <c r="E282" s="141">
        <v>6.1</v>
      </c>
      <c r="F282" s="142" t="s">
        <v>679</v>
      </c>
      <c r="G282" s="152" t="s">
        <v>692</v>
      </c>
    </row>
    <row r="283" spans="1:7" ht="15.6" x14ac:dyDescent="0.3">
      <c r="A283" s="137">
        <v>1</v>
      </c>
      <c r="B283" s="138">
        <v>3</v>
      </c>
      <c r="C283" s="139">
        <v>1080</v>
      </c>
      <c r="D283" s="140" t="s">
        <v>637</v>
      </c>
      <c r="E283" s="141">
        <v>2.9</v>
      </c>
      <c r="F283" s="142" t="s">
        <v>675</v>
      </c>
      <c r="G283" s="152" t="s">
        <v>688</v>
      </c>
    </row>
    <row r="284" spans="1:7" ht="15.6" x14ac:dyDescent="0.3">
      <c r="A284" s="137">
        <v>1</v>
      </c>
      <c r="B284" s="138">
        <v>3</v>
      </c>
      <c r="C284" s="139">
        <v>1080</v>
      </c>
      <c r="D284" s="140" t="s">
        <v>638</v>
      </c>
      <c r="E284" s="141">
        <v>54.2</v>
      </c>
      <c r="F284" s="142" t="s">
        <v>676</v>
      </c>
      <c r="G284" s="152" t="s">
        <v>689</v>
      </c>
    </row>
    <row r="285" spans="1:7" ht="15.6" x14ac:dyDescent="0.3">
      <c r="A285" s="137">
        <v>1</v>
      </c>
      <c r="B285" s="138">
        <v>3</v>
      </c>
      <c r="C285" s="139">
        <v>1080</v>
      </c>
      <c r="D285" s="140" t="s">
        <v>639</v>
      </c>
      <c r="E285" s="141">
        <v>2.2000000000000002</v>
      </c>
      <c r="F285" s="142" t="s">
        <v>677</v>
      </c>
      <c r="G285" s="152" t="s">
        <v>690</v>
      </c>
    </row>
    <row r="286" spans="1:7" ht="15.6" x14ac:dyDescent="0.3">
      <c r="A286" s="137">
        <v>1</v>
      </c>
      <c r="B286" s="138">
        <v>3</v>
      </c>
      <c r="C286" s="139">
        <v>1080</v>
      </c>
      <c r="D286" s="140" t="s">
        <v>640</v>
      </c>
      <c r="E286" s="141">
        <v>1.5</v>
      </c>
      <c r="F286" s="142" t="s">
        <v>678</v>
      </c>
      <c r="G286" s="152" t="s">
        <v>691</v>
      </c>
    </row>
    <row r="287" spans="1:7" ht="15.6" x14ac:dyDescent="0.3">
      <c r="A287" s="137">
        <v>1</v>
      </c>
      <c r="B287" s="138">
        <v>3</v>
      </c>
      <c r="C287" s="139">
        <v>1080</v>
      </c>
      <c r="D287" s="140" t="s">
        <v>641</v>
      </c>
      <c r="E287" s="141">
        <v>3.7</v>
      </c>
      <c r="F287" s="142" t="s">
        <v>679</v>
      </c>
      <c r="G287" s="152" t="s">
        <v>692</v>
      </c>
    </row>
    <row r="288" spans="1:7" ht="15.6" x14ac:dyDescent="0.3">
      <c r="A288" s="137">
        <v>1</v>
      </c>
      <c r="B288" s="138">
        <v>3</v>
      </c>
      <c r="C288" s="139">
        <v>1081</v>
      </c>
      <c r="D288" s="140" t="s">
        <v>637</v>
      </c>
      <c r="E288" s="141">
        <v>11.4</v>
      </c>
      <c r="F288" s="142" t="s">
        <v>675</v>
      </c>
      <c r="G288" s="152" t="s">
        <v>688</v>
      </c>
    </row>
    <row r="289" spans="1:7" ht="15.6" x14ac:dyDescent="0.3">
      <c r="A289" s="137">
        <v>1</v>
      </c>
      <c r="B289" s="138">
        <v>3</v>
      </c>
      <c r="C289" s="139">
        <v>1081</v>
      </c>
      <c r="D289" s="140" t="s">
        <v>638</v>
      </c>
      <c r="E289" s="141">
        <v>85.7</v>
      </c>
      <c r="F289" s="142" t="s">
        <v>676</v>
      </c>
      <c r="G289" s="152" t="s">
        <v>689</v>
      </c>
    </row>
    <row r="290" spans="1:7" ht="15.6" x14ac:dyDescent="0.3">
      <c r="A290" s="137">
        <v>1</v>
      </c>
      <c r="B290" s="138">
        <v>3</v>
      </c>
      <c r="C290" s="139">
        <v>1081</v>
      </c>
      <c r="D290" s="140" t="s">
        <v>639</v>
      </c>
      <c r="E290" s="141">
        <v>0.7</v>
      </c>
      <c r="F290" s="142" t="s">
        <v>677</v>
      </c>
      <c r="G290" s="152" t="s">
        <v>690</v>
      </c>
    </row>
    <row r="291" spans="1:7" ht="15.6" x14ac:dyDescent="0.3">
      <c r="A291" s="137">
        <v>1</v>
      </c>
      <c r="B291" s="138">
        <v>3</v>
      </c>
      <c r="C291" s="139">
        <v>1081</v>
      </c>
      <c r="D291" s="140" t="s">
        <v>640</v>
      </c>
      <c r="E291" s="141">
        <v>4.5999999999999996</v>
      </c>
      <c r="F291" s="142" t="s">
        <v>678</v>
      </c>
      <c r="G291" s="152" t="s">
        <v>691</v>
      </c>
    </row>
    <row r="292" spans="1:7" ht="15.6" x14ac:dyDescent="0.3">
      <c r="A292" s="137">
        <v>1</v>
      </c>
      <c r="B292" s="138">
        <v>3</v>
      </c>
      <c r="C292" s="139">
        <v>1081</v>
      </c>
      <c r="D292" s="140" t="s">
        <v>641</v>
      </c>
      <c r="E292" s="141">
        <v>3</v>
      </c>
      <c r="F292" s="142" t="s">
        <v>679</v>
      </c>
      <c r="G292" s="152" t="s">
        <v>692</v>
      </c>
    </row>
    <row r="293" spans="1:7" ht="15.6" x14ac:dyDescent="0.3">
      <c r="A293" s="137">
        <v>1</v>
      </c>
      <c r="B293" s="138">
        <v>3</v>
      </c>
      <c r="C293" s="139">
        <v>1082</v>
      </c>
      <c r="D293" s="140" t="s">
        <v>637</v>
      </c>
      <c r="E293" s="141">
        <v>6.7</v>
      </c>
      <c r="F293" s="142" t="s">
        <v>675</v>
      </c>
      <c r="G293" s="152" t="s">
        <v>688</v>
      </c>
    </row>
    <row r="294" spans="1:7" ht="15.6" x14ac:dyDescent="0.3">
      <c r="A294" s="137">
        <v>1</v>
      </c>
      <c r="B294" s="138">
        <v>3</v>
      </c>
      <c r="C294" s="139">
        <v>1082</v>
      </c>
      <c r="D294" s="140" t="s">
        <v>638</v>
      </c>
      <c r="E294" s="141">
        <v>87.1</v>
      </c>
      <c r="F294" s="142" t="s">
        <v>676</v>
      </c>
      <c r="G294" s="152" t="s">
        <v>689</v>
      </c>
    </row>
    <row r="295" spans="1:7" ht="15.6" x14ac:dyDescent="0.3">
      <c r="A295" s="137">
        <v>1</v>
      </c>
      <c r="B295" s="138">
        <v>3</v>
      </c>
      <c r="C295" s="139">
        <v>1082</v>
      </c>
      <c r="D295" s="140" t="s">
        <v>639</v>
      </c>
      <c r="E295" s="141">
        <v>4.9000000000000004</v>
      </c>
      <c r="F295" s="142" t="s">
        <v>677</v>
      </c>
      <c r="G295" s="152" t="s">
        <v>690</v>
      </c>
    </row>
    <row r="296" spans="1:7" ht="15.6" x14ac:dyDescent="0.3">
      <c r="A296" s="137">
        <v>1</v>
      </c>
      <c r="B296" s="138">
        <v>3</v>
      </c>
      <c r="C296" s="139">
        <v>1082</v>
      </c>
      <c r="D296" s="140" t="s">
        <v>640</v>
      </c>
      <c r="E296" s="141">
        <v>4.3</v>
      </c>
      <c r="F296" s="142" t="s">
        <v>678</v>
      </c>
      <c r="G296" s="152" t="s">
        <v>691</v>
      </c>
    </row>
    <row r="297" spans="1:7" ht="15.6" x14ac:dyDescent="0.3">
      <c r="A297" s="137">
        <v>1</v>
      </c>
      <c r="B297" s="138">
        <v>3</v>
      </c>
      <c r="C297" s="139">
        <v>1082</v>
      </c>
      <c r="D297" s="140" t="s">
        <v>641</v>
      </c>
      <c r="E297" s="141">
        <v>5.2</v>
      </c>
      <c r="F297" s="142" t="s">
        <v>679</v>
      </c>
      <c r="G297" s="152" t="s">
        <v>692</v>
      </c>
    </row>
    <row r="298" spans="1:7" ht="15.6" x14ac:dyDescent="0.3">
      <c r="A298" s="137">
        <v>1</v>
      </c>
      <c r="B298" s="138">
        <v>3</v>
      </c>
      <c r="C298" s="139">
        <v>1083</v>
      </c>
      <c r="D298" s="140" t="s">
        <v>637</v>
      </c>
      <c r="E298" s="141">
        <v>9.4</v>
      </c>
      <c r="F298" s="142" t="s">
        <v>675</v>
      </c>
      <c r="G298" s="152" t="s">
        <v>688</v>
      </c>
    </row>
    <row r="299" spans="1:7" ht="15.6" x14ac:dyDescent="0.3">
      <c r="A299" s="137">
        <v>1</v>
      </c>
      <c r="B299" s="138">
        <v>3</v>
      </c>
      <c r="C299" s="139">
        <v>1083</v>
      </c>
      <c r="D299" s="140" t="s">
        <v>638</v>
      </c>
      <c r="E299" s="141">
        <v>81.5</v>
      </c>
      <c r="F299" s="142" t="s">
        <v>676</v>
      </c>
      <c r="G299" s="152" t="s">
        <v>689</v>
      </c>
    </row>
    <row r="300" spans="1:7" ht="15.6" x14ac:dyDescent="0.3">
      <c r="A300" s="137">
        <v>1</v>
      </c>
      <c r="B300" s="138">
        <v>3</v>
      </c>
      <c r="C300" s="139">
        <v>1083</v>
      </c>
      <c r="D300" s="140" t="s">
        <v>639</v>
      </c>
      <c r="E300" s="141">
        <v>3.5</v>
      </c>
      <c r="F300" s="142" t="s">
        <v>677</v>
      </c>
      <c r="G300" s="152" t="s">
        <v>690</v>
      </c>
    </row>
    <row r="301" spans="1:7" ht="15.6" x14ac:dyDescent="0.3">
      <c r="A301" s="137">
        <v>1</v>
      </c>
      <c r="B301" s="138">
        <v>3</v>
      </c>
      <c r="C301" s="139">
        <v>1083</v>
      </c>
      <c r="D301" s="140" t="s">
        <v>640</v>
      </c>
      <c r="E301" s="141">
        <v>5.8</v>
      </c>
      <c r="F301" s="142" t="s">
        <v>678</v>
      </c>
      <c r="G301" s="152" t="s">
        <v>691</v>
      </c>
    </row>
    <row r="302" spans="1:7" ht="15.6" x14ac:dyDescent="0.3">
      <c r="A302" s="137">
        <v>1</v>
      </c>
      <c r="B302" s="138">
        <v>3</v>
      </c>
      <c r="C302" s="139">
        <v>1083</v>
      </c>
      <c r="D302" s="140" t="s">
        <v>641</v>
      </c>
      <c r="E302" s="141">
        <v>4.7</v>
      </c>
      <c r="F302" s="142" t="s">
        <v>679</v>
      </c>
      <c r="G302" s="152" t="s">
        <v>692</v>
      </c>
    </row>
    <row r="303" spans="1:7" ht="15.6" x14ac:dyDescent="0.3">
      <c r="A303" s="137">
        <v>1</v>
      </c>
      <c r="B303" s="138">
        <v>3</v>
      </c>
      <c r="C303" s="139">
        <v>1084</v>
      </c>
      <c r="D303" s="140" t="s">
        <v>637</v>
      </c>
      <c r="E303" s="141">
        <v>8</v>
      </c>
      <c r="F303" s="142" t="s">
        <v>675</v>
      </c>
      <c r="G303" s="152" t="s">
        <v>688</v>
      </c>
    </row>
    <row r="304" spans="1:7" ht="15.6" x14ac:dyDescent="0.3">
      <c r="A304" s="137">
        <v>1</v>
      </c>
      <c r="B304" s="138">
        <v>3</v>
      </c>
      <c r="C304" s="139">
        <v>1084</v>
      </c>
      <c r="D304" s="140" t="s">
        <v>638</v>
      </c>
      <c r="E304" s="141">
        <v>83.4</v>
      </c>
      <c r="F304" s="142" t="s">
        <v>676</v>
      </c>
      <c r="G304" s="152" t="s">
        <v>689</v>
      </c>
    </row>
    <row r="305" spans="1:7" ht="15.6" x14ac:dyDescent="0.3">
      <c r="A305" s="137">
        <v>1</v>
      </c>
      <c r="B305" s="138">
        <v>3</v>
      </c>
      <c r="C305" s="139">
        <v>1084</v>
      </c>
      <c r="D305" s="140" t="s">
        <v>639</v>
      </c>
      <c r="E305" s="141">
        <v>3.5</v>
      </c>
      <c r="F305" s="142" t="s">
        <v>677</v>
      </c>
      <c r="G305" s="152" t="s">
        <v>690</v>
      </c>
    </row>
    <row r="306" spans="1:7" ht="15.6" x14ac:dyDescent="0.3">
      <c r="A306" s="137">
        <v>1</v>
      </c>
      <c r="B306" s="138">
        <v>3</v>
      </c>
      <c r="C306" s="139">
        <v>1084</v>
      </c>
      <c r="D306" s="140" t="s">
        <v>640</v>
      </c>
      <c r="E306" s="141">
        <v>5.7</v>
      </c>
      <c r="F306" s="142" t="s">
        <v>678</v>
      </c>
      <c r="G306" s="152" t="s">
        <v>691</v>
      </c>
    </row>
    <row r="307" spans="1:7" ht="15.6" x14ac:dyDescent="0.3">
      <c r="A307" s="137">
        <v>1</v>
      </c>
      <c r="B307" s="138">
        <v>3</v>
      </c>
      <c r="C307" s="139">
        <v>1084</v>
      </c>
      <c r="D307" s="140" t="s">
        <v>641</v>
      </c>
      <c r="E307" s="141">
        <v>5.2</v>
      </c>
      <c r="F307" s="142" t="s">
        <v>679</v>
      </c>
      <c r="G307" s="152" t="s">
        <v>692</v>
      </c>
    </row>
    <row r="308" spans="1:7" ht="15.6" x14ac:dyDescent="0.3">
      <c r="A308" s="137">
        <v>1</v>
      </c>
      <c r="B308" s="138">
        <v>3</v>
      </c>
      <c r="C308" s="139">
        <v>1085</v>
      </c>
      <c r="D308" s="140" t="s">
        <v>637</v>
      </c>
      <c r="E308" s="141">
        <v>8</v>
      </c>
      <c r="F308" s="142" t="s">
        <v>675</v>
      </c>
      <c r="G308" s="152" t="s">
        <v>688</v>
      </c>
    </row>
    <row r="309" spans="1:7" ht="15.6" x14ac:dyDescent="0.3">
      <c r="A309" s="137">
        <v>1</v>
      </c>
      <c r="B309" s="138">
        <v>3</v>
      </c>
      <c r="C309" s="139">
        <v>1085</v>
      </c>
      <c r="D309" s="140" t="s">
        <v>638</v>
      </c>
      <c r="E309" s="141">
        <v>86.1</v>
      </c>
      <c r="F309" s="142" t="s">
        <v>676</v>
      </c>
      <c r="G309" s="152" t="s">
        <v>689</v>
      </c>
    </row>
    <row r="310" spans="1:7" ht="15.6" x14ac:dyDescent="0.3">
      <c r="A310" s="137">
        <v>1</v>
      </c>
      <c r="B310" s="138">
        <v>3</v>
      </c>
      <c r="C310" s="139">
        <v>1085</v>
      </c>
      <c r="D310" s="140" t="s">
        <v>639</v>
      </c>
      <c r="E310" s="141">
        <v>3.7</v>
      </c>
      <c r="F310" s="142" t="s">
        <v>677</v>
      </c>
      <c r="G310" s="152" t="s">
        <v>690</v>
      </c>
    </row>
    <row r="311" spans="1:7" ht="15.6" x14ac:dyDescent="0.3">
      <c r="A311" s="137">
        <v>1</v>
      </c>
      <c r="B311" s="138">
        <v>3</v>
      </c>
      <c r="C311" s="139">
        <v>1085</v>
      </c>
      <c r="D311" s="140" t="s">
        <v>640</v>
      </c>
      <c r="E311" s="141">
        <v>10.9</v>
      </c>
      <c r="F311" s="142" t="s">
        <v>678</v>
      </c>
      <c r="G311" s="152" t="s">
        <v>691</v>
      </c>
    </row>
    <row r="312" spans="1:7" ht="15.6" x14ac:dyDescent="0.3">
      <c r="A312" s="137">
        <v>1</v>
      </c>
      <c r="B312" s="138">
        <v>3</v>
      </c>
      <c r="C312" s="139">
        <v>1086</v>
      </c>
      <c r="D312" s="140" t="s">
        <v>639</v>
      </c>
      <c r="E312" s="141">
        <v>2</v>
      </c>
      <c r="F312" s="142" t="s">
        <v>677</v>
      </c>
      <c r="G312" s="152" t="s">
        <v>690</v>
      </c>
    </row>
    <row r="313" spans="1:7" ht="15.6" x14ac:dyDescent="0.3">
      <c r="A313" s="137">
        <v>1</v>
      </c>
      <c r="B313" s="138">
        <v>3</v>
      </c>
      <c r="C313" s="139">
        <v>1086</v>
      </c>
      <c r="D313" s="140" t="s">
        <v>642</v>
      </c>
      <c r="E313" s="141">
        <v>71.7</v>
      </c>
      <c r="F313" s="142" t="s">
        <v>678</v>
      </c>
      <c r="G313" s="152" t="s">
        <v>693</v>
      </c>
    </row>
    <row r="314" spans="1:7" ht="15.6" x14ac:dyDescent="0.3">
      <c r="A314" s="137">
        <v>1</v>
      </c>
      <c r="B314" s="138">
        <v>3</v>
      </c>
      <c r="C314" s="139">
        <v>1086</v>
      </c>
      <c r="D314" s="140" t="s">
        <v>643</v>
      </c>
      <c r="E314" s="141">
        <v>10.6</v>
      </c>
      <c r="F314" s="142" t="s">
        <v>675</v>
      </c>
      <c r="G314" s="152" t="s">
        <v>693</v>
      </c>
    </row>
    <row r="315" spans="1:7" ht="31.2" x14ac:dyDescent="0.3">
      <c r="A315" s="137">
        <v>1</v>
      </c>
      <c r="B315" s="138">
        <v>3</v>
      </c>
      <c r="C315" s="139">
        <v>1087</v>
      </c>
      <c r="D315" s="140" t="s">
        <v>646</v>
      </c>
      <c r="E315" s="141">
        <v>2.1</v>
      </c>
      <c r="F315" s="142" t="s">
        <v>680</v>
      </c>
      <c r="G315" s="152" t="s">
        <v>696</v>
      </c>
    </row>
    <row r="316" spans="1:7" ht="15.6" x14ac:dyDescent="0.3">
      <c r="A316" s="137">
        <v>1</v>
      </c>
      <c r="B316" s="138">
        <v>3</v>
      </c>
      <c r="C316" s="139">
        <v>1087</v>
      </c>
      <c r="D316" s="140" t="s">
        <v>652</v>
      </c>
      <c r="E316" s="141">
        <v>3.2</v>
      </c>
      <c r="F316" s="142" t="s">
        <v>676</v>
      </c>
      <c r="G316" s="152" t="s">
        <v>695</v>
      </c>
    </row>
    <row r="317" spans="1:7" ht="31.2" x14ac:dyDescent="0.3">
      <c r="A317" s="137">
        <v>1</v>
      </c>
      <c r="B317" s="138">
        <v>3</v>
      </c>
      <c r="C317" s="139">
        <v>1087</v>
      </c>
      <c r="D317" s="140" t="s">
        <v>657</v>
      </c>
      <c r="E317" s="141">
        <v>14.5</v>
      </c>
      <c r="F317" s="142" t="s">
        <v>680</v>
      </c>
      <c r="G317" s="152" t="s">
        <v>694</v>
      </c>
    </row>
    <row r="318" spans="1:7" ht="15.6" x14ac:dyDescent="0.3">
      <c r="A318" s="137">
        <v>1</v>
      </c>
      <c r="B318" s="138">
        <v>3</v>
      </c>
      <c r="C318" s="139">
        <v>1087</v>
      </c>
      <c r="D318" s="140" t="s">
        <v>650</v>
      </c>
      <c r="E318" s="141">
        <v>3.1</v>
      </c>
      <c r="F318" s="142" t="s">
        <v>677</v>
      </c>
      <c r="G318" s="152" t="s">
        <v>700</v>
      </c>
    </row>
    <row r="319" spans="1:7" ht="15.6" x14ac:dyDescent="0.3">
      <c r="A319" s="137">
        <v>1</v>
      </c>
      <c r="B319" s="138">
        <v>3</v>
      </c>
      <c r="C319" s="139">
        <v>1087</v>
      </c>
      <c r="D319" s="140" t="s">
        <v>651</v>
      </c>
      <c r="E319" s="141">
        <v>9.1999999999999993</v>
      </c>
      <c r="F319" s="142" t="s">
        <v>678</v>
      </c>
      <c r="G319" s="152" t="s">
        <v>694</v>
      </c>
    </row>
    <row r="320" spans="1:7" ht="15.6" x14ac:dyDescent="0.3">
      <c r="A320" s="137">
        <v>1</v>
      </c>
      <c r="B320" s="138">
        <v>3</v>
      </c>
      <c r="C320" s="139">
        <v>1087</v>
      </c>
      <c r="D320" s="140" t="s">
        <v>649</v>
      </c>
      <c r="E320" s="141">
        <v>24.5</v>
      </c>
      <c r="F320" s="142" t="s">
        <v>679</v>
      </c>
      <c r="G320" s="152" t="s">
        <v>699</v>
      </c>
    </row>
    <row r="321" spans="1:7" ht="15.6" x14ac:dyDescent="0.3">
      <c r="A321" s="137">
        <v>1</v>
      </c>
      <c r="B321" s="138">
        <v>3</v>
      </c>
      <c r="C321" s="139">
        <v>1088</v>
      </c>
      <c r="D321" s="140" t="s">
        <v>652</v>
      </c>
      <c r="E321" s="141">
        <v>24.2</v>
      </c>
      <c r="F321" s="142" t="s">
        <v>676</v>
      </c>
      <c r="G321" s="152" t="s">
        <v>695</v>
      </c>
    </row>
    <row r="322" spans="1:7" ht="46.8" x14ac:dyDescent="0.3">
      <c r="A322" s="137">
        <v>1</v>
      </c>
      <c r="B322" s="138">
        <v>3</v>
      </c>
      <c r="C322" s="139">
        <v>1088</v>
      </c>
      <c r="D322" s="140" t="s">
        <v>658</v>
      </c>
      <c r="E322" s="141">
        <v>4.8</v>
      </c>
      <c r="F322" s="142" t="s">
        <v>684</v>
      </c>
      <c r="G322" s="152" t="s">
        <v>708</v>
      </c>
    </row>
    <row r="323" spans="1:7" ht="15.6" x14ac:dyDescent="0.3">
      <c r="A323" s="137">
        <v>1</v>
      </c>
      <c r="B323" s="138">
        <v>3</v>
      </c>
      <c r="C323" s="139">
        <v>1088</v>
      </c>
      <c r="D323" s="140" t="s">
        <v>642</v>
      </c>
      <c r="E323" s="141">
        <v>4.2</v>
      </c>
      <c r="F323" s="142" t="s">
        <v>678</v>
      </c>
      <c r="G323" s="152" t="s">
        <v>693</v>
      </c>
    </row>
    <row r="324" spans="1:7" ht="15.6" x14ac:dyDescent="0.3">
      <c r="A324" s="137">
        <v>1</v>
      </c>
      <c r="B324" s="138">
        <v>3</v>
      </c>
      <c r="C324" s="139">
        <v>1088</v>
      </c>
      <c r="D324" s="140" t="s">
        <v>648</v>
      </c>
      <c r="E324" s="141">
        <v>23.3</v>
      </c>
      <c r="F324" s="142" t="s">
        <v>678</v>
      </c>
      <c r="G324" s="152" t="s">
        <v>698</v>
      </c>
    </row>
    <row r="325" spans="1:7" ht="15.6" x14ac:dyDescent="0.3">
      <c r="A325" s="137">
        <v>1</v>
      </c>
      <c r="B325" s="138">
        <v>3</v>
      </c>
      <c r="C325" s="139">
        <v>1089</v>
      </c>
      <c r="D325" s="140" t="s">
        <v>645</v>
      </c>
      <c r="E325" s="141">
        <v>8.9</v>
      </c>
      <c r="F325" s="142" t="s">
        <v>675</v>
      </c>
      <c r="G325" s="152" t="s">
        <v>695</v>
      </c>
    </row>
    <row r="326" spans="1:7" ht="31.2" x14ac:dyDescent="0.3">
      <c r="A326" s="137">
        <v>1</v>
      </c>
      <c r="B326" s="138">
        <v>3</v>
      </c>
      <c r="C326" s="139">
        <v>1089</v>
      </c>
      <c r="D326" s="140" t="s">
        <v>653</v>
      </c>
      <c r="E326" s="141">
        <v>1.6</v>
      </c>
      <c r="F326" s="142" t="s">
        <v>682</v>
      </c>
      <c r="G326" s="152" t="s">
        <v>693</v>
      </c>
    </row>
    <row r="327" spans="1:7" ht="31.2" x14ac:dyDescent="0.3">
      <c r="A327" s="137">
        <v>1</v>
      </c>
      <c r="B327" s="138">
        <v>3</v>
      </c>
      <c r="C327" s="139">
        <v>1089</v>
      </c>
      <c r="D327" s="140" t="s">
        <v>646</v>
      </c>
      <c r="E327" s="141">
        <v>3.2</v>
      </c>
      <c r="F327" s="142" t="s">
        <v>680</v>
      </c>
      <c r="G327" s="152" t="s">
        <v>696</v>
      </c>
    </row>
    <row r="328" spans="1:7" ht="15.6" x14ac:dyDescent="0.3">
      <c r="A328" s="137">
        <v>1</v>
      </c>
      <c r="B328" s="138">
        <v>3</v>
      </c>
      <c r="C328" s="139">
        <v>1089</v>
      </c>
      <c r="D328" s="140" t="s">
        <v>652</v>
      </c>
      <c r="E328" s="141">
        <v>4.3</v>
      </c>
      <c r="F328" s="142" t="s">
        <v>676</v>
      </c>
      <c r="G328" s="152" t="s">
        <v>695</v>
      </c>
    </row>
    <row r="329" spans="1:7" ht="46.8" x14ac:dyDescent="0.3">
      <c r="A329" s="137">
        <v>1</v>
      </c>
      <c r="B329" s="138">
        <v>3</v>
      </c>
      <c r="C329" s="139">
        <v>1089</v>
      </c>
      <c r="D329" s="140" t="s">
        <v>658</v>
      </c>
      <c r="E329" s="141">
        <v>1.2</v>
      </c>
      <c r="F329" s="142" t="s">
        <v>684</v>
      </c>
      <c r="G329" s="152" t="s">
        <v>708</v>
      </c>
    </row>
    <row r="330" spans="1:7" ht="15.6" x14ac:dyDescent="0.3">
      <c r="A330" s="137">
        <v>1</v>
      </c>
      <c r="B330" s="138">
        <v>3</v>
      </c>
      <c r="C330" s="139">
        <v>1089</v>
      </c>
      <c r="D330" s="140" t="s">
        <v>639</v>
      </c>
      <c r="E330" s="141">
        <v>0.3</v>
      </c>
      <c r="F330" s="142" t="s">
        <v>677</v>
      </c>
      <c r="G330" s="152" t="s">
        <v>690</v>
      </c>
    </row>
    <row r="331" spans="1:7" ht="15.6" x14ac:dyDescent="0.3">
      <c r="A331" s="137">
        <v>1</v>
      </c>
      <c r="B331" s="138">
        <v>3</v>
      </c>
      <c r="C331" s="139">
        <v>1089</v>
      </c>
      <c r="D331" s="140" t="s">
        <v>650</v>
      </c>
      <c r="E331" s="141">
        <v>1.8</v>
      </c>
      <c r="F331" s="142" t="s">
        <v>677</v>
      </c>
      <c r="G331" s="152" t="s">
        <v>700</v>
      </c>
    </row>
    <row r="332" spans="1:7" ht="15.6" x14ac:dyDescent="0.3">
      <c r="A332" s="137">
        <v>1</v>
      </c>
      <c r="B332" s="138">
        <v>3</v>
      </c>
      <c r="C332" s="139">
        <v>1089</v>
      </c>
      <c r="D332" s="140" t="s">
        <v>655</v>
      </c>
      <c r="E332" s="141">
        <v>17.3</v>
      </c>
      <c r="F332" s="142" t="s">
        <v>679</v>
      </c>
      <c r="G332" s="152" t="s">
        <v>701</v>
      </c>
    </row>
    <row r="333" spans="1:7" ht="15.6" x14ac:dyDescent="0.3">
      <c r="A333" s="137">
        <v>1</v>
      </c>
      <c r="B333" s="138">
        <v>3</v>
      </c>
      <c r="C333" s="139">
        <v>1090</v>
      </c>
      <c r="D333" s="140" t="s">
        <v>652</v>
      </c>
      <c r="E333" s="141">
        <v>2.1</v>
      </c>
      <c r="F333" s="142" t="s">
        <v>676</v>
      </c>
      <c r="G333" s="152" t="s">
        <v>695</v>
      </c>
    </row>
    <row r="334" spans="1:7" ht="31.2" x14ac:dyDescent="0.3">
      <c r="A334" s="137">
        <v>1</v>
      </c>
      <c r="B334" s="138">
        <v>3</v>
      </c>
      <c r="C334" s="139">
        <v>1090</v>
      </c>
      <c r="D334" s="140" t="s">
        <v>657</v>
      </c>
      <c r="E334" s="141">
        <v>20.6</v>
      </c>
      <c r="F334" s="142" t="s">
        <v>680</v>
      </c>
      <c r="G334" s="152" t="s">
        <v>694</v>
      </c>
    </row>
    <row r="335" spans="1:7" ht="15.6" x14ac:dyDescent="0.3">
      <c r="A335" s="137">
        <v>1</v>
      </c>
      <c r="B335" s="138">
        <v>3</v>
      </c>
      <c r="C335" s="139">
        <v>1090</v>
      </c>
      <c r="D335" s="140" t="s">
        <v>650</v>
      </c>
      <c r="E335" s="141">
        <v>1.9</v>
      </c>
      <c r="F335" s="142" t="s">
        <v>677</v>
      </c>
      <c r="G335" s="152" t="s">
        <v>700</v>
      </c>
    </row>
    <row r="336" spans="1:7" ht="15.6" x14ac:dyDescent="0.3">
      <c r="A336" s="137">
        <v>1</v>
      </c>
      <c r="B336" s="138">
        <v>3</v>
      </c>
      <c r="C336" s="139">
        <v>1090</v>
      </c>
      <c r="D336" s="140" t="s">
        <v>642</v>
      </c>
      <c r="E336" s="141">
        <v>1.9</v>
      </c>
      <c r="F336" s="142" t="s">
        <v>678</v>
      </c>
      <c r="G336" s="152" t="s">
        <v>693</v>
      </c>
    </row>
    <row r="337" spans="1:7" ht="15.6" x14ac:dyDescent="0.3">
      <c r="A337" s="137">
        <v>1</v>
      </c>
      <c r="B337" s="138">
        <v>3</v>
      </c>
      <c r="C337" s="139">
        <v>1090</v>
      </c>
      <c r="D337" s="140" t="s">
        <v>651</v>
      </c>
      <c r="E337" s="141">
        <v>10.6</v>
      </c>
      <c r="F337" s="142" t="s">
        <v>678</v>
      </c>
      <c r="G337" s="152" t="s">
        <v>694</v>
      </c>
    </row>
    <row r="338" spans="1:7" ht="15.6" x14ac:dyDescent="0.3">
      <c r="A338" s="137">
        <v>1</v>
      </c>
      <c r="B338" s="138">
        <v>3</v>
      </c>
      <c r="C338" s="139">
        <v>1090</v>
      </c>
      <c r="D338" s="140" t="s">
        <v>649</v>
      </c>
      <c r="E338" s="141">
        <v>29</v>
      </c>
      <c r="F338" s="142" t="s">
        <v>679</v>
      </c>
      <c r="G338" s="152" t="s">
        <v>699</v>
      </c>
    </row>
    <row r="339" spans="1:7" ht="15.6" x14ac:dyDescent="0.3">
      <c r="A339" s="137">
        <v>1</v>
      </c>
      <c r="B339" s="138">
        <v>3</v>
      </c>
      <c r="C339" s="139">
        <v>1091</v>
      </c>
      <c r="D339" s="140" t="s">
        <v>637</v>
      </c>
      <c r="E339" s="141">
        <v>5.7</v>
      </c>
      <c r="F339" s="142" t="s">
        <v>675</v>
      </c>
      <c r="G339" s="152" t="s">
        <v>688</v>
      </c>
    </row>
    <row r="340" spans="1:7" ht="15.6" x14ac:dyDescent="0.3">
      <c r="A340" s="137">
        <v>1</v>
      </c>
      <c r="B340" s="138">
        <v>3</v>
      </c>
      <c r="C340" s="139">
        <v>1091</v>
      </c>
      <c r="D340" s="140" t="s">
        <v>638</v>
      </c>
      <c r="E340" s="141">
        <v>10.6</v>
      </c>
      <c r="F340" s="142" t="s">
        <v>676</v>
      </c>
      <c r="G340" s="152" t="s">
        <v>689</v>
      </c>
    </row>
    <row r="341" spans="1:7" ht="15.6" x14ac:dyDescent="0.3">
      <c r="A341" s="137">
        <v>1</v>
      </c>
      <c r="B341" s="138">
        <v>3</v>
      </c>
      <c r="C341" s="139">
        <v>1091</v>
      </c>
      <c r="D341" s="140" t="s">
        <v>652</v>
      </c>
      <c r="E341" s="141">
        <v>4.2</v>
      </c>
      <c r="F341" s="142" t="s">
        <v>676</v>
      </c>
      <c r="G341" s="152" t="s">
        <v>695</v>
      </c>
    </row>
    <row r="342" spans="1:7" ht="15.6" x14ac:dyDescent="0.3">
      <c r="A342" s="137">
        <v>1</v>
      </c>
      <c r="B342" s="138">
        <v>3</v>
      </c>
      <c r="C342" s="139">
        <v>1091</v>
      </c>
      <c r="D342" s="140" t="s">
        <v>639</v>
      </c>
      <c r="E342" s="141">
        <v>1.9</v>
      </c>
      <c r="F342" s="142" t="s">
        <v>677</v>
      </c>
      <c r="G342" s="152" t="s">
        <v>690</v>
      </c>
    </row>
    <row r="343" spans="1:7" ht="15.6" x14ac:dyDescent="0.3">
      <c r="A343" s="137">
        <v>1</v>
      </c>
      <c r="B343" s="138">
        <v>3</v>
      </c>
      <c r="C343" s="139">
        <v>1091</v>
      </c>
      <c r="D343" s="140" t="s">
        <v>642</v>
      </c>
      <c r="E343" s="141">
        <v>22.9</v>
      </c>
      <c r="F343" s="142" t="s">
        <v>678</v>
      </c>
      <c r="G343" s="152" t="s">
        <v>693</v>
      </c>
    </row>
    <row r="344" spans="1:7" ht="15.6" x14ac:dyDescent="0.3">
      <c r="A344" s="137">
        <v>1</v>
      </c>
      <c r="B344" s="138">
        <v>3</v>
      </c>
      <c r="C344" s="139">
        <v>1092</v>
      </c>
      <c r="D344" s="140" t="s">
        <v>645</v>
      </c>
      <c r="E344" s="141">
        <v>10.4</v>
      </c>
      <c r="F344" s="142" t="s">
        <v>675</v>
      </c>
      <c r="G344" s="152" t="s">
        <v>695</v>
      </c>
    </row>
    <row r="345" spans="1:7" ht="31.2" x14ac:dyDescent="0.3">
      <c r="A345" s="137">
        <v>1</v>
      </c>
      <c r="B345" s="138">
        <v>3</v>
      </c>
      <c r="C345" s="139">
        <v>1092</v>
      </c>
      <c r="D345" s="140" t="s">
        <v>653</v>
      </c>
      <c r="E345" s="141">
        <v>1.9</v>
      </c>
      <c r="F345" s="142" t="s">
        <v>682</v>
      </c>
      <c r="G345" s="152" t="s">
        <v>693</v>
      </c>
    </row>
    <row r="346" spans="1:7" ht="31.2" x14ac:dyDescent="0.3">
      <c r="A346" s="137">
        <v>1</v>
      </c>
      <c r="B346" s="138">
        <v>3</v>
      </c>
      <c r="C346" s="139">
        <v>1092</v>
      </c>
      <c r="D346" s="140" t="s">
        <v>646</v>
      </c>
      <c r="E346" s="141">
        <v>1</v>
      </c>
      <c r="F346" s="142" t="s">
        <v>680</v>
      </c>
      <c r="G346" s="152" t="s">
        <v>696</v>
      </c>
    </row>
    <row r="347" spans="1:7" ht="31.2" x14ac:dyDescent="0.3">
      <c r="A347" s="137">
        <v>1</v>
      </c>
      <c r="B347" s="138">
        <v>3</v>
      </c>
      <c r="C347" s="139">
        <v>1092</v>
      </c>
      <c r="D347" s="140" t="s">
        <v>657</v>
      </c>
      <c r="E347" s="141">
        <v>5.2</v>
      </c>
      <c r="F347" s="142" t="s">
        <v>680</v>
      </c>
      <c r="G347" s="152" t="s">
        <v>694</v>
      </c>
    </row>
    <row r="348" spans="1:7" ht="46.8" x14ac:dyDescent="0.3">
      <c r="A348" s="137">
        <v>1</v>
      </c>
      <c r="B348" s="138">
        <v>3</v>
      </c>
      <c r="C348" s="139">
        <v>1092</v>
      </c>
      <c r="D348" s="140" t="s">
        <v>658</v>
      </c>
      <c r="E348" s="141">
        <v>0.9</v>
      </c>
      <c r="F348" s="142" t="s">
        <v>684</v>
      </c>
      <c r="G348" s="152" t="s">
        <v>708</v>
      </c>
    </row>
    <row r="349" spans="1:7" ht="15.6" x14ac:dyDescent="0.3">
      <c r="A349" s="137">
        <v>1</v>
      </c>
      <c r="B349" s="138">
        <v>3</v>
      </c>
      <c r="C349" s="139">
        <v>1092</v>
      </c>
      <c r="D349" s="140" t="s">
        <v>642</v>
      </c>
      <c r="E349" s="141">
        <v>1.9</v>
      </c>
      <c r="F349" s="142" t="s">
        <v>678</v>
      </c>
      <c r="G349" s="152" t="s">
        <v>693</v>
      </c>
    </row>
    <row r="350" spans="1:7" ht="15.6" x14ac:dyDescent="0.3">
      <c r="A350" s="137">
        <v>1</v>
      </c>
      <c r="B350" s="138">
        <v>3</v>
      </c>
      <c r="C350" s="139">
        <v>1092</v>
      </c>
      <c r="D350" s="140" t="s">
        <v>648</v>
      </c>
      <c r="E350" s="141">
        <v>8.1</v>
      </c>
      <c r="F350" s="142" t="s">
        <v>678</v>
      </c>
      <c r="G350" s="152" t="s">
        <v>698</v>
      </c>
    </row>
    <row r="351" spans="1:7" ht="15.6" x14ac:dyDescent="0.3">
      <c r="A351" s="137">
        <v>1</v>
      </c>
      <c r="B351" s="138">
        <v>3</v>
      </c>
      <c r="C351" s="139">
        <v>1092</v>
      </c>
      <c r="D351" s="140" t="s">
        <v>655</v>
      </c>
      <c r="E351" s="141">
        <v>5.2</v>
      </c>
      <c r="F351" s="142" t="s">
        <v>679</v>
      </c>
      <c r="G351" s="152" t="s">
        <v>701</v>
      </c>
    </row>
    <row r="352" spans="1:7" ht="15.6" x14ac:dyDescent="0.3">
      <c r="A352" s="137">
        <v>1</v>
      </c>
      <c r="B352" s="138">
        <v>3</v>
      </c>
      <c r="C352" s="139">
        <v>1093</v>
      </c>
      <c r="D352" s="140" t="s">
        <v>652</v>
      </c>
      <c r="E352" s="141">
        <v>3.1</v>
      </c>
      <c r="F352" s="142" t="s">
        <v>676</v>
      </c>
      <c r="G352" s="152" t="s">
        <v>695</v>
      </c>
    </row>
    <row r="353" spans="1:7" ht="15.6" x14ac:dyDescent="0.3">
      <c r="A353" s="137">
        <v>1</v>
      </c>
      <c r="B353" s="138">
        <v>3</v>
      </c>
      <c r="C353" s="139">
        <v>1093</v>
      </c>
      <c r="D353" s="140" t="s">
        <v>647</v>
      </c>
      <c r="E353" s="141">
        <v>1.9</v>
      </c>
      <c r="F353" s="142" t="s">
        <v>681</v>
      </c>
      <c r="G353" s="152" t="s">
        <v>697</v>
      </c>
    </row>
    <row r="354" spans="1:7" ht="15.6" x14ac:dyDescent="0.3">
      <c r="A354" s="137">
        <v>1</v>
      </c>
      <c r="B354" s="138">
        <v>3</v>
      </c>
      <c r="C354" s="139">
        <v>1093</v>
      </c>
      <c r="D354" s="140" t="s">
        <v>648</v>
      </c>
      <c r="E354" s="141">
        <v>11</v>
      </c>
      <c r="F354" s="142" t="s">
        <v>678</v>
      </c>
      <c r="G354" s="152" t="s">
        <v>698</v>
      </c>
    </row>
    <row r="355" spans="1:7" ht="15.6" x14ac:dyDescent="0.3">
      <c r="A355" s="137">
        <v>1</v>
      </c>
      <c r="B355" s="138">
        <v>3</v>
      </c>
      <c r="C355" s="139">
        <v>1093</v>
      </c>
      <c r="D355" s="140" t="s">
        <v>655</v>
      </c>
      <c r="E355" s="141">
        <v>18.3</v>
      </c>
      <c r="F355" s="142" t="s">
        <v>679</v>
      </c>
      <c r="G355" s="152" t="s">
        <v>701</v>
      </c>
    </row>
    <row r="356" spans="1:7" ht="15.6" x14ac:dyDescent="0.3">
      <c r="A356" s="137">
        <v>1</v>
      </c>
      <c r="B356" s="138">
        <v>3</v>
      </c>
      <c r="C356" s="139">
        <v>1094</v>
      </c>
      <c r="D356" s="140" t="s">
        <v>637</v>
      </c>
      <c r="E356" s="141">
        <v>39.5</v>
      </c>
      <c r="F356" s="142" t="s">
        <v>675</v>
      </c>
      <c r="G356" s="152" t="s">
        <v>688</v>
      </c>
    </row>
    <row r="357" spans="1:7" ht="15.6" x14ac:dyDescent="0.3">
      <c r="A357" s="137">
        <v>1</v>
      </c>
      <c r="B357" s="138">
        <v>3</v>
      </c>
      <c r="C357" s="139">
        <v>1094</v>
      </c>
      <c r="D357" s="140" t="s">
        <v>638</v>
      </c>
      <c r="E357" s="141">
        <v>220.4</v>
      </c>
      <c r="F357" s="142" t="s">
        <v>676</v>
      </c>
      <c r="G357" s="152" t="s">
        <v>689</v>
      </c>
    </row>
    <row r="358" spans="1:7" ht="15.6" x14ac:dyDescent="0.3">
      <c r="A358" s="137">
        <v>1</v>
      </c>
      <c r="B358" s="138">
        <v>3</v>
      </c>
      <c r="C358" s="139">
        <v>1094</v>
      </c>
      <c r="D358" s="140" t="s">
        <v>639</v>
      </c>
      <c r="E358" s="141">
        <v>9.3000000000000007</v>
      </c>
      <c r="F358" s="142" t="s">
        <v>677</v>
      </c>
      <c r="G358" s="152" t="s">
        <v>690</v>
      </c>
    </row>
    <row r="359" spans="1:7" ht="15.6" x14ac:dyDescent="0.3">
      <c r="A359" s="137">
        <v>1</v>
      </c>
      <c r="B359" s="138">
        <v>3</v>
      </c>
      <c r="C359" s="139">
        <v>1094</v>
      </c>
      <c r="D359" s="140" t="s">
        <v>640</v>
      </c>
      <c r="E359" s="141">
        <v>52.3</v>
      </c>
      <c r="F359" s="142" t="s">
        <v>678</v>
      </c>
      <c r="G359" s="152" t="s">
        <v>691</v>
      </c>
    </row>
    <row r="360" spans="1:7" ht="15.6" x14ac:dyDescent="0.3">
      <c r="A360" s="137">
        <v>1</v>
      </c>
      <c r="B360" s="138">
        <v>3</v>
      </c>
      <c r="C360" s="140" t="s">
        <v>662</v>
      </c>
      <c r="D360" s="140" t="s">
        <v>637</v>
      </c>
      <c r="E360" s="141">
        <v>10.8</v>
      </c>
      <c r="F360" s="142" t="s">
        <v>675</v>
      </c>
      <c r="G360" s="152" t="s">
        <v>688</v>
      </c>
    </row>
    <row r="361" spans="1:7" ht="15.6" x14ac:dyDescent="0.3">
      <c r="A361" s="137">
        <v>1</v>
      </c>
      <c r="B361" s="138">
        <v>3</v>
      </c>
      <c r="C361" s="140" t="s">
        <v>662</v>
      </c>
      <c r="D361" s="140" t="s">
        <v>638</v>
      </c>
      <c r="E361" s="141">
        <v>88.1</v>
      </c>
      <c r="F361" s="142" t="s">
        <v>676</v>
      </c>
      <c r="G361" s="152" t="s">
        <v>689</v>
      </c>
    </row>
    <row r="362" spans="1:7" ht="15.6" x14ac:dyDescent="0.3">
      <c r="A362" s="137">
        <v>1</v>
      </c>
      <c r="B362" s="138">
        <v>3</v>
      </c>
      <c r="C362" s="140" t="s">
        <v>662</v>
      </c>
      <c r="D362" s="140" t="s">
        <v>639</v>
      </c>
      <c r="E362" s="141">
        <v>8.3000000000000007</v>
      </c>
      <c r="F362" s="142" t="s">
        <v>677</v>
      </c>
      <c r="G362" s="152" t="s">
        <v>690</v>
      </c>
    </row>
    <row r="363" spans="1:7" ht="15.6" x14ac:dyDescent="0.3">
      <c r="A363" s="137">
        <v>1</v>
      </c>
      <c r="B363" s="138">
        <v>3</v>
      </c>
      <c r="C363" s="140" t="s">
        <v>662</v>
      </c>
      <c r="D363" s="140" t="s">
        <v>640</v>
      </c>
      <c r="E363" s="141">
        <v>48.3</v>
      </c>
      <c r="F363" s="142" t="s">
        <v>678</v>
      </c>
      <c r="G363" s="152" t="s">
        <v>691</v>
      </c>
    </row>
    <row r="364" spans="1:7" ht="15.6" x14ac:dyDescent="0.3">
      <c r="A364" s="137">
        <v>1</v>
      </c>
      <c r="B364" s="138">
        <v>3</v>
      </c>
      <c r="C364" s="139">
        <v>1095</v>
      </c>
      <c r="D364" s="140" t="s">
        <v>639</v>
      </c>
      <c r="E364" s="141">
        <v>3.8</v>
      </c>
      <c r="F364" s="142" t="s">
        <v>677</v>
      </c>
      <c r="G364" s="152" t="s">
        <v>690</v>
      </c>
    </row>
    <row r="365" spans="1:7" ht="15.6" x14ac:dyDescent="0.3">
      <c r="A365" s="137">
        <v>1</v>
      </c>
      <c r="B365" s="138">
        <v>3</v>
      </c>
      <c r="C365" s="139">
        <v>1095</v>
      </c>
      <c r="D365" s="140" t="s">
        <v>642</v>
      </c>
      <c r="E365" s="141">
        <v>57.3</v>
      </c>
      <c r="F365" s="142" t="s">
        <v>678</v>
      </c>
      <c r="G365" s="152" t="s">
        <v>693</v>
      </c>
    </row>
    <row r="366" spans="1:7" ht="15.6" x14ac:dyDescent="0.3">
      <c r="A366" s="137">
        <v>1</v>
      </c>
      <c r="B366" s="138">
        <v>3</v>
      </c>
      <c r="C366" s="139">
        <v>1095</v>
      </c>
      <c r="D366" s="140" t="s">
        <v>643</v>
      </c>
      <c r="E366" s="141">
        <v>17</v>
      </c>
      <c r="F366" s="142" t="s">
        <v>675</v>
      </c>
      <c r="G366" s="152" t="s">
        <v>693</v>
      </c>
    </row>
    <row r="367" spans="1:7" ht="15.6" x14ac:dyDescent="0.3">
      <c r="A367" s="137">
        <v>1</v>
      </c>
      <c r="B367" s="138">
        <v>3</v>
      </c>
      <c r="C367" s="139">
        <v>1097</v>
      </c>
      <c r="D367" s="140" t="s">
        <v>637</v>
      </c>
      <c r="E367" s="141">
        <v>14.5</v>
      </c>
      <c r="F367" s="142" t="s">
        <v>675</v>
      </c>
      <c r="G367" s="152" t="s">
        <v>688</v>
      </c>
    </row>
    <row r="368" spans="1:7" ht="15.6" x14ac:dyDescent="0.3">
      <c r="A368" s="137">
        <v>1</v>
      </c>
      <c r="B368" s="138">
        <v>3</v>
      </c>
      <c r="C368" s="139">
        <v>1097</v>
      </c>
      <c r="D368" s="140" t="s">
        <v>645</v>
      </c>
      <c r="E368" s="141">
        <v>3</v>
      </c>
      <c r="F368" s="142" t="s">
        <v>675</v>
      </c>
      <c r="G368" s="152" t="s">
        <v>695</v>
      </c>
    </row>
    <row r="369" spans="1:7" ht="31.2" x14ac:dyDescent="0.3">
      <c r="A369" s="137">
        <v>1</v>
      </c>
      <c r="B369" s="138">
        <v>3</v>
      </c>
      <c r="C369" s="139">
        <v>1097</v>
      </c>
      <c r="D369" s="140" t="s">
        <v>646</v>
      </c>
      <c r="E369" s="141">
        <v>5.2</v>
      </c>
      <c r="F369" s="142" t="s">
        <v>680</v>
      </c>
      <c r="G369" s="152" t="s">
        <v>696</v>
      </c>
    </row>
    <row r="370" spans="1:7" ht="15.6" x14ac:dyDescent="0.3">
      <c r="A370" s="137">
        <v>1</v>
      </c>
      <c r="B370" s="138">
        <v>3</v>
      </c>
      <c r="C370" s="139">
        <v>1097</v>
      </c>
      <c r="D370" s="140" t="s">
        <v>638</v>
      </c>
      <c r="E370" s="141">
        <v>21.4</v>
      </c>
      <c r="F370" s="142" t="s">
        <v>676</v>
      </c>
      <c r="G370" s="152" t="s">
        <v>689</v>
      </c>
    </row>
    <row r="371" spans="1:7" ht="31.2" x14ac:dyDescent="0.3">
      <c r="A371" s="137">
        <v>1</v>
      </c>
      <c r="B371" s="138">
        <v>3</v>
      </c>
      <c r="C371" s="139">
        <v>1097</v>
      </c>
      <c r="D371" s="140" t="s">
        <v>657</v>
      </c>
      <c r="E371" s="141">
        <v>4.2</v>
      </c>
      <c r="F371" s="142" t="s">
        <v>680</v>
      </c>
      <c r="G371" s="152" t="s">
        <v>694</v>
      </c>
    </row>
    <row r="372" spans="1:7" ht="46.8" x14ac:dyDescent="0.3">
      <c r="A372" s="137">
        <v>1</v>
      </c>
      <c r="B372" s="138">
        <v>3</v>
      </c>
      <c r="C372" s="139">
        <v>1097</v>
      </c>
      <c r="D372" s="140" t="s">
        <v>658</v>
      </c>
      <c r="E372" s="141">
        <v>0.8</v>
      </c>
      <c r="F372" s="142" t="s">
        <v>684</v>
      </c>
      <c r="G372" s="152" t="s">
        <v>708</v>
      </c>
    </row>
    <row r="373" spans="1:7" ht="15.6" x14ac:dyDescent="0.3">
      <c r="A373" s="137">
        <v>1</v>
      </c>
      <c r="B373" s="138">
        <v>3</v>
      </c>
      <c r="C373" s="139">
        <v>1097</v>
      </c>
      <c r="D373" s="140" t="s">
        <v>641</v>
      </c>
      <c r="E373" s="141">
        <v>12.6</v>
      </c>
      <c r="F373" s="142" t="s">
        <v>679</v>
      </c>
      <c r="G373" s="152" t="s">
        <v>692</v>
      </c>
    </row>
    <row r="374" spans="1:7" ht="15.6" x14ac:dyDescent="0.3">
      <c r="A374" s="137">
        <v>1</v>
      </c>
      <c r="B374" s="138">
        <v>3</v>
      </c>
      <c r="C374" s="139">
        <v>1097</v>
      </c>
      <c r="D374" s="140" t="s">
        <v>649</v>
      </c>
      <c r="E374" s="141">
        <v>14.1</v>
      </c>
      <c r="F374" s="142" t="s">
        <v>679</v>
      </c>
      <c r="G374" s="152" t="s">
        <v>699</v>
      </c>
    </row>
    <row r="375" spans="1:7" ht="15.6" x14ac:dyDescent="0.3">
      <c r="A375" s="137">
        <v>1</v>
      </c>
      <c r="B375" s="138">
        <v>3</v>
      </c>
      <c r="C375" s="139">
        <v>1097</v>
      </c>
      <c r="D375" s="140" t="s">
        <v>655</v>
      </c>
      <c r="E375" s="141">
        <v>12.6</v>
      </c>
      <c r="F375" s="142" t="s">
        <v>679</v>
      </c>
      <c r="G375" s="152" t="s">
        <v>701</v>
      </c>
    </row>
    <row r="376" spans="1:7" ht="15.6" x14ac:dyDescent="0.3">
      <c r="A376" s="137">
        <v>1</v>
      </c>
      <c r="B376" s="138">
        <v>3</v>
      </c>
      <c r="C376" s="139">
        <v>1098</v>
      </c>
      <c r="D376" s="140" t="s">
        <v>663</v>
      </c>
      <c r="E376" s="141">
        <v>20.5</v>
      </c>
      <c r="F376" s="142" t="s">
        <v>677</v>
      </c>
      <c r="G376" s="152" t="s">
        <v>711</v>
      </c>
    </row>
    <row r="377" spans="1:7" ht="15.6" x14ac:dyDescent="0.3">
      <c r="A377" s="137">
        <v>1</v>
      </c>
      <c r="B377" s="138">
        <v>3</v>
      </c>
      <c r="C377" s="139">
        <v>1100</v>
      </c>
      <c r="D377" s="140" t="s">
        <v>645</v>
      </c>
      <c r="E377" s="141">
        <v>18.3</v>
      </c>
      <c r="F377" s="142" t="s">
        <v>675</v>
      </c>
      <c r="G377" s="152" t="s">
        <v>695</v>
      </c>
    </row>
    <row r="378" spans="1:7" ht="15.6" x14ac:dyDescent="0.3">
      <c r="A378" s="137">
        <v>1</v>
      </c>
      <c r="B378" s="138">
        <v>3</v>
      </c>
      <c r="C378" s="139">
        <v>1100</v>
      </c>
      <c r="D378" s="140" t="s">
        <v>652</v>
      </c>
      <c r="E378" s="141">
        <v>7.1</v>
      </c>
      <c r="F378" s="142" t="s">
        <v>676</v>
      </c>
      <c r="G378" s="152" t="s">
        <v>695</v>
      </c>
    </row>
    <row r="379" spans="1:7" ht="15.6" x14ac:dyDescent="0.3">
      <c r="A379" s="137">
        <v>1</v>
      </c>
      <c r="B379" s="138">
        <v>3</v>
      </c>
      <c r="C379" s="139">
        <v>1100</v>
      </c>
      <c r="D379" s="140" t="s">
        <v>655</v>
      </c>
      <c r="E379" s="141">
        <v>9</v>
      </c>
      <c r="F379" s="142" t="s">
        <v>679</v>
      </c>
      <c r="G379" s="152" t="s">
        <v>701</v>
      </c>
    </row>
    <row r="380" spans="1:7" ht="15.6" x14ac:dyDescent="0.3">
      <c r="A380" s="137">
        <v>2</v>
      </c>
      <c r="B380" s="138">
        <v>1</v>
      </c>
      <c r="C380" s="139">
        <v>2001</v>
      </c>
      <c r="D380" s="140" t="s">
        <v>637</v>
      </c>
      <c r="E380" s="141">
        <v>20</v>
      </c>
      <c r="F380" s="142" t="s">
        <v>675</v>
      </c>
      <c r="G380" s="152" t="s">
        <v>712</v>
      </c>
    </row>
    <row r="381" spans="1:7" ht="15.6" x14ac:dyDescent="0.3">
      <c r="A381" s="137">
        <v>2</v>
      </c>
      <c r="B381" s="138">
        <v>1</v>
      </c>
      <c r="C381" s="139">
        <v>2001</v>
      </c>
      <c r="D381" s="140" t="s">
        <v>638</v>
      </c>
      <c r="E381" s="141">
        <v>45.3</v>
      </c>
      <c r="F381" s="142" t="s">
        <v>676</v>
      </c>
      <c r="G381" s="152" t="s">
        <v>713</v>
      </c>
    </row>
    <row r="382" spans="1:7" ht="15.6" x14ac:dyDescent="0.3">
      <c r="A382" s="137">
        <v>2</v>
      </c>
      <c r="B382" s="138">
        <v>1</v>
      </c>
      <c r="C382" s="139">
        <v>2001</v>
      </c>
      <c r="D382" s="140" t="s">
        <v>639</v>
      </c>
      <c r="E382" s="141">
        <v>9.4</v>
      </c>
      <c r="F382" s="142" t="s">
        <v>677</v>
      </c>
      <c r="G382" s="152" t="s">
        <v>714</v>
      </c>
    </row>
    <row r="383" spans="1:7" ht="15.6" x14ac:dyDescent="0.3">
      <c r="A383" s="137">
        <v>2</v>
      </c>
      <c r="B383" s="138">
        <v>1</v>
      </c>
      <c r="C383" s="139">
        <v>2001</v>
      </c>
      <c r="D383" s="140" t="s">
        <v>640</v>
      </c>
      <c r="E383" s="141">
        <v>36.4</v>
      </c>
      <c r="F383" s="142" t="s">
        <v>678</v>
      </c>
      <c r="G383" s="152" t="s">
        <v>715</v>
      </c>
    </row>
    <row r="384" spans="1:7" ht="15.6" x14ac:dyDescent="0.3">
      <c r="A384" s="137">
        <v>2</v>
      </c>
      <c r="B384" s="138">
        <v>1</v>
      </c>
      <c r="C384" s="139">
        <v>2001</v>
      </c>
      <c r="D384" s="140" t="s">
        <v>641</v>
      </c>
      <c r="E384" s="141">
        <v>13.8</v>
      </c>
      <c r="F384" s="142" t="s">
        <v>679</v>
      </c>
      <c r="G384" s="152" t="s">
        <v>716</v>
      </c>
    </row>
    <row r="385" spans="1:7" ht="15.6" x14ac:dyDescent="0.3">
      <c r="A385" s="137">
        <v>2</v>
      </c>
      <c r="B385" s="138">
        <v>1</v>
      </c>
      <c r="C385" s="139">
        <v>2002</v>
      </c>
      <c r="D385" s="140" t="s">
        <v>637</v>
      </c>
      <c r="E385" s="141">
        <v>10.9</v>
      </c>
      <c r="F385" s="142" t="s">
        <v>675</v>
      </c>
      <c r="G385" s="152" t="s">
        <v>712</v>
      </c>
    </row>
    <row r="386" spans="1:7" ht="15.6" x14ac:dyDescent="0.3">
      <c r="A386" s="137">
        <v>2</v>
      </c>
      <c r="B386" s="138">
        <v>1</v>
      </c>
      <c r="C386" s="139">
        <v>2002</v>
      </c>
      <c r="D386" s="140" t="s">
        <v>638</v>
      </c>
      <c r="E386" s="141">
        <v>82.6</v>
      </c>
      <c r="F386" s="142" t="s">
        <v>676</v>
      </c>
      <c r="G386" s="152" t="s">
        <v>713</v>
      </c>
    </row>
    <row r="387" spans="1:7" ht="15.6" x14ac:dyDescent="0.3">
      <c r="A387" s="137">
        <v>2</v>
      </c>
      <c r="B387" s="138">
        <v>1</v>
      </c>
      <c r="C387" s="139">
        <v>2002</v>
      </c>
      <c r="D387" s="140" t="s">
        <v>639</v>
      </c>
      <c r="E387" s="141">
        <v>5.0999999999999996</v>
      </c>
      <c r="F387" s="142" t="s">
        <v>677</v>
      </c>
      <c r="G387" s="152" t="s">
        <v>714</v>
      </c>
    </row>
    <row r="388" spans="1:7" ht="15.6" x14ac:dyDescent="0.3">
      <c r="A388" s="137">
        <v>2</v>
      </c>
      <c r="B388" s="138">
        <v>1</v>
      </c>
      <c r="C388" s="139">
        <v>2002</v>
      </c>
      <c r="D388" s="140" t="s">
        <v>640</v>
      </c>
      <c r="E388" s="141">
        <v>8.6</v>
      </c>
      <c r="F388" s="142" t="s">
        <v>678</v>
      </c>
      <c r="G388" s="152" t="s">
        <v>715</v>
      </c>
    </row>
    <row r="389" spans="1:7" ht="15.6" x14ac:dyDescent="0.3">
      <c r="A389" s="137">
        <v>2</v>
      </c>
      <c r="B389" s="138">
        <v>1</v>
      </c>
      <c r="C389" s="139">
        <v>2002</v>
      </c>
      <c r="D389" s="140" t="s">
        <v>641</v>
      </c>
      <c r="E389" s="141">
        <v>3.9</v>
      </c>
      <c r="F389" s="142" t="s">
        <v>679</v>
      </c>
      <c r="G389" s="152" t="s">
        <v>716</v>
      </c>
    </row>
    <row r="390" spans="1:7" ht="15.6" x14ac:dyDescent="0.3">
      <c r="A390" s="137">
        <v>2</v>
      </c>
      <c r="B390" s="138">
        <v>1</v>
      </c>
      <c r="C390" s="139">
        <v>2003</v>
      </c>
      <c r="D390" s="140" t="s">
        <v>637</v>
      </c>
      <c r="E390" s="141">
        <v>12.3</v>
      </c>
      <c r="F390" s="142" t="s">
        <v>675</v>
      </c>
      <c r="G390" s="152" t="s">
        <v>712</v>
      </c>
    </row>
    <row r="391" spans="1:7" ht="15.6" x14ac:dyDescent="0.3">
      <c r="A391" s="137">
        <v>2</v>
      </c>
      <c r="B391" s="138">
        <v>1</v>
      </c>
      <c r="C391" s="139">
        <v>2003</v>
      </c>
      <c r="D391" s="140" t="s">
        <v>638</v>
      </c>
      <c r="E391" s="141">
        <v>26.2</v>
      </c>
      <c r="F391" s="142" t="s">
        <v>676</v>
      </c>
      <c r="G391" s="152" t="s">
        <v>713</v>
      </c>
    </row>
    <row r="392" spans="1:7" ht="15.6" x14ac:dyDescent="0.3">
      <c r="A392" s="137">
        <v>2</v>
      </c>
      <c r="B392" s="138">
        <v>1</v>
      </c>
      <c r="C392" s="139">
        <v>2003</v>
      </c>
      <c r="D392" s="140" t="s">
        <v>639</v>
      </c>
      <c r="E392" s="141">
        <v>6.7</v>
      </c>
      <c r="F392" s="142" t="s">
        <v>677</v>
      </c>
      <c r="G392" s="152" t="s">
        <v>714</v>
      </c>
    </row>
    <row r="393" spans="1:7" ht="15.6" x14ac:dyDescent="0.3">
      <c r="A393" s="137">
        <v>2</v>
      </c>
      <c r="B393" s="138">
        <v>1</v>
      </c>
      <c r="C393" s="139">
        <v>2003</v>
      </c>
      <c r="D393" s="140" t="s">
        <v>640</v>
      </c>
      <c r="E393" s="141">
        <v>31.5</v>
      </c>
      <c r="F393" s="142" t="s">
        <v>678</v>
      </c>
      <c r="G393" s="152" t="s">
        <v>715</v>
      </c>
    </row>
    <row r="394" spans="1:7" ht="15.6" x14ac:dyDescent="0.3">
      <c r="A394" s="137">
        <v>2</v>
      </c>
      <c r="B394" s="138">
        <v>1</v>
      </c>
      <c r="C394" s="139">
        <v>2003</v>
      </c>
      <c r="D394" s="140" t="s">
        <v>641</v>
      </c>
      <c r="E394" s="141">
        <v>3.9</v>
      </c>
      <c r="F394" s="142" t="s">
        <v>679</v>
      </c>
      <c r="G394" s="152" t="s">
        <v>716</v>
      </c>
    </row>
    <row r="395" spans="1:7" ht="15.6" x14ac:dyDescent="0.3">
      <c r="A395" s="137">
        <v>2</v>
      </c>
      <c r="B395" s="138">
        <v>1</v>
      </c>
      <c r="C395" s="139">
        <v>2004</v>
      </c>
      <c r="D395" s="140" t="s">
        <v>637</v>
      </c>
      <c r="E395" s="141">
        <v>10.9</v>
      </c>
      <c r="F395" s="142" t="s">
        <v>675</v>
      </c>
      <c r="G395" s="152" t="s">
        <v>712</v>
      </c>
    </row>
    <row r="396" spans="1:7" ht="15.6" x14ac:dyDescent="0.3">
      <c r="A396" s="137">
        <v>2</v>
      </c>
      <c r="B396" s="138">
        <v>1</v>
      </c>
      <c r="C396" s="139">
        <v>2004</v>
      </c>
      <c r="D396" s="140" t="s">
        <v>638</v>
      </c>
      <c r="E396" s="141">
        <v>55.5</v>
      </c>
      <c r="F396" s="142" t="s">
        <v>676</v>
      </c>
      <c r="G396" s="152" t="s">
        <v>713</v>
      </c>
    </row>
    <row r="397" spans="1:7" ht="15.6" x14ac:dyDescent="0.3">
      <c r="A397" s="137">
        <v>2</v>
      </c>
      <c r="B397" s="138">
        <v>1</v>
      </c>
      <c r="C397" s="139">
        <v>2004</v>
      </c>
      <c r="D397" s="140" t="s">
        <v>639</v>
      </c>
      <c r="E397" s="141">
        <v>6</v>
      </c>
      <c r="F397" s="142" t="s">
        <v>677</v>
      </c>
      <c r="G397" s="152" t="s">
        <v>714</v>
      </c>
    </row>
    <row r="398" spans="1:7" ht="15.6" x14ac:dyDescent="0.3">
      <c r="A398" s="137">
        <v>2</v>
      </c>
      <c r="B398" s="138">
        <v>1</v>
      </c>
      <c r="C398" s="139">
        <v>2004</v>
      </c>
      <c r="D398" s="140" t="s">
        <v>640</v>
      </c>
      <c r="E398" s="141">
        <v>33.799999999999997</v>
      </c>
      <c r="F398" s="142" t="s">
        <v>678</v>
      </c>
      <c r="G398" s="152" t="s">
        <v>715</v>
      </c>
    </row>
    <row r="399" spans="1:7" ht="15.6" x14ac:dyDescent="0.3">
      <c r="A399" s="137">
        <v>2</v>
      </c>
      <c r="B399" s="138">
        <v>1</v>
      </c>
      <c r="C399" s="139">
        <v>2004</v>
      </c>
      <c r="D399" s="140" t="s">
        <v>641</v>
      </c>
      <c r="E399" s="141">
        <v>4</v>
      </c>
      <c r="F399" s="142" t="s">
        <v>679</v>
      </c>
      <c r="G399" s="152" t="s">
        <v>716</v>
      </c>
    </row>
    <row r="400" spans="1:7" ht="15.6" x14ac:dyDescent="0.3">
      <c r="A400" s="137">
        <v>2</v>
      </c>
      <c r="B400" s="138">
        <v>1</v>
      </c>
      <c r="C400" s="139">
        <v>2005</v>
      </c>
      <c r="D400" s="140" t="s">
        <v>637</v>
      </c>
      <c r="E400" s="141">
        <v>15.9</v>
      </c>
      <c r="F400" s="142" t="s">
        <v>675</v>
      </c>
      <c r="G400" s="152" t="s">
        <v>712</v>
      </c>
    </row>
    <row r="401" spans="1:7" ht="15.6" x14ac:dyDescent="0.3">
      <c r="A401" s="137">
        <v>2</v>
      </c>
      <c r="B401" s="138">
        <v>1</v>
      </c>
      <c r="C401" s="139">
        <v>2005</v>
      </c>
      <c r="D401" s="140" t="s">
        <v>638</v>
      </c>
      <c r="E401" s="141">
        <v>47.1</v>
      </c>
      <c r="F401" s="142" t="s">
        <v>676</v>
      </c>
      <c r="G401" s="152" t="s">
        <v>713</v>
      </c>
    </row>
    <row r="402" spans="1:7" ht="15.6" x14ac:dyDescent="0.3">
      <c r="A402" s="137">
        <v>2</v>
      </c>
      <c r="B402" s="138">
        <v>1</v>
      </c>
      <c r="C402" s="139">
        <v>2005</v>
      </c>
      <c r="D402" s="140" t="s">
        <v>639</v>
      </c>
      <c r="E402" s="141">
        <v>3.8</v>
      </c>
      <c r="F402" s="142" t="s">
        <v>677</v>
      </c>
      <c r="G402" s="152" t="s">
        <v>714</v>
      </c>
    </row>
    <row r="403" spans="1:7" ht="15.6" x14ac:dyDescent="0.3">
      <c r="A403" s="137">
        <v>2</v>
      </c>
      <c r="B403" s="138">
        <v>1</v>
      </c>
      <c r="C403" s="139">
        <v>2005</v>
      </c>
      <c r="D403" s="140" t="s">
        <v>640</v>
      </c>
      <c r="E403" s="141">
        <v>38.5</v>
      </c>
      <c r="F403" s="142" t="s">
        <v>678</v>
      </c>
      <c r="G403" s="152" t="s">
        <v>715</v>
      </c>
    </row>
    <row r="404" spans="1:7" ht="15.6" x14ac:dyDescent="0.3">
      <c r="A404" s="137">
        <v>2</v>
      </c>
      <c r="B404" s="138">
        <v>1</v>
      </c>
      <c r="C404" s="139">
        <v>2005</v>
      </c>
      <c r="D404" s="140" t="s">
        <v>641</v>
      </c>
      <c r="E404" s="141">
        <v>3.6</v>
      </c>
      <c r="F404" s="142" t="s">
        <v>679</v>
      </c>
      <c r="G404" s="152" t="s">
        <v>716</v>
      </c>
    </row>
    <row r="405" spans="1:7" ht="15.6" x14ac:dyDescent="0.3">
      <c r="A405" s="137">
        <v>2</v>
      </c>
      <c r="B405" s="138">
        <v>1</v>
      </c>
      <c r="C405" s="139">
        <v>2006</v>
      </c>
      <c r="D405" s="140" t="s">
        <v>637</v>
      </c>
      <c r="E405" s="141">
        <v>15.6</v>
      </c>
      <c r="F405" s="142" t="s">
        <v>675</v>
      </c>
      <c r="G405" s="152" t="s">
        <v>712</v>
      </c>
    </row>
    <row r="406" spans="1:7" ht="15.6" x14ac:dyDescent="0.3">
      <c r="A406" s="137">
        <v>2</v>
      </c>
      <c r="B406" s="138">
        <v>1</v>
      </c>
      <c r="C406" s="139">
        <v>2006</v>
      </c>
      <c r="D406" s="140" t="s">
        <v>638</v>
      </c>
      <c r="E406" s="141">
        <v>49.5</v>
      </c>
      <c r="F406" s="142" t="s">
        <v>676</v>
      </c>
      <c r="G406" s="152" t="s">
        <v>713</v>
      </c>
    </row>
    <row r="407" spans="1:7" ht="15.6" x14ac:dyDescent="0.3">
      <c r="A407" s="137">
        <v>2</v>
      </c>
      <c r="B407" s="138">
        <v>1</v>
      </c>
      <c r="C407" s="139">
        <v>2006</v>
      </c>
      <c r="D407" s="140" t="s">
        <v>639</v>
      </c>
      <c r="E407" s="141">
        <v>8.9</v>
      </c>
      <c r="F407" s="142" t="s">
        <v>677</v>
      </c>
      <c r="G407" s="152" t="s">
        <v>714</v>
      </c>
    </row>
    <row r="408" spans="1:7" ht="15.6" x14ac:dyDescent="0.3">
      <c r="A408" s="137">
        <v>2</v>
      </c>
      <c r="B408" s="138">
        <v>1</v>
      </c>
      <c r="C408" s="139">
        <v>2006</v>
      </c>
      <c r="D408" s="140" t="s">
        <v>640</v>
      </c>
      <c r="E408" s="141">
        <v>65.7</v>
      </c>
      <c r="F408" s="142" t="s">
        <v>678</v>
      </c>
      <c r="G408" s="152" t="s">
        <v>715</v>
      </c>
    </row>
    <row r="409" spans="1:7" ht="15.6" x14ac:dyDescent="0.3">
      <c r="A409" s="137">
        <v>2</v>
      </c>
      <c r="B409" s="138">
        <v>1</v>
      </c>
      <c r="C409" s="139">
        <v>2006</v>
      </c>
      <c r="D409" s="140" t="s">
        <v>641</v>
      </c>
      <c r="E409" s="141">
        <v>7.1</v>
      </c>
      <c r="F409" s="142" t="s">
        <v>679</v>
      </c>
      <c r="G409" s="152" t="s">
        <v>716</v>
      </c>
    </row>
    <row r="410" spans="1:7" ht="15.6" x14ac:dyDescent="0.3">
      <c r="A410" s="137">
        <v>2</v>
      </c>
      <c r="B410" s="138">
        <v>1</v>
      </c>
      <c r="C410" s="139">
        <v>2007</v>
      </c>
      <c r="D410" s="140" t="s">
        <v>642</v>
      </c>
      <c r="E410" s="141">
        <v>91.6</v>
      </c>
      <c r="F410" s="142" t="s">
        <v>678</v>
      </c>
      <c r="G410" s="152" t="s">
        <v>715</v>
      </c>
    </row>
    <row r="411" spans="1:7" ht="15.6" x14ac:dyDescent="0.3">
      <c r="A411" s="137">
        <v>2</v>
      </c>
      <c r="B411" s="138">
        <v>1</v>
      </c>
      <c r="C411" s="139">
        <v>2008</v>
      </c>
      <c r="D411" s="140" t="s">
        <v>644</v>
      </c>
      <c r="E411" s="141">
        <v>3.5</v>
      </c>
      <c r="F411" s="142" t="s">
        <v>675</v>
      </c>
      <c r="G411" s="152" t="s">
        <v>712</v>
      </c>
    </row>
    <row r="412" spans="1:7" ht="15.6" x14ac:dyDescent="0.3">
      <c r="A412" s="137">
        <v>2</v>
      </c>
      <c r="B412" s="138">
        <v>1</v>
      </c>
      <c r="C412" s="139">
        <v>2008</v>
      </c>
      <c r="D412" s="140" t="s">
        <v>645</v>
      </c>
      <c r="E412" s="141">
        <v>2.4</v>
      </c>
      <c r="F412" s="142" t="s">
        <v>675</v>
      </c>
      <c r="G412" s="152" t="s">
        <v>712</v>
      </c>
    </row>
    <row r="413" spans="1:7" ht="31.2" x14ac:dyDescent="0.3">
      <c r="A413" s="137">
        <v>2</v>
      </c>
      <c r="B413" s="138">
        <v>1</v>
      </c>
      <c r="C413" s="139">
        <v>2008</v>
      </c>
      <c r="D413" s="140" t="s">
        <v>646</v>
      </c>
      <c r="E413" s="141">
        <v>1.3</v>
      </c>
      <c r="F413" s="142" t="s">
        <v>680</v>
      </c>
      <c r="G413" s="152" t="s">
        <v>712</v>
      </c>
    </row>
    <row r="414" spans="1:7" ht="15.6" x14ac:dyDescent="0.3">
      <c r="A414" s="137">
        <v>2</v>
      </c>
      <c r="B414" s="138">
        <v>1</v>
      </c>
      <c r="C414" s="139">
        <v>2008</v>
      </c>
      <c r="D414" s="140" t="s">
        <v>647</v>
      </c>
      <c r="E414" s="141">
        <v>2.2999999999999998</v>
      </c>
      <c r="F414" s="142" t="s">
        <v>681</v>
      </c>
      <c r="G414" s="152" t="s">
        <v>717</v>
      </c>
    </row>
    <row r="415" spans="1:7" ht="15.6" x14ac:dyDescent="0.3">
      <c r="A415" s="137">
        <v>2</v>
      </c>
      <c r="B415" s="138">
        <v>1</v>
      </c>
      <c r="C415" s="139">
        <v>2008</v>
      </c>
      <c r="D415" s="140" t="s">
        <v>648</v>
      </c>
      <c r="E415" s="141">
        <v>19.600000000000001</v>
      </c>
      <c r="F415" s="142" t="s">
        <v>678</v>
      </c>
      <c r="G415" s="152" t="s">
        <v>718</v>
      </c>
    </row>
    <row r="416" spans="1:7" ht="15.6" x14ac:dyDescent="0.3">
      <c r="A416" s="137">
        <v>2</v>
      </c>
      <c r="B416" s="138">
        <v>1</v>
      </c>
      <c r="C416" s="139">
        <v>2008</v>
      </c>
      <c r="D416" s="140" t="s">
        <v>649</v>
      </c>
      <c r="E416" s="141">
        <v>39.9</v>
      </c>
      <c r="F416" s="142" t="s">
        <v>679</v>
      </c>
      <c r="G416" s="152" t="s">
        <v>717</v>
      </c>
    </row>
    <row r="417" spans="1:7" ht="15.6" x14ac:dyDescent="0.3">
      <c r="A417" s="137">
        <v>2</v>
      </c>
      <c r="B417" s="138">
        <v>1</v>
      </c>
      <c r="C417" s="139">
        <v>2009</v>
      </c>
      <c r="D417" s="140" t="s">
        <v>645</v>
      </c>
      <c r="E417" s="141">
        <v>16.100000000000001</v>
      </c>
      <c r="F417" s="142" t="s">
        <v>675</v>
      </c>
      <c r="G417" s="152" t="s">
        <v>712</v>
      </c>
    </row>
    <row r="418" spans="1:7" ht="15.6" x14ac:dyDescent="0.3">
      <c r="A418" s="137">
        <v>2</v>
      </c>
      <c r="B418" s="138">
        <v>1</v>
      </c>
      <c r="C418" s="139">
        <v>2009</v>
      </c>
      <c r="D418" s="140" t="s">
        <v>650</v>
      </c>
      <c r="E418" s="141">
        <v>2.1</v>
      </c>
      <c r="F418" s="142" t="s">
        <v>677</v>
      </c>
      <c r="G418" s="152" t="s">
        <v>717</v>
      </c>
    </row>
    <row r="419" spans="1:7" ht="15.6" x14ac:dyDescent="0.3">
      <c r="A419" s="137">
        <v>2</v>
      </c>
      <c r="B419" s="138">
        <v>1</v>
      </c>
      <c r="C419" s="139">
        <v>2009</v>
      </c>
      <c r="D419" s="140" t="s">
        <v>651</v>
      </c>
      <c r="E419" s="141">
        <v>14.9</v>
      </c>
      <c r="F419" s="142" t="s">
        <v>678</v>
      </c>
      <c r="G419" s="152" t="s">
        <v>719</v>
      </c>
    </row>
    <row r="420" spans="1:7" ht="15.6" x14ac:dyDescent="0.3">
      <c r="A420" s="137">
        <v>2</v>
      </c>
      <c r="B420" s="138">
        <v>1</v>
      </c>
      <c r="C420" s="139">
        <v>2009</v>
      </c>
      <c r="D420" s="140" t="s">
        <v>655</v>
      </c>
      <c r="E420" s="141">
        <v>7</v>
      </c>
      <c r="F420" s="142" t="s">
        <v>679</v>
      </c>
      <c r="G420" s="152" t="s">
        <v>717</v>
      </c>
    </row>
    <row r="421" spans="1:7" ht="15.6" x14ac:dyDescent="0.3">
      <c r="A421" s="137">
        <v>2</v>
      </c>
      <c r="B421" s="138">
        <v>1</v>
      </c>
      <c r="C421" s="139">
        <v>2010</v>
      </c>
      <c r="D421" s="140" t="s">
        <v>639</v>
      </c>
      <c r="E421" s="141">
        <v>2.2000000000000002</v>
      </c>
      <c r="F421" s="142" t="s">
        <v>677</v>
      </c>
      <c r="G421" s="152" t="s">
        <v>714</v>
      </c>
    </row>
    <row r="422" spans="1:7" ht="15.6" x14ac:dyDescent="0.3">
      <c r="A422" s="137">
        <v>2</v>
      </c>
      <c r="B422" s="138">
        <v>1</v>
      </c>
      <c r="C422" s="139">
        <v>2010</v>
      </c>
      <c r="D422" s="140" t="s">
        <v>642</v>
      </c>
      <c r="E422" s="141">
        <v>51.2</v>
      </c>
      <c r="F422" s="142" t="s">
        <v>678</v>
      </c>
      <c r="G422" s="152" t="s">
        <v>715</v>
      </c>
    </row>
    <row r="423" spans="1:7" ht="15.6" x14ac:dyDescent="0.3">
      <c r="A423" s="137">
        <v>2</v>
      </c>
      <c r="B423" s="138">
        <v>1</v>
      </c>
      <c r="C423" s="139">
        <v>2011</v>
      </c>
      <c r="D423" s="140" t="s">
        <v>644</v>
      </c>
      <c r="E423" s="141">
        <v>6.1</v>
      </c>
      <c r="F423" s="142" t="s">
        <v>675</v>
      </c>
      <c r="G423" s="152" t="s">
        <v>712</v>
      </c>
    </row>
    <row r="424" spans="1:7" ht="15.6" x14ac:dyDescent="0.3">
      <c r="A424" s="137">
        <v>2</v>
      </c>
      <c r="B424" s="138">
        <v>1</v>
      </c>
      <c r="C424" s="139">
        <v>2011</v>
      </c>
      <c r="D424" s="140" t="s">
        <v>645</v>
      </c>
      <c r="E424" s="141">
        <v>2.5</v>
      </c>
      <c r="F424" s="142" t="s">
        <v>675</v>
      </c>
      <c r="G424" s="152" t="s">
        <v>712</v>
      </c>
    </row>
    <row r="425" spans="1:7" ht="15.6" x14ac:dyDescent="0.3">
      <c r="A425" s="137">
        <v>2</v>
      </c>
      <c r="B425" s="138">
        <v>1</v>
      </c>
      <c r="C425" s="139">
        <v>2011</v>
      </c>
      <c r="D425" s="140" t="s">
        <v>652</v>
      </c>
      <c r="E425" s="141">
        <v>19.5</v>
      </c>
      <c r="F425" s="142" t="s">
        <v>676</v>
      </c>
      <c r="G425" s="152" t="s">
        <v>712</v>
      </c>
    </row>
    <row r="426" spans="1:7" ht="15.6" x14ac:dyDescent="0.3">
      <c r="A426" s="137">
        <v>2</v>
      </c>
      <c r="B426" s="138">
        <v>1</v>
      </c>
      <c r="C426" s="139">
        <v>2011</v>
      </c>
      <c r="D426" s="140" t="s">
        <v>647</v>
      </c>
      <c r="E426" s="141">
        <v>2.1</v>
      </c>
      <c r="F426" s="142" t="s">
        <v>681</v>
      </c>
      <c r="G426" s="152" t="s">
        <v>717</v>
      </c>
    </row>
    <row r="427" spans="1:7" ht="15.6" x14ac:dyDescent="0.3">
      <c r="A427" s="137">
        <v>2</v>
      </c>
      <c r="B427" s="138">
        <v>1</v>
      </c>
      <c r="C427" s="139">
        <v>2011</v>
      </c>
      <c r="D427" s="140" t="s">
        <v>648</v>
      </c>
      <c r="E427" s="141">
        <v>3.1</v>
      </c>
      <c r="F427" s="142" t="s">
        <v>678</v>
      </c>
      <c r="G427" s="152" t="s">
        <v>718</v>
      </c>
    </row>
    <row r="428" spans="1:7" ht="15.6" x14ac:dyDescent="0.3">
      <c r="A428" s="137">
        <v>2</v>
      </c>
      <c r="B428" s="138">
        <v>1</v>
      </c>
      <c r="C428" s="139">
        <v>2011</v>
      </c>
      <c r="D428" s="140" t="s">
        <v>649</v>
      </c>
      <c r="E428" s="141">
        <v>39.1</v>
      </c>
      <c r="F428" s="142" t="s">
        <v>679</v>
      </c>
      <c r="G428" s="152" t="s">
        <v>717</v>
      </c>
    </row>
    <row r="429" spans="1:7" ht="15.6" x14ac:dyDescent="0.3">
      <c r="A429" s="137">
        <v>2</v>
      </c>
      <c r="B429" s="138">
        <v>1</v>
      </c>
      <c r="C429" s="139">
        <v>2012</v>
      </c>
      <c r="D429" s="140" t="s">
        <v>645</v>
      </c>
      <c r="E429" s="141">
        <v>22.8</v>
      </c>
      <c r="F429" s="142" t="s">
        <v>675</v>
      </c>
      <c r="G429" s="152" t="s">
        <v>712</v>
      </c>
    </row>
    <row r="430" spans="1:7" ht="15.6" x14ac:dyDescent="0.3">
      <c r="A430" s="137">
        <v>2</v>
      </c>
      <c r="B430" s="138">
        <v>1</v>
      </c>
      <c r="C430" s="139">
        <v>2012</v>
      </c>
      <c r="D430" s="140" t="s">
        <v>647</v>
      </c>
      <c r="E430" s="141">
        <v>1.6</v>
      </c>
      <c r="F430" s="142" t="s">
        <v>681</v>
      </c>
      <c r="G430" s="152" t="s">
        <v>717</v>
      </c>
    </row>
    <row r="431" spans="1:7" ht="15.6" x14ac:dyDescent="0.3">
      <c r="A431" s="137">
        <v>2</v>
      </c>
      <c r="B431" s="138">
        <v>1</v>
      </c>
      <c r="C431" s="139">
        <v>2012</v>
      </c>
      <c r="D431" s="140" t="s">
        <v>655</v>
      </c>
      <c r="E431" s="141">
        <v>5.9</v>
      </c>
      <c r="F431" s="142" t="s">
        <v>679</v>
      </c>
      <c r="G431" s="152" t="s">
        <v>717</v>
      </c>
    </row>
    <row r="432" spans="1:7" ht="15.6" x14ac:dyDescent="0.3">
      <c r="A432" s="137">
        <v>2</v>
      </c>
      <c r="B432" s="138">
        <v>1</v>
      </c>
      <c r="C432" s="139">
        <v>2013</v>
      </c>
      <c r="D432" s="140" t="s">
        <v>645</v>
      </c>
      <c r="E432" s="141">
        <v>14</v>
      </c>
      <c r="F432" s="142" t="s">
        <v>675</v>
      </c>
      <c r="G432" s="152" t="s">
        <v>712</v>
      </c>
    </row>
    <row r="433" spans="1:7" ht="15.6" x14ac:dyDescent="0.3">
      <c r="A433" s="137">
        <v>2</v>
      </c>
      <c r="B433" s="138">
        <v>1</v>
      </c>
      <c r="C433" s="139">
        <v>2013</v>
      </c>
      <c r="D433" s="140" t="s">
        <v>647</v>
      </c>
      <c r="E433" s="141">
        <v>1.6</v>
      </c>
      <c r="F433" s="142" t="s">
        <v>681</v>
      </c>
      <c r="G433" s="152" t="s">
        <v>717</v>
      </c>
    </row>
    <row r="434" spans="1:7" ht="15.6" x14ac:dyDescent="0.3">
      <c r="A434" s="137">
        <v>2</v>
      </c>
      <c r="B434" s="138">
        <v>1</v>
      </c>
      <c r="C434" s="139">
        <v>2013</v>
      </c>
      <c r="D434" s="140" t="s">
        <v>655</v>
      </c>
      <c r="E434" s="141">
        <v>18</v>
      </c>
      <c r="F434" s="142" t="s">
        <v>679</v>
      </c>
      <c r="G434" s="152" t="s">
        <v>717</v>
      </c>
    </row>
    <row r="435" spans="1:7" ht="15.6" x14ac:dyDescent="0.3">
      <c r="A435" s="137">
        <v>2</v>
      </c>
      <c r="B435" s="138">
        <v>1</v>
      </c>
      <c r="C435" s="139">
        <v>2014</v>
      </c>
      <c r="D435" s="140" t="s">
        <v>637</v>
      </c>
      <c r="E435" s="141">
        <v>51.5</v>
      </c>
      <c r="F435" s="142" t="s">
        <v>675</v>
      </c>
      <c r="G435" s="152" t="s">
        <v>712</v>
      </c>
    </row>
    <row r="436" spans="1:7" ht="15.6" x14ac:dyDescent="0.3">
      <c r="A436" s="137">
        <v>2</v>
      </c>
      <c r="B436" s="138">
        <v>1</v>
      </c>
      <c r="C436" s="139">
        <v>2014</v>
      </c>
      <c r="D436" s="140" t="s">
        <v>638</v>
      </c>
      <c r="E436" s="141">
        <v>84.2</v>
      </c>
      <c r="F436" s="142" t="s">
        <v>676</v>
      </c>
      <c r="G436" s="152" t="s">
        <v>713</v>
      </c>
    </row>
    <row r="437" spans="1:7" ht="15.6" x14ac:dyDescent="0.3">
      <c r="A437" s="137">
        <v>2</v>
      </c>
      <c r="B437" s="138">
        <v>1</v>
      </c>
      <c r="C437" s="139">
        <v>2014</v>
      </c>
      <c r="D437" s="140" t="s">
        <v>639</v>
      </c>
      <c r="E437" s="141">
        <v>7.8</v>
      </c>
      <c r="F437" s="142" t="s">
        <v>677</v>
      </c>
      <c r="G437" s="152" t="s">
        <v>714</v>
      </c>
    </row>
    <row r="438" spans="1:7" ht="15.6" x14ac:dyDescent="0.3">
      <c r="A438" s="137">
        <v>2</v>
      </c>
      <c r="B438" s="138">
        <v>1</v>
      </c>
      <c r="C438" s="139">
        <v>2014</v>
      </c>
      <c r="D438" s="140" t="s">
        <v>640</v>
      </c>
      <c r="E438" s="141">
        <v>92.2</v>
      </c>
      <c r="F438" s="142" t="s">
        <v>678</v>
      </c>
      <c r="G438" s="152" t="s">
        <v>715</v>
      </c>
    </row>
    <row r="439" spans="1:7" ht="15.6" x14ac:dyDescent="0.3">
      <c r="A439" s="137">
        <v>2</v>
      </c>
      <c r="B439" s="138">
        <v>1</v>
      </c>
      <c r="C439" s="139">
        <v>2015</v>
      </c>
      <c r="D439" s="140" t="s">
        <v>637</v>
      </c>
      <c r="E439" s="141">
        <v>79.599999999999994</v>
      </c>
      <c r="F439" s="142" t="s">
        <v>675</v>
      </c>
      <c r="G439" s="152" t="s">
        <v>712</v>
      </c>
    </row>
    <row r="440" spans="1:7" ht="15.6" x14ac:dyDescent="0.3">
      <c r="A440" s="137">
        <v>2</v>
      </c>
      <c r="B440" s="138">
        <v>1</v>
      </c>
      <c r="C440" s="139">
        <v>2015</v>
      </c>
      <c r="D440" s="140" t="s">
        <v>638</v>
      </c>
      <c r="E440" s="141">
        <v>164.4</v>
      </c>
      <c r="F440" s="142" t="s">
        <v>676</v>
      </c>
      <c r="G440" s="152" t="s">
        <v>713</v>
      </c>
    </row>
    <row r="441" spans="1:7" ht="15.6" x14ac:dyDescent="0.3">
      <c r="A441" s="137">
        <v>2</v>
      </c>
      <c r="B441" s="138">
        <v>1</v>
      </c>
      <c r="C441" s="139">
        <v>2015</v>
      </c>
      <c r="D441" s="140" t="s">
        <v>639</v>
      </c>
      <c r="E441" s="141">
        <v>5.9</v>
      </c>
      <c r="F441" s="142" t="s">
        <v>677</v>
      </c>
      <c r="G441" s="152" t="s">
        <v>714</v>
      </c>
    </row>
    <row r="442" spans="1:7" ht="15.6" x14ac:dyDescent="0.3">
      <c r="A442" s="137">
        <v>2</v>
      </c>
      <c r="B442" s="138">
        <v>1</v>
      </c>
      <c r="C442" s="139">
        <v>2015</v>
      </c>
      <c r="D442" s="140" t="s">
        <v>640</v>
      </c>
      <c r="E442" s="141">
        <v>45.8</v>
      </c>
      <c r="F442" s="142" t="s">
        <v>678</v>
      </c>
      <c r="G442" s="152" t="s">
        <v>715</v>
      </c>
    </row>
    <row r="443" spans="1:7" ht="15.6" x14ac:dyDescent="0.3">
      <c r="A443" s="137">
        <v>2</v>
      </c>
      <c r="B443" s="138">
        <v>2</v>
      </c>
      <c r="C443" s="139">
        <v>2016</v>
      </c>
      <c r="D443" s="140" t="s">
        <v>638</v>
      </c>
      <c r="E443" s="141">
        <v>20.5</v>
      </c>
      <c r="F443" s="142" t="s">
        <v>676</v>
      </c>
      <c r="G443" s="152" t="s">
        <v>713</v>
      </c>
    </row>
    <row r="444" spans="1:7" ht="15.6" x14ac:dyDescent="0.3">
      <c r="A444" s="137">
        <v>2</v>
      </c>
      <c r="B444" s="138">
        <v>2</v>
      </c>
      <c r="C444" s="139">
        <v>2016</v>
      </c>
      <c r="D444" s="140" t="s">
        <v>639</v>
      </c>
      <c r="E444" s="141">
        <v>3.5</v>
      </c>
      <c r="F444" s="142" t="s">
        <v>677</v>
      </c>
      <c r="G444" s="152" t="s">
        <v>714</v>
      </c>
    </row>
    <row r="445" spans="1:7" ht="15.6" x14ac:dyDescent="0.3">
      <c r="A445" s="137">
        <v>2</v>
      </c>
      <c r="B445" s="138">
        <v>2</v>
      </c>
      <c r="C445" s="139">
        <v>2016</v>
      </c>
      <c r="D445" s="140" t="s">
        <v>640</v>
      </c>
      <c r="E445" s="141">
        <v>63.5</v>
      </c>
      <c r="F445" s="142" t="s">
        <v>678</v>
      </c>
      <c r="G445" s="152" t="s">
        <v>715</v>
      </c>
    </row>
    <row r="446" spans="1:7" ht="15.6" x14ac:dyDescent="0.3">
      <c r="A446" s="137">
        <v>2</v>
      </c>
      <c r="B446" s="138">
        <v>2</v>
      </c>
      <c r="C446" s="139">
        <v>2017</v>
      </c>
      <c r="D446" s="140" t="s">
        <v>637</v>
      </c>
      <c r="E446" s="141">
        <v>26.1</v>
      </c>
      <c r="F446" s="142" t="s">
        <v>675</v>
      </c>
      <c r="G446" s="152" t="s">
        <v>712</v>
      </c>
    </row>
    <row r="447" spans="1:7" ht="15.6" x14ac:dyDescent="0.3">
      <c r="A447" s="137">
        <v>2</v>
      </c>
      <c r="B447" s="138">
        <v>2</v>
      </c>
      <c r="C447" s="139">
        <v>2017</v>
      </c>
      <c r="D447" s="140" t="s">
        <v>638</v>
      </c>
      <c r="E447" s="141">
        <v>105.1</v>
      </c>
      <c r="F447" s="142" t="s">
        <v>676</v>
      </c>
      <c r="G447" s="152" t="s">
        <v>713</v>
      </c>
    </row>
    <row r="448" spans="1:7" ht="15.6" x14ac:dyDescent="0.3">
      <c r="A448" s="137">
        <v>2</v>
      </c>
      <c r="B448" s="138">
        <v>2</v>
      </c>
      <c r="C448" s="139">
        <v>2017</v>
      </c>
      <c r="D448" s="140" t="s">
        <v>639</v>
      </c>
      <c r="E448" s="141">
        <v>4.7</v>
      </c>
      <c r="F448" s="142" t="s">
        <v>677</v>
      </c>
      <c r="G448" s="152" t="s">
        <v>714</v>
      </c>
    </row>
    <row r="449" spans="1:7" ht="15.6" x14ac:dyDescent="0.3">
      <c r="A449" s="137">
        <v>2</v>
      </c>
      <c r="B449" s="138">
        <v>2</v>
      </c>
      <c r="C449" s="139">
        <v>2017</v>
      </c>
      <c r="D449" s="140" t="s">
        <v>640</v>
      </c>
      <c r="E449" s="141">
        <v>20.5</v>
      </c>
      <c r="F449" s="142" t="s">
        <v>678</v>
      </c>
      <c r="G449" s="152" t="s">
        <v>715</v>
      </c>
    </row>
    <row r="450" spans="1:7" ht="15.6" x14ac:dyDescent="0.3">
      <c r="A450" s="137">
        <v>2</v>
      </c>
      <c r="B450" s="138">
        <v>2</v>
      </c>
      <c r="C450" s="139">
        <v>2018</v>
      </c>
      <c r="D450" s="140" t="s">
        <v>642</v>
      </c>
      <c r="E450" s="141">
        <v>71.400000000000006</v>
      </c>
      <c r="F450" s="142" t="s">
        <v>678</v>
      </c>
      <c r="G450" s="152" t="s">
        <v>715</v>
      </c>
    </row>
    <row r="451" spans="1:7" ht="15.6" x14ac:dyDescent="0.3">
      <c r="A451" s="137">
        <v>2</v>
      </c>
      <c r="B451" s="138">
        <v>2</v>
      </c>
      <c r="C451" s="139">
        <v>2019</v>
      </c>
      <c r="D451" s="140" t="s">
        <v>642</v>
      </c>
      <c r="E451" s="141">
        <v>53.2</v>
      </c>
      <c r="F451" s="142" t="s">
        <v>678</v>
      </c>
      <c r="G451" s="152" t="s">
        <v>715</v>
      </c>
    </row>
    <row r="452" spans="1:7" ht="15.6" x14ac:dyDescent="0.3">
      <c r="A452" s="137">
        <v>2</v>
      </c>
      <c r="B452" s="138">
        <v>2</v>
      </c>
      <c r="C452" s="139">
        <v>2020</v>
      </c>
      <c r="D452" s="140" t="s">
        <v>638</v>
      </c>
      <c r="E452" s="141">
        <v>567.9</v>
      </c>
      <c r="F452" s="142" t="s">
        <v>676</v>
      </c>
      <c r="G452" s="152" t="s">
        <v>713</v>
      </c>
    </row>
    <row r="453" spans="1:7" ht="15.6" x14ac:dyDescent="0.3">
      <c r="A453" s="137">
        <v>2</v>
      </c>
      <c r="B453" s="138">
        <v>2</v>
      </c>
      <c r="C453" s="139">
        <v>2020</v>
      </c>
      <c r="D453" s="140" t="s">
        <v>640</v>
      </c>
      <c r="E453" s="141">
        <v>332.3</v>
      </c>
      <c r="F453" s="142" t="s">
        <v>678</v>
      </c>
      <c r="G453" s="152" t="s">
        <v>715</v>
      </c>
    </row>
    <row r="454" spans="1:7" ht="15.6" x14ac:dyDescent="0.3">
      <c r="A454" s="137">
        <v>2</v>
      </c>
      <c r="B454" s="138">
        <v>3</v>
      </c>
      <c r="C454" s="139">
        <v>2021</v>
      </c>
      <c r="D454" s="140" t="s">
        <v>645</v>
      </c>
      <c r="E454" s="141">
        <v>23.1</v>
      </c>
      <c r="F454" s="142" t="s">
        <v>675</v>
      </c>
      <c r="G454" s="152" t="s">
        <v>712</v>
      </c>
    </row>
    <row r="455" spans="1:7" ht="15.6" x14ac:dyDescent="0.3">
      <c r="A455" s="137">
        <v>2</v>
      </c>
      <c r="B455" s="138">
        <v>3</v>
      </c>
      <c r="C455" s="139">
        <v>2021</v>
      </c>
      <c r="D455" s="140" t="s">
        <v>652</v>
      </c>
      <c r="E455" s="141">
        <v>5.3</v>
      </c>
      <c r="F455" s="142" t="s">
        <v>676</v>
      </c>
      <c r="G455" s="152" t="s">
        <v>712</v>
      </c>
    </row>
    <row r="456" spans="1:7" ht="15.6" x14ac:dyDescent="0.3">
      <c r="A456" s="137">
        <v>2</v>
      </c>
      <c r="B456" s="138">
        <v>3</v>
      </c>
      <c r="C456" s="139">
        <v>2021</v>
      </c>
      <c r="D456" s="140" t="s">
        <v>648</v>
      </c>
      <c r="E456" s="141">
        <v>4.9000000000000004</v>
      </c>
      <c r="F456" s="142" t="s">
        <v>678</v>
      </c>
      <c r="G456" s="152" t="s">
        <v>718</v>
      </c>
    </row>
    <row r="457" spans="1:7" ht="15.6" x14ac:dyDescent="0.3">
      <c r="A457" s="137">
        <v>2</v>
      </c>
      <c r="B457" s="138">
        <v>2</v>
      </c>
      <c r="C457" s="139">
        <v>2022</v>
      </c>
      <c r="D457" s="140" t="s">
        <v>637</v>
      </c>
      <c r="E457" s="141">
        <v>11.3</v>
      </c>
      <c r="F457" s="142" t="s">
        <v>675</v>
      </c>
      <c r="G457" s="152" t="s">
        <v>712</v>
      </c>
    </row>
    <row r="458" spans="1:7" ht="15.6" x14ac:dyDescent="0.3">
      <c r="A458" s="137">
        <v>2</v>
      </c>
      <c r="B458" s="138">
        <v>2</v>
      </c>
      <c r="C458" s="139">
        <v>2022</v>
      </c>
      <c r="D458" s="140" t="s">
        <v>645</v>
      </c>
      <c r="E458" s="141">
        <v>9.1</v>
      </c>
      <c r="F458" s="142" t="s">
        <v>675</v>
      </c>
      <c r="G458" s="152" t="s">
        <v>712</v>
      </c>
    </row>
    <row r="459" spans="1:7" ht="15.6" x14ac:dyDescent="0.3">
      <c r="A459" s="137">
        <v>2</v>
      </c>
      <c r="B459" s="138">
        <v>2</v>
      </c>
      <c r="C459" s="139">
        <v>2022</v>
      </c>
      <c r="D459" s="140" t="s">
        <v>638</v>
      </c>
      <c r="E459" s="141">
        <v>13.9</v>
      </c>
      <c r="F459" s="142" t="s">
        <v>676</v>
      </c>
      <c r="G459" s="152" t="s">
        <v>713</v>
      </c>
    </row>
    <row r="460" spans="1:7" ht="31.2" x14ac:dyDescent="0.3">
      <c r="A460" s="137">
        <v>2</v>
      </c>
      <c r="B460" s="138">
        <v>2</v>
      </c>
      <c r="C460" s="139">
        <v>2022</v>
      </c>
      <c r="D460" s="140" t="s">
        <v>657</v>
      </c>
      <c r="E460" s="141">
        <v>9.6</v>
      </c>
      <c r="F460" s="142" t="s">
        <v>680</v>
      </c>
      <c r="G460" s="152" t="s">
        <v>712</v>
      </c>
    </row>
    <row r="461" spans="1:7" ht="46.8" x14ac:dyDescent="0.3">
      <c r="A461" s="137">
        <v>2</v>
      </c>
      <c r="B461" s="138">
        <v>2</v>
      </c>
      <c r="C461" s="139">
        <v>2022</v>
      </c>
      <c r="D461" s="140" t="s">
        <v>658</v>
      </c>
      <c r="E461" s="141">
        <v>0.9</v>
      </c>
      <c r="F461" s="142" t="s">
        <v>684</v>
      </c>
      <c r="G461" s="152" t="s">
        <v>713</v>
      </c>
    </row>
    <row r="462" spans="1:7" ht="15.6" x14ac:dyDescent="0.3">
      <c r="A462" s="137">
        <v>2</v>
      </c>
      <c r="B462" s="138">
        <v>2</v>
      </c>
      <c r="C462" s="139">
        <v>2022</v>
      </c>
      <c r="D462" s="140" t="s">
        <v>640</v>
      </c>
      <c r="E462" s="141">
        <v>13.5</v>
      </c>
      <c r="F462" s="142" t="s">
        <v>678</v>
      </c>
      <c r="G462" s="152" t="s">
        <v>715</v>
      </c>
    </row>
    <row r="463" spans="1:7" ht="15.6" x14ac:dyDescent="0.3">
      <c r="A463" s="137">
        <v>2</v>
      </c>
      <c r="B463" s="138">
        <v>2</v>
      </c>
      <c r="C463" s="139">
        <v>2022</v>
      </c>
      <c r="D463" s="140" t="s">
        <v>655</v>
      </c>
      <c r="E463" s="141">
        <v>11.4</v>
      </c>
      <c r="F463" s="142" t="s">
        <v>679</v>
      </c>
      <c r="G463" s="152" t="s">
        <v>717</v>
      </c>
    </row>
    <row r="464" spans="1:7" ht="15.6" x14ac:dyDescent="0.3">
      <c r="A464" s="137">
        <v>2</v>
      </c>
      <c r="B464" s="138">
        <v>2</v>
      </c>
      <c r="C464" s="139">
        <v>2023</v>
      </c>
      <c r="D464" s="140" t="s">
        <v>637</v>
      </c>
      <c r="E464" s="141">
        <v>51.1</v>
      </c>
      <c r="F464" s="142" t="s">
        <v>675</v>
      </c>
      <c r="G464" s="152" t="s">
        <v>712</v>
      </c>
    </row>
    <row r="465" spans="1:7" ht="15.6" x14ac:dyDescent="0.3">
      <c r="A465" s="137">
        <v>2</v>
      </c>
      <c r="B465" s="138">
        <v>2</v>
      </c>
      <c r="C465" s="139">
        <v>2023</v>
      </c>
      <c r="D465" s="140" t="s">
        <v>638</v>
      </c>
      <c r="E465" s="141">
        <v>50.6</v>
      </c>
      <c r="F465" s="142" t="s">
        <v>676</v>
      </c>
      <c r="G465" s="152" t="s">
        <v>713</v>
      </c>
    </row>
    <row r="466" spans="1:7" ht="15.6" x14ac:dyDescent="0.3">
      <c r="A466" s="137">
        <v>2</v>
      </c>
      <c r="B466" s="138">
        <v>2</v>
      </c>
      <c r="C466" s="139">
        <v>2023</v>
      </c>
      <c r="D466" s="140" t="s">
        <v>639</v>
      </c>
      <c r="E466" s="141">
        <v>4.9000000000000004</v>
      </c>
      <c r="F466" s="142" t="s">
        <v>677</v>
      </c>
      <c r="G466" s="152" t="s">
        <v>714</v>
      </c>
    </row>
    <row r="467" spans="1:7" ht="15.6" x14ac:dyDescent="0.3">
      <c r="A467" s="137">
        <v>2</v>
      </c>
      <c r="B467" s="138">
        <v>2</v>
      </c>
      <c r="C467" s="139">
        <v>2023</v>
      </c>
      <c r="D467" s="140" t="s">
        <v>640</v>
      </c>
      <c r="E467" s="141">
        <v>8.8000000000000007</v>
      </c>
      <c r="F467" s="142" t="s">
        <v>678</v>
      </c>
      <c r="G467" s="152" t="s">
        <v>715</v>
      </c>
    </row>
    <row r="468" spans="1:7" ht="15.6" x14ac:dyDescent="0.3">
      <c r="A468" s="137">
        <v>2</v>
      </c>
      <c r="B468" s="138">
        <v>3</v>
      </c>
      <c r="C468" s="139">
        <v>2024</v>
      </c>
      <c r="D468" s="140" t="s">
        <v>645</v>
      </c>
      <c r="E468" s="141">
        <v>37.9</v>
      </c>
      <c r="F468" s="142" t="s">
        <v>675</v>
      </c>
      <c r="G468" s="152" t="s">
        <v>712</v>
      </c>
    </row>
    <row r="469" spans="1:7" ht="15.6" x14ac:dyDescent="0.3">
      <c r="A469" s="137">
        <v>2</v>
      </c>
      <c r="B469" s="138">
        <v>3</v>
      </c>
      <c r="C469" s="139">
        <v>2024</v>
      </c>
      <c r="D469" s="140" t="s">
        <v>652</v>
      </c>
      <c r="E469" s="141">
        <v>28.9</v>
      </c>
      <c r="F469" s="142" t="s">
        <v>676</v>
      </c>
      <c r="G469" s="152" t="s">
        <v>712</v>
      </c>
    </row>
    <row r="470" spans="1:7" ht="46.8" x14ac:dyDescent="0.3">
      <c r="A470" s="137">
        <v>2</v>
      </c>
      <c r="B470" s="138">
        <v>3</v>
      </c>
      <c r="C470" s="139">
        <v>2024</v>
      </c>
      <c r="D470" s="140" t="s">
        <v>658</v>
      </c>
      <c r="E470" s="141">
        <v>7.3</v>
      </c>
      <c r="F470" s="142" t="s">
        <v>684</v>
      </c>
      <c r="G470" s="152" t="s">
        <v>713</v>
      </c>
    </row>
    <row r="471" spans="1:7" ht="15.6" x14ac:dyDescent="0.3">
      <c r="A471" s="137">
        <v>2</v>
      </c>
      <c r="B471" s="138">
        <v>3</v>
      </c>
      <c r="C471" s="139">
        <v>2024</v>
      </c>
      <c r="D471" s="140" t="s">
        <v>647</v>
      </c>
      <c r="E471" s="141">
        <v>3.1</v>
      </c>
      <c r="F471" s="142" t="s">
        <v>681</v>
      </c>
      <c r="G471" s="152" t="s">
        <v>717</v>
      </c>
    </row>
    <row r="472" spans="1:7" ht="15.6" x14ac:dyDescent="0.3">
      <c r="A472" s="137">
        <v>2</v>
      </c>
      <c r="B472" s="138">
        <v>3</v>
      </c>
      <c r="C472" s="139">
        <v>2024</v>
      </c>
      <c r="D472" s="140" t="s">
        <v>642</v>
      </c>
      <c r="E472" s="141">
        <v>0.1</v>
      </c>
      <c r="F472" s="142" t="s">
        <v>678</v>
      </c>
      <c r="G472" s="152" t="s">
        <v>715</v>
      </c>
    </row>
    <row r="473" spans="1:7" ht="15.6" x14ac:dyDescent="0.3">
      <c r="A473" s="137">
        <v>2</v>
      </c>
      <c r="B473" s="138">
        <v>3</v>
      </c>
      <c r="C473" s="139">
        <v>2024</v>
      </c>
      <c r="D473" s="140" t="s">
        <v>648</v>
      </c>
      <c r="E473" s="141">
        <v>0.7</v>
      </c>
      <c r="F473" s="142" t="s">
        <v>678</v>
      </c>
      <c r="G473" s="152" t="s">
        <v>718</v>
      </c>
    </row>
    <row r="474" spans="1:7" ht="15.6" x14ac:dyDescent="0.3">
      <c r="A474" s="137">
        <v>2</v>
      </c>
      <c r="B474" s="138">
        <v>3</v>
      </c>
      <c r="C474" s="139">
        <v>2025</v>
      </c>
      <c r="D474" s="140" t="s">
        <v>644</v>
      </c>
      <c r="E474" s="141">
        <v>35.200000000000003</v>
      </c>
      <c r="F474" s="142" t="s">
        <v>675</v>
      </c>
      <c r="G474" s="152" t="s">
        <v>712</v>
      </c>
    </row>
    <row r="475" spans="1:7" ht="31.2" x14ac:dyDescent="0.3">
      <c r="A475" s="137">
        <v>2</v>
      </c>
      <c r="B475" s="138">
        <v>3</v>
      </c>
      <c r="C475" s="139">
        <v>2025</v>
      </c>
      <c r="D475" s="140" t="s">
        <v>657</v>
      </c>
      <c r="E475" s="141">
        <v>14.5</v>
      </c>
      <c r="F475" s="142" t="s">
        <v>680</v>
      </c>
      <c r="G475" s="152" t="s">
        <v>712</v>
      </c>
    </row>
    <row r="476" spans="1:7" ht="46.8" x14ac:dyDescent="0.3">
      <c r="A476" s="137">
        <v>2</v>
      </c>
      <c r="B476" s="138">
        <v>3</v>
      </c>
      <c r="C476" s="139">
        <v>2025</v>
      </c>
      <c r="D476" s="140" t="s">
        <v>658</v>
      </c>
      <c r="E476" s="141">
        <v>3.5</v>
      </c>
      <c r="F476" s="142" t="s">
        <v>684</v>
      </c>
      <c r="G476" s="152" t="s">
        <v>713</v>
      </c>
    </row>
    <row r="477" spans="1:7" ht="15.6" x14ac:dyDescent="0.3">
      <c r="A477" s="137">
        <v>2</v>
      </c>
      <c r="B477" s="138">
        <v>3</v>
      </c>
      <c r="C477" s="139">
        <v>2025</v>
      </c>
      <c r="D477" s="140" t="s">
        <v>649</v>
      </c>
      <c r="E477" s="141">
        <v>19.5</v>
      </c>
      <c r="F477" s="142" t="s">
        <v>679</v>
      </c>
      <c r="G477" s="152" t="s">
        <v>717</v>
      </c>
    </row>
    <row r="478" spans="1:7" ht="15.6" x14ac:dyDescent="0.3">
      <c r="A478" s="137">
        <v>2</v>
      </c>
      <c r="B478" s="138">
        <v>3</v>
      </c>
      <c r="C478" s="139">
        <v>2026</v>
      </c>
      <c r="D478" s="140" t="s">
        <v>645</v>
      </c>
      <c r="E478" s="141">
        <v>31.1</v>
      </c>
      <c r="F478" s="142" t="s">
        <v>675</v>
      </c>
      <c r="G478" s="152" t="s">
        <v>712</v>
      </c>
    </row>
    <row r="479" spans="1:7" ht="15.6" x14ac:dyDescent="0.3">
      <c r="A479" s="137">
        <v>2</v>
      </c>
      <c r="B479" s="138">
        <v>3</v>
      </c>
      <c r="C479" s="139">
        <v>2026</v>
      </c>
      <c r="D479" s="140" t="s">
        <v>655</v>
      </c>
      <c r="E479" s="141">
        <v>10.5</v>
      </c>
      <c r="F479" s="142" t="s">
        <v>679</v>
      </c>
      <c r="G479" s="152" t="s">
        <v>717</v>
      </c>
    </row>
    <row r="480" spans="1:7" ht="15.6" x14ac:dyDescent="0.3">
      <c r="A480" s="137">
        <v>2</v>
      </c>
      <c r="B480" s="138">
        <v>3</v>
      </c>
      <c r="C480" s="139">
        <v>2027</v>
      </c>
      <c r="D480" s="140" t="s">
        <v>645</v>
      </c>
      <c r="E480" s="141">
        <v>38.5</v>
      </c>
      <c r="F480" s="142" t="s">
        <v>675</v>
      </c>
      <c r="G480" s="152" t="s">
        <v>712</v>
      </c>
    </row>
    <row r="481" spans="1:7" ht="15.6" x14ac:dyDescent="0.3">
      <c r="A481" s="137">
        <v>2</v>
      </c>
      <c r="B481" s="138">
        <v>3</v>
      </c>
      <c r="C481" s="139">
        <v>2027</v>
      </c>
      <c r="D481" s="140" t="s">
        <v>652</v>
      </c>
      <c r="E481" s="141">
        <v>51.2</v>
      </c>
      <c r="F481" s="142" t="s">
        <v>676</v>
      </c>
      <c r="G481" s="152" t="s">
        <v>712</v>
      </c>
    </row>
    <row r="482" spans="1:7" ht="46.8" x14ac:dyDescent="0.3">
      <c r="A482" s="137">
        <v>2</v>
      </c>
      <c r="B482" s="138">
        <v>3</v>
      </c>
      <c r="C482" s="139">
        <v>2027</v>
      </c>
      <c r="D482" s="140" t="s">
        <v>658</v>
      </c>
      <c r="E482" s="141">
        <v>9.5</v>
      </c>
      <c r="F482" s="142" t="s">
        <v>684</v>
      </c>
      <c r="G482" s="152" t="s">
        <v>713</v>
      </c>
    </row>
    <row r="483" spans="1:7" ht="15.6" x14ac:dyDescent="0.3">
      <c r="A483" s="137">
        <v>2</v>
      </c>
      <c r="B483" s="138">
        <v>3</v>
      </c>
      <c r="C483" s="139">
        <v>2027</v>
      </c>
      <c r="D483" s="140" t="s">
        <v>647</v>
      </c>
      <c r="E483" s="141">
        <v>7.9</v>
      </c>
      <c r="F483" s="142" t="s">
        <v>681</v>
      </c>
      <c r="G483" s="152" t="s">
        <v>717</v>
      </c>
    </row>
    <row r="484" spans="1:7" ht="15.6" x14ac:dyDescent="0.3">
      <c r="A484" s="137">
        <v>2</v>
      </c>
      <c r="B484" s="138">
        <v>3</v>
      </c>
      <c r="C484" s="139">
        <v>2027</v>
      </c>
      <c r="D484" s="140" t="s">
        <v>642</v>
      </c>
      <c r="E484" s="141">
        <v>4.0999999999999996</v>
      </c>
      <c r="F484" s="142" t="s">
        <v>678</v>
      </c>
      <c r="G484" s="152" t="s">
        <v>715</v>
      </c>
    </row>
    <row r="485" spans="1:7" ht="15.6" x14ac:dyDescent="0.3">
      <c r="A485" s="137">
        <v>2</v>
      </c>
      <c r="B485" s="138">
        <v>3</v>
      </c>
      <c r="C485" s="139">
        <v>2027</v>
      </c>
      <c r="D485" s="140" t="s">
        <v>648</v>
      </c>
      <c r="E485" s="141">
        <v>10.5</v>
      </c>
      <c r="F485" s="142" t="s">
        <v>678</v>
      </c>
      <c r="G485" s="152" t="s">
        <v>718</v>
      </c>
    </row>
    <row r="486" spans="1:7" ht="15.6" x14ac:dyDescent="0.3">
      <c r="A486" s="137">
        <v>2</v>
      </c>
      <c r="B486" s="138">
        <v>3</v>
      </c>
      <c r="C486" s="139">
        <v>2028</v>
      </c>
      <c r="D486" s="140" t="s">
        <v>644</v>
      </c>
      <c r="E486" s="141">
        <v>41.9</v>
      </c>
      <c r="F486" s="142" t="s">
        <v>675</v>
      </c>
      <c r="G486" s="152" t="s">
        <v>712</v>
      </c>
    </row>
    <row r="487" spans="1:7" ht="31.2" x14ac:dyDescent="0.3">
      <c r="A487" s="137">
        <v>2</v>
      </c>
      <c r="B487" s="138">
        <v>3</v>
      </c>
      <c r="C487" s="139">
        <v>2028</v>
      </c>
      <c r="D487" s="140" t="s">
        <v>646</v>
      </c>
      <c r="E487" s="141">
        <v>3.3</v>
      </c>
      <c r="F487" s="142" t="s">
        <v>680</v>
      </c>
      <c r="G487" s="152" t="s">
        <v>712</v>
      </c>
    </row>
    <row r="488" spans="1:7" ht="15.6" x14ac:dyDescent="0.3">
      <c r="A488" s="137">
        <v>2</v>
      </c>
      <c r="B488" s="138">
        <v>3</v>
      </c>
      <c r="C488" s="139">
        <v>2028</v>
      </c>
      <c r="D488" s="140" t="s">
        <v>649</v>
      </c>
      <c r="E488" s="141">
        <v>18.3</v>
      </c>
      <c r="F488" s="142" t="s">
        <v>679</v>
      </c>
      <c r="G488" s="152" t="s">
        <v>717</v>
      </c>
    </row>
    <row r="489" spans="1:7" ht="15.6" x14ac:dyDescent="0.3">
      <c r="A489" s="137">
        <v>2</v>
      </c>
      <c r="B489" s="138">
        <v>3</v>
      </c>
      <c r="C489" s="139">
        <v>2029</v>
      </c>
      <c r="D489" s="140" t="s">
        <v>645</v>
      </c>
      <c r="E489" s="141">
        <v>32.9</v>
      </c>
      <c r="F489" s="142" t="s">
        <v>675</v>
      </c>
      <c r="G489" s="152" t="s">
        <v>712</v>
      </c>
    </row>
    <row r="490" spans="1:7" ht="15.6" x14ac:dyDescent="0.3">
      <c r="A490" s="137">
        <v>2</v>
      </c>
      <c r="B490" s="138">
        <v>3</v>
      </c>
      <c r="C490" s="139">
        <v>2029</v>
      </c>
      <c r="D490" s="140" t="s">
        <v>648</v>
      </c>
      <c r="E490" s="141">
        <v>3.7</v>
      </c>
      <c r="F490" s="142" t="s">
        <v>678</v>
      </c>
      <c r="G490" s="152" t="s">
        <v>718</v>
      </c>
    </row>
    <row r="491" spans="1:7" ht="15.6" x14ac:dyDescent="0.3">
      <c r="A491" s="137">
        <v>2</v>
      </c>
      <c r="B491" s="138">
        <v>3</v>
      </c>
      <c r="C491" s="139">
        <v>2029</v>
      </c>
      <c r="D491" s="140" t="s">
        <v>655</v>
      </c>
      <c r="E491" s="141">
        <v>10.199999999999999</v>
      </c>
      <c r="F491" s="142" t="s">
        <v>679</v>
      </c>
      <c r="G491" s="152" t="s">
        <v>717</v>
      </c>
    </row>
    <row r="492" spans="1:7" ht="15.6" x14ac:dyDescent="0.3">
      <c r="A492" s="137">
        <v>2</v>
      </c>
      <c r="B492" s="138">
        <v>3</v>
      </c>
      <c r="C492" s="139">
        <v>2030</v>
      </c>
      <c r="D492" s="140" t="s">
        <v>645</v>
      </c>
      <c r="E492" s="141">
        <v>16.899999999999999</v>
      </c>
      <c r="F492" s="142" t="s">
        <v>675</v>
      </c>
      <c r="G492" s="152" t="s">
        <v>712</v>
      </c>
    </row>
    <row r="493" spans="1:7" ht="15.6" x14ac:dyDescent="0.3">
      <c r="A493" s="137">
        <v>2</v>
      </c>
      <c r="B493" s="138">
        <v>3</v>
      </c>
      <c r="C493" s="139">
        <v>2030</v>
      </c>
      <c r="D493" s="140" t="s">
        <v>652</v>
      </c>
      <c r="E493" s="141">
        <v>4.4000000000000004</v>
      </c>
      <c r="F493" s="142" t="s">
        <v>676</v>
      </c>
      <c r="G493" s="152" t="s">
        <v>712</v>
      </c>
    </row>
    <row r="494" spans="1:7" ht="15.6" x14ac:dyDescent="0.3">
      <c r="A494" s="137">
        <v>2</v>
      </c>
      <c r="B494" s="138">
        <v>3</v>
      </c>
      <c r="C494" s="139">
        <v>2030</v>
      </c>
      <c r="D494" s="140" t="s">
        <v>648</v>
      </c>
      <c r="E494" s="141">
        <v>3.8</v>
      </c>
      <c r="F494" s="142" t="s">
        <v>678</v>
      </c>
      <c r="G494" s="152" t="s">
        <v>718</v>
      </c>
    </row>
    <row r="495" spans="1:7" ht="15.6" x14ac:dyDescent="0.3">
      <c r="A495" s="137">
        <v>2</v>
      </c>
      <c r="B495" s="138">
        <v>3</v>
      </c>
      <c r="C495" s="139">
        <v>2030</v>
      </c>
      <c r="D495" s="140" t="s">
        <v>655</v>
      </c>
      <c r="E495" s="141">
        <v>11.8</v>
      </c>
      <c r="F495" s="142" t="s">
        <v>679</v>
      </c>
      <c r="G495" s="152" t="s">
        <v>717</v>
      </c>
    </row>
    <row r="496" spans="1:7" ht="15.6" x14ac:dyDescent="0.3">
      <c r="A496" s="137">
        <v>2</v>
      </c>
      <c r="B496" s="138">
        <v>3</v>
      </c>
      <c r="C496" s="139">
        <v>2031</v>
      </c>
      <c r="D496" s="140" t="s">
        <v>645</v>
      </c>
      <c r="E496" s="141">
        <v>20.399999999999999</v>
      </c>
      <c r="F496" s="142" t="s">
        <v>675</v>
      </c>
      <c r="G496" s="152" t="s">
        <v>712</v>
      </c>
    </row>
    <row r="497" spans="1:7" ht="31.2" x14ac:dyDescent="0.3">
      <c r="A497" s="137">
        <v>2</v>
      </c>
      <c r="B497" s="138">
        <v>3</v>
      </c>
      <c r="C497" s="139">
        <v>2031</v>
      </c>
      <c r="D497" s="140" t="s">
        <v>653</v>
      </c>
      <c r="E497" s="141">
        <v>3.7</v>
      </c>
      <c r="F497" s="142" t="s">
        <v>682</v>
      </c>
      <c r="G497" s="152" t="s">
        <v>712</v>
      </c>
    </row>
    <row r="498" spans="1:7" ht="31.2" x14ac:dyDescent="0.3">
      <c r="A498" s="137">
        <v>2</v>
      </c>
      <c r="B498" s="138">
        <v>3</v>
      </c>
      <c r="C498" s="139">
        <v>2031</v>
      </c>
      <c r="D498" s="140" t="s">
        <v>657</v>
      </c>
      <c r="E498" s="141">
        <v>7.9</v>
      </c>
      <c r="F498" s="142" t="s">
        <v>680</v>
      </c>
      <c r="G498" s="152" t="s">
        <v>712</v>
      </c>
    </row>
    <row r="499" spans="1:7" ht="46.8" x14ac:dyDescent="0.3">
      <c r="A499" s="137">
        <v>2</v>
      </c>
      <c r="B499" s="138">
        <v>3</v>
      </c>
      <c r="C499" s="139">
        <v>2031</v>
      </c>
      <c r="D499" s="140" t="s">
        <v>658</v>
      </c>
      <c r="E499" s="141">
        <v>3.7</v>
      </c>
      <c r="F499" s="142" t="s">
        <v>684</v>
      </c>
      <c r="G499" s="152" t="s">
        <v>713</v>
      </c>
    </row>
    <row r="500" spans="1:7" ht="15.6" x14ac:dyDescent="0.3">
      <c r="A500" s="137">
        <v>2</v>
      </c>
      <c r="B500" s="138">
        <v>3</v>
      </c>
      <c r="C500" s="139">
        <v>2031</v>
      </c>
      <c r="D500" s="140" t="s">
        <v>651</v>
      </c>
      <c r="E500" s="141">
        <v>10</v>
      </c>
      <c r="F500" s="142" t="s">
        <v>678</v>
      </c>
      <c r="G500" s="152" t="s">
        <v>719</v>
      </c>
    </row>
    <row r="501" spans="1:7" ht="15.6" x14ac:dyDescent="0.3">
      <c r="A501" s="137">
        <v>2</v>
      </c>
      <c r="B501" s="138">
        <v>2</v>
      </c>
      <c r="C501" s="139">
        <v>2032</v>
      </c>
      <c r="D501" s="140" t="s">
        <v>639</v>
      </c>
      <c r="E501" s="141">
        <v>1.8</v>
      </c>
      <c r="F501" s="142" t="s">
        <v>677</v>
      </c>
      <c r="G501" s="152" t="s">
        <v>714</v>
      </c>
    </row>
    <row r="502" spans="1:7" ht="15.6" x14ac:dyDescent="0.3">
      <c r="A502" s="137">
        <v>2</v>
      </c>
      <c r="B502" s="138">
        <v>2</v>
      </c>
      <c r="C502" s="139">
        <v>2032</v>
      </c>
      <c r="D502" s="140" t="s">
        <v>642</v>
      </c>
      <c r="E502" s="141">
        <v>88.1</v>
      </c>
      <c r="F502" s="142" t="s">
        <v>678</v>
      </c>
      <c r="G502" s="152" t="s">
        <v>715</v>
      </c>
    </row>
    <row r="503" spans="1:7" ht="15.6" x14ac:dyDescent="0.3">
      <c r="A503" s="137">
        <v>2</v>
      </c>
      <c r="B503" s="138">
        <v>3</v>
      </c>
      <c r="C503" s="139">
        <v>2033</v>
      </c>
      <c r="D503" s="140" t="s">
        <v>637</v>
      </c>
      <c r="E503" s="141">
        <v>55.7</v>
      </c>
      <c r="F503" s="142" t="s">
        <v>675</v>
      </c>
      <c r="G503" s="152" t="s">
        <v>712</v>
      </c>
    </row>
    <row r="504" spans="1:7" ht="15.6" x14ac:dyDescent="0.3">
      <c r="A504" s="137">
        <v>2</v>
      </c>
      <c r="B504" s="138">
        <v>3</v>
      </c>
      <c r="C504" s="139">
        <v>2033</v>
      </c>
      <c r="D504" s="140" t="s">
        <v>638</v>
      </c>
      <c r="E504" s="141">
        <v>206.6</v>
      </c>
      <c r="F504" s="142" t="s">
        <v>676</v>
      </c>
      <c r="G504" s="152" t="s">
        <v>713</v>
      </c>
    </row>
    <row r="505" spans="1:7" ht="15.6" x14ac:dyDescent="0.3">
      <c r="A505" s="137">
        <v>2</v>
      </c>
      <c r="B505" s="138">
        <v>3</v>
      </c>
      <c r="C505" s="139">
        <v>2033</v>
      </c>
      <c r="D505" s="140" t="s">
        <v>639</v>
      </c>
      <c r="E505" s="141">
        <v>19.8</v>
      </c>
      <c r="F505" s="142" t="s">
        <v>677</v>
      </c>
      <c r="G505" s="152" t="s">
        <v>714</v>
      </c>
    </row>
    <row r="506" spans="1:7" ht="15.6" x14ac:dyDescent="0.3">
      <c r="A506" s="137">
        <v>2</v>
      </c>
      <c r="B506" s="138">
        <v>3</v>
      </c>
      <c r="C506" s="139">
        <v>2033</v>
      </c>
      <c r="D506" s="140" t="s">
        <v>640</v>
      </c>
      <c r="E506" s="141">
        <v>130.69999999999999</v>
      </c>
      <c r="F506" s="142" t="s">
        <v>678</v>
      </c>
      <c r="G506" s="152" t="s">
        <v>715</v>
      </c>
    </row>
    <row r="507" spans="1:7" ht="15.6" x14ac:dyDescent="0.3">
      <c r="A507" s="137">
        <v>2</v>
      </c>
      <c r="B507" s="138">
        <v>3</v>
      </c>
      <c r="C507" s="139">
        <v>2033</v>
      </c>
      <c r="D507" s="140" t="s">
        <v>641</v>
      </c>
      <c r="E507" s="141">
        <v>33.700000000000003</v>
      </c>
      <c r="F507" s="142" t="s">
        <v>679</v>
      </c>
      <c r="G507" s="152" t="s">
        <v>716</v>
      </c>
    </row>
    <row r="508" spans="1:7" ht="15.6" x14ac:dyDescent="0.3">
      <c r="A508" s="137">
        <v>2</v>
      </c>
      <c r="B508" s="138">
        <v>3</v>
      </c>
      <c r="C508" s="139">
        <v>2034</v>
      </c>
      <c r="D508" s="140" t="s">
        <v>637</v>
      </c>
      <c r="E508" s="141">
        <v>15.6</v>
      </c>
      <c r="F508" s="142" t="s">
        <v>675</v>
      </c>
      <c r="G508" s="152" t="s">
        <v>712</v>
      </c>
    </row>
    <row r="509" spans="1:7" ht="15.6" x14ac:dyDescent="0.3">
      <c r="A509" s="137">
        <v>2</v>
      </c>
      <c r="B509" s="138">
        <v>3</v>
      </c>
      <c r="C509" s="139">
        <v>2034</v>
      </c>
      <c r="D509" s="140" t="s">
        <v>638</v>
      </c>
      <c r="E509" s="141">
        <v>95.5</v>
      </c>
      <c r="F509" s="142" t="s">
        <v>676</v>
      </c>
      <c r="G509" s="152" t="s">
        <v>713</v>
      </c>
    </row>
    <row r="510" spans="1:7" ht="15.6" x14ac:dyDescent="0.3">
      <c r="A510" s="137">
        <v>2</v>
      </c>
      <c r="B510" s="138">
        <v>3</v>
      </c>
      <c r="C510" s="139">
        <v>2034</v>
      </c>
      <c r="D510" s="140" t="s">
        <v>639</v>
      </c>
      <c r="E510" s="141">
        <v>3.7</v>
      </c>
      <c r="F510" s="142" t="s">
        <v>677</v>
      </c>
      <c r="G510" s="152" t="s">
        <v>714</v>
      </c>
    </row>
    <row r="511" spans="1:7" ht="15.6" x14ac:dyDescent="0.3">
      <c r="A511" s="137">
        <v>2</v>
      </c>
      <c r="B511" s="138">
        <v>3</v>
      </c>
      <c r="C511" s="139">
        <v>2034</v>
      </c>
      <c r="D511" s="140" t="s">
        <v>640</v>
      </c>
      <c r="E511" s="141">
        <v>8.3000000000000007</v>
      </c>
      <c r="F511" s="142" t="s">
        <v>678</v>
      </c>
      <c r="G511" s="152" t="s">
        <v>715</v>
      </c>
    </row>
    <row r="512" spans="1:7" ht="15.6" x14ac:dyDescent="0.3">
      <c r="A512" s="137">
        <v>2</v>
      </c>
      <c r="B512" s="138">
        <v>3</v>
      </c>
      <c r="C512" s="139">
        <v>2034</v>
      </c>
      <c r="D512" s="140" t="s">
        <v>641</v>
      </c>
      <c r="E512" s="141">
        <v>2.7</v>
      </c>
      <c r="F512" s="142" t="s">
        <v>679</v>
      </c>
      <c r="G512" s="152" t="s">
        <v>716</v>
      </c>
    </row>
    <row r="513" spans="1:7" ht="15.6" x14ac:dyDescent="0.3">
      <c r="A513" s="137">
        <v>2</v>
      </c>
      <c r="B513" s="138">
        <v>3</v>
      </c>
      <c r="C513" s="139">
        <v>2035</v>
      </c>
      <c r="D513" s="140" t="s">
        <v>637</v>
      </c>
      <c r="E513" s="141">
        <v>20.3</v>
      </c>
      <c r="F513" s="142" t="s">
        <v>675</v>
      </c>
      <c r="G513" s="152" t="s">
        <v>712</v>
      </c>
    </row>
    <row r="514" spans="1:7" ht="15.6" x14ac:dyDescent="0.3">
      <c r="A514" s="137">
        <v>2</v>
      </c>
      <c r="B514" s="138">
        <v>3</v>
      </c>
      <c r="C514" s="139">
        <v>2035</v>
      </c>
      <c r="D514" s="140" t="s">
        <v>638</v>
      </c>
      <c r="E514" s="141">
        <v>42.6</v>
      </c>
      <c r="F514" s="142" t="s">
        <v>676</v>
      </c>
      <c r="G514" s="152" t="s">
        <v>713</v>
      </c>
    </row>
    <row r="515" spans="1:7" ht="15.6" x14ac:dyDescent="0.3">
      <c r="A515" s="137">
        <v>2</v>
      </c>
      <c r="B515" s="138">
        <v>3</v>
      </c>
      <c r="C515" s="139">
        <v>2035</v>
      </c>
      <c r="D515" s="140" t="s">
        <v>639</v>
      </c>
      <c r="E515" s="141">
        <v>2.2000000000000002</v>
      </c>
      <c r="F515" s="142" t="s">
        <v>677</v>
      </c>
      <c r="G515" s="152" t="s">
        <v>714</v>
      </c>
    </row>
    <row r="516" spans="1:7" ht="15.6" x14ac:dyDescent="0.3">
      <c r="A516" s="137">
        <v>2</v>
      </c>
      <c r="B516" s="138">
        <v>3</v>
      </c>
      <c r="C516" s="139">
        <v>2035</v>
      </c>
      <c r="D516" s="140" t="s">
        <v>640</v>
      </c>
      <c r="E516" s="141">
        <v>1.4</v>
      </c>
      <c r="F516" s="142" t="s">
        <v>678</v>
      </c>
      <c r="G516" s="152" t="s">
        <v>715</v>
      </c>
    </row>
    <row r="517" spans="1:7" ht="15.6" x14ac:dyDescent="0.3">
      <c r="A517" s="137">
        <v>2</v>
      </c>
      <c r="B517" s="138">
        <v>3</v>
      </c>
      <c r="C517" s="139">
        <v>2035</v>
      </c>
      <c r="D517" s="140" t="s">
        <v>641</v>
      </c>
      <c r="E517" s="141">
        <v>3.6</v>
      </c>
      <c r="F517" s="142" t="s">
        <v>679</v>
      </c>
      <c r="G517" s="152" t="s">
        <v>716</v>
      </c>
    </row>
    <row r="518" spans="1:7" ht="15.6" x14ac:dyDescent="0.3">
      <c r="A518" s="137">
        <v>2</v>
      </c>
      <c r="B518" s="138">
        <v>3</v>
      </c>
      <c r="C518" s="139">
        <v>2036</v>
      </c>
      <c r="D518" s="140" t="s">
        <v>637</v>
      </c>
      <c r="E518" s="141">
        <v>31.4</v>
      </c>
      <c r="F518" s="142" t="s">
        <v>675</v>
      </c>
      <c r="G518" s="152" t="s">
        <v>712</v>
      </c>
    </row>
    <row r="519" spans="1:7" ht="15.6" x14ac:dyDescent="0.3">
      <c r="A519" s="137">
        <v>2</v>
      </c>
      <c r="B519" s="138">
        <v>3</v>
      </c>
      <c r="C519" s="139">
        <v>2036</v>
      </c>
      <c r="D519" s="140" t="s">
        <v>638</v>
      </c>
      <c r="E519" s="141">
        <v>111.9</v>
      </c>
      <c r="F519" s="142" t="s">
        <v>676</v>
      </c>
      <c r="G519" s="152" t="s">
        <v>713</v>
      </c>
    </row>
    <row r="520" spans="1:7" ht="15.6" x14ac:dyDescent="0.3">
      <c r="A520" s="137">
        <v>2</v>
      </c>
      <c r="B520" s="138">
        <v>3</v>
      </c>
      <c r="C520" s="139">
        <v>2036</v>
      </c>
      <c r="D520" s="140" t="s">
        <v>639</v>
      </c>
      <c r="E520" s="141">
        <v>2.2999999999999998</v>
      </c>
      <c r="F520" s="142" t="s">
        <v>677</v>
      </c>
      <c r="G520" s="152" t="s">
        <v>714</v>
      </c>
    </row>
    <row r="521" spans="1:7" ht="15.6" x14ac:dyDescent="0.3">
      <c r="A521" s="137">
        <v>2</v>
      </c>
      <c r="B521" s="138">
        <v>3</v>
      </c>
      <c r="C521" s="139">
        <v>2036</v>
      </c>
      <c r="D521" s="140" t="s">
        <v>640</v>
      </c>
      <c r="E521" s="141">
        <v>21.1</v>
      </c>
      <c r="F521" s="142" t="s">
        <v>678</v>
      </c>
      <c r="G521" s="152" t="s">
        <v>715</v>
      </c>
    </row>
    <row r="522" spans="1:7" ht="15.6" x14ac:dyDescent="0.3">
      <c r="A522" s="137">
        <v>2</v>
      </c>
      <c r="B522" s="138">
        <v>3</v>
      </c>
      <c r="C522" s="139">
        <v>2036</v>
      </c>
      <c r="D522" s="140" t="s">
        <v>641</v>
      </c>
      <c r="E522" s="141">
        <v>10.4</v>
      </c>
      <c r="F522" s="142" t="s">
        <v>679</v>
      </c>
      <c r="G522" s="152" t="s">
        <v>716</v>
      </c>
    </row>
    <row r="523" spans="1:7" ht="15.6" x14ac:dyDescent="0.3">
      <c r="A523" s="137">
        <v>2</v>
      </c>
      <c r="B523" s="138">
        <v>3</v>
      </c>
      <c r="C523" s="139">
        <v>2037</v>
      </c>
      <c r="D523" s="140" t="s">
        <v>637</v>
      </c>
      <c r="E523" s="141">
        <v>4.4000000000000004</v>
      </c>
      <c r="F523" s="142" t="s">
        <v>675</v>
      </c>
      <c r="G523" s="152" t="s">
        <v>712</v>
      </c>
    </row>
    <row r="524" spans="1:7" ht="15.6" x14ac:dyDescent="0.3">
      <c r="A524" s="137">
        <v>2</v>
      </c>
      <c r="B524" s="138">
        <v>3</v>
      </c>
      <c r="C524" s="139">
        <v>2037</v>
      </c>
      <c r="D524" s="140" t="s">
        <v>638</v>
      </c>
      <c r="E524" s="141">
        <v>61</v>
      </c>
      <c r="F524" s="142" t="s">
        <v>676</v>
      </c>
      <c r="G524" s="152" t="s">
        <v>713</v>
      </c>
    </row>
    <row r="525" spans="1:7" ht="15.6" x14ac:dyDescent="0.3">
      <c r="A525" s="137">
        <v>2</v>
      </c>
      <c r="B525" s="138">
        <v>3</v>
      </c>
      <c r="C525" s="139">
        <v>2037</v>
      </c>
      <c r="D525" s="140" t="s">
        <v>639</v>
      </c>
      <c r="E525" s="141">
        <v>2.5</v>
      </c>
      <c r="F525" s="142" t="s">
        <v>677</v>
      </c>
      <c r="G525" s="152" t="s">
        <v>714</v>
      </c>
    </row>
    <row r="526" spans="1:7" ht="15.6" x14ac:dyDescent="0.3">
      <c r="A526" s="137">
        <v>2</v>
      </c>
      <c r="B526" s="138">
        <v>3</v>
      </c>
      <c r="C526" s="139">
        <v>2038</v>
      </c>
      <c r="D526" s="140" t="s">
        <v>638</v>
      </c>
      <c r="E526" s="141">
        <v>61.7</v>
      </c>
      <c r="F526" s="142" t="s">
        <v>676</v>
      </c>
      <c r="G526" s="152" t="s">
        <v>713</v>
      </c>
    </row>
    <row r="527" spans="1:7" ht="15.6" x14ac:dyDescent="0.3">
      <c r="A527" s="137">
        <v>2</v>
      </c>
      <c r="B527" s="138">
        <v>3</v>
      </c>
      <c r="C527" s="139">
        <v>2038</v>
      </c>
      <c r="D527" s="140" t="s">
        <v>640</v>
      </c>
      <c r="E527" s="141">
        <v>2.2999999999999998</v>
      </c>
      <c r="F527" s="142" t="s">
        <v>678</v>
      </c>
      <c r="G527" s="152" t="s">
        <v>715</v>
      </c>
    </row>
    <row r="528" spans="1:7" ht="15.6" x14ac:dyDescent="0.3">
      <c r="A528" s="137">
        <v>2</v>
      </c>
      <c r="B528" s="138">
        <v>3</v>
      </c>
      <c r="C528" s="139">
        <v>2038</v>
      </c>
      <c r="D528" s="140" t="s">
        <v>641</v>
      </c>
      <c r="E528" s="141">
        <v>4.5999999999999996</v>
      </c>
      <c r="F528" s="142" t="s">
        <v>679</v>
      </c>
      <c r="G528" s="152" t="s">
        <v>716</v>
      </c>
    </row>
    <row r="529" spans="1:7" ht="15.6" x14ac:dyDescent="0.3">
      <c r="A529" s="137">
        <v>2</v>
      </c>
      <c r="B529" s="138">
        <v>3</v>
      </c>
      <c r="C529" s="139">
        <v>2039</v>
      </c>
      <c r="D529" s="140" t="s">
        <v>637</v>
      </c>
      <c r="E529" s="141">
        <v>10</v>
      </c>
      <c r="F529" s="142" t="s">
        <v>675</v>
      </c>
      <c r="G529" s="152" t="s">
        <v>712</v>
      </c>
    </row>
    <row r="530" spans="1:7" ht="15.6" x14ac:dyDescent="0.3">
      <c r="A530" s="137">
        <v>2</v>
      </c>
      <c r="B530" s="138">
        <v>3</v>
      </c>
      <c r="C530" s="139">
        <v>2039</v>
      </c>
      <c r="D530" s="140" t="s">
        <v>638</v>
      </c>
      <c r="E530" s="141">
        <v>90.2</v>
      </c>
      <c r="F530" s="142" t="s">
        <v>676</v>
      </c>
      <c r="G530" s="152" t="s">
        <v>713</v>
      </c>
    </row>
    <row r="531" spans="1:7" ht="15.6" x14ac:dyDescent="0.3">
      <c r="A531" s="137">
        <v>2</v>
      </c>
      <c r="B531" s="138">
        <v>3</v>
      </c>
      <c r="C531" s="139">
        <v>2039</v>
      </c>
      <c r="D531" s="140" t="s">
        <v>639</v>
      </c>
      <c r="E531" s="141">
        <v>3.7</v>
      </c>
      <c r="F531" s="142" t="s">
        <v>677</v>
      </c>
      <c r="G531" s="152" t="s">
        <v>714</v>
      </c>
    </row>
    <row r="532" spans="1:7" ht="15.6" x14ac:dyDescent="0.3">
      <c r="A532" s="137">
        <v>2</v>
      </c>
      <c r="B532" s="138">
        <v>3</v>
      </c>
      <c r="C532" s="139">
        <v>2039</v>
      </c>
      <c r="D532" s="140" t="s">
        <v>640</v>
      </c>
      <c r="E532" s="141">
        <v>12.7</v>
      </c>
      <c r="F532" s="142" t="s">
        <v>678</v>
      </c>
      <c r="G532" s="152" t="s">
        <v>715</v>
      </c>
    </row>
    <row r="533" spans="1:7" ht="15.6" x14ac:dyDescent="0.3">
      <c r="A533" s="137">
        <v>2</v>
      </c>
      <c r="B533" s="138">
        <v>3</v>
      </c>
      <c r="C533" s="139">
        <v>2039</v>
      </c>
      <c r="D533" s="140" t="s">
        <v>641</v>
      </c>
      <c r="E533" s="141">
        <v>4.4000000000000004</v>
      </c>
      <c r="F533" s="142" t="s">
        <v>679</v>
      </c>
      <c r="G533" s="152" t="s">
        <v>716</v>
      </c>
    </row>
    <row r="534" spans="1:7" ht="15.6" x14ac:dyDescent="0.3">
      <c r="A534" s="137">
        <v>2</v>
      </c>
      <c r="B534" s="138">
        <v>3</v>
      </c>
      <c r="C534" s="139">
        <v>2040</v>
      </c>
      <c r="D534" s="140" t="s">
        <v>637</v>
      </c>
      <c r="E534" s="141">
        <v>15.6</v>
      </c>
      <c r="F534" s="142" t="s">
        <v>675</v>
      </c>
      <c r="G534" s="152" t="s">
        <v>712</v>
      </c>
    </row>
    <row r="535" spans="1:7" ht="15.6" x14ac:dyDescent="0.3">
      <c r="A535" s="137">
        <v>2</v>
      </c>
      <c r="B535" s="138">
        <v>3</v>
      </c>
      <c r="C535" s="139">
        <v>2040</v>
      </c>
      <c r="D535" s="140" t="s">
        <v>638</v>
      </c>
      <c r="E535" s="141">
        <v>80.400000000000006</v>
      </c>
      <c r="F535" s="142" t="s">
        <v>676</v>
      </c>
      <c r="G535" s="152" t="s">
        <v>713</v>
      </c>
    </row>
    <row r="536" spans="1:7" ht="15.6" x14ac:dyDescent="0.3">
      <c r="A536" s="137">
        <v>2</v>
      </c>
      <c r="B536" s="138">
        <v>3</v>
      </c>
      <c r="C536" s="139">
        <v>2040</v>
      </c>
      <c r="D536" s="140" t="s">
        <v>639</v>
      </c>
      <c r="E536" s="141">
        <v>0.7</v>
      </c>
      <c r="F536" s="142" t="s">
        <v>677</v>
      </c>
      <c r="G536" s="152" t="s">
        <v>714</v>
      </c>
    </row>
    <row r="537" spans="1:7" ht="15.6" x14ac:dyDescent="0.3">
      <c r="A537" s="137">
        <v>2</v>
      </c>
      <c r="B537" s="138">
        <v>3</v>
      </c>
      <c r="C537" s="139">
        <v>2040</v>
      </c>
      <c r="D537" s="140" t="s">
        <v>640</v>
      </c>
      <c r="E537" s="141">
        <v>13</v>
      </c>
      <c r="F537" s="142" t="s">
        <v>678</v>
      </c>
      <c r="G537" s="152" t="s">
        <v>715</v>
      </c>
    </row>
    <row r="538" spans="1:7" ht="15.6" x14ac:dyDescent="0.3">
      <c r="A538" s="137">
        <v>2</v>
      </c>
      <c r="B538" s="138">
        <v>3</v>
      </c>
      <c r="C538" s="139">
        <v>2041</v>
      </c>
      <c r="D538" s="140" t="s">
        <v>642</v>
      </c>
      <c r="E538" s="141">
        <v>94.2</v>
      </c>
      <c r="F538" s="142" t="s">
        <v>678</v>
      </c>
      <c r="G538" s="152" t="s">
        <v>715</v>
      </c>
    </row>
    <row r="539" spans="1:7" ht="31.2" x14ac:dyDescent="0.3">
      <c r="A539" s="137">
        <v>2</v>
      </c>
      <c r="B539" s="138">
        <v>3</v>
      </c>
      <c r="C539" s="139">
        <v>2042</v>
      </c>
      <c r="D539" s="140" t="s">
        <v>657</v>
      </c>
      <c r="E539" s="141">
        <v>22.7</v>
      </c>
      <c r="F539" s="142" t="s">
        <v>680</v>
      </c>
      <c r="G539" s="152" t="s">
        <v>712</v>
      </c>
    </row>
    <row r="540" spans="1:7" ht="15.6" x14ac:dyDescent="0.3">
      <c r="A540" s="137">
        <v>2</v>
      </c>
      <c r="B540" s="138">
        <v>3</v>
      </c>
      <c r="C540" s="139">
        <v>2042</v>
      </c>
      <c r="D540" s="140" t="s">
        <v>647</v>
      </c>
      <c r="E540" s="141">
        <v>1.8</v>
      </c>
      <c r="F540" s="142" t="s">
        <v>681</v>
      </c>
      <c r="G540" s="152" t="s">
        <v>717</v>
      </c>
    </row>
    <row r="541" spans="1:7" ht="15.6" x14ac:dyDescent="0.3">
      <c r="A541" s="137">
        <v>2</v>
      </c>
      <c r="B541" s="138">
        <v>3</v>
      </c>
      <c r="C541" s="139">
        <v>2042</v>
      </c>
      <c r="D541" s="140" t="s">
        <v>642</v>
      </c>
      <c r="E541" s="141">
        <v>1.9</v>
      </c>
      <c r="F541" s="142" t="s">
        <v>678</v>
      </c>
      <c r="G541" s="152" t="s">
        <v>715</v>
      </c>
    </row>
    <row r="542" spans="1:7" ht="15.6" x14ac:dyDescent="0.3">
      <c r="A542" s="137">
        <v>2</v>
      </c>
      <c r="B542" s="138">
        <v>3</v>
      </c>
      <c r="C542" s="139">
        <v>2042</v>
      </c>
      <c r="D542" s="140" t="s">
        <v>651</v>
      </c>
      <c r="E542" s="141">
        <v>10.7</v>
      </c>
      <c r="F542" s="142" t="s">
        <v>678</v>
      </c>
      <c r="G542" s="152" t="s">
        <v>719</v>
      </c>
    </row>
    <row r="543" spans="1:7" ht="15.6" x14ac:dyDescent="0.3">
      <c r="A543" s="137">
        <v>2</v>
      </c>
      <c r="B543" s="138">
        <v>3</v>
      </c>
      <c r="C543" s="139">
        <v>2042</v>
      </c>
      <c r="D543" s="140" t="s">
        <v>649</v>
      </c>
      <c r="E543" s="141">
        <v>29</v>
      </c>
      <c r="F543" s="142" t="s">
        <v>679</v>
      </c>
      <c r="G543" s="152" t="s">
        <v>717</v>
      </c>
    </row>
    <row r="544" spans="1:7" ht="15.6" x14ac:dyDescent="0.3">
      <c r="A544" s="137">
        <v>2</v>
      </c>
      <c r="B544" s="138">
        <v>3</v>
      </c>
      <c r="C544" s="139">
        <v>2043</v>
      </c>
      <c r="D544" s="140" t="s">
        <v>638</v>
      </c>
      <c r="E544" s="141">
        <v>17.8</v>
      </c>
      <c r="F544" s="142" t="s">
        <v>676</v>
      </c>
      <c r="G544" s="152" t="s">
        <v>713</v>
      </c>
    </row>
    <row r="545" spans="1:7" ht="15.6" x14ac:dyDescent="0.3">
      <c r="A545" s="137">
        <v>2</v>
      </c>
      <c r="B545" s="138">
        <v>3</v>
      </c>
      <c r="C545" s="139">
        <v>2043</v>
      </c>
      <c r="D545" s="140" t="s">
        <v>647</v>
      </c>
      <c r="E545" s="141">
        <v>2.9</v>
      </c>
      <c r="F545" s="142" t="s">
        <v>681</v>
      </c>
      <c r="G545" s="152" t="s">
        <v>717</v>
      </c>
    </row>
    <row r="546" spans="1:7" ht="15.6" x14ac:dyDescent="0.3">
      <c r="A546" s="137">
        <v>2</v>
      </c>
      <c r="B546" s="138">
        <v>3</v>
      </c>
      <c r="C546" s="139">
        <v>2043</v>
      </c>
      <c r="D546" s="140" t="s">
        <v>648</v>
      </c>
      <c r="E546" s="141">
        <v>9.3000000000000007</v>
      </c>
      <c r="F546" s="142" t="s">
        <v>678</v>
      </c>
      <c r="G546" s="152" t="s">
        <v>718</v>
      </c>
    </row>
    <row r="547" spans="1:7" ht="15.6" x14ac:dyDescent="0.3">
      <c r="A547" s="137">
        <v>2</v>
      </c>
      <c r="B547" s="138">
        <v>3</v>
      </c>
      <c r="C547" s="139">
        <v>2043</v>
      </c>
      <c r="D547" s="140" t="s">
        <v>649</v>
      </c>
      <c r="E547" s="141">
        <v>24.6</v>
      </c>
      <c r="F547" s="142" t="s">
        <v>679</v>
      </c>
      <c r="G547" s="152" t="s">
        <v>717</v>
      </c>
    </row>
    <row r="548" spans="1:7" ht="15.6" x14ac:dyDescent="0.3">
      <c r="A548" s="137">
        <v>2</v>
      </c>
      <c r="B548" s="138">
        <v>3</v>
      </c>
      <c r="C548" s="139">
        <v>2044</v>
      </c>
      <c r="D548" s="140" t="s">
        <v>638</v>
      </c>
      <c r="E548" s="141">
        <v>26.5</v>
      </c>
      <c r="F548" s="142" t="s">
        <v>676</v>
      </c>
      <c r="G548" s="152" t="s">
        <v>713</v>
      </c>
    </row>
    <row r="549" spans="1:7" ht="15.6" x14ac:dyDescent="0.3">
      <c r="A549" s="137">
        <v>2</v>
      </c>
      <c r="B549" s="138">
        <v>3</v>
      </c>
      <c r="C549" s="139">
        <v>2044</v>
      </c>
      <c r="D549" s="140" t="s">
        <v>640</v>
      </c>
      <c r="E549" s="141">
        <v>27.5</v>
      </c>
      <c r="F549" s="142" t="s">
        <v>678</v>
      </c>
      <c r="G549" s="152" t="s">
        <v>715</v>
      </c>
    </row>
    <row r="550" spans="1:7" ht="15.6" x14ac:dyDescent="0.3">
      <c r="A550" s="137">
        <v>2</v>
      </c>
      <c r="B550" s="138">
        <v>3</v>
      </c>
      <c r="C550" s="139">
        <v>2045</v>
      </c>
      <c r="D550" s="140" t="s">
        <v>645</v>
      </c>
      <c r="E550" s="141">
        <v>8.9</v>
      </c>
      <c r="F550" s="142" t="s">
        <v>675</v>
      </c>
      <c r="G550" s="152" t="s">
        <v>712</v>
      </c>
    </row>
    <row r="551" spans="1:7" ht="15.6" x14ac:dyDescent="0.3">
      <c r="A551" s="137">
        <v>2</v>
      </c>
      <c r="B551" s="138">
        <v>3</v>
      </c>
      <c r="C551" s="139">
        <v>2045</v>
      </c>
      <c r="D551" s="140" t="s">
        <v>652</v>
      </c>
      <c r="E551" s="141">
        <v>4.3</v>
      </c>
      <c r="F551" s="142" t="s">
        <v>676</v>
      </c>
      <c r="G551" s="152" t="s">
        <v>712</v>
      </c>
    </row>
    <row r="552" spans="1:7" ht="31.2" x14ac:dyDescent="0.3">
      <c r="A552" s="137">
        <v>2</v>
      </c>
      <c r="B552" s="138">
        <v>3</v>
      </c>
      <c r="C552" s="139">
        <v>2045</v>
      </c>
      <c r="D552" s="140" t="s">
        <v>658</v>
      </c>
      <c r="E552" s="141">
        <v>1.2</v>
      </c>
      <c r="F552" s="317" t="s">
        <v>796</v>
      </c>
      <c r="G552" s="152" t="s">
        <v>713</v>
      </c>
    </row>
    <row r="553" spans="1:7" ht="15.6" x14ac:dyDescent="0.3">
      <c r="A553" s="137">
        <v>2</v>
      </c>
      <c r="B553" s="138">
        <v>3</v>
      </c>
      <c r="C553" s="139">
        <v>2045</v>
      </c>
      <c r="D553" s="140" t="s">
        <v>647</v>
      </c>
      <c r="E553" s="141">
        <v>1.7</v>
      </c>
      <c r="F553" s="142" t="s">
        <v>681</v>
      </c>
      <c r="G553" s="152" t="s">
        <v>717</v>
      </c>
    </row>
    <row r="554" spans="1:7" ht="31.2" x14ac:dyDescent="0.3">
      <c r="A554" s="137">
        <v>2</v>
      </c>
      <c r="B554" s="138">
        <v>3</v>
      </c>
      <c r="C554" s="139">
        <v>2045</v>
      </c>
      <c r="D554" s="140" t="s">
        <v>654</v>
      </c>
      <c r="E554" s="141">
        <v>0.3</v>
      </c>
      <c r="F554" s="142" t="s">
        <v>683</v>
      </c>
      <c r="G554" s="152" t="s">
        <v>714</v>
      </c>
    </row>
    <row r="555" spans="1:7" ht="15.6" x14ac:dyDescent="0.3">
      <c r="A555" s="137">
        <v>2</v>
      </c>
      <c r="B555" s="138">
        <v>3</v>
      </c>
      <c r="C555" s="139">
        <v>2045</v>
      </c>
      <c r="D555" s="140" t="s">
        <v>655</v>
      </c>
      <c r="E555" s="141">
        <v>17.2</v>
      </c>
      <c r="F555" s="142" t="s">
        <v>679</v>
      </c>
      <c r="G555" s="152" t="s">
        <v>717</v>
      </c>
    </row>
    <row r="556" spans="1:7" ht="15.6" x14ac:dyDescent="0.3">
      <c r="A556" s="137">
        <v>2</v>
      </c>
      <c r="B556" s="138">
        <v>3</v>
      </c>
      <c r="C556" s="139">
        <v>2046</v>
      </c>
      <c r="D556" s="140" t="s">
        <v>637</v>
      </c>
      <c r="E556" s="141">
        <v>5.7</v>
      </c>
      <c r="F556" s="142" t="s">
        <v>675</v>
      </c>
      <c r="G556" s="152" t="s">
        <v>712</v>
      </c>
    </row>
    <row r="557" spans="1:7" ht="15.6" x14ac:dyDescent="0.3">
      <c r="A557" s="137">
        <v>2</v>
      </c>
      <c r="B557" s="138">
        <v>3</v>
      </c>
      <c r="C557" s="139">
        <v>2046</v>
      </c>
      <c r="D557" s="140" t="s">
        <v>638</v>
      </c>
      <c r="E557" s="141">
        <v>14.7</v>
      </c>
      <c r="F557" s="142" t="s">
        <v>676</v>
      </c>
      <c r="G557" s="152" t="s">
        <v>713</v>
      </c>
    </row>
    <row r="558" spans="1:7" ht="15.6" x14ac:dyDescent="0.3">
      <c r="A558" s="137">
        <v>2</v>
      </c>
      <c r="B558" s="138">
        <v>3</v>
      </c>
      <c r="C558" s="139">
        <v>2046</v>
      </c>
      <c r="D558" s="140" t="s">
        <v>639</v>
      </c>
      <c r="E558" s="141">
        <v>1.9</v>
      </c>
      <c r="F558" s="142" t="s">
        <v>677</v>
      </c>
      <c r="G558" s="152" t="s">
        <v>714</v>
      </c>
    </row>
    <row r="559" spans="1:7" ht="15.6" x14ac:dyDescent="0.3">
      <c r="A559" s="137">
        <v>2</v>
      </c>
      <c r="B559" s="138">
        <v>3</v>
      </c>
      <c r="C559" s="139">
        <v>2046</v>
      </c>
      <c r="D559" s="140" t="s">
        <v>642</v>
      </c>
      <c r="E559" s="141">
        <v>22.9</v>
      </c>
      <c r="F559" s="142" t="s">
        <v>678</v>
      </c>
      <c r="G559" s="152" t="s">
        <v>715</v>
      </c>
    </row>
    <row r="560" spans="1:7" ht="15.6" x14ac:dyDescent="0.3">
      <c r="A560" s="137">
        <v>2</v>
      </c>
      <c r="B560" s="138">
        <v>3</v>
      </c>
      <c r="C560" s="139">
        <v>2047</v>
      </c>
      <c r="D560" s="140" t="s">
        <v>638</v>
      </c>
      <c r="E560" s="141">
        <v>75.599999999999994</v>
      </c>
      <c r="F560" s="142" t="s">
        <v>676</v>
      </c>
      <c r="G560" s="152" t="s">
        <v>713</v>
      </c>
    </row>
    <row r="561" spans="1:7" ht="15.6" x14ac:dyDescent="0.3">
      <c r="A561" s="137">
        <v>2</v>
      </c>
      <c r="B561" s="138">
        <v>3</v>
      </c>
      <c r="C561" s="140" t="s">
        <v>664</v>
      </c>
      <c r="D561" s="140" t="s">
        <v>637</v>
      </c>
      <c r="E561" s="141">
        <v>30.2</v>
      </c>
      <c r="F561" s="142" t="s">
        <v>675</v>
      </c>
      <c r="G561" s="152" t="s">
        <v>712</v>
      </c>
    </row>
    <row r="562" spans="1:7" ht="15.6" x14ac:dyDescent="0.3">
      <c r="A562" s="137">
        <v>2</v>
      </c>
      <c r="B562" s="138">
        <v>3</v>
      </c>
      <c r="C562" s="140" t="s">
        <v>664</v>
      </c>
      <c r="D562" s="140" t="s">
        <v>638</v>
      </c>
      <c r="E562" s="141">
        <v>189.4</v>
      </c>
      <c r="F562" s="142" t="s">
        <v>676</v>
      </c>
      <c r="G562" s="152" t="s">
        <v>713</v>
      </c>
    </row>
    <row r="563" spans="1:7" ht="15.6" x14ac:dyDescent="0.3">
      <c r="A563" s="137">
        <v>2</v>
      </c>
      <c r="B563" s="138">
        <v>3</v>
      </c>
      <c r="C563" s="140" t="s">
        <v>664</v>
      </c>
      <c r="D563" s="140" t="s">
        <v>639</v>
      </c>
      <c r="E563" s="141">
        <v>6.2</v>
      </c>
      <c r="F563" s="142" t="s">
        <v>677</v>
      </c>
      <c r="G563" s="152" t="s">
        <v>714</v>
      </c>
    </row>
    <row r="564" spans="1:7" ht="15.6" x14ac:dyDescent="0.3">
      <c r="A564" s="137">
        <v>2</v>
      </c>
      <c r="B564" s="138">
        <v>3</v>
      </c>
      <c r="C564" s="140" t="s">
        <v>664</v>
      </c>
      <c r="D564" s="140" t="s">
        <v>640</v>
      </c>
      <c r="E564" s="141">
        <v>29.8</v>
      </c>
      <c r="F564" s="142" t="s">
        <v>678</v>
      </c>
      <c r="G564" s="152" t="s">
        <v>715</v>
      </c>
    </row>
    <row r="565" spans="1:7" ht="15.6" x14ac:dyDescent="0.3">
      <c r="A565" s="137">
        <v>2</v>
      </c>
      <c r="B565" s="138">
        <v>3</v>
      </c>
      <c r="C565" s="140" t="s">
        <v>665</v>
      </c>
      <c r="D565" s="140" t="s">
        <v>637</v>
      </c>
      <c r="E565" s="141">
        <v>14.6</v>
      </c>
      <c r="F565" s="142" t="s">
        <v>675</v>
      </c>
      <c r="G565" s="152" t="s">
        <v>712</v>
      </c>
    </row>
    <row r="566" spans="1:7" ht="15.6" x14ac:dyDescent="0.3">
      <c r="A566" s="137">
        <v>2</v>
      </c>
      <c r="B566" s="138">
        <v>3</v>
      </c>
      <c r="C566" s="140" t="s">
        <v>665</v>
      </c>
      <c r="D566" s="140" t="s">
        <v>638</v>
      </c>
      <c r="E566" s="141">
        <v>42.6</v>
      </c>
      <c r="F566" s="142" t="s">
        <v>676</v>
      </c>
      <c r="G566" s="152" t="s">
        <v>713</v>
      </c>
    </row>
    <row r="567" spans="1:7" ht="15.6" x14ac:dyDescent="0.3">
      <c r="A567" s="137">
        <v>2</v>
      </c>
      <c r="B567" s="138">
        <v>3</v>
      </c>
      <c r="C567" s="140" t="s">
        <v>665</v>
      </c>
      <c r="D567" s="140" t="s">
        <v>639</v>
      </c>
      <c r="E567" s="141">
        <v>6.6</v>
      </c>
      <c r="F567" s="142" t="s">
        <v>677</v>
      </c>
      <c r="G567" s="152" t="s">
        <v>714</v>
      </c>
    </row>
    <row r="568" spans="1:7" ht="15.6" x14ac:dyDescent="0.3">
      <c r="A568" s="137">
        <v>2</v>
      </c>
      <c r="B568" s="138">
        <v>3</v>
      </c>
      <c r="C568" s="140" t="s">
        <v>665</v>
      </c>
      <c r="D568" s="140" t="s">
        <v>640</v>
      </c>
      <c r="E568" s="141">
        <v>53.7</v>
      </c>
      <c r="F568" s="142" t="s">
        <v>678</v>
      </c>
      <c r="G568" s="152" t="s">
        <v>715</v>
      </c>
    </row>
    <row r="569" spans="1:7" ht="15.6" x14ac:dyDescent="0.3">
      <c r="A569" s="137">
        <v>2</v>
      </c>
      <c r="B569" s="138">
        <v>3</v>
      </c>
      <c r="C569" s="139">
        <v>2048</v>
      </c>
      <c r="D569" s="140" t="s">
        <v>652</v>
      </c>
      <c r="E569" s="141">
        <v>3.1</v>
      </c>
      <c r="F569" s="142" t="s">
        <v>676</v>
      </c>
      <c r="G569" s="152" t="s">
        <v>712</v>
      </c>
    </row>
    <row r="570" spans="1:7" ht="15.6" x14ac:dyDescent="0.3">
      <c r="A570" s="137">
        <v>2</v>
      </c>
      <c r="B570" s="138">
        <v>3</v>
      </c>
      <c r="C570" s="139">
        <v>2048</v>
      </c>
      <c r="D570" s="140" t="s">
        <v>647</v>
      </c>
      <c r="E570" s="141">
        <v>1.9</v>
      </c>
      <c r="F570" s="142" t="s">
        <v>681</v>
      </c>
      <c r="G570" s="152" t="s">
        <v>717</v>
      </c>
    </row>
    <row r="571" spans="1:7" ht="15.6" x14ac:dyDescent="0.3">
      <c r="A571" s="137">
        <v>2</v>
      </c>
      <c r="B571" s="138">
        <v>3</v>
      </c>
      <c r="C571" s="139">
        <v>2048</v>
      </c>
      <c r="D571" s="140" t="s">
        <v>648</v>
      </c>
      <c r="E571" s="141">
        <v>11</v>
      </c>
      <c r="F571" s="142" t="s">
        <v>678</v>
      </c>
      <c r="G571" s="152" t="s">
        <v>718</v>
      </c>
    </row>
    <row r="572" spans="1:7" ht="15.6" x14ac:dyDescent="0.3">
      <c r="A572" s="137">
        <v>2</v>
      </c>
      <c r="B572" s="138">
        <v>3</v>
      </c>
      <c r="C572" s="139">
        <v>2048</v>
      </c>
      <c r="D572" s="140" t="s">
        <v>655</v>
      </c>
      <c r="E572" s="141">
        <v>18.3</v>
      </c>
      <c r="F572" s="142" t="s">
        <v>679</v>
      </c>
      <c r="G572" s="152" t="s">
        <v>717</v>
      </c>
    </row>
    <row r="573" spans="1:7" ht="15.6" x14ac:dyDescent="0.3">
      <c r="A573" s="137">
        <v>2</v>
      </c>
      <c r="B573" s="138">
        <v>3</v>
      </c>
      <c r="C573" s="139">
        <v>2049</v>
      </c>
      <c r="D573" s="140" t="s">
        <v>645</v>
      </c>
      <c r="E573" s="141">
        <v>10.4</v>
      </c>
      <c r="F573" s="142" t="s">
        <v>675</v>
      </c>
      <c r="G573" s="152" t="s">
        <v>712</v>
      </c>
    </row>
    <row r="574" spans="1:7" ht="15.6" x14ac:dyDescent="0.3">
      <c r="A574" s="137">
        <v>2</v>
      </c>
      <c r="B574" s="138">
        <v>3</v>
      </c>
      <c r="C574" s="139">
        <v>2049</v>
      </c>
      <c r="D574" s="140" t="s">
        <v>638</v>
      </c>
      <c r="E574" s="141">
        <v>5.2</v>
      </c>
      <c r="F574" s="142" t="s">
        <v>676</v>
      </c>
      <c r="G574" s="152" t="s">
        <v>713</v>
      </c>
    </row>
    <row r="575" spans="1:7" ht="15.6" x14ac:dyDescent="0.3">
      <c r="A575" s="137">
        <v>2</v>
      </c>
      <c r="B575" s="138">
        <v>3</v>
      </c>
      <c r="C575" s="139">
        <v>2049</v>
      </c>
      <c r="D575" s="140" t="s">
        <v>642</v>
      </c>
      <c r="E575" s="141">
        <v>1.9</v>
      </c>
      <c r="F575" s="142" t="s">
        <v>678</v>
      </c>
      <c r="G575" s="152" t="s">
        <v>715</v>
      </c>
    </row>
    <row r="576" spans="1:7" ht="15.6" x14ac:dyDescent="0.3">
      <c r="A576" s="137">
        <v>2</v>
      </c>
      <c r="B576" s="138">
        <v>3</v>
      </c>
      <c r="C576" s="139">
        <v>2049</v>
      </c>
      <c r="D576" s="140" t="s">
        <v>648</v>
      </c>
      <c r="E576" s="141">
        <v>8.1</v>
      </c>
      <c r="F576" s="142" t="s">
        <v>678</v>
      </c>
      <c r="G576" s="152" t="s">
        <v>718</v>
      </c>
    </row>
    <row r="577" spans="1:7" ht="15.6" x14ac:dyDescent="0.3">
      <c r="A577" s="137">
        <v>2</v>
      </c>
      <c r="B577" s="138">
        <v>3</v>
      </c>
      <c r="C577" s="139">
        <v>2049</v>
      </c>
      <c r="D577" s="140" t="s">
        <v>655</v>
      </c>
      <c r="E577" s="141">
        <v>5.2</v>
      </c>
      <c r="F577" s="142" t="s">
        <v>679</v>
      </c>
      <c r="G577" s="152" t="s">
        <v>717</v>
      </c>
    </row>
    <row r="578" spans="1:7" ht="15.6" x14ac:dyDescent="0.3">
      <c r="A578" s="137">
        <v>2</v>
      </c>
      <c r="B578" s="138">
        <v>3</v>
      </c>
      <c r="C578" s="139">
        <v>2050</v>
      </c>
      <c r="D578" s="140" t="s">
        <v>639</v>
      </c>
      <c r="E578" s="141">
        <v>3.9</v>
      </c>
      <c r="F578" s="142" t="s">
        <v>677</v>
      </c>
      <c r="G578" s="152" t="s">
        <v>714</v>
      </c>
    </row>
    <row r="579" spans="1:7" ht="15.6" x14ac:dyDescent="0.3">
      <c r="A579" s="137">
        <v>2</v>
      </c>
      <c r="B579" s="138">
        <v>3</v>
      </c>
      <c r="C579" s="139">
        <v>2050</v>
      </c>
      <c r="D579" s="140" t="s">
        <v>642</v>
      </c>
      <c r="E579" s="141">
        <v>88.6</v>
      </c>
      <c r="F579" s="142" t="s">
        <v>678</v>
      </c>
      <c r="G579" s="152" t="s">
        <v>715</v>
      </c>
    </row>
    <row r="580" spans="1:7" ht="15.6" x14ac:dyDescent="0.3">
      <c r="A580" s="137">
        <v>2</v>
      </c>
      <c r="B580" s="138">
        <v>3</v>
      </c>
      <c r="C580" s="139">
        <v>2051</v>
      </c>
      <c r="D580" s="140" t="s">
        <v>637</v>
      </c>
      <c r="E580" s="141">
        <v>59.6</v>
      </c>
      <c r="F580" s="142" t="s">
        <v>675</v>
      </c>
      <c r="G580" s="152" t="s">
        <v>712</v>
      </c>
    </row>
    <row r="581" spans="1:7" ht="15.6" x14ac:dyDescent="0.3">
      <c r="A581" s="137">
        <v>2</v>
      </c>
      <c r="B581" s="138">
        <v>3</v>
      </c>
      <c r="C581" s="139">
        <v>2051</v>
      </c>
      <c r="D581" s="140" t="s">
        <v>638</v>
      </c>
      <c r="E581" s="141">
        <v>43.6</v>
      </c>
      <c r="F581" s="142" t="s">
        <v>676</v>
      </c>
      <c r="G581" s="152" t="s">
        <v>713</v>
      </c>
    </row>
    <row r="582" spans="1:7" ht="15.6" x14ac:dyDescent="0.3">
      <c r="A582" s="137">
        <v>2</v>
      </c>
      <c r="B582" s="138">
        <v>3</v>
      </c>
      <c r="C582" s="139">
        <v>2051</v>
      </c>
      <c r="D582" s="140" t="s">
        <v>639</v>
      </c>
      <c r="E582" s="141">
        <v>1.9</v>
      </c>
      <c r="F582" s="142" t="s">
        <v>677</v>
      </c>
      <c r="G582" s="152" t="s">
        <v>714</v>
      </c>
    </row>
    <row r="583" spans="1:7" ht="15.6" x14ac:dyDescent="0.3">
      <c r="A583" s="137">
        <v>2</v>
      </c>
      <c r="B583" s="138">
        <v>3</v>
      </c>
      <c r="C583" s="139">
        <v>2051</v>
      </c>
      <c r="D583" s="140" t="s">
        <v>640</v>
      </c>
      <c r="E583" s="141">
        <v>40.5</v>
      </c>
      <c r="F583" s="142" t="s">
        <v>678</v>
      </c>
      <c r="G583" s="152" t="s">
        <v>715</v>
      </c>
    </row>
    <row r="584" spans="1:7" ht="15.6" x14ac:dyDescent="0.3">
      <c r="A584" s="137">
        <v>2</v>
      </c>
      <c r="B584" s="138">
        <v>3</v>
      </c>
      <c r="C584" s="140" t="s">
        <v>666</v>
      </c>
      <c r="D584" s="140" t="s">
        <v>637</v>
      </c>
      <c r="E584" s="141">
        <v>54.3</v>
      </c>
      <c r="F584" s="142" t="s">
        <v>675</v>
      </c>
      <c r="G584" s="152" t="s">
        <v>712</v>
      </c>
    </row>
    <row r="585" spans="1:7" ht="15.6" x14ac:dyDescent="0.3">
      <c r="A585" s="137">
        <v>2</v>
      </c>
      <c r="B585" s="138">
        <v>3</v>
      </c>
      <c r="C585" s="140" t="s">
        <v>666</v>
      </c>
      <c r="D585" s="140" t="s">
        <v>638</v>
      </c>
      <c r="E585" s="141">
        <v>104.2</v>
      </c>
      <c r="F585" s="142" t="s">
        <v>676</v>
      </c>
      <c r="G585" s="152" t="s">
        <v>713</v>
      </c>
    </row>
    <row r="586" spans="1:7" ht="15.6" x14ac:dyDescent="0.3">
      <c r="A586" s="137">
        <v>2</v>
      </c>
      <c r="B586" s="138">
        <v>3</v>
      </c>
      <c r="C586" s="140" t="s">
        <v>666</v>
      </c>
      <c r="D586" s="140" t="s">
        <v>639</v>
      </c>
      <c r="E586" s="141">
        <v>4.5</v>
      </c>
      <c r="F586" s="142" t="s">
        <v>677</v>
      </c>
      <c r="G586" s="152" t="s">
        <v>714</v>
      </c>
    </row>
    <row r="587" spans="1:7" ht="15.6" x14ac:dyDescent="0.3">
      <c r="A587" s="137">
        <v>2</v>
      </c>
      <c r="B587" s="138">
        <v>3</v>
      </c>
      <c r="C587" s="140" t="s">
        <v>666</v>
      </c>
      <c r="D587" s="140" t="s">
        <v>640</v>
      </c>
      <c r="E587" s="141">
        <v>12.7</v>
      </c>
      <c r="F587" s="142" t="s">
        <v>678</v>
      </c>
      <c r="G587" s="152" t="s">
        <v>715</v>
      </c>
    </row>
    <row r="588" spans="1:7" ht="15.6" x14ac:dyDescent="0.3">
      <c r="A588" s="137">
        <v>2</v>
      </c>
      <c r="B588" s="138">
        <v>2</v>
      </c>
      <c r="C588" s="139">
        <v>2052</v>
      </c>
      <c r="D588" s="140" t="s">
        <v>637</v>
      </c>
      <c r="E588" s="141">
        <v>23</v>
      </c>
      <c r="F588" s="142" t="s">
        <v>675</v>
      </c>
      <c r="G588" s="152" t="s">
        <v>712</v>
      </c>
    </row>
    <row r="589" spans="1:7" ht="15.6" x14ac:dyDescent="0.3">
      <c r="A589" s="137">
        <v>2</v>
      </c>
      <c r="B589" s="138">
        <v>2</v>
      </c>
      <c r="C589" s="139">
        <v>2052</v>
      </c>
      <c r="D589" s="140" t="s">
        <v>638</v>
      </c>
      <c r="E589" s="141">
        <v>233.9</v>
      </c>
      <c r="F589" s="142" t="s">
        <v>676</v>
      </c>
      <c r="G589" s="152" t="s">
        <v>713</v>
      </c>
    </row>
    <row r="590" spans="1:7" ht="15.6" x14ac:dyDescent="0.3">
      <c r="A590" s="137">
        <v>2</v>
      </c>
      <c r="B590" s="138">
        <v>2</v>
      </c>
      <c r="C590" s="139">
        <v>2052</v>
      </c>
      <c r="D590" s="140" t="s">
        <v>640</v>
      </c>
      <c r="E590" s="141">
        <v>58.5</v>
      </c>
      <c r="F590" s="142" t="s">
        <v>678</v>
      </c>
      <c r="G590" s="152" t="s">
        <v>715</v>
      </c>
    </row>
    <row r="591" spans="1:7" ht="15.6" x14ac:dyDescent="0.3">
      <c r="A591" s="137">
        <v>2</v>
      </c>
      <c r="B591" s="138">
        <v>2</v>
      </c>
      <c r="C591" s="139">
        <v>2052</v>
      </c>
      <c r="D591" s="140" t="s">
        <v>641</v>
      </c>
      <c r="E591" s="141">
        <v>3.6</v>
      </c>
      <c r="F591" s="142" t="s">
        <v>679</v>
      </c>
      <c r="G591" s="152" t="s">
        <v>716</v>
      </c>
    </row>
    <row r="592" spans="1:7" ht="15.6" x14ac:dyDescent="0.3">
      <c r="A592" s="137">
        <v>2</v>
      </c>
      <c r="B592" s="138">
        <v>3</v>
      </c>
      <c r="C592" s="139">
        <v>2053</v>
      </c>
      <c r="D592" s="140" t="s">
        <v>645</v>
      </c>
      <c r="E592" s="141">
        <v>11.5</v>
      </c>
      <c r="F592" s="142" t="s">
        <v>675</v>
      </c>
      <c r="G592" s="152" t="s">
        <v>712</v>
      </c>
    </row>
    <row r="593" spans="1:7" ht="31.2" x14ac:dyDescent="0.3">
      <c r="A593" s="137">
        <v>2</v>
      </c>
      <c r="B593" s="138">
        <v>3</v>
      </c>
      <c r="C593" s="139">
        <v>2053</v>
      </c>
      <c r="D593" s="140" t="s">
        <v>653</v>
      </c>
      <c r="E593" s="141">
        <v>2.1</v>
      </c>
      <c r="F593" s="142" t="s">
        <v>682</v>
      </c>
      <c r="G593" s="152" t="s">
        <v>712</v>
      </c>
    </row>
    <row r="594" spans="1:7" ht="31.2" x14ac:dyDescent="0.3">
      <c r="A594" s="137">
        <v>2</v>
      </c>
      <c r="B594" s="138">
        <v>3</v>
      </c>
      <c r="C594" s="139">
        <v>2053</v>
      </c>
      <c r="D594" s="140" t="s">
        <v>646</v>
      </c>
      <c r="E594" s="141">
        <v>0.6</v>
      </c>
      <c r="F594" s="142" t="s">
        <v>680</v>
      </c>
      <c r="G594" s="152" t="s">
        <v>712</v>
      </c>
    </row>
    <row r="595" spans="1:7" ht="15.6" x14ac:dyDescent="0.3">
      <c r="A595" s="137">
        <v>2</v>
      </c>
      <c r="B595" s="138">
        <v>3</v>
      </c>
      <c r="C595" s="139">
        <v>2053</v>
      </c>
      <c r="D595" s="140" t="s">
        <v>652</v>
      </c>
      <c r="E595" s="141">
        <v>9.1999999999999993</v>
      </c>
      <c r="F595" s="142" t="s">
        <v>676</v>
      </c>
      <c r="G595" s="152" t="s">
        <v>712</v>
      </c>
    </row>
    <row r="596" spans="1:7" ht="46.8" x14ac:dyDescent="0.3">
      <c r="A596" s="137">
        <v>2</v>
      </c>
      <c r="B596" s="138">
        <v>3</v>
      </c>
      <c r="C596" s="139">
        <v>2053</v>
      </c>
      <c r="D596" s="140" t="s">
        <v>658</v>
      </c>
      <c r="E596" s="141">
        <v>2.1</v>
      </c>
      <c r="F596" s="142" t="s">
        <v>684</v>
      </c>
      <c r="G596" s="152" t="s">
        <v>713</v>
      </c>
    </row>
    <row r="597" spans="1:7" ht="15.6" x14ac:dyDescent="0.3">
      <c r="A597" s="137">
        <v>2</v>
      </c>
      <c r="B597" s="138">
        <v>3</v>
      </c>
      <c r="C597" s="139">
        <v>2053</v>
      </c>
      <c r="D597" s="140" t="s">
        <v>648</v>
      </c>
      <c r="E597" s="141">
        <v>3.5</v>
      </c>
      <c r="F597" s="142" t="s">
        <v>678</v>
      </c>
      <c r="G597" s="152" t="s">
        <v>718</v>
      </c>
    </row>
    <row r="598" spans="1:7" ht="15.6" x14ac:dyDescent="0.3">
      <c r="A598" s="137">
        <v>2</v>
      </c>
      <c r="B598" s="138">
        <v>3</v>
      </c>
      <c r="C598" s="139">
        <v>2053</v>
      </c>
      <c r="D598" s="140" t="s">
        <v>655</v>
      </c>
      <c r="E598" s="141">
        <v>3.5</v>
      </c>
      <c r="F598" s="142" t="s">
        <v>679</v>
      </c>
      <c r="G598" s="152" t="s">
        <v>717</v>
      </c>
    </row>
    <row r="599" spans="1:7" ht="15.6" x14ac:dyDescent="0.3">
      <c r="A599" s="137">
        <v>3</v>
      </c>
      <c r="B599" s="138">
        <v>1</v>
      </c>
      <c r="C599" s="139">
        <v>3001</v>
      </c>
      <c r="D599" s="140" t="s">
        <v>637</v>
      </c>
      <c r="E599" s="141">
        <v>13.7</v>
      </c>
      <c r="F599" s="142" t="s">
        <v>675</v>
      </c>
      <c r="G599" s="152" t="s">
        <v>712</v>
      </c>
    </row>
    <row r="600" spans="1:7" ht="15.6" x14ac:dyDescent="0.3">
      <c r="A600" s="137">
        <v>3</v>
      </c>
      <c r="B600" s="138">
        <v>1</v>
      </c>
      <c r="C600" s="139">
        <v>3001</v>
      </c>
      <c r="D600" s="140" t="s">
        <v>638</v>
      </c>
      <c r="E600" s="141">
        <v>45.1</v>
      </c>
      <c r="F600" s="142" t="s">
        <v>676</v>
      </c>
      <c r="G600" s="152" t="s">
        <v>713</v>
      </c>
    </row>
    <row r="601" spans="1:7" ht="15.6" x14ac:dyDescent="0.3">
      <c r="A601" s="137">
        <v>3</v>
      </c>
      <c r="B601" s="138">
        <v>1</v>
      </c>
      <c r="C601" s="139">
        <v>3001</v>
      </c>
      <c r="D601" s="140" t="s">
        <v>639</v>
      </c>
      <c r="E601" s="141">
        <v>3.1</v>
      </c>
      <c r="F601" s="142" t="s">
        <v>677</v>
      </c>
      <c r="G601" s="152" t="s">
        <v>714</v>
      </c>
    </row>
    <row r="602" spans="1:7" ht="15.6" x14ac:dyDescent="0.3">
      <c r="A602" s="137">
        <v>3</v>
      </c>
      <c r="B602" s="138">
        <v>1</v>
      </c>
      <c r="C602" s="139">
        <v>3001</v>
      </c>
      <c r="D602" s="140" t="s">
        <v>640</v>
      </c>
      <c r="E602" s="141">
        <v>33.5</v>
      </c>
      <c r="F602" s="142" t="s">
        <v>678</v>
      </c>
      <c r="G602" s="152" t="s">
        <v>715</v>
      </c>
    </row>
    <row r="603" spans="1:7" ht="15.6" x14ac:dyDescent="0.3">
      <c r="A603" s="137">
        <v>3</v>
      </c>
      <c r="B603" s="138">
        <v>1</v>
      </c>
      <c r="C603" s="139">
        <v>3001</v>
      </c>
      <c r="D603" s="140" t="s">
        <v>641</v>
      </c>
      <c r="E603" s="141">
        <v>8.1</v>
      </c>
      <c r="F603" s="142" t="s">
        <v>679</v>
      </c>
      <c r="G603" s="152" t="s">
        <v>716</v>
      </c>
    </row>
    <row r="604" spans="1:7" ht="15.6" x14ac:dyDescent="0.3">
      <c r="A604" s="137">
        <v>3</v>
      </c>
      <c r="B604" s="138">
        <v>1</v>
      </c>
      <c r="C604" s="139">
        <v>3002</v>
      </c>
      <c r="D604" s="140" t="s">
        <v>637</v>
      </c>
      <c r="E604" s="141">
        <v>16</v>
      </c>
      <c r="F604" s="142" t="s">
        <v>675</v>
      </c>
      <c r="G604" s="152" t="s">
        <v>712</v>
      </c>
    </row>
    <row r="605" spans="1:7" ht="15.6" x14ac:dyDescent="0.3">
      <c r="A605" s="137">
        <v>3</v>
      </c>
      <c r="B605" s="138">
        <v>1</v>
      </c>
      <c r="C605" s="139">
        <v>3002</v>
      </c>
      <c r="D605" s="140" t="s">
        <v>638</v>
      </c>
      <c r="E605" s="141">
        <v>49.1</v>
      </c>
      <c r="F605" s="142" t="s">
        <v>676</v>
      </c>
      <c r="G605" s="152" t="s">
        <v>713</v>
      </c>
    </row>
    <row r="606" spans="1:7" ht="15.6" x14ac:dyDescent="0.3">
      <c r="A606" s="137">
        <v>3</v>
      </c>
      <c r="B606" s="138">
        <v>1</v>
      </c>
      <c r="C606" s="139">
        <v>3002</v>
      </c>
      <c r="D606" s="140" t="s">
        <v>639</v>
      </c>
      <c r="E606" s="141">
        <v>4.5</v>
      </c>
      <c r="F606" s="142" t="s">
        <v>677</v>
      </c>
      <c r="G606" s="152" t="s">
        <v>714</v>
      </c>
    </row>
    <row r="607" spans="1:7" ht="15.6" x14ac:dyDescent="0.3">
      <c r="A607" s="137">
        <v>3</v>
      </c>
      <c r="B607" s="138">
        <v>1</v>
      </c>
      <c r="C607" s="139">
        <v>3002</v>
      </c>
      <c r="D607" s="140" t="s">
        <v>640</v>
      </c>
      <c r="E607" s="141">
        <v>2.6</v>
      </c>
      <c r="F607" s="142" t="s">
        <v>678</v>
      </c>
      <c r="G607" s="152" t="s">
        <v>715</v>
      </c>
    </row>
    <row r="608" spans="1:7" ht="15.6" x14ac:dyDescent="0.3">
      <c r="A608" s="137">
        <v>3</v>
      </c>
      <c r="B608" s="138">
        <v>1</v>
      </c>
      <c r="C608" s="139">
        <v>3002</v>
      </c>
      <c r="D608" s="140" t="s">
        <v>641</v>
      </c>
      <c r="E608" s="141">
        <v>4</v>
      </c>
      <c r="F608" s="142" t="s">
        <v>679</v>
      </c>
      <c r="G608" s="152" t="s">
        <v>716</v>
      </c>
    </row>
    <row r="609" spans="1:7" ht="15.6" x14ac:dyDescent="0.3">
      <c r="A609" s="137">
        <v>3</v>
      </c>
      <c r="B609" s="138">
        <v>1</v>
      </c>
      <c r="C609" s="139">
        <v>3003</v>
      </c>
      <c r="D609" s="140" t="s">
        <v>637</v>
      </c>
      <c r="E609" s="141">
        <v>15.9</v>
      </c>
      <c r="F609" s="142" t="s">
        <v>675</v>
      </c>
      <c r="G609" s="152" t="s">
        <v>712</v>
      </c>
    </row>
    <row r="610" spans="1:7" ht="15.6" x14ac:dyDescent="0.3">
      <c r="A610" s="137">
        <v>3</v>
      </c>
      <c r="B610" s="138">
        <v>1</v>
      </c>
      <c r="C610" s="139">
        <v>3003</v>
      </c>
      <c r="D610" s="140" t="s">
        <v>638</v>
      </c>
      <c r="E610" s="141">
        <v>74.5</v>
      </c>
      <c r="F610" s="142" t="s">
        <v>676</v>
      </c>
      <c r="G610" s="152" t="s">
        <v>713</v>
      </c>
    </row>
    <row r="611" spans="1:7" ht="15.6" x14ac:dyDescent="0.3">
      <c r="A611" s="137">
        <v>3</v>
      </c>
      <c r="B611" s="138">
        <v>1</v>
      </c>
      <c r="C611" s="139">
        <v>3003</v>
      </c>
      <c r="D611" s="140" t="s">
        <v>639</v>
      </c>
      <c r="E611" s="141">
        <v>1.5</v>
      </c>
      <c r="F611" s="142" t="s">
        <v>677</v>
      </c>
      <c r="G611" s="152" t="s">
        <v>714</v>
      </c>
    </row>
    <row r="612" spans="1:7" ht="15.6" x14ac:dyDescent="0.3">
      <c r="A612" s="137">
        <v>3</v>
      </c>
      <c r="B612" s="138">
        <v>1</v>
      </c>
      <c r="C612" s="139">
        <v>3003</v>
      </c>
      <c r="D612" s="140" t="s">
        <v>640</v>
      </c>
      <c r="E612" s="141">
        <v>7.8</v>
      </c>
      <c r="F612" s="142" t="s">
        <v>678</v>
      </c>
      <c r="G612" s="152" t="s">
        <v>715</v>
      </c>
    </row>
    <row r="613" spans="1:7" ht="15.6" x14ac:dyDescent="0.3">
      <c r="A613" s="137">
        <v>3</v>
      </c>
      <c r="B613" s="138">
        <v>1</v>
      </c>
      <c r="C613" s="139">
        <v>3003</v>
      </c>
      <c r="D613" s="140" t="s">
        <v>641</v>
      </c>
      <c r="E613" s="141">
        <v>3.9</v>
      </c>
      <c r="F613" s="142" t="s">
        <v>679</v>
      </c>
      <c r="G613" s="152" t="s">
        <v>716</v>
      </c>
    </row>
    <row r="614" spans="1:7" ht="15.6" x14ac:dyDescent="0.3">
      <c r="A614" s="137">
        <v>3</v>
      </c>
      <c r="B614" s="138">
        <v>1</v>
      </c>
      <c r="C614" s="139">
        <v>3004</v>
      </c>
      <c r="D614" s="140" t="s">
        <v>637</v>
      </c>
      <c r="E614" s="141">
        <v>17.600000000000001</v>
      </c>
      <c r="F614" s="142" t="s">
        <v>675</v>
      </c>
      <c r="G614" s="152" t="s">
        <v>712</v>
      </c>
    </row>
    <row r="615" spans="1:7" ht="15.6" x14ac:dyDescent="0.3">
      <c r="A615" s="137">
        <v>3</v>
      </c>
      <c r="B615" s="138">
        <v>1</v>
      </c>
      <c r="C615" s="139">
        <v>3004</v>
      </c>
      <c r="D615" s="140" t="s">
        <v>638</v>
      </c>
      <c r="E615" s="141">
        <v>49</v>
      </c>
      <c r="F615" s="142" t="s">
        <v>676</v>
      </c>
      <c r="G615" s="152" t="s">
        <v>713</v>
      </c>
    </row>
    <row r="616" spans="1:7" ht="15.6" x14ac:dyDescent="0.3">
      <c r="A616" s="137">
        <v>3</v>
      </c>
      <c r="B616" s="138">
        <v>1</v>
      </c>
      <c r="C616" s="139">
        <v>3004</v>
      </c>
      <c r="D616" s="140" t="s">
        <v>639</v>
      </c>
      <c r="E616" s="141">
        <v>5.0999999999999996</v>
      </c>
      <c r="F616" s="142" t="s">
        <v>677</v>
      </c>
      <c r="G616" s="152" t="s">
        <v>714</v>
      </c>
    </row>
    <row r="617" spans="1:7" ht="15.6" x14ac:dyDescent="0.3">
      <c r="A617" s="137">
        <v>3</v>
      </c>
      <c r="B617" s="138">
        <v>1</v>
      </c>
      <c r="C617" s="139">
        <v>3004</v>
      </c>
      <c r="D617" s="140" t="s">
        <v>640</v>
      </c>
      <c r="E617" s="141">
        <v>29.9</v>
      </c>
      <c r="F617" s="142" t="s">
        <v>678</v>
      </c>
      <c r="G617" s="152" t="s">
        <v>715</v>
      </c>
    </row>
    <row r="618" spans="1:7" ht="15.6" x14ac:dyDescent="0.3">
      <c r="A618" s="137">
        <v>3</v>
      </c>
      <c r="B618" s="138">
        <v>1</v>
      </c>
      <c r="C618" s="139">
        <v>3004</v>
      </c>
      <c r="D618" s="140" t="s">
        <v>641</v>
      </c>
      <c r="E618" s="141">
        <v>5.4</v>
      </c>
      <c r="F618" s="142" t="s">
        <v>679</v>
      </c>
      <c r="G618" s="152" t="s">
        <v>716</v>
      </c>
    </row>
    <row r="619" spans="1:7" ht="15.6" x14ac:dyDescent="0.3">
      <c r="A619" s="137">
        <v>3</v>
      </c>
      <c r="B619" s="138">
        <v>1</v>
      </c>
      <c r="C619" s="139">
        <v>3005</v>
      </c>
      <c r="D619" s="140" t="s">
        <v>637</v>
      </c>
      <c r="E619" s="141">
        <v>15.1</v>
      </c>
      <c r="F619" s="142" t="s">
        <v>675</v>
      </c>
      <c r="G619" s="152" t="s">
        <v>712</v>
      </c>
    </row>
    <row r="620" spans="1:7" ht="15.6" x14ac:dyDescent="0.3">
      <c r="A620" s="137">
        <v>3</v>
      </c>
      <c r="B620" s="138">
        <v>1</v>
      </c>
      <c r="C620" s="139">
        <v>3005</v>
      </c>
      <c r="D620" s="140" t="s">
        <v>638</v>
      </c>
      <c r="E620" s="141">
        <v>48.4</v>
      </c>
      <c r="F620" s="142" t="s">
        <v>676</v>
      </c>
      <c r="G620" s="152" t="s">
        <v>713</v>
      </c>
    </row>
    <row r="621" spans="1:7" ht="15.6" x14ac:dyDescent="0.3">
      <c r="A621" s="137">
        <v>3</v>
      </c>
      <c r="B621" s="138">
        <v>1</v>
      </c>
      <c r="C621" s="139">
        <v>3005</v>
      </c>
      <c r="D621" s="140" t="s">
        <v>639</v>
      </c>
      <c r="E621" s="141">
        <v>7.4</v>
      </c>
      <c r="F621" s="142" t="s">
        <v>677</v>
      </c>
      <c r="G621" s="152" t="s">
        <v>714</v>
      </c>
    </row>
    <row r="622" spans="1:7" ht="15.6" x14ac:dyDescent="0.3">
      <c r="A622" s="137">
        <v>3</v>
      </c>
      <c r="B622" s="138">
        <v>1</v>
      </c>
      <c r="C622" s="139">
        <v>3005</v>
      </c>
      <c r="D622" s="140" t="s">
        <v>640</v>
      </c>
      <c r="E622" s="141">
        <v>30.7</v>
      </c>
      <c r="F622" s="142" t="s">
        <v>678</v>
      </c>
      <c r="G622" s="152" t="s">
        <v>715</v>
      </c>
    </row>
    <row r="623" spans="1:7" ht="15.6" x14ac:dyDescent="0.3">
      <c r="A623" s="137">
        <v>3</v>
      </c>
      <c r="B623" s="138">
        <v>1</v>
      </c>
      <c r="C623" s="139">
        <v>3005</v>
      </c>
      <c r="D623" s="140" t="s">
        <v>641</v>
      </c>
      <c r="E623" s="141">
        <v>3.9</v>
      </c>
      <c r="F623" s="142" t="s">
        <v>679</v>
      </c>
      <c r="G623" s="152" t="s">
        <v>716</v>
      </c>
    </row>
    <row r="624" spans="1:7" ht="15.6" x14ac:dyDescent="0.3">
      <c r="A624" s="137">
        <v>3</v>
      </c>
      <c r="B624" s="138">
        <v>1</v>
      </c>
      <c r="C624" s="139">
        <v>3006</v>
      </c>
      <c r="D624" s="140" t="s">
        <v>637</v>
      </c>
      <c r="E624" s="141">
        <v>10.8</v>
      </c>
      <c r="F624" s="142" t="s">
        <v>675</v>
      </c>
      <c r="G624" s="152" t="s">
        <v>712</v>
      </c>
    </row>
    <row r="625" spans="1:7" ht="15.6" x14ac:dyDescent="0.3">
      <c r="A625" s="137">
        <v>3</v>
      </c>
      <c r="B625" s="138">
        <v>1</v>
      </c>
      <c r="C625" s="139">
        <v>3006</v>
      </c>
      <c r="D625" s="140" t="s">
        <v>638</v>
      </c>
      <c r="E625" s="141">
        <v>57.2</v>
      </c>
      <c r="F625" s="142" t="s">
        <v>676</v>
      </c>
      <c r="G625" s="152" t="s">
        <v>713</v>
      </c>
    </row>
    <row r="626" spans="1:7" ht="15.6" x14ac:dyDescent="0.3">
      <c r="A626" s="137">
        <v>3</v>
      </c>
      <c r="B626" s="138">
        <v>1</v>
      </c>
      <c r="C626" s="139">
        <v>3006</v>
      </c>
      <c r="D626" s="140" t="s">
        <v>639</v>
      </c>
      <c r="E626" s="141">
        <v>5.2</v>
      </c>
      <c r="F626" s="142" t="s">
        <v>677</v>
      </c>
      <c r="G626" s="152" t="s">
        <v>714</v>
      </c>
    </row>
    <row r="627" spans="1:7" ht="15.6" x14ac:dyDescent="0.3">
      <c r="A627" s="137">
        <v>3</v>
      </c>
      <c r="B627" s="138">
        <v>1</v>
      </c>
      <c r="C627" s="139">
        <v>3006</v>
      </c>
      <c r="D627" s="140" t="s">
        <v>640</v>
      </c>
      <c r="E627" s="141">
        <v>36</v>
      </c>
      <c r="F627" s="142" t="s">
        <v>678</v>
      </c>
      <c r="G627" s="152" t="s">
        <v>715</v>
      </c>
    </row>
    <row r="628" spans="1:7" ht="15.6" x14ac:dyDescent="0.3">
      <c r="A628" s="137">
        <v>3</v>
      </c>
      <c r="B628" s="138">
        <v>1</v>
      </c>
      <c r="C628" s="139">
        <v>3006</v>
      </c>
      <c r="D628" s="140" t="s">
        <v>641</v>
      </c>
      <c r="E628" s="141">
        <v>3.9</v>
      </c>
      <c r="F628" s="142" t="s">
        <v>679</v>
      </c>
      <c r="G628" s="152" t="s">
        <v>716</v>
      </c>
    </row>
    <row r="629" spans="1:7" ht="15.6" x14ac:dyDescent="0.3">
      <c r="A629" s="137">
        <v>3</v>
      </c>
      <c r="B629" s="138">
        <v>1</v>
      </c>
      <c r="C629" s="139">
        <v>3007</v>
      </c>
      <c r="D629" s="140" t="s">
        <v>637</v>
      </c>
      <c r="E629" s="141">
        <v>20.9</v>
      </c>
      <c r="F629" s="142" t="s">
        <v>675</v>
      </c>
      <c r="G629" s="152" t="s">
        <v>712</v>
      </c>
    </row>
    <row r="630" spans="1:7" ht="15.6" x14ac:dyDescent="0.3">
      <c r="A630" s="137">
        <v>3</v>
      </c>
      <c r="B630" s="138">
        <v>1</v>
      </c>
      <c r="C630" s="139">
        <v>3007</v>
      </c>
      <c r="D630" s="140" t="s">
        <v>638</v>
      </c>
      <c r="E630" s="141">
        <v>50.9</v>
      </c>
      <c r="F630" s="142" t="s">
        <v>676</v>
      </c>
      <c r="G630" s="152" t="s">
        <v>713</v>
      </c>
    </row>
    <row r="631" spans="1:7" ht="15.6" x14ac:dyDescent="0.3">
      <c r="A631" s="137">
        <v>3</v>
      </c>
      <c r="B631" s="138">
        <v>1</v>
      </c>
      <c r="C631" s="139">
        <v>3007</v>
      </c>
      <c r="D631" s="140" t="s">
        <v>639</v>
      </c>
      <c r="E631" s="141">
        <v>6.8</v>
      </c>
      <c r="F631" s="142" t="s">
        <v>677</v>
      </c>
      <c r="G631" s="152" t="s">
        <v>714</v>
      </c>
    </row>
    <row r="632" spans="1:7" ht="15.6" x14ac:dyDescent="0.3">
      <c r="A632" s="137">
        <v>3</v>
      </c>
      <c r="B632" s="138">
        <v>1</v>
      </c>
      <c r="C632" s="139">
        <v>3007</v>
      </c>
      <c r="D632" s="140" t="s">
        <v>640</v>
      </c>
      <c r="E632" s="141">
        <v>33.6</v>
      </c>
      <c r="F632" s="142" t="s">
        <v>678</v>
      </c>
      <c r="G632" s="152" t="s">
        <v>715</v>
      </c>
    </row>
    <row r="633" spans="1:7" ht="15.6" x14ac:dyDescent="0.3">
      <c r="A633" s="137">
        <v>3</v>
      </c>
      <c r="B633" s="138">
        <v>1</v>
      </c>
      <c r="C633" s="139">
        <v>3007</v>
      </c>
      <c r="D633" s="140" t="s">
        <v>641</v>
      </c>
      <c r="E633" s="141">
        <v>3.9</v>
      </c>
      <c r="F633" s="142" t="s">
        <v>679</v>
      </c>
      <c r="G633" s="152" t="s">
        <v>716</v>
      </c>
    </row>
    <row r="634" spans="1:7" ht="15.6" x14ac:dyDescent="0.3">
      <c r="A634" s="137">
        <v>3</v>
      </c>
      <c r="B634" s="138">
        <v>1</v>
      </c>
      <c r="C634" s="139">
        <v>3008</v>
      </c>
      <c r="D634" s="140" t="s">
        <v>637</v>
      </c>
      <c r="E634" s="141">
        <v>2.9</v>
      </c>
      <c r="F634" s="142" t="s">
        <v>675</v>
      </c>
      <c r="G634" s="152" t="s">
        <v>712</v>
      </c>
    </row>
    <row r="635" spans="1:7" ht="15.6" x14ac:dyDescent="0.3">
      <c r="A635" s="137">
        <v>3</v>
      </c>
      <c r="B635" s="138">
        <v>1</v>
      </c>
      <c r="C635" s="139">
        <v>3008</v>
      </c>
      <c r="D635" s="140" t="s">
        <v>638</v>
      </c>
      <c r="E635" s="141">
        <v>47.6</v>
      </c>
      <c r="F635" s="142" t="s">
        <v>676</v>
      </c>
      <c r="G635" s="152" t="s">
        <v>713</v>
      </c>
    </row>
    <row r="636" spans="1:7" ht="15.6" x14ac:dyDescent="0.3">
      <c r="A636" s="137">
        <v>3</v>
      </c>
      <c r="B636" s="138">
        <v>1</v>
      </c>
      <c r="C636" s="139">
        <v>3008</v>
      </c>
      <c r="D636" s="140" t="s">
        <v>640</v>
      </c>
      <c r="E636" s="141">
        <v>28.7</v>
      </c>
      <c r="F636" s="142" t="s">
        <v>678</v>
      </c>
      <c r="G636" s="152" t="s">
        <v>715</v>
      </c>
    </row>
    <row r="637" spans="1:7" ht="15.6" x14ac:dyDescent="0.3">
      <c r="A637" s="137">
        <v>3</v>
      </c>
      <c r="B637" s="138">
        <v>1</v>
      </c>
      <c r="C637" s="139">
        <v>3008</v>
      </c>
      <c r="D637" s="140" t="s">
        <v>641</v>
      </c>
      <c r="E637" s="141">
        <v>3.4</v>
      </c>
      <c r="F637" s="142" t="s">
        <v>679</v>
      </c>
      <c r="G637" s="152" t="s">
        <v>716</v>
      </c>
    </row>
    <row r="638" spans="1:7" ht="15.6" x14ac:dyDescent="0.3">
      <c r="A638" s="137">
        <v>3</v>
      </c>
      <c r="B638" s="138">
        <v>1</v>
      </c>
      <c r="C638" s="139">
        <v>3009</v>
      </c>
      <c r="D638" s="140" t="s">
        <v>642</v>
      </c>
      <c r="E638" s="141">
        <v>90.1</v>
      </c>
      <c r="F638" s="142" t="s">
        <v>678</v>
      </c>
      <c r="G638" s="152" t="s">
        <v>715</v>
      </c>
    </row>
    <row r="639" spans="1:7" ht="15.6" x14ac:dyDescent="0.3">
      <c r="A639" s="137">
        <v>3</v>
      </c>
      <c r="B639" s="138">
        <v>1</v>
      </c>
      <c r="C639" s="139">
        <v>3010</v>
      </c>
      <c r="D639" s="140" t="s">
        <v>644</v>
      </c>
      <c r="E639" s="141">
        <v>3.5</v>
      </c>
      <c r="F639" s="142" t="s">
        <v>675</v>
      </c>
      <c r="G639" s="152" t="s">
        <v>712</v>
      </c>
    </row>
    <row r="640" spans="1:7" ht="15.6" x14ac:dyDescent="0.3">
      <c r="A640" s="137">
        <v>3</v>
      </c>
      <c r="B640" s="138">
        <v>1</v>
      </c>
      <c r="C640" s="139">
        <v>3010</v>
      </c>
      <c r="D640" s="140" t="s">
        <v>645</v>
      </c>
      <c r="E640" s="141">
        <v>2.4</v>
      </c>
      <c r="F640" s="142" t="s">
        <v>675</v>
      </c>
      <c r="G640" s="152" t="s">
        <v>712</v>
      </c>
    </row>
    <row r="641" spans="1:7" ht="31.2" x14ac:dyDescent="0.3">
      <c r="A641" s="137">
        <v>3</v>
      </c>
      <c r="B641" s="138">
        <v>1</v>
      </c>
      <c r="C641" s="139">
        <v>3010</v>
      </c>
      <c r="D641" s="140" t="s">
        <v>646</v>
      </c>
      <c r="E641" s="141">
        <v>1.3</v>
      </c>
      <c r="F641" s="142" t="s">
        <v>680</v>
      </c>
      <c r="G641" s="152" t="s">
        <v>712</v>
      </c>
    </row>
    <row r="642" spans="1:7" ht="15.6" x14ac:dyDescent="0.3">
      <c r="A642" s="137">
        <v>3</v>
      </c>
      <c r="B642" s="138">
        <v>1</v>
      </c>
      <c r="C642" s="139">
        <v>3010</v>
      </c>
      <c r="D642" s="140" t="s">
        <v>647</v>
      </c>
      <c r="E642" s="141">
        <v>2.2999999999999998</v>
      </c>
      <c r="F642" s="142" t="s">
        <v>681</v>
      </c>
      <c r="G642" s="152" t="s">
        <v>717</v>
      </c>
    </row>
    <row r="643" spans="1:7" ht="15.6" x14ac:dyDescent="0.3">
      <c r="A643" s="137">
        <v>3</v>
      </c>
      <c r="B643" s="138">
        <v>1</v>
      </c>
      <c r="C643" s="139">
        <v>3010</v>
      </c>
      <c r="D643" s="140" t="s">
        <v>648</v>
      </c>
      <c r="E643" s="141">
        <v>19.600000000000001</v>
      </c>
      <c r="F643" s="142" t="s">
        <v>678</v>
      </c>
      <c r="G643" s="152" t="s">
        <v>718</v>
      </c>
    </row>
    <row r="644" spans="1:7" ht="15.6" x14ac:dyDescent="0.3">
      <c r="A644" s="137">
        <v>3</v>
      </c>
      <c r="B644" s="138">
        <v>1</v>
      </c>
      <c r="C644" s="139">
        <v>3010</v>
      </c>
      <c r="D644" s="140" t="s">
        <v>649</v>
      </c>
      <c r="E644" s="141">
        <v>40.6</v>
      </c>
      <c r="F644" s="142" t="s">
        <v>679</v>
      </c>
      <c r="G644" s="152" t="s">
        <v>717</v>
      </c>
    </row>
    <row r="645" spans="1:7" ht="15.6" x14ac:dyDescent="0.3">
      <c r="A645" s="137">
        <v>3</v>
      </c>
      <c r="B645" s="138">
        <v>1</v>
      </c>
      <c r="C645" s="139">
        <v>3011</v>
      </c>
      <c r="D645" s="140" t="s">
        <v>645</v>
      </c>
      <c r="E645" s="141">
        <v>16.100000000000001</v>
      </c>
      <c r="F645" s="142" t="s">
        <v>675</v>
      </c>
      <c r="G645" s="152" t="s">
        <v>712</v>
      </c>
    </row>
    <row r="646" spans="1:7" ht="15.6" x14ac:dyDescent="0.3">
      <c r="A646" s="137">
        <v>3</v>
      </c>
      <c r="B646" s="138">
        <v>1</v>
      </c>
      <c r="C646" s="139">
        <v>3011</v>
      </c>
      <c r="D646" s="140" t="s">
        <v>650</v>
      </c>
      <c r="E646" s="141">
        <v>2</v>
      </c>
      <c r="F646" s="142" t="s">
        <v>677</v>
      </c>
      <c r="G646" s="152" t="s">
        <v>717</v>
      </c>
    </row>
    <row r="647" spans="1:7" ht="15.6" x14ac:dyDescent="0.3">
      <c r="A647" s="137">
        <v>3</v>
      </c>
      <c r="B647" s="138">
        <v>1</v>
      </c>
      <c r="C647" s="139">
        <v>3011</v>
      </c>
      <c r="D647" s="140" t="s">
        <v>651</v>
      </c>
      <c r="E647" s="141">
        <v>14.9</v>
      </c>
      <c r="F647" s="142" t="s">
        <v>678</v>
      </c>
      <c r="G647" s="152" t="s">
        <v>719</v>
      </c>
    </row>
    <row r="648" spans="1:7" ht="15.6" x14ac:dyDescent="0.3">
      <c r="A648" s="137">
        <v>3</v>
      </c>
      <c r="B648" s="138">
        <v>1</v>
      </c>
      <c r="C648" s="139">
        <v>3011</v>
      </c>
      <c r="D648" s="140" t="s">
        <v>655</v>
      </c>
      <c r="E648" s="141">
        <v>7.8</v>
      </c>
      <c r="F648" s="142" t="s">
        <v>679</v>
      </c>
      <c r="G648" s="152" t="s">
        <v>717</v>
      </c>
    </row>
    <row r="649" spans="1:7" ht="15.6" x14ac:dyDescent="0.3">
      <c r="A649" s="137">
        <v>3</v>
      </c>
      <c r="B649" s="138">
        <v>1</v>
      </c>
      <c r="C649" s="139">
        <v>3012</v>
      </c>
      <c r="D649" s="140" t="s">
        <v>637</v>
      </c>
      <c r="E649" s="141">
        <v>6.5</v>
      </c>
      <c r="F649" s="142" t="s">
        <v>675</v>
      </c>
      <c r="G649" s="152" t="s">
        <v>712</v>
      </c>
    </row>
    <row r="650" spans="1:7" ht="15.6" x14ac:dyDescent="0.3">
      <c r="A650" s="137">
        <v>3</v>
      </c>
      <c r="B650" s="138">
        <v>1</v>
      </c>
      <c r="C650" s="139">
        <v>3012</v>
      </c>
      <c r="D650" s="140" t="s">
        <v>639</v>
      </c>
      <c r="E650" s="141">
        <v>2.2000000000000002</v>
      </c>
      <c r="F650" s="142" t="s">
        <v>677</v>
      </c>
      <c r="G650" s="152" t="s">
        <v>714</v>
      </c>
    </row>
    <row r="651" spans="1:7" ht="15.6" x14ac:dyDescent="0.3">
      <c r="A651" s="137">
        <v>3</v>
      </c>
      <c r="B651" s="138">
        <v>1</v>
      </c>
      <c r="C651" s="139">
        <v>3012</v>
      </c>
      <c r="D651" s="140" t="s">
        <v>640</v>
      </c>
      <c r="E651" s="141">
        <v>43.2</v>
      </c>
      <c r="F651" s="142" t="s">
        <v>678</v>
      </c>
      <c r="G651" s="152" t="s">
        <v>715</v>
      </c>
    </row>
    <row r="652" spans="1:7" ht="15.6" x14ac:dyDescent="0.3">
      <c r="A652" s="137">
        <v>3</v>
      </c>
      <c r="B652" s="138">
        <v>1</v>
      </c>
      <c r="C652" s="139">
        <v>3013</v>
      </c>
      <c r="D652" s="140" t="s">
        <v>644</v>
      </c>
      <c r="E652" s="141">
        <v>6.1</v>
      </c>
      <c r="F652" s="142" t="s">
        <v>675</v>
      </c>
      <c r="G652" s="152" t="s">
        <v>712</v>
      </c>
    </row>
    <row r="653" spans="1:7" ht="15.6" x14ac:dyDescent="0.3">
      <c r="A653" s="137">
        <v>3</v>
      </c>
      <c r="B653" s="138">
        <v>1</v>
      </c>
      <c r="C653" s="139">
        <v>3013</v>
      </c>
      <c r="D653" s="140" t="s">
        <v>645</v>
      </c>
      <c r="E653" s="141">
        <v>2.5</v>
      </c>
      <c r="F653" s="142" t="s">
        <v>675</v>
      </c>
      <c r="G653" s="152" t="s">
        <v>712</v>
      </c>
    </row>
    <row r="654" spans="1:7" ht="15.6" x14ac:dyDescent="0.3">
      <c r="A654" s="137">
        <v>3</v>
      </c>
      <c r="B654" s="138">
        <v>1</v>
      </c>
      <c r="C654" s="139">
        <v>3013</v>
      </c>
      <c r="D654" s="140" t="s">
        <v>652</v>
      </c>
      <c r="E654" s="141">
        <v>19.5</v>
      </c>
      <c r="F654" s="142" t="s">
        <v>676</v>
      </c>
      <c r="G654" s="152" t="s">
        <v>712</v>
      </c>
    </row>
    <row r="655" spans="1:7" ht="15.6" x14ac:dyDescent="0.3">
      <c r="A655" s="137">
        <v>3</v>
      </c>
      <c r="B655" s="138">
        <v>1</v>
      </c>
      <c r="C655" s="139">
        <v>3013</v>
      </c>
      <c r="D655" s="140" t="s">
        <v>647</v>
      </c>
      <c r="E655" s="141">
        <v>2.1</v>
      </c>
      <c r="F655" s="142" t="s">
        <v>681</v>
      </c>
      <c r="G655" s="152" t="s">
        <v>717</v>
      </c>
    </row>
    <row r="656" spans="1:7" ht="15.6" x14ac:dyDescent="0.3">
      <c r="A656" s="137">
        <v>3</v>
      </c>
      <c r="B656" s="138">
        <v>1</v>
      </c>
      <c r="C656" s="139">
        <v>3013</v>
      </c>
      <c r="D656" s="140" t="s">
        <v>648</v>
      </c>
      <c r="E656" s="141">
        <v>3.1</v>
      </c>
      <c r="F656" s="142" t="s">
        <v>678</v>
      </c>
      <c r="G656" s="152" t="s">
        <v>718</v>
      </c>
    </row>
    <row r="657" spans="1:7" ht="15.6" x14ac:dyDescent="0.3">
      <c r="A657" s="137">
        <v>3</v>
      </c>
      <c r="B657" s="138">
        <v>1</v>
      </c>
      <c r="C657" s="139">
        <v>3013</v>
      </c>
      <c r="D657" s="140" t="s">
        <v>649</v>
      </c>
      <c r="E657" s="141">
        <v>39.799999999999997</v>
      </c>
      <c r="F657" s="142" t="s">
        <v>679</v>
      </c>
      <c r="G657" s="152" t="s">
        <v>717</v>
      </c>
    </row>
    <row r="658" spans="1:7" ht="15.6" x14ac:dyDescent="0.3">
      <c r="A658" s="137">
        <v>3</v>
      </c>
      <c r="B658" s="138">
        <v>1</v>
      </c>
      <c r="C658" s="139">
        <v>3014</v>
      </c>
      <c r="D658" s="140" t="s">
        <v>645</v>
      </c>
      <c r="E658" s="141">
        <v>22.8</v>
      </c>
      <c r="F658" s="142" t="s">
        <v>675</v>
      </c>
      <c r="G658" s="152" t="s">
        <v>712</v>
      </c>
    </row>
    <row r="659" spans="1:7" ht="15.6" x14ac:dyDescent="0.3">
      <c r="A659" s="137">
        <v>3</v>
      </c>
      <c r="B659" s="138">
        <v>1</v>
      </c>
      <c r="C659" s="139">
        <v>3014</v>
      </c>
      <c r="D659" s="140" t="s">
        <v>647</v>
      </c>
      <c r="E659" s="141">
        <v>1.6</v>
      </c>
      <c r="F659" s="142" t="s">
        <v>681</v>
      </c>
      <c r="G659" s="152" t="s">
        <v>717</v>
      </c>
    </row>
    <row r="660" spans="1:7" ht="15.6" x14ac:dyDescent="0.3">
      <c r="A660" s="137">
        <v>3</v>
      </c>
      <c r="B660" s="138">
        <v>1</v>
      </c>
      <c r="C660" s="139">
        <v>3014</v>
      </c>
      <c r="D660" s="140" t="s">
        <v>655</v>
      </c>
      <c r="E660" s="141">
        <v>5.9</v>
      </c>
      <c r="F660" s="142" t="s">
        <v>679</v>
      </c>
      <c r="G660" s="152" t="s">
        <v>717</v>
      </c>
    </row>
    <row r="661" spans="1:7" ht="15.6" x14ac:dyDescent="0.3">
      <c r="A661" s="137">
        <v>3</v>
      </c>
      <c r="B661" s="138">
        <v>1</v>
      </c>
      <c r="C661" s="139">
        <v>3015</v>
      </c>
      <c r="D661" s="140" t="s">
        <v>645</v>
      </c>
      <c r="E661" s="141">
        <v>12.2</v>
      </c>
      <c r="F661" s="142" t="s">
        <v>675</v>
      </c>
      <c r="G661" s="152" t="s">
        <v>712</v>
      </c>
    </row>
    <row r="662" spans="1:7" ht="15.6" x14ac:dyDescent="0.3">
      <c r="A662" s="137">
        <v>3</v>
      </c>
      <c r="B662" s="138">
        <v>1</v>
      </c>
      <c r="C662" s="139">
        <v>3015</v>
      </c>
      <c r="D662" s="140" t="s">
        <v>647</v>
      </c>
      <c r="E662" s="141">
        <v>1.6</v>
      </c>
      <c r="F662" s="142" t="s">
        <v>681</v>
      </c>
      <c r="G662" s="152" t="s">
        <v>717</v>
      </c>
    </row>
    <row r="663" spans="1:7" ht="15.6" x14ac:dyDescent="0.3">
      <c r="A663" s="137">
        <v>3</v>
      </c>
      <c r="B663" s="138">
        <v>1</v>
      </c>
      <c r="C663" s="139">
        <v>3015</v>
      </c>
      <c r="D663" s="140" t="s">
        <v>655</v>
      </c>
      <c r="E663" s="141">
        <v>19.7</v>
      </c>
      <c r="F663" s="142" t="s">
        <v>679</v>
      </c>
      <c r="G663" s="152" t="s">
        <v>717</v>
      </c>
    </row>
    <row r="664" spans="1:7" ht="15.6" x14ac:dyDescent="0.3">
      <c r="A664" s="137">
        <v>3</v>
      </c>
      <c r="B664" s="138">
        <v>1</v>
      </c>
      <c r="C664" s="139">
        <v>3016</v>
      </c>
      <c r="D664" s="140" t="s">
        <v>637</v>
      </c>
      <c r="E664" s="141">
        <v>54.6</v>
      </c>
      <c r="F664" s="142" t="s">
        <v>675</v>
      </c>
      <c r="G664" s="152" t="s">
        <v>712</v>
      </c>
    </row>
    <row r="665" spans="1:7" ht="15.6" x14ac:dyDescent="0.3">
      <c r="A665" s="137">
        <v>3</v>
      </c>
      <c r="B665" s="138">
        <v>1</v>
      </c>
      <c r="C665" s="139">
        <v>3016</v>
      </c>
      <c r="D665" s="140" t="s">
        <v>638</v>
      </c>
      <c r="E665" s="141">
        <v>25.8</v>
      </c>
      <c r="F665" s="142" t="s">
        <v>676</v>
      </c>
      <c r="G665" s="152" t="s">
        <v>713</v>
      </c>
    </row>
    <row r="666" spans="1:7" ht="15.6" x14ac:dyDescent="0.3">
      <c r="A666" s="137">
        <v>3</v>
      </c>
      <c r="B666" s="138">
        <v>1</v>
      </c>
      <c r="C666" s="139">
        <v>3016</v>
      </c>
      <c r="D666" s="140" t="s">
        <v>639</v>
      </c>
      <c r="E666" s="141">
        <v>1.8</v>
      </c>
      <c r="F666" s="142" t="s">
        <v>677</v>
      </c>
      <c r="G666" s="152" t="s">
        <v>714</v>
      </c>
    </row>
    <row r="667" spans="1:7" ht="15.6" x14ac:dyDescent="0.3">
      <c r="A667" s="137">
        <v>3</v>
      </c>
      <c r="B667" s="138">
        <v>1</v>
      </c>
      <c r="C667" s="139">
        <v>3016</v>
      </c>
      <c r="D667" s="140" t="s">
        <v>640</v>
      </c>
      <c r="E667" s="141">
        <v>97</v>
      </c>
      <c r="F667" s="142" t="s">
        <v>678</v>
      </c>
      <c r="G667" s="152" t="s">
        <v>715</v>
      </c>
    </row>
    <row r="668" spans="1:7" ht="15.6" x14ac:dyDescent="0.3">
      <c r="A668" s="137">
        <v>3</v>
      </c>
      <c r="B668" s="138">
        <v>1</v>
      </c>
      <c r="C668" s="139">
        <v>3017</v>
      </c>
      <c r="D668" s="140" t="s">
        <v>637</v>
      </c>
      <c r="E668" s="141">
        <v>99</v>
      </c>
      <c r="F668" s="142" t="s">
        <v>675</v>
      </c>
      <c r="G668" s="152" t="s">
        <v>712</v>
      </c>
    </row>
    <row r="669" spans="1:7" ht="15.6" x14ac:dyDescent="0.3">
      <c r="A669" s="137">
        <v>3</v>
      </c>
      <c r="B669" s="138">
        <v>1</v>
      </c>
      <c r="C669" s="139">
        <v>3017</v>
      </c>
      <c r="D669" s="140" t="s">
        <v>638</v>
      </c>
      <c r="E669" s="141">
        <v>67</v>
      </c>
      <c r="F669" s="142" t="s">
        <v>676</v>
      </c>
      <c r="G669" s="152" t="s">
        <v>713</v>
      </c>
    </row>
    <row r="670" spans="1:7" ht="15.6" x14ac:dyDescent="0.3">
      <c r="A670" s="137">
        <v>3</v>
      </c>
      <c r="B670" s="138">
        <v>1</v>
      </c>
      <c r="C670" s="139">
        <v>3017</v>
      </c>
      <c r="D670" s="140" t="s">
        <v>640</v>
      </c>
      <c r="E670" s="141">
        <v>46.2</v>
      </c>
      <c r="F670" s="142" t="s">
        <v>678</v>
      </c>
      <c r="G670" s="152" t="s">
        <v>715</v>
      </c>
    </row>
    <row r="671" spans="1:7" ht="15.6" x14ac:dyDescent="0.3">
      <c r="A671" s="137">
        <v>3</v>
      </c>
      <c r="B671" s="138">
        <v>2</v>
      </c>
      <c r="C671" s="139">
        <v>3019</v>
      </c>
      <c r="D671" s="140" t="s">
        <v>638</v>
      </c>
      <c r="E671" s="141">
        <v>20.399999999999999</v>
      </c>
      <c r="F671" s="142" t="s">
        <v>676</v>
      </c>
      <c r="G671" s="152" t="s">
        <v>713</v>
      </c>
    </row>
    <row r="672" spans="1:7" ht="15.6" x14ac:dyDescent="0.3">
      <c r="A672" s="137">
        <v>3</v>
      </c>
      <c r="B672" s="138">
        <v>2</v>
      </c>
      <c r="C672" s="139">
        <v>3019</v>
      </c>
      <c r="D672" s="140" t="s">
        <v>639</v>
      </c>
      <c r="E672" s="141">
        <v>2.9</v>
      </c>
      <c r="F672" s="142" t="s">
        <v>677</v>
      </c>
      <c r="G672" s="152" t="s">
        <v>714</v>
      </c>
    </row>
    <row r="673" spans="1:7" ht="15.6" x14ac:dyDescent="0.3">
      <c r="A673" s="137">
        <v>3</v>
      </c>
      <c r="B673" s="138">
        <v>2</v>
      </c>
      <c r="C673" s="139">
        <v>3019</v>
      </c>
      <c r="D673" s="140" t="s">
        <v>640</v>
      </c>
      <c r="E673" s="141">
        <v>63.6</v>
      </c>
      <c r="F673" s="142" t="s">
        <v>678</v>
      </c>
      <c r="G673" s="152" t="s">
        <v>715</v>
      </c>
    </row>
    <row r="674" spans="1:7" ht="15.6" x14ac:dyDescent="0.3">
      <c r="A674" s="137">
        <v>3</v>
      </c>
      <c r="B674" s="138">
        <v>2</v>
      </c>
      <c r="C674" s="139">
        <v>3020</v>
      </c>
      <c r="D674" s="140" t="s">
        <v>642</v>
      </c>
      <c r="E674" s="141">
        <v>86.3</v>
      </c>
      <c r="F674" s="142" t="s">
        <v>678</v>
      </c>
      <c r="G674" s="152" t="s">
        <v>715</v>
      </c>
    </row>
    <row r="675" spans="1:7" ht="15.6" x14ac:dyDescent="0.3">
      <c r="A675" s="137">
        <v>3</v>
      </c>
      <c r="B675" s="138">
        <v>2</v>
      </c>
      <c r="C675" s="139">
        <v>3021</v>
      </c>
      <c r="D675" s="140" t="s">
        <v>638</v>
      </c>
      <c r="E675" s="141">
        <v>22.5</v>
      </c>
      <c r="F675" s="142" t="s">
        <v>676</v>
      </c>
      <c r="G675" s="152" t="s">
        <v>713</v>
      </c>
    </row>
    <row r="676" spans="1:7" ht="15.6" x14ac:dyDescent="0.3">
      <c r="A676" s="137">
        <v>3</v>
      </c>
      <c r="B676" s="138">
        <v>2</v>
      </c>
      <c r="C676" s="139">
        <v>3021</v>
      </c>
      <c r="D676" s="140" t="s">
        <v>640</v>
      </c>
      <c r="E676" s="141">
        <v>13.5</v>
      </c>
      <c r="F676" s="142" t="s">
        <v>678</v>
      </c>
      <c r="G676" s="152" t="s">
        <v>715</v>
      </c>
    </row>
    <row r="677" spans="1:7" ht="15.6" x14ac:dyDescent="0.3">
      <c r="A677" s="137">
        <v>3</v>
      </c>
      <c r="B677" s="138">
        <v>2</v>
      </c>
      <c r="C677" s="139">
        <v>3021</v>
      </c>
      <c r="D677" s="140" t="s">
        <v>641</v>
      </c>
      <c r="E677" s="141">
        <v>17</v>
      </c>
      <c r="F677" s="142" t="s">
        <v>679</v>
      </c>
      <c r="G677" s="152" t="s">
        <v>716</v>
      </c>
    </row>
    <row r="678" spans="1:7" ht="15.6" x14ac:dyDescent="0.3">
      <c r="A678" s="137">
        <v>3</v>
      </c>
      <c r="B678" s="138">
        <v>2</v>
      </c>
      <c r="C678" s="139">
        <v>3022</v>
      </c>
      <c r="D678" s="140" t="s">
        <v>637</v>
      </c>
      <c r="E678" s="141">
        <v>6.6</v>
      </c>
      <c r="F678" s="142" t="s">
        <v>675</v>
      </c>
      <c r="G678" s="152" t="s">
        <v>712</v>
      </c>
    </row>
    <row r="679" spans="1:7" ht="15.6" x14ac:dyDescent="0.3">
      <c r="A679" s="137">
        <v>3</v>
      </c>
      <c r="B679" s="138">
        <v>2</v>
      </c>
      <c r="C679" s="139">
        <v>3022</v>
      </c>
      <c r="D679" s="140" t="s">
        <v>642</v>
      </c>
      <c r="E679" s="141">
        <v>47.3</v>
      </c>
      <c r="F679" s="142" t="s">
        <v>678</v>
      </c>
      <c r="G679" s="152" t="s">
        <v>715</v>
      </c>
    </row>
    <row r="680" spans="1:7" ht="15.6" x14ac:dyDescent="0.3">
      <c r="A680" s="137">
        <v>3</v>
      </c>
      <c r="B680" s="138">
        <v>2</v>
      </c>
      <c r="C680" s="139">
        <v>3023</v>
      </c>
      <c r="D680" s="140" t="s">
        <v>637</v>
      </c>
      <c r="E680" s="141">
        <v>81.7</v>
      </c>
      <c r="F680" s="142" t="s">
        <v>675</v>
      </c>
      <c r="G680" s="152" t="s">
        <v>712</v>
      </c>
    </row>
    <row r="681" spans="1:7" ht="15.6" x14ac:dyDescent="0.3">
      <c r="A681" s="137">
        <v>3</v>
      </c>
      <c r="B681" s="138">
        <v>2</v>
      </c>
      <c r="C681" s="139">
        <v>3023</v>
      </c>
      <c r="D681" s="140" t="s">
        <v>638</v>
      </c>
      <c r="E681" s="141">
        <v>58.3</v>
      </c>
      <c r="F681" s="142" t="s">
        <v>676</v>
      </c>
      <c r="G681" s="152" t="s">
        <v>713</v>
      </c>
    </row>
    <row r="682" spans="1:7" ht="15.6" x14ac:dyDescent="0.3">
      <c r="A682" s="137">
        <v>3</v>
      </c>
      <c r="B682" s="138">
        <v>2</v>
      </c>
      <c r="C682" s="139">
        <v>3023</v>
      </c>
      <c r="D682" s="140" t="s">
        <v>639</v>
      </c>
      <c r="E682" s="141">
        <v>4</v>
      </c>
      <c r="F682" s="142" t="s">
        <v>677</v>
      </c>
      <c r="G682" s="152" t="s">
        <v>714</v>
      </c>
    </row>
    <row r="683" spans="1:7" ht="15.6" x14ac:dyDescent="0.3">
      <c r="A683" s="137">
        <v>3</v>
      </c>
      <c r="B683" s="138">
        <v>2</v>
      </c>
      <c r="C683" s="139">
        <v>3023</v>
      </c>
      <c r="D683" s="140" t="s">
        <v>640</v>
      </c>
      <c r="E683" s="141">
        <v>61.1</v>
      </c>
      <c r="F683" s="142" t="s">
        <v>678</v>
      </c>
      <c r="G683" s="152" t="s">
        <v>715</v>
      </c>
    </row>
    <row r="684" spans="1:7" ht="15.6" x14ac:dyDescent="0.3">
      <c r="A684" s="137">
        <v>3</v>
      </c>
      <c r="B684" s="138">
        <v>2</v>
      </c>
      <c r="C684" s="139">
        <v>3023</v>
      </c>
      <c r="D684" s="140" t="s">
        <v>641</v>
      </c>
      <c r="E684" s="141">
        <v>16.5</v>
      </c>
      <c r="F684" s="142" t="s">
        <v>679</v>
      </c>
      <c r="G684" s="152" t="s">
        <v>716</v>
      </c>
    </row>
    <row r="685" spans="1:7" ht="15.6" x14ac:dyDescent="0.3">
      <c r="A685" s="137">
        <v>3</v>
      </c>
      <c r="B685" s="138">
        <v>2</v>
      </c>
      <c r="C685" s="139">
        <v>3024</v>
      </c>
      <c r="D685" s="140" t="s">
        <v>637</v>
      </c>
      <c r="E685" s="141">
        <v>4.8</v>
      </c>
      <c r="F685" s="142" t="s">
        <v>675</v>
      </c>
      <c r="G685" s="152" t="s">
        <v>712</v>
      </c>
    </row>
    <row r="686" spans="1:7" ht="15.6" x14ac:dyDescent="0.3">
      <c r="A686" s="137">
        <v>3</v>
      </c>
      <c r="B686" s="138">
        <v>2</v>
      </c>
      <c r="C686" s="139">
        <v>3024</v>
      </c>
      <c r="D686" s="140" t="s">
        <v>638</v>
      </c>
      <c r="E686" s="141">
        <v>34.200000000000003</v>
      </c>
      <c r="F686" s="142" t="s">
        <v>676</v>
      </c>
      <c r="G686" s="152" t="s">
        <v>713</v>
      </c>
    </row>
    <row r="687" spans="1:7" ht="15.6" x14ac:dyDescent="0.3">
      <c r="A687" s="137">
        <v>3</v>
      </c>
      <c r="B687" s="138">
        <v>2</v>
      </c>
      <c r="C687" s="139">
        <v>3024</v>
      </c>
      <c r="D687" s="140" t="s">
        <v>639</v>
      </c>
      <c r="E687" s="141">
        <v>4.4000000000000004</v>
      </c>
      <c r="F687" s="142" t="s">
        <v>677</v>
      </c>
      <c r="G687" s="152" t="s">
        <v>714</v>
      </c>
    </row>
    <row r="688" spans="1:7" ht="15.6" x14ac:dyDescent="0.3">
      <c r="A688" s="137">
        <v>3</v>
      </c>
      <c r="B688" s="138">
        <v>2</v>
      </c>
      <c r="C688" s="139">
        <v>3024</v>
      </c>
      <c r="D688" s="140" t="s">
        <v>640</v>
      </c>
      <c r="E688" s="141">
        <v>30.9</v>
      </c>
      <c r="F688" s="142" t="s">
        <v>678</v>
      </c>
      <c r="G688" s="152" t="s">
        <v>715</v>
      </c>
    </row>
    <row r="689" spans="1:7" ht="15.6" x14ac:dyDescent="0.3">
      <c r="A689" s="137">
        <v>3</v>
      </c>
      <c r="B689" s="138">
        <v>2</v>
      </c>
      <c r="C689" s="139">
        <v>3025</v>
      </c>
      <c r="D689" s="140" t="s">
        <v>638</v>
      </c>
      <c r="E689" s="141">
        <v>23.3</v>
      </c>
      <c r="F689" s="142" t="s">
        <v>676</v>
      </c>
      <c r="G689" s="152" t="s">
        <v>713</v>
      </c>
    </row>
    <row r="690" spans="1:7" ht="15.6" x14ac:dyDescent="0.3">
      <c r="A690" s="137">
        <v>3</v>
      </c>
      <c r="B690" s="138">
        <v>2</v>
      </c>
      <c r="C690" s="139">
        <v>3025</v>
      </c>
      <c r="D690" s="140" t="s">
        <v>639</v>
      </c>
      <c r="E690" s="141">
        <v>3</v>
      </c>
      <c r="F690" s="142" t="s">
        <v>677</v>
      </c>
      <c r="G690" s="152" t="s">
        <v>714</v>
      </c>
    </row>
    <row r="691" spans="1:7" ht="15.6" x14ac:dyDescent="0.3">
      <c r="A691" s="137">
        <v>3</v>
      </c>
      <c r="B691" s="138">
        <v>2</v>
      </c>
      <c r="C691" s="139">
        <v>3025</v>
      </c>
      <c r="D691" s="140" t="s">
        <v>640</v>
      </c>
      <c r="E691" s="141">
        <v>2.2999999999999998</v>
      </c>
      <c r="F691" s="142" t="s">
        <v>678</v>
      </c>
      <c r="G691" s="152" t="s">
        <v>715</v>
      </c>
    </row>
    <row r="692" spans="1:7" ht="15.6" x14ac:dyDescent="0.3">
      <c r="A692" s="137">
        <v>3</v>
      </c>
      <c r="B692" s="138">
        <v>2</v>
      </c>
      <c r="C692" s="139">
        <v>3026</v>
      </c>
      <c r="D692" s="140" t="s">
        <v>638</v>
      </c>
      <c r="E692" s="141">
        <v>17.899999999999999</v>
      </c>
      <c r="F692" s="142" t="s">
        <v>676</v>
      </c>
      <c r="G692" s="152" t="s">
        <v>713</v>
      </c>
    </row>
    <row r="693" spans="1:7" ht="15.6" x14ac:dyDescent="0.3">
      <c r="A693" s="137">
        <v>3</v>
      </c>
      <c r="B693" s="138">
        <v>2</v>
      </c>
      <c r="C693" s="139">
        <v>3026</v>
      </c>
      <c r="D693" s="140" t="s">
        <v>639</v>
      </c>
      <c r="E693" s="141">
        <v>2.9</v>
      </c>
      <c r="F693" s="142" t="s">
        <v>677</v>
      </c>
      <c r="G693" s="152" t="s">
        <v>714</v>
      </c>
    </row>
    <row r="694" spans="1:7" ht="15.6" x14ac:dyDescent="0.3">
      <c r="A694" s="137">
        <v>3</v>
      </c>
      <c r="B694" s="138">
        <v>2</v>
      </c>
      <c r="C694" s="139">
        <v>3026</v>
      </c>
      <c r="D694" s="140" t="s">
        <v>640</v>
      </c>
      <c r="E694" s="141">
        <v>3.9</v>
      </c>
      <c r="F694" s="142" t="s">
        <v>678</v>
      </c>
      <c r="G694" s="152" t="s">
        <v>715</v>
      </c>
    </row>
    <row r="695" spans="1:7" ht="15.6" x14ac:dyDescent="0.3">
      <c r="A695" s="137">
        <v>3</v>
      </c>
      <c r="B695" s="138">
        <v>2</v>
      </c>
      <c r="C695" s="139">
        <v>3027</v>
      </c>
      <c r="D695" s="140" t="s">
        <v>637</v>
      </c>
      <c r="E695" s="141">
        <v>42.8</v>
      </c>
      <c r="F695" s="142" t="s">
        <v>675</v>
      </c>
      <c r="G695" s="152" t="s">
        <v>712</v>
      </c>
    </row>
    <row r="696" spans="1:7" ht="15.6" x14ac:dyDescent="0.3">
      <c r="A696" s="137">
        <v>3</v>
      </c>
      <c r="B696" s="138">
        <v>2</v>
      </c>
      <c r="C696" s="139">
        <v>3027</v>
      </c>
      <c r="D696" s="140" t="s">
        <v>638</v>
      </c>
      <c r="E696" s="141">
        <v>13.2</v>
      </c>
      <c r="F696" s="142" t="s">
        <v>676</v>
      </c>
      <c r="G696" s="152" t="s">
        <v>713</v>
      </c>
    </row>
    <row r="697" spans="1:7" ht="15.6" x14ac:dyDescent="0.3">
      <c r="A697" s="137">
        <v>3</v>
      </c>
      <c r="B697" s="138">
        <v>2</v>
      </c>
      <c r="C697" s="139">
        <v>3027</v>
      </c>
      <c r="D697" s="140" t="s">
        <v>639</v>
      </c>
      <c r="E697" s="141">
        <v>5.8</v>
      </c>
      <c r="F697" s="142" t="s">
        <v>677</v>
      </c>
      <c r="G697" s="152" t="s">
        <v>714</v>
      </c>
    </row>
    <row r="698" spans="1:7" ht="15.6" x14ac:dyDescent="0.3">
      <c r="A698" s="137">
        <v>3</v>
      </c>
      <c r="B698" s="138">
        <v>2</v>
      </c>
      <c r="C698" s="139">
        <v>3027</v>
      </c>
      <c r="D698" s="140" t="s">
        <v>640</v>
      </c>
      <c r="E698" s="141">
        <v>2.2000000000000002</v>
      </c>
      <c r="F698" s="142" t="s">
        <v>678</v>
      </c>
      <c r="G698" s="152" t="s">
        <v>715</v>
      </c>
    </row>
    <row r="699" spans="1:7" ht="15.6" x14ac:dyDescent="0.3">
      <c r="A699" s="137">
        <v>3</v>
      </c>
      <c r="B699" s="138">
        <v>2</v>
      </c>
      <c r="C699" s="139">
        <v>3028</v>
      </c>
      <c r="D699" s="140" t="s">
        <v>637</v>
      </c>
      <c r="E699" s="141">
        <v>17.100000000000001</v>
      </c>
      <c r="F699" s="142" t="s">
        <v>675</v>
      </c>
      <c r="G699" s="152" t="s">
        <v>712</v>
      </c>
    </row>
    <row r="700" spans="1:7" ht="15.6" x14ac:dyDescent="0.3">
      <c r="A700" s="137">
        <v>3</v>
      </c>
      <c r="B700" s="138">
        <v>2</v>
      </c>
      <c r="C700" s="139">
        <v>3028</v>
      </c>
      <c r="D700" s="140" t="s">
        <v>638</v>
      </c>
      <c r="E700" s="141">
        <v>16.100000000000001</v>
      </c>
      <c r="F700" s="142" t="s">
        <v>676</v>
      </c>
      <c r="G700" s="152" t="s">
        <v>713</v>
      </c>
    </row>
    <row r="701" spans="1:7" ht="15.6" x14ac:dyDescent="0.3">
      <c r="A701" s="137">
        <v>3</v>
      </c>
      <c r="B701" s="138">
        <v>2</v>
      </c>
      <c r="C701" s="139">
        <v>3028</v>
      </c>
      <c r="D701" s="140" t="s">
        <v>640</v>
      </c>
      <c r="E701" s="141">
        <v>2.2999999999999998</v>
      </c>
      <c r="F701" s="142" t="s">
        <v>678</v>
      </c>
      <c r="G701" s="152" t="s">
        <v>715</v>
      </c>
    </row>
    <row r="702" spans="1:7" ht="15.6" x14ac:dyDescent="0.3">
      <c r="A702" s="137">
        <v>3</v>
      </c>
      <c r="B702" s="138">
        <v>2</v>
      </c>
      <c r="C702" s="139">
        <v>3029</v>
      </c>
      <c r="D702" s="140" t="s">
        <v>637</v>
      </c>
      <c r="E702" s="141">
        <v>28</v>
      </c>
      <c r="F702" s="142" t="s">
        <v>675</v>
      </c>
      <c r="G702" s="152" t="s">
        <v>712</v>
      </c>
    </row>
    <row r="703" spans="1:7" ht="15.6" x14ac:dyDescent="0.3">
      <c r="A703" s="137">
        <v>3</v>
      </c>
      <c r="B703" s="138">
        <v>2</v>
      </c>
      <c r="C703" s="139">
        <v>3029</v>
      </c>
      <c r="D703" s="140" t="s">
        <v>638</v>
      </c>
      <c r="E703" s="141">
        <v>20.9</v>
      </c>
      <c r="F703" s="142" t="s">
        <v>676</v>
      </c>
      <c r="G703" s="152" t="s">
        <v>713</v>
      </c>
    </row>
    <row r="704" spans="1:7" ht="15.6" x14ac:dyDescent="0.3">
      <c r="A704" s="137">
        <v>3</v>
      </c>
      <c r="B704" s="138">
        <v>2</v>
      </c>
      <c r="C704" s="139">
        <v>3029</v>
      </c>
      <c r="D704" s="140" t="s">
        <v>640</v>
      </c>
      <c r="E704" s="141">
        <v>6.5</v>
      </c>
      <c r="F704" s="142" t="s">
        <v>678</v>
      </c>
      <c r="G704" s="152" t="s">
        <v>715</v>
      </c>
    </row>
    <row r="705" spans="1:7" ht="15.6" x14ac:dyDescent="0.3">
      <c r="A705" s="137">
        <v>3</v>
      </c>
      <c r="B705" s="138">
        <v>2</v>
      </c>
      <c r="C705" s="139">
        <v>3030</v>
      </c>
      <c r="D705" s="140" t="s">
        <v>638</v>
      </c>
      <c r="E705" s="141">
        <v>74.900000000000006</v>
      </c>
      <c r="F705" s="142" t="s">
        <v>676</v>
      </c>
      <c r="G705" s="152" t="s">
        <v>713</v>
      </c>
    </row>
    <row r="706" spans="1:7" ht="15.6" x14ac:dyDescent="0.3">
      <c r="A706" s="137">
        <v>3</v>
      </c>
      <c r="B706" s="138">
        <v>2</v>
      </c>
      <c r="C706" s="139">
        <v>3030</v>
      </c>
      <c r="D706" s="140" t="s">
        <v>640</v>
      </c>
      <c r="E706" s="141">
        <v>5.7</v>
      </c>
      <c r="F706" s="142" t="s">
        <v>678</v>
      </c>
      <c r="G706" s="152" t="s">
        <v>715</v>
      </c>
    </row>
    <row r="707" spans="1:7" ht="15.6" x14ac:dyDescent="0.3">
      <c r="A707" s="137">
        <v>3</v>
      </c>
      <c r="B707" s="138">
        <v>2</v>
      </c>
      <c r="C707" s="139">
        <v>3031</v>
      </c>
      <c r="D707" s="140" t="s">
        <v>637</v>
      </c>
      <c r="E707" s="141">
        <v>53.1</v>
      </c>
      <c r="F707" s="142" t="s">
        <v>675</v>
      </c>
      <c r="G707" s="152" t="s">
        <v>712</v>
      </c>
    </row>
    <row r="708" spans="1:7" ht="15.6" x14ac:dyDescent="0.3">
      <c r="A708" s="137">
        <v>3</v>
      </c>
      <c r="B708" s="138">
        <v>2</v>
      </c>
      <c r="C708" s="139">
        <v>3031</v>
      </c>
      <c r="D708" s="140" t="s">
        <v>638</v>
      </c>
      <c r="E708" s="141">
        <v>238.2</v>
      </c>
      <c r="F708" s="142" t="s">
        <v>676</v>
      </c>
      <c r="G708" s="152" t="s">
        <v>713</v>
      </c>
    </row>
    <row r="709" spans="1:7" ht="15.6" x14ac:dyDescent="0.3">
      <c r="A709" s="137">
        <v>3</v>
      </c>
      <c r="B709" s="138">
        <v>2</v>
      </c>
      <c r="C709" s="139">
        <v>3031</v>
      </c>
      <c r="D709" s="140" t="s">
        <v>639</v>
      </c>
      <c r="E709" s="141">
        <v>4.5999999999999996</v>
      </c>
      <c r="F709" s="142" t="s">
        <v>677</v>
      </c>
      <c r="G709" s="152" t="s">
        <v>714</v>
      </c>
    </row>
    <row r="710" spans="1:7" ht="15.6" x14ac:dyDescent="0.3">
      <c r="A710" s="137">
        <v>3</v>
      </c>
      <c r="B710" s="138">
        <v>2</v>
      </c>
      <c r="C710" s="139">
        <v>3031</v>
      </c>
      <c r="D710" s="140" t="s">
        <v>640</v>
      </c>
      <c r="E710" s="141">
        <v>140.30000000000001</v>
      </c>
      <c r="F710" s="142" t="s">
        <v>678</v>
      </c>
      <c r="G710" s="152" t="s">
        <v>715</v>
      </c>
    </row>
    <row r="711" spans="1:7" ht="15.6" x14ac:dyDescent="0.3">
      <c r="A711" s="137">
        <v>3</v>
      </c>
      <c r="B711" s="138">
        <v>2</v>
      </c>
      <c r="C711" s="139">
        <v>3031</v>
      </c>
      <c r="D711" s="140" t="s">
        <v>641</v>
      </c>
      <c r="E711" s="141">
        <v>11.8</v>
      </c>
      <c r="F711" s="142" t="s">
        <v>679</v>
      </c>
      <c r="G711" s="152" t="s">
        <v>716</v>
      </c>
    </row>
    <row r="712" spans="1:7" ht="15.6" x14ac:dyDescent="0.3">
      <c r="A712" s="137">
        <v>3</v>
      </c>
      <c r="B712" s="138">
        <v>3</v>
      </c>
      <c r="C712" s="139">
        <v>3032</v>
      </c>
      <c r="D712" s="140" t="s">
        <v>637</v>
      </c>
      <c r="E712" s="141">
        <v>14</v>
      </c>
      <c r="F712" s="142" t="s">
        <v>675</v>
      </c>
      <c r="G712" s="152" t="s">
        <v>712</v>
      </c>
    </row>
    <row r="713" spans="1:7" ht="15.6" x14ac:dyDescent="0.3">
      <c r="A713" s="137">
        <v>3</v>
      </c>
      <c r="B713" s="138">
        <v>3</v>
      </c>
      <c r="C713" s="139">
        <v>3032</v>
      </c>
      <c r="D713" s="140" t="s">
        <v>638</v>
      </c>
      <c r="E713" s="141">
        <v>57</v>
      </c>
      <c r="F713" s="142" t="s">
        <v>676</v>
      </c>
      <c r="G713" s="152" t="s">
        <v>713</v>
      </c>
    </row>
    <row r="714" spans="1:7" ht="15.6" x14ac:dyDescent="0.3">
      <c r="A714" s="137">
        <v>3</v>
      </c>
      <c r="B714" s="138">
        <v>3</v>
      </c>
      <c r="C714" s="139">
        <v>3032</v>
      </c>
      <c r="D714" s="140" t="s">
        <v>640</v>
      </c>
      <c r="E714" s="141">
        <v>19.3</v>
      </c>
      <c r="F714" s="142" t="s">
        <v>678</v>
      </c>
      <c r="G714" s="152" t="s">
        <v>715</v>
      </c>
    </row>
    <row r="715" spans="1:7" ht="15.6" x14ac:dyDescent="0.3">
      <c r="A715" s="137">
        <v>3</v>
      </c>
      <c r="B715" s="138">
        <v>3</v>
      </c>
      <c r="C715" s="139">
        <v>3032</v>
      </c>
      <c r="D715" s="140" t="s">
        <v>641</v>
      </c>
      <c r="E715" s="141">
        <v>5</v>
      </c>
      <c r="F715" s="142" t="s">
        <v>679</v>
      </c>
      <c r="G715" s="152" t="s">
        <v>716</v>
      </c>
    </row>
    <row r="716" spans="1:7" ht="15.6" x14ac:dyDescent="0.3">
      <c r="A716" s="137">
        <v>3</v>
      </c>
      <c r="B716" s="138">
        <v>3</v>
      </c>
      <c r="C716" s="139">
        <v>3033</v>
      </c>
      <c r="D716" s="140" t="s">
        <v>637</v>
      </c>
      <c r="E716" s="141">
        <v>19.8</v>
      </c>
      <c r="F716" s="142" t="s">
        <v>675</v>
      </c>
      <c r="G716" s="152" t="s">
        <v>712</v>
      </c>
    </row>
    <row r="717" spans="1:7" ht="15.6" x14ac:dyDescent="0.3">
      <c r="A717" s="137">
        <v>3</v>
      </c>
      <c r="B717" s="138">
        <v>3</v>
      </c>
      <c r="C717" s="139">
        <v>3033</v>
      </c>
      <c r="D717" s="140" t="s">
        <v>638</v>
      </c>
      <c r="E717" s="141">
        <v>61.3</v>
      </c>
      <c r="F717" s="142" t="s">
        <v>676</v>
      </c>
      <c r="G717" s="152" t="s">
        <v>713</v>
      </c>
    </row>
    <row r="718" spans="1:7" ht="15.6" x14ac:dyDescent="0.3">
      <c r="A718" s="137">
        <v>3</v>
      </c>
      <c r="B718" s="138">
        <v>3</v>
      </c>
      <c r="C718" s="139">
        <v>3033</v>
      </c>
      <c r="D718" s="140" t="s">
        <v>640</v>
      </c>
      <c r="E718" s="141">
        <v>9.8000000000000007</v>
      </c>
      <c r="F718" s="142" t="s">
        <v>678</v>
      </c>
      <c r="G718" s="152" t="s">
        <v>715</v>
      </c>
    </row>
    <row r="719" spans="1:7" ht="15.6" x14ac:dyDescent="0.3">
      <c r="A719" s="137">
        <v>3</v>
      </c>
      <c r="B719" s="138">
        <v>3</v>
      </c>
      <c r="C719" s="139">
        <v>3033</v>
      </c>
      <c r="D719" s="140" t="s">
        <v>641</v>
      </c>
      <c r="E719" s="141">
        <v>4.5</v>
      </c>
      <c r="F719" s="142" t="s">
        <v>679</v>
      </c>
      <c r="G719" s="152" t="s">
        <v>716</v>
      </c>
    </row>
    <row r="720" spans="1:7" ht="15.6" x14ac:dyDescent="0.3">
      <c r="A720" s="137">
        <v>3</v>
      </c>
      <c r="B720" s="138">
        <v>2</v>
      </c>
      <c r="C720" s="139">
        <v>3034</v>
      </c>
      <c r="D720" s="140" t="s">
        <v>642</v>
      </c>
      <c r="E720" s="141">
        <v>88.8</v>
      </c>
      <c r="F720" s="142" t="s">
        <v>678</v>
      </c>
      <c r="G720" s="152" t="s">
        <v>715</v>
      </c>
    </row>
    <row r="721" spans="1:7" ht="15.6" x14ac:dyDescent="0.3">
      <c r="A721" s="137">
        <v>3</v>
      </c>
      <c r="B721" s="138">
        <v>2</v>
      </c>
      <c r="C721" s="139">
        <v>3035</v>
      </c>
      <c r="D721" s="140" t="s">
        <v>638</v>
      </c>
      <c r="E721" s="141">
        <v>145</v>
      </c>
      <c r="F721" s="142" t="s">
        <v>676</v>
      </c>
      <c r="G721" s="152" t="s">
        <v>713</v>
      </c>
    </row>
    <row r="722" spans="1:7" ht="15.6" x14ac:dyDescent="0.3">
      <c r="A722" s="137">
        <v>3</v>
      </c>
      <c r="B722" s="138">
        <v>2</v>
      </c>
      <c r="C722" s="139">
        <v>3035</v>
      </c>
      <c r="D722" s="140" t="s">
        <v>640</v>
      </c>
      <c r="E722" s="141">
        <v>14.8</v>
      </c>
      <c r="F722" s="142" t="s">
        <v>678</v>
      </c>
      <c r="G722" s="152" t="s">
        <v>715</v>
      </c>
    </row>
    <row r="723" spans="1:7" ht="15.6" x14ac:dyDescent="0.3">
      <c r="A723" s="137">
        <v>3</v>
      </c>
      <c r="B723" s="138">
        <v>2</v>
      </c>
      <c r="C723" s="139">
        <v>3035</v>
      </c>
      <c r="D723" s="140" t="s">
        <v>641</v>
      </c>
      <c r="E723" s="141">
        <v>11.5</v>
      </c>
      <c r="F723" s="142" t="s">
        <v>679</v>
      </c>
      <c r="G723" s="152" t="s">
        <v>716</v>
      </c>
    </row>
    <row r="724" spans="1:7" ht="15.6" x14ac:dyDescent="0.3">
      <c r="A724" s="137">
        <v>3</v>
      </c>
      <c r="B724" s="138">
        <v>3</v>
      </c>
      <c r="C724" s="139">
        <v>3036</v>
      </c>
      <c r="D724" s="140" t="s">
        <v>638</v>
      </c>
      <c r="E724" s="141">
        <v>110.6</v>
      </c>
      <c r="F724" s="142" t="s">
        <v>676</v>
      </c>
      <c r="G724" s="152" t="s">
        <v>713</v>
      </c>
    </row>
    <row r="725" spans="1:7" ht="15.6" x14ac:dyDescent="0.3">
      <c r="A725" s="137">
        <v>3</v>
      </c>
      <c r="B725" s="138">
        <v>3</v>
      </c>
      <c r="C725" s="139">
        <v>3036</v>
      </c>
      <c r="D725" s="140" t="s">
        <v>640</v>
      </c>
      <c r="E725" s="141">
        <v>18.8</v>
      </c>
      <c r="F725" s="142" t="s">
        <v>678</v>
      </c>
      <c r="G725" s="152" t="s">
        <v>715</v>
      </c>
    </row>
    <row r="726" spans="1:7" ht="15.6" x14ac:dyDescent="0.3">
      <c r="A726" s="137">
        <v>3</v>
      </c>
      <c r="B726" s="138">
        <v>3</v>
      </c>
      <c r="C726" s="139">
        <v>3036</v>
      </c>
      <c r="D726" s="140" t="s">
        <v>641</v>
      </c>
      <c r="E726" s="141">
        <v>27.5</v>
      </c>
      <c r="F726" s="142" t="s">
        <v>679</v>
      </c>
      <c r="G726" s="152" t="s">
        <v>716</v>
      </c>
    </row>
    <row r="727" spans="1:7" ht="15.6" x14ac:dyDescent="0.3">
      <c r="A727" s="137">
        <v>3</v>
      </c>
      <c r="B727" s="138">
        <v>3</v>
      </c>
      <c r="C727" s="139">
        <v>3037</v>
      </c>
      <c r="D727" s="140" t="s">
        <v>638</v>
      </c>
      <c r="E727" s="141">
        <v>67.3</v>
      </c>
      <c r="F727" s="142" t="s">
        <v>676</v>
      </c>
      <c r="G727" s="152" t="s">
        <v>713</v>
      </c>
    </row>
    <row r="728" spans="1:7" ht="15.6" x14ac:dyDescent="0.3">
      <c r="A728" s="137">
        <v>3</v>
      </c>
      <c r="B728" s="138">
        <v>3</v>
      </c>
      <c r="C728" s="139">
        <v>3037</v>
      </c>
      <c r="D728" s="140" t="s">
        <v>640</v>
      </c>
      <c r="E728" s="141">
        <v>25.4</v>
      </c>
      <c r="F728" s="142" t="s">
        <v>678</v>
      </c>
      <c r="G728" s="152" t="s">
        <v>715</v>
      </c>
    </row>
    <row r="729" spans="1:7" ht="15.6" x14ac:dyDescent="0.3">
      <c r="A729" s="137">
        <v>3</v>
      </c>
      <c r="B729" s="138">
        <v>3</v>
      </c>
      <c r="C729" s="139">
        <v>3038</v>
      </c>
      <c r="D729" s="140" t="s">
        <v>645</v>
      </c>
      <c r="E729" s="141">
        <v>2.8</v>
      </c>
      <c r="F729" s="142" t="s">
        <v>675</v>
      </c>
      <c r="G729" s="152" t="s">
        <v>712</v>
      </c>
    </row>
    <row r="730" spans="1:7" ht="15.6" x14ac:dyDescent="0.3">
      <c r="A730" s="137">
        <v>3</v>
      </c>
      <c r="B730" s="138">
        <v>3</v>
      </c>
      <c r="C730" s="139">
        <v>3038</v>
      </c>
      <c r="D730" s="140" t="s">
        <v>652</v>
      </c>
      <c r="E730" s="141">
        <v>9.1999999999999993</v>
      </c>
      <c r="F730" s="142" t="s">
        <v>676</v>
      </c>
      <c r="G730" s="152" t="s">
        <v>712</v>
      </c>
    </row>
    <row r="731" spans="1:7" ht="31.2" x14ac:dyDescent="0.3">
      <c r="A731" s="137">
        <v>3</v>
      </c>
      <c r="B731" s="138">
        <v>3</v>
      </c>
      <c r="C731" s="139">
        <v>3038</v>
      </c>
      <c r="D731" s="140" t="s">
        <v>658</v>
      </c>
      <c r="E731" s="141">
        <v>2.1</v>
      </c>
      <c r="F731" s="142" t="s">
        <v>686</v>
      </c>
      <c r="G731" s="152" t="s">
        <v>713</v>
      </c>
    </row>
    <row r="732" spans="1:7" ht="15.6" x14ac:dyDescent="0.3">
      <c r="A732" s="137">
        <v>3</v>
      </c>
      <c r="B732" s="138">
        <v>3</v>
      </c>
      <c r="C732" s="139">
        <v>3038</v>
      </c>
      <c r="D732" s="140" t="s">
        <v>655</v>
      </c>
      <c r="E732" s="141">
        <v>19.3</v>
      </c>
      <c r="F732" s="142" t="s">
        <v>679</v>
      </c>
      <c r="G732" s="152" t="s">
        <v>717</v>
      </c>
    </row>
    <row r="733" spans="1:7" ht="15.6" x14ac:dyDescent="0.3">
      <c r="A733" s="137">
        <v>3</v>
      </c>
      <c r="B733" s="138">
        <v>3</v>
      </c>
      <c r="C733" s="139">
        <v>3039</v>
      </c>
      <c r="D733" s="140" t="s">
        <v>652</v>
      </c>
      <c r="E733" s="141">
        <v>9.9</v>
      </c>
      <c r="F733" s="142" t="s">
        <v>676</v>
      </c>
      <c r="G733" s="152" t="s">
        <v>712</v>
      </c>
    </row>
    <row r="734" spans="1:7" ht="15.6" x14ac:dyDescent="0.3">
      <c r="A734" s="137">
        <v>3</v>
      </c>
      <c r="B734" s="138">
        <v>3</v>
      </c>
      <c r="C734" s="139">
        <v>3039</v>
      </c>
      <c r="D734" s="140" t="s">
        <v>655</v>
      </c>
      <c r="E734" s="141">
        <v>24.7</v>
      </c>
      <c r="F734" s="142" t="s">
        <v>679</v>
      </c>
      <c r="G734" s="152" t="s">
        <v>717</v>
      </c>
    </row>
    <row r="735" spans="1:7" ht="15.6" x14ac:dyDescent="0.3">
      <c r="A735" s="137">
        <v>3</v>
      </c>
      <c r="B735" s="138">
        <v>3</v>
      </c>
      <c r="C735" s="139">
        <v>3040</v>
      </c>
      <c r="D735" s="140" t="s">
        <v>637</v>
      </c>
      <c r="E735" s="141">
        <v>19.899999999999999</v>
      </c>
      <c r="F735" s="142" t="s">
        <v>675</v>
      </c>
      <c r="G735" s="152" t="s">
        <v>712</v>
      </c>
    </row>
    <row r="736" spans="1:7" ht="15.6" x14ac:dyDescent="0.3">
      <c r="A736" s="137">
        <v>3</v>
      </c>
      <c r="B736" s="138">
        <v>3</v>
      </c>
      <c r="C736" s="139">
        <v>3040</v>
      </c>
      <c r="D736" s="140" t="s">
        <v>638</v>
      </c>
      <c r="E736" s="141">
        <v>82.3</v>
      </c>
      <c r="F736" s="142" t="s">
        <v>676</v>
      </c>
      <c r="G736" s="152" t="s">
        <v>713</v>
      </c>
    </row>
    <row r="737" spans="1:7" ht="15.6" x14ac:dyDescent="0.3">
      <c r="A737" s="137">
        <v>3</v>
      </c>
      <c r="B737" s="138">
        <v>3</v>
      </c>
      <c r="C737" s="139">
        <v>3040</v>
      </c>
      <c r="D737" s="140" t="s">
        <v>639</v>
      </c>
      <c r="E737" s="141">
        <v>5.2</v>
      </c>
      <c r="F737" s="142" t="s">
        <v>677</v>
      </c>
      <c r="G737" s="152" t="s">
        <v>714</v>
      </c>
    </row>
    <row r="738" spans="1:7" ht="15.6" x14ac:dyDescent="0.3">
      <c r="A738" s="137">
        <v>3</v>
      </c>
      <c r="B738" s="138">
        <v>3</v>
      </c>
      <c r="C738" s="139">
        <v>3040</v>
      </c>
      <c r="D738" s="140" t="s">
        <v>640</v>
      </c>
      <c r="E738" s="141">
        <v>4.5</v>
      </c>
      <c r="F738" s="142" t="s">
        <v>678</v>
      </c>
      <c r="G738" s="152" t="s">
        <v>715</v>
      </c>
    </row>
    <row r="739" spans="1:7" ht="15.6" x14ac:dyDescent="0.3">
      <c r="A739" s="137">
        <v>3</v>
      </c>
      <c r="B739" s="138">
        <v>3</v>
      </c>
      <c r="C739" s="139">
        <v>3040</v>
      </c>
      <c r="D739" s="140" t="s">
        <v>641</v>
      </c>
      <c r="E739" s="141">
        <v>3.3</v>
      </c>
      <c r="F739" s="142" t="s">
        <v>679</v>
      </c>
      <c r="G739" s="152" t="s">
        <v>716</v>
      </c>
    </row>
    <row r="740" spans="1:7" ht="15.6" x14ac:dyDescent="0.3">
      <c r="A740" s="137">
        <v>3</v>
      </c>
      <c r="B740" s="138">
        <v>3</v>
      </c>
      <c r="C740" s="139">
        <v>3041</v>
      </c>
      <c r="D740" s="140" t="s">
        <v>637</v>
      </c>
      <c r="E740" s="141">
        <v>25.1</v>
      </c>
      <c r="F740" s="142" t="s">
        <v>675</v>
      </c>
      <c r="G740" s="152" t="s">
        <v>712</v>
      </c>
    </row>
    <row r="741" spans="1:7" ht="15.6" x14ac:dyDescent="0.3">
      <c r="A741" s="137">
        <v>3</v>
      </c>
      <c r="B741" s="138">
        <v>3</v>
      </c>
      <c r="C741" s="139">
        <v>3041</v>
      </c>
      <c r="D741" s="140" t="s">
        <v>638</v>
      </c>
      <c r="E741" s="141">
        <v>36</v>
      </c>
      <c r="F741" s="142" t="s">
        <v>676</v>
      </c>
      <c r="G741" s="152" t="s">
        <v>713</v>
      </c>
    </row>
    <row r="742" spans="1:7" ht="15.6" x14ac:dyDescent="0.3">
      <c r="A742" s="137">
        <v>3</v>
      </c>
      <c r="B742" s="138">
        <v>3</v>
      </c>
      <c r="C742" s="139">
        <v>3041</v>
      </c>
      <c r="D742" s="140" t="s">
        <v>639</v>
      </c>
      <c r="E742" s="141">
        <v>2.2999999999999998</v>
      </c>
      <c r="F742" s="142" t="s">
        <v>677</v>
      </c>
      <c r="G742" s="152" t="s">
        <v>714</v>
      </c>
    </row>
    <row r="743" spans="1:7" ht="15.6" x14ac:dyDescent="0.3">
      <c r="A743" s="137">
        <v>3</v>
      </c>
      <c r="B743" s="138">
        <v>3</v>
      </c>
      <c r="C743" s="139">
        <v>3041</v>
      </c>
      <c r="D743" s="140" t="s">
        <v>640</v>
      </c>
      <c r="E743" s="141">
        <v>1.5</v>
      </c>
      <c r="F743" s="142" t="s">
        <v>678</v>
      </c>
      <c r="G743" s="152" t="s">
        <v>715</v>
      </c>
    </row>
    <row r="744" spans="1:7" ht="15.6" x14ac:dyDescent="0.3">
      <c r="A744" s="137">
        <v>3</v>
      </c>
      <c r="B744" s="138">
        <v>3</v>
      </c>
      <c r="C744" s="139">
        <v>3041</v>
      </c>
      <c r="D744" s="140" t="s">
        <v>641</v>
      </c>
      <c r="E744" s="141">
        <v>3.7</v>
      </c>
      <c r="F744" s="142" t="s">
        <v>679</v>
      </c>
      <c r="G744" s="152" t="s">
        <v>716</v>
      </c>
    </row>
    <row r="745" spans="1:7" ht="15.6" x14ac:dyDescent="0.3">
      <c r="A745" s="137">
        <v>3</v>
      </c>
      <c r="B745" s="138">
        <v>3</v>
      </c>
      <c r="C745" s="139">
        <v>3042</v>
      </c>
      <c r="D745" s="140" t="s">
        <v>638</v>
      </c>
      <c r="E745" s="141">
        <v>41.8</v>
      </c>
      <c r="F745" s="142" t="s">
        <v>676</v>
      </c>
      <c r="G745" s="152" t="s">
        <v>713</v>
      </c>
    </row>
    <row r="746" spans="1:7" ht="15.6" x14ac:dyDescent="0.3">
      <c r="A746" s="137">
        <v>3</v>
      </c>
      <c r="B746" s="138">
        <v>3</v>
      </c>
      <c r="C746" s="139">
        <v>3042</v>
      </c>
      <c r="D746" s="140" t="s">
        <v>641</v>
      </c>
      <c r="E746" s="141">
        <v>2.9</v>
      </c>
      <c r="F746" s="142" t="s">
        <v>679</v>
      </c>
      <c r="G746" s="152" t="s">
        <v>716</v>
      </c>
    </row>
    <row r="747" spans="1:7" ht="15.6" x14ac:dyDescent="0.3">
      <c r="A747" s="137">
        <v>3</v>
      </c>
      <c r="B747" s="138">
        <v>3</v>
      </c>
      <c r="C747" s="139">
        <v>3043</v>
      </c>
      <c r="D747" s="140" t="s">
        <v>637</v>
      </c>
      <c r="E747" s="141">
        <v>24.9</v>
      </c>
      <c r="F747" s="142" t="s">
        <v>675</v>
      </c>
      <c r="G747" s="152" t="s">
        <v>712</v>
      </c>
    </row>
    <row r="748" spans="1:7" ht="15.6" x14ac:dyDescent="0.3">
      <c r="A748" s="137">
        <v>3</v>
      </c>
      <c r="B748" s="138">
        <v>3</v>
      </c>
      <c r="C748" s="139">
        <v>3043</v>
      </c>
      <c r="D748" s="140" t="s">
        <v>638</v>
      </c>
      <c r="E748" s="141">
        <v>47.4</v>
      </c>
      <c r="F748" s="142" t="s">
        <v>676</v>
      </c>
      <c r="G748" s="152" t="s">
        <v>713</v>
      </c>
    </row>
    <row r="749" spans="1:7" ht="15.6" x14ac:dyDescent="0.3">
      <c r="A749" s="137">
        <v>3</v>
      </c>
      <c r="B749" s="138">
        <v>3</v>
      </c>
      <c r="C749" s="139">
        <v>3043</v>
      </c>
      <c r="D749" s="140" t="s">
        <v>639</v>
      </c>
      <c r="E749" s="141">
        <v>4.5999999999999996</v>
      </c>
      <c r="F749" s="142" t="s">
        <v>677</v>
      </c>
      <c r="G749" s="152" t="s">
        <v>714</v>
      </c>
    </row>
    <row r="750" spans="1:7" ht="15.6" x14ac:dyDescent="0.3">
      <c r="A750" s="137">
        <v>3</v>
      </c>
      <c r="B750" s="138">
        <v>3</v>
      </c>
      <c r="C750" s="139">
        <v>3043</v>
      </c>
      <c r="D750" s="140" t="s">
        <v>640</v>
      </c>
      <c r="E750" s="141">
        <v>4.5999999999999996</v>
      </c>
      <c r="F750" s="142" t="s">
        <v>678</v>
      </c>
      <c r="G750" s="152" t="s">
        <v>715</v>
      </c>
    </row>
    <row r="751" spans="1:7" ht="15.6" x14ac:dyDescent="0.3">
      <c r="A751" s="137">
        <v>3</v>
      </c>
      <c r="B751" s="138">
        <v>3</v>
      </c>
      <c r="C751" s="139">
        <v>3044</v>
      </c>
      <c r="D751" s="140" t="s">
        <v>637</v>
      </c>
      <c r="E751" s="141">
        <v>24.4</v>
      </c>
      <c r="F751" s="142" t="s">
        <v>675</v>
      </c>
      <c r="G751" s="152" t="s">
        <v>712</v>
      </c>
    </row>
    <row r="752" spans="1:7" ht="15.6" x14ac:dyDescent="0.3">
      <c r="A752" s="137">
        <v>3</v>
      </c>
      <c r="B752" s="138">
        <v>3</v>
      </c>
      <c r="C752" s="139">
        <v>3044</v>
      </c>
      <c r="D752" s="140" t="s">
        <v>638</v>
      </c>
      <c r="E752" s="141">
        <v>28.8</v>
      </c>
      <c r="F752" s="142" t="s">
        <v>676</v>
      </c>
      <c r="G752" s="152" t="s">
        <v>713</v>
      </c>
    </row>
    <row r="753" spans="1:7" ht="15.6" x14ac:dyDescent="0.3">
      <c r="A753" s="137">
        <v>3</v>
      </c>
      <c r="B753" s="138">
        <v>3</v>
      </c>
      <c r="C753" s="139">
        <v>3044</v>
      </c>
      <c r="D753" s="140" t="s">
        <v>639</v>
      </c>
      <c r="E753" s="141">
        <v>5</v>
      </c>
      <c r="F753" s="142" t="s">
        <v>677</v>
      </c>
      <c r="G753" s="152" t="s">
        <v>714</v>
      </c>
    </row>
    <row r="754" spans="1:7" ht="15.6" x14ac:dyDescent="0.3">
      <c r="A754" s="137">
        <v>3</v>
      </c>
      <c r="B754" s="138">
        <v>3</v>
      </c>
      <c r="C754" s="139">
        <v>3044</v>
      </c>
      <c r="D754" s="140" t="s">
        <v>640</v>
      </c>
      <c r="E754" s="141">
        <v>5.5</v>
      </c>
      <c r="F754" s="142" t="s">
        <v>678</v>
      </c>
      <c r="G754" s="152" t="s">
        <v>715</v>
      </c>
    </row>
    <row r="755" spans="1:7" ht="15.6" x14ac:dyDescent="0.3">
      <c r="A755" s="137">
        <v>3</v>
      </c>
      <c r="B755" s="138">
        <v>3</v>
      </c>
      <c r="C755" s="139">
        <v>3045</v>
      </c>
      <c r="D755" s="140" t="s">
        <v>637</v>
      </c>
      <c r="E755" s="141">
        <v>23.9</v>
      </c>
      <c r="F755" s="142" t="s">
        <v>675</v>
      </c>
      <c r="G755" s="152" t="s">
        <v>712</v>
      </c>
    </row>
    <row r="756" spans="1:7" ht="15.6" x14ac:dyDescent="0.3">
      <c r="A756" s="137">
        <v>3</v>
      </c>
      <c r="B756" s="138">
        <v>3</v>
      </c>
      <c r="C756" s="139">
        <v>3045</v>
      </c>
      <c r="D756" s="140" t="s">
        <v>638</v>
      </c>
      <c r="E756" s="141">
        <v>47.8</v>
      </c>
      <c r="F756" s="142" t="s">
        <v>676</v>
      </c>
      <c r="G756" s="152" t="s">
        <v>713</v>
      </c>
    </row>
    <row r="757" spans="1:7" ht="15.6" x14ac:dyDescent="0.3">
      <c r="A757" s="137">
        <v>3</v>
      </c>
      <c r="B757" s="138">
        <v>3</v>
      </c>
      <c r="C757" s="139">
        <v>3045</v>
      </c>
      <c r="D757" s="140" t="s">
        <v>639</v>
      </c>
      <c r="E757" s="141">
        <v>3</v>
      </c>
      <c r="F757" s="142" t="s">
        <v>677</v>
      </c>
      <c r="G757" s="152" t="s">
        <v>714</v>
      </c>
    </row>
    <row r="758" spans="1:7" ht="15.6" x14ac:dyDescent="0.3">
      <c r="A758" s="137">
        <v>3</v>
      </c>
      <c r="B758" s="138">
        <v>3</v>
      </c>
      <c r="C758" s="139">
        <v>3045</v>
      </c>
      <c r="D758" s="140" t="s">
        <v>640</v>
      </c>
      <c r="E758" s="141">
        <v>4.5999999999999996</v>
      </c>
      <c r="F758" s="142" t="s">
        <v>678</v>
      </c>
      <c r="G758" s="152" t="s">
        <v>715</v>
      </c>
    </row>
    <row r="759" spans="1:7" ht="15.6" x14ac:dyDescent="0.3">
      <c r="A759" s="137">
        <v>3</v>
      </c>
      <c r="B759" s="138">
        <v>3</v>
      </c>
      <c r="C759" s="139">
        <v>3045</v>
      </c>
      <c r="D759" s="140" t="s">
        <v>641</v>
      </c>
      <c r="E759" s="141">
        <v>3.4</v>
      </c>
      <c r="F759" s="142" t="s">
        <v>679</v>
      </c>
      <c r="G759" s="152" t="s">
        <v>716</v>
      </c>
    </row>
    <row r="760" spans="1:7" ht="15.6" x14ac:dyDescent="0.3">
      <c r="A760" s="137">
        <v>3</v>
      </c>
      <c r="B760" s="138">
        <v>3</v>
      </c>
      <c r="C760" s="139">
        <v>3046</v>
      </c>
      <c r="D760" s="140" t="s">
        <v>637</v>
      </c>
      <c r="E760" s="141">
        <v>21.8</v>
      </c>
      <c r="F760" s="142" t="s">
        <v>675</v>
      </c>
      <c r="G760" s="152" t="s">
        <v>712</v>
      </c>
    </row>
    <row r="761" spans="1:7" ht="15.6" x14ac:dyDescent="0.3">
      <c r="A761" s="137">
        <v>3</v>
      </c>
      <c r="B761" s="138">
        <v>3</v>
      </c>
      <c r="C761" s="139">
        <v>3046</v>
      </c>
      <c r="D761" s="140" t="s">
        <v>638</v>
      </c>
      <c r="E761" s="141">
        <v>91.8</v>
      </c>
      <c r="F761" s="142" t="s">
        <v>676</v>
      </c>
      <c r="G761" s="152" t="s">
        <v>713</v>
      </c>
    </row>
    <row r="762" spans="1:7" ht="15.6" x14ac:dyDescent="0.3">
      <c r="A762" s="137">
        <v>3</v>
      </c>
      <c r="B762" s="138">
        <v>3</v>
      </c>
      <c r="C762" s="139">
        <v>3046</v>
      </c>
      <c r="D762" s="140" t="s">
        <v>639</v>
      </c>
      <c r="E762" s="141">
        <v>1.5</v>
      </c>
      <c r="F762" s="142" t="s">
        <v>677</v>
      </c>
      <c r="G762" s="152" t="s">
        <v>714</v>
      </c>
    </row>
    <row r="763" spans="1:7" ht="15.6" x14ac:dyDescent="0.3">
      <c r="A763" s="137">
        <v>3</v>
      </c>
      <c r="B763" s="138">
        <v>3</v>
      </c>
      <c r="C763" s="139">
        <v>3046</v>
      </c>
      <c r="D763" s="140" t="s">
        <v>640</v>
      </c>
      <c r="E763" s="141">
        <v>10.7</v>
      </c>
      <c r="F763" s="142" t="s">
        <v>678</v>
      </c>
      <c r="G763" s="152" t="s">
        <v>715</v>
      </c>
    </row>
    <row r="764" spans="1:7" ht="15.6" x14ac:dyDescent="0.3">
      <c r="A764" s="137">
        <v>3</v>
      </c>
      <c r="B764" s="138">
        <v>3</v>
      </c>
      <c r="C764" s="139">
        <v>3047</v>
      </c>
      <c r="D764" s="140" t="s">
        <v>637</v>
      </c>
      <c r="E764" s="141">
        <v>16.5</v>
      </c>
      <c r="F764" s="142" t="s">
        <v>675</v>
      </c>
      <c r="G764" s="152" t="s">
        <v>712</v>
      </c>
    </row>
    <row r="765" spans="1:7" ht="15.6" x14ac:dyDescent="0.3">
      <c r="A765" s="137">
        <v>3</v>
      </c>
      <c r="B765" s="138">
        <v>3</v>
      </c>
      <c r="C765" s="139">
        <v>3047</v>
      </c>
      <c r="D765" s="140" t="s">
        <v>638</v>
      </c>
      <c r="E765" s="141">
        <v>105.1</v>
      </c>
      <c r="F765" s="142" t="s">
        <v>676</v>
      </c>
      <c r="G765" s="152" t="s">
        <v>713</v>
      </c>
    </row>
    <row r="766" spans="1:7" ht="15.6" x14ac:dyDescent="0.3">
      <c r="A766" s="137">
        <v>3</v>
      </c>
      <c r="B766" s="138">
        <v>3</v>
      </c>
      <c r="C766" s="139">
        <v>3047</v>
      </c>
      <c r="D766" s="140" t="s">
        <v>639</v>
      </c>
      <c r="E766" s="141">
        <v>1.8</v>
      </c>
      <c r="F766" s="142" t="s">
        <v>677</v>
      </c>
      <c r="G766" s="152" t="s">
        <v>714</v>
      </c>
    </row>
    <row r="767" spans="1:7" ht="15.6" x14ac:dyDescent="0.3">
      <c r="A767" s="137">
        <v>3</v>
      </c>
      <c r="B767" s="138">
        <v>3</v>
      </c>
      <c r="C767" s="139">
        <v>3047</v>
      </c>
      <c r="D767" s="140" t="s">
        <v>640</v>
      </c>
      <c r="E767" s="141">
        <v>43.3</v>
      </c>
      <c r="F767" s="142" t="s">
        <v>678</v>
      </c>
      <c r="G767" s="152" t="s">
        <v>715</v>
      </c>
    </row>
    <row r="768" spans="1:7" ht="15.6" x14ac:dyDescent="0.3">
      <c r="A768" s="137">
        <v>3</v>
      </c>
      <c r="B768" s="138">
        <v>3</v>
      </c>
      <c r="C768" s="140" t="s">
        <v>667</v>
      </c>
      <c r="D768" s="140" t="s">
        <v>637</v>
      </c>
      <c r="E768" s="141">
        <v>34.200000000000003</v>
      </c>
      <c r="F768" s="142" t="s">
        <v>675</v>
      </c>
      <c r="G768" s="152" t="s">
        <v>712</v>
      </c>
    </row>
    <row r="769" spans="1:7" ht="15.6" x14ac:dyDescent="0.3">
      <c r="A769" s="137">
        <v>3</v>
      </c>
      <c r="B769" s="138">
        <v>3</v>
      </c>
      <c r="C769" s="140" t="s">
        <v>667</v>
      </c>
      <c r="D769" s="140" t="s">
        <v>638</v>
      </c>
      <c r="E769" s="141">
        <v>11.6</v>
      </c>
      <c r="F769" s="142" t="s">
        <v>676</v>
      </c>
      <c r="G769" s="152" t="s">
        <v>713</v>
      </c>
    </row>
    <row r="770" spans="1:7" ht="15.6" x14ac:dyDescent="0.3">
      <c r="A770" s="137">
        <v>3</v>
      </c>
      <c r="B770" s="138">
        <v>3</v>
      </c>
      <c r="C770" s="140" t="s">
        <v>667</v>
      </c>
      <c r="D770" s="140" t="s">
        <v>639</v>
      </c>
      <c r="E770" s="141">
        <v>6.7</v>
      </c>
      <c r="F770" s="142" t="s">
        <v>677</v>
      </c>
      <c r="G770" s="152" t="s">
        <v>714</v>
      </c>
    </row>
    <row r="771" spans="1:7" ht="15.6" x14ac:dyDescent="0.3">
      <c r="A771" s="137">
        <v>3</v>
      </c>
      <c r="B771" s="138">
        <v>3</v>
      </c>
      <c r="C771" s="140" t="s">
        <v>667</v>
      </c>
      <c r="D771" s="140" t="s">
        <v>640</v>
      </c>
      <c r="E771" s="141">
        <v>40</v>
      </c>
      <c r="F771" s="142" t="s">
        <v>678</v>
      </c>
      <c r="G771" s="152" t="s">
        <v>715</v>
      </c>
    </row>
    <row r="772" spans="1:7" ht="15.6" x14ac:dyDescent="0.3">
      <c r="A772" s="137">
        <v>3</v>
      </c>
      <c r="B772" s="138">
        <v>3</v>
      </c>
      <c r="C772" s="140" t="s">
        <v>668</v>
      </c>
      <c r="D772" s="140" t="s">
        <v>637</v>
      </c>
      <c r="E772" s="141">
        <v>14.6</v>
      </c>
      <c r="F772" s="142" t="s">
        <v>675</v>
      </c>
      <c r="G772" s="152" t="s">
        <v>712</v>
      </c>
    </row>
    <row r="773" spans="1:7" ht="15.6" x14ac:dyDescent="0.3">
      <c r="A773" s="137">
        <v>3</v>
      </c>
      <c r="B773" s="138">
        <v>3</v>
      </c>
      <c r="C773" s="140" t="s">
        <v>668</v>
      </c>
      <c r="D773" s="140" t="s">
        <v>638</v>
      </c>
      <c r="E773" s="141">
        <v>17.2</v>
      </c>
      <c r="F773" s="142" t="s">
        <v>676</v>
      </c>
      <c r="G773" s="152" t="s">
        <v>713</v>
      </c>
    </row>
    <row r="774" spans="1:7" ht="15.6" x14ac:dyDescent="0.3">
      <c r="A774" s="137">
        <v>3</v>
      </c>
      <c r="B774" s="138">
        <v>3</v>
      </c>
      <c r="C774" s="140" t="s">
        <v>668</v>
      </c>
      <c r="D774" s="140" t="s">
        <v>639</v>
      </c>
      <c r="E774" s="141">
        <v>6.6</v>
      </c>
      <c r="F774" s="142" t="s">
        <v>677</v>
      </c>
      <c r="G774" s="152" t="s">
        <v>714</v>
      </c>
    </row>
    <row r="775" spans="1:7" ht="15.6" x14ac:dyDescent="0.3">
      <c r="A775" s="137">
        <v>3</v>
      </c>
      <c r="B775" s="138">
        <v>3</v>
      </c>
      <c r="C775" s="140" t="s">
        <v>668</v>
      </c>
      <c r="D775" s="140" t="s">
        <v>640</v>
      </c>
      <c r="E775" s="141">
        <v>55.8</v>
      </c>
      <c r="F775" s="142" t="s">
        <v>678</v>
      </c>
      <c r="G775" s="152" t="s">
        <v>715</v>
      </c>
    </row>
    <row r="776" spans="1:7" ht="15.6" x14ac:dyDescent="0.3">
      <c r="A776" s="137">
        <v>3</v>
      </c>
      <c r="B776" s="138">
        <v>3</v>
      </c>
      <c r="C776" s="139">
        <v>3048</v>
      </c>
      <c r="D776" s="140" t="s">
        <v>642</v>
      </c>
      <c r="E776" s="141">
        <v>94.2</v>
      </c>
      <c r="F776" s="142" t="s">
        <v>678</v>
      </c>
      <c r="G776" s="152" t="s">
        <v>715</v>
      </c>
    </row>
    <row r="777" spans="1:7" ht="15.6" x14ac:dyDescent="0.3">
      <c r="A777" s="137">
        <v>3</v>
      </c>
      <c r="B777" s="138">
        <v>3</v>
      </c>
      <c r="C777" s="139">
        <v>3049</v>
      </c>
      <c r="D777" s="140" t="s">
        <v>637</v>
      </c>
      <c r="E777" s="141">
        <v>22.5</v>
      </c>
      <c r="F777" s="142" t="s">
        <v>675</v>
      </c>
      <c r="G777" s="152" t="s">
        <v>712</v>
      </c>
    </row>
    <row r="778" spans="1:7" ht="15.6" x14ac:dyDescent="0.3">
      <c r="A778" s="137">
        <v>3</v>
      </c>
      <c r="B778" s="138">
        <v>3</v>
      </c>
      <c r="C778" s="139">
        <v>3049</v>
      </c>
      <c r="D778" s="140" t="s">
        <v>638</v>
      </c>
      <c r="E778" s="141">
        <v>214.6</v>
      </c>
      <c r="F778" s="142" t="s">
        <v>676</v>
      </c>
      <c r="G778" s="152" t="s">
        <v>713</v>
      </c>
    </row>
    <row r="779" spans="1:7" ht="15.6" x14ac:dyDescent="0.3">
      <c r="A779" s="137">
        <v>3</v>
      </c>
      <c r="B779" s="138">
        <v>3</v>
      </c>
      <c r="C779" s="139">
        <v>3049</v>
      </c>
      <c r="D779" s="140" t="s">
        <v>639</v>
      </c>
      <c r="E779" s="141">
        <v>2.1</v>
      </c>
      <c r="F779" s="142" t="s">
        <v>677</v>
      </c>
      <c r="G779" s="152" t="s">
        <v>714</v>
      </c>
    </row>
    <row r="780" spans="1:7" ht="15.6" x14ac:dyDescent="0.3">
      <c r="A780" s="137">
        <v>3</v>
      </c>
      <c r="B780" s="138">
        <v>3</v>
      </c>
      <c r="C780" s="139">
        <v>3049</v>
      </c>
      <c r="D780" s="140" t="s">
        <v>640</v>
      </c>
      <c r="E780" s="141">
        <v>65.3</v>
      </c>
      <c r="F780" s="142" t="s">
        <v>678</v>
      </c>
      <c r="G780" s="152" t="s">
        <v>715</v>
      </c>
    </row>
    <row r="781" spans="1:7" ht="15.6" x14ac:dyDescent="0.3">
      <c r="A781" s="137">
        <v>3</v>
      </c>
      <c r="B781" s="138">
        <v>3</v>
      </c>
      <c r="C781" s="139">
        <v>3049</v>
      </c>
      <c r="D781" s="140" t="s">
        <v>641</v>
      </c>
      <c r="E781" s="141">
        <v>2.9</v>
      </c>
      <c r="F781" s="142" t="s">
        <v>679</v>
      </c>
      <c r="G781" s="152" t="s">
        <v>716</v>
      </c>
    </row>
    <row r="782" spans="1:7" ht="15.6" x14ac:dyDescent="0.3">
      <c r="A782" s="137">
        <v>3</v>
      </c>
      <c r="B782" s="138">
        <v>3</v>
      </c>
      <c r="C782" s="139">
        <v>3050</v>
      </c>
      <c r="D782" s="140" t="s">
        <v>652</v>
      </c>
      <c r="E782" s="141">
        <v>18.600000000000001</v>
      </c>
      <c r="F782" s="142" t="s">
        <v>676</v>
      </c>
      <c r="G782" s="152" t="s">
        <v>712</v>
      </c>
    </row>
    <row r="783" spans="1:7" ht="15.6" x14ac:dyDescent="0.3">
      <c r="A783" s="137">
        <v>3</v>
      </c>
      <c r="B783" s="138">
        <v>3</v>
      </c>
      <c r="C783" s="139">
        <v>3050</v>
      </c>
      <c r="D783" s="140" t="s">
        <v>647</v>
      </c>
      <c r="E783" s="141">
        <v>2</v>
      </c>
      <c r="F783" s="142" t="s">
        <v>681</v>
      </c>
      <c r="G783" s="152" t="s">
        <v>717</v>
      </c>
    </row>
    <row r="784" spans="1:7" ht="15.6" x14ac:dyDescent="0.3">
      <c r="A784" s="137">
        <v>3</v>
      </c>
      <c r="B784" s="138">
        <v>3</v>
      </c>
      <c r="C784" s="139">
        <v>3050</v>
      </c>
      <c r="D784" s="140" t="s">
        <v>648</v>
      </c>
      <c r="E784" s="141">
        <v>9.1999999999999993</v>
      </c>
      <c r="F784" s="142" t="s">
        <v>678</v>
      </c>
      <c r="G784" s="152" t="s">
        <v>718</v>
      </c>
    </row>
    <row r="785" spans="1:7" ht="15.6" x14ac:dyDescent="0.3">
      <c r="A785" s="137">
        <v>3</v>
      </c>
      <c r="B785" s="138">
        <v>3</v>
      </c>
      <c r="C785" s="139">
        <v>3050</v>
      </c>
      <c r="D785" s="140" t="s">
        <v>649</v>
      </c>
      <c r="E785" s="141">
        <v>24.6</v>
      </c>
      <c r="F785" s="142" t="s">
        <v>679</v>
      </c>
      <c r="G785" s="152" t="s">
        <v>717</v>
      </c>
    </row>
    <row r="786" spans="1:7" ht="15.6" x14ac:dyDescent="0.3">
      <c r="A786" s="137">
        <v>3</v>
      </c>
      <c r="B786" s="138">
        <v>3</v>
      </c>
      <c r="C786" s="139">
        <v>3051</v>
      </c>
      <c r="D786" s="140" t="s">
        <v>645</v>
      </c>
      <c r="E786" s="141">
        <v>10.4</v>
      </c>
      <c r="F786" s="142" t="s">
        <v>675</v>
      </c>
      <c r="G786" s="152" t="s">
        <v>712</v>
      </c>
    </row>
    <row r="787" spans="1:7" ht="15.6" x14ac:dyDescent="0.3">
      <c r="A787" s="137">
        <v>3</v>
      </c>
      <c r="B787" s="138">
        <v>3</v>
      </c>
      <c r="C787" s="139">
        <v>3051</v>
      </c>
      <c r="D787" s="140" t="s">
        <v>652</v>
      </c>
      <c r="E787" s="141">
        <v>5.2</v>
      </c>
      <c r="F787" s="142" t="s">
        <v>676</v>
      </c>
      <c r="G787" s="152" t="s">
        <v>712</v>
      </c>
    </row>
    <row r="788" spans="1:7" ht="15.6" x14ac:dyDescent="0.3">
      <c r="A788" s="137">
        <v>3</v>
      </c>
      <c r="B788" s="138">
        <v>3</v>
      </c>
      <c r="C788" s="139">
        <v>3051</v>
      </c>
      <c r="D788" s="140" t="s">
        <v>642</v>
      </c>
      <c r="E788" s="141">
        <v>1.9</v>
      </c>
      <c r="F788" s="142" t="s">
        <v>678</v>
      </c>
      <c r="G788" s="152" t="s">
        <v>715</v>
      </c>
    </row>
    <row r="789" spans="1:7" ht="15.6" x14ac:dyDescent="0.3">
      <c r="A789" s="137">
        <v>3</v>
      </c>
      <c r="B789" s="138">
        <v>3</v>
      </c>
      <c r="C789" s="139">
        <v>3051</v>
      </c>
      <c r="D789" s="140" t="s">
        <v>648</v>
      </c>
      <c r="E789" s="141">
        <v>8</v>
      </c>
      <c r="F789" s="142" t="s">
        <v>678</v>
      </c>
      <c r="G789" s="152" t="s">
        <v>718</v>
      </c>
    </row>
    <row r="790" spans="1:7" ht="15.6" x14ac:dyDescent="0.3">
      <c r="A790" s="137">
        <v>3</v>
      </c>
      <c r="B790" s="138">
        <v>3</v>
      </c>
      <c r="C790" s="139">
        <v>3051</v>
      </c>
      <c r="D790" s="140" t="s">
        <v>655</v>
      </c>
      <c r="E790" s="141">
        <v>5.2</v>
      </c>
      <c r="F790" s="142" t="s">
        <v>679</v>
      </c>
      <c r="G790" s="152" t="s">
        <v>717</v>
      </c>
    </row>
    <row r="791" spans="1:7" ht="15.6" x14ac:dyDescent="0.3">
      <c r="A791" s="137">
        <v>3</v>
      </c>
      <c r="B791" s="138">
        <v>3</v>
      </c>
      <c r="C791" s="139">
        <v>3052</v>
      </c>
      <c r="D791" s="140" t="s">
        <v>645</v>
      </c>
      <c r="E791" s="141">
        <v>10</v>
      </c>
      <c r="F791" s="142" t="s">
        <v>675</v>
      </c>
      <c r="G791" s="152" t="s">
        <v>712</v>
      </c>
    </row>
    <row r="792" spans="1:7" ht="15.6" x14ac:dyDescent="0.3">
      <c r="A792" s="137">
        <v>3</v>
      </c>
      <c r="B792" s="138">
        <v>3</v>
      </c>
      <c r="C792" s="139">
        <v>3052</v>
      </c>
      <c r="D792" s="140" t="s">
        <v>652</v>
      </c>
      <c r="E792" s="141">
        <v>3.7</v>
      </c>
      <c r="F792" s="142" t="s">
        <v>676</v>
      </c>
      <c r="G792" s="152" t="s">
        <v>712</v>
      </c>
    </row>
    <row r="793" spans="1:7" ht="31.2" x14ac:dyDescent="0.3">
      <c r="A793" s="137">
        <v>3</v>
      </c>
      <c r="B793" s="138">
        <v>3</v>
      </c>
      <c r="C793" s="139">
        <v>3052</v>
      </c>
      <c r="D793" s="140" t="s">
        <v>658</v>
      </c>
      <c r="E793" s="141">
        <v>1.1000000000000001</v>
      </c>
      <c r="F793" s="142" t="s">
        <v>686</v>
      </c>
      <c r="G793" s="152" t="s">
        <v>713</v>
      </c>
    </row>
    <row r="794" spans="1:7" ht="15.6" x14ac:dyDescent="0.3">
      <c r="A794" s="137">
        <v>3</v>
      </c>
      <c r="B794" s="138">
        <v>3</v>
      </c>
      <c r="C794" s="139">
        <v>3052</v>
      </c>
      <c r="D794" s="140" t="s">
        <v>642</v>
      </c>
      <c r="E794" s="141">
        <v>1.8</v>
      </c>
      <c r="F794" s="142" t="s">
        <v>678</v>
      </c>
      <c r="G794" s="152" t="s">
        <v>715</v>
      </c>
    </row>
    <row r="795" spans="1:7" ht="15.6" x14ac:dyDescent="0.3">
      <c r="A795" s="137">
        <v>3</v>
      </c>
      <c r="B795" s="138">
        <v>3</v>
      </c>
      <c r="C795" s="139">
        <v>3052</v>
      </c>
      <c r="D795" s="140" t="s">
        <v>648</v>
      </c>
      <c r="E795" s="141">
        <v>9.9</v>
      </c>
      <c r="F795" s="142" t="s">
        <v>678</v>
      </c>
      <c r="G795" s="152" t="s">
        <v>718</v>
      </c>
    </row>
    <row r="796" spans="1:7" ht="15.6" x14ac:dyDescent="0.3">
      <c r="A796" s="137">
        <v>3</v>
      </c>
      <c r="B796" s="138">
        <v>3</v>
      </c>
      <c r="C796" s="139">
        <v>3052</v>
      </c>
      <c r="D796" s="140" t="s">
        <v>655</v>
      </c>
      <c r="E796" s="141">
        <v>5.9</v>
      </c>
      <c r="F796" s="142" t="s">
        <v>679</v>
      </c>
      <c r="G796" s="152" t="s">
        <v>717</v>
      </c>
    </row>
    <row r="797" spans="1:7" ht="15.6" x14ac:dyDescent="0.3">
      <c r="A797" s="137">
        <v>3</v>
      </c>
      <c r="B797" s="138">
        <v>3</v>
      </c>
      <c r="C797" s="139">
        <v>3053</v>
      </c>
      <c r="D797" s="140" t="s">
        <v>645</v>
      </c>
      <c r="E797" s="141">
        <v>8.9</v>
      </c>
      <c r="F797" s="142" t="s">
        <v>675</v>
      </c>
      <c r="G797" s="152" t="s">
        <v>712</v>
      </c>
    </row>
    <row r="798" spans="1:7" ht="15.6" x14ac:dyDescent="0.3">
      <c r="A798" s="137">
        <v>3</v>
      </c>
      <c r="B798" s="138">
        <v>3</v>
      </c>
      <c r="C798" s="139">
        <v>3053</v>
      </c>
      <c r="D798" s="140" t="s">
        <v>652</v>
      </c>
      <c r="E798" s="141">
        <v>4.3</v>
      </c>
      <c r="F798" s="142" t="s">
        <v>676</v>
      </c>
      <c r="G798" s="152" t="s">
        <v>712</v>
      </c>
    </row>
    <row r="799" spans="1:7" ht="31.2" x14ac:dyDescent="0.3">
      <c r="A799" s="137">
        <v>3</v>
      </c>
      <c r="B799" s="138">
        <v>3</v>
      </c>
      <c r="C799" s="139">
        <v>3053</v>
      </c>
      <c r="D799" s="140" t="s">
        <v>658</v>
      </c>
      <c r="E799" s="141">
        <v>1.2</v>
      </c>
      <c r="F799" s="142" t="s">
        <v>686</v>
      </c>
      <c r="G799" s="152" t="s">
        <v>713</v>
      </c>
    </row>
    <row r="800" spans="1:7" ht="15.6" x14ac:dyDescent="0.3">
      <c r="A800" s="137">
        <v>3</v>
      </c>
      <c r="B800" s="138">
        <v>3</v>
      </c>
      <c r="C800" s="139">
        <v>3053</v>
      </c>
      <c r="D800" s="140" t="s">
        <v>647</v>
      </c>
      <c r="E800" s="141">
        <v>1.7</v>
      </c>
      <c r="F800" s="142" t="s">
        <v>681</v>
      </c>
      <c r="G800" s="152" t="s">
        <v>717</v>
      </c>
    </row>
    <row r="801" spans="1:7" ht="31.2" x14ac:dyDescent="0.3">
      <c r="A801" s="137">
        <v>3</v>
      </c>
      <c r="B801" s="138">
        <v>3</v>
      </c>
      <c r="C801" s="139">
        <v>3053</v>
      </c>
      <c r="D801" s="140" t="s">
        <v>654</v>
      </c>
      <c r="E801" s="141">
        <v>0.3</v>
      </c>
      <c r="F801" s="142" t="s">
        <v>683</v>
      </c>
      <c r="G801" s="152" t="s">
        <v>714</v>
      </c>
    </row>
    <row r="802" spans="1:7" ht="15.6" x14ac:dyDescent="0.3">
      <c r="A802" s="137">
        <v>3</v>
      </c>
      <c r="B802" s="138">
        <v>3</v>
      </c>
      <c r="C802" s="139">
        <v>3053</v>
      </c>
      <c r="D802" s="140" t="s">
        <v>655</v>
      </c>
      <c r="E802" s="141">
        <v>17.2</v>
      </c>
      <c r="F802" s="142" t="s">
        <v>679</v>
      </c>
      <c r="G802" s="152" t="s">
        <v>717</v>
      </c>
    </row>
    <row r="803" spans="1:7" ht="15.6" x14ac:dyDescent="0.3">
      <c r="A803" s="137">
        <v>3</v>
      </c>
      <c r="B803" s="138">
        <v>3</v>
      </c>
      <c r="C803" s="139">
        <v>3054</v>
      </c>
      <c r="D803" s="140" t="s">
        <v>637</v>
      </c>
      <c r="E803" s="141">
        <v>5.7</v>
      </c>
      <c r="F803" s="142" t="s">
        <v>675</v>
      </c>
      <c r="G803" s="152" t="s">
        <v>712</v>
      </c>
    </row>
    <row r="804" spans="1:7" ht="15.6" x14ac:dyDescent="0.3">
      <c r="A804" s="137">
        <v>3</v>
      </c>
      <c r="B804" s="138">
        <v>3</v>
      </c>
      <c r="C804" s="139">
        <v>3054</v>
      </c>
      <c r="D804" s="140" t="s">
        <v>638</v>
      </c>
      <c r="E804" s="141">
        <v>14.7</v>
      </c>
      <c r="F804" s="142" t="s">
        <v>676</v>
      </c>
      <c r="G804" s="152" t="s">
        <v>713</v>
      </c>
    </row>
    <row r="805" spans="1:7" ht="15.6" x14ac:dyDescent="0.3">
      <c r="A805" s="137">
        <v>3</v>
      </c>
      <c r="B805" s="138">
        <v>3</v>
      </c>
      <c r="C805" s="139">
        <v>3054</v>
      </c>
      <c r="D805" s="140" t="s">
        <v>639</v>
      </c>
      <c r="E805" s="141">
        <v>1.9</v>
      </c>
      <c r="F805" s="142" t="s">
        <v>677</v>
      </c>
      <c r="G805" s="152" t="s">
        <v>714</v>
      </c>
    </row>
    <row r="806" spans="1:7" ht="15.6" x14ac:dyDescent="0.3">
      <c r="A806" s="137">
        <v>3</v>
      </c>
      <c r="B806" s="138">
        <v>3</v>
      </c>
      <c r="C806" s="139">
        <v>3054</v>
      </c>
      <c r="D806" s="140" t="s">
        <v>642</v>
      </c>
      <c r="E806" s="141">
        <v>25.7</v>
      </c>
      <c r="F806" s="142" t="s">
        <v>678</v>
      </c>
      <c r="G806" s="152" t="s">
        <v>715</v>
      </c>
    </row>
    <row r="807" spans="1:7" ht="15.6" x14ac:dyDescent="0.3">
      <c r="A807" s="137">
        <v>3</v>
      </c>
      <c r="B807" s="138">
        <v>3</v>
      </c>
      <c r="C807" s="139">
        <v>3055</v>
      </c>
      <c r="D807" s="140" t="s">
        <v>652</v>
      </c>
      <c r="E807" s="141">
        <v>3.1</v>
      </c>
      <c r="F807" s="142" t="s">
        <v>676</v>
      </c>
      <c r="G807" s="152" t="s">
        <v>712</v>
      </c>
    </row>
    <row r="808" spans="1:7" ht="15.6" x14ac:dyDescent="0.3">
      <c r="A808" s="137">
        <v>3</v>
      </c>
      <c r="B808" s="138">
        <v>3</v>
      </c>
      <c r="C808" s="139">
        <v>3055</v>
      </c>
      <c r="D808" s="140" t="s">
        <v>647</v>
      </c>
      <c r="E808" s="141">
        <v>1.9</v>
      </c>
      <c r="F808" s="142" t="s">
        <v>681</v>
      </c>
      <c r="G808" s="152" t="s">
        <v>717</v>
      </c>
    </row>
    <row r="809" spans="1:7" ht="15.6" x14ac:dyDescent="0.3">
      <c r="A809" s="137">
        <v>3</v>
      </c>
      <c r="B809" s="138">
        <v>3</v>
      </c>
      <c r="C809" s="139">
        <v>3055</v>
      </c>
      <c r="D809" s="140" t="s">
        <v>648</v>
      </c>
      <c r="E809" s="141">
        <v>11</v>
      </c>
      <c r="F809" s="142" t="s">
        <v>678</v>
      </c>
      <c r="G809" s="152" t="s">
        <v>718</v>
      </c>
    </row>
    <row r="810" spans="1:7" ht="15.6" x14ac:dyDescent="0.3">
      <c r="A810" s="137">
        <v>3</v>
      </c>
      <c r="B810" s="138">
        <v>3</v>
      </c>
      <c r="C810" s="139">
        <v>3055</v>
      </c>
      <c r="D810" s="140" t="s">
        <v>655</v>
      </c>
      <c r="E810" s="141">
        <v>18.3</v>
      </c>
      <c r="F810" s="142" t="s">
        <v>679</v>
      </c>
      <c r="G810" s="152" t="s">
        <v>717</v>
      </c>
    </row>
    <row r="811" spans="1:7" ht="15.6" x14ac:dyDescent="0.3">
      <c r="A811" s="137">
        <v>3</v>
      </c>
      <c r="B811" s="138">
        <v>3</v>
      </c>
      <c r="C811" s="139">
        <v>3056</v>
      </c>
      <c r="D811" s="140" t="s">
        <v>652</v>
      </c>
      <c r="E811" s="141">
        <v>22.5</v>
      </c>
      <c r="F811" s="142" t="s">
        <v>676</v>
      </c>
      <c r="G811" s="152" t="s">
        <v>712</v>
      </c>
    </row>
    <row r="812" spans="1:7" ht="15.6" x14ac:dyDescent="0.3">
      <c r="A812" s="137">
        <v>3</v>
      </c>
      <c r="B812" s="138">
        <v>3</v>
      </c>
      <c r="C812" s="139">
        <v>3056</v>
      </c>
      <c r="D812" s="140" t="s">
        <v>650</v>
      </c>
      <c r="E812" s="141">
        <v>1.8</v>
      </c>
      <c r="F812" s="142" t="s">
        <v>677</v>
      </c>
      <c r="G812" s="152" t="s">
        <v>717</v>
      </c>
    </row>
    <row r="813" spans="1:7" ht="15.6" x14ac:dyDescent="0.3">
      <c r="A813" s="137">
        <v>3</v>
      </c>
      <c r="B813" s="138">
        <v>3</v>
      </c>
      <c r="C813" s="139">
        <v>3056</v>
      </c>
      <c r="D813" s="140" t="s">
        <v>642</v>
      </c>
      <c r="E813" s="141">
        <v>1.9</v>
      </c>
      <c r="F813" s="142" t="s">
        <v>678</v>
      </c>
      <c r="G813" s="152" t="s">
        <v>715</v>
      </c>
    </row>
    <row r="814" spans="1:7" ht="15.6" x14ac:dyDescent="0.3">
      <c r="A814" s="137">
        <v>3</v>
      </c>
      <c r="B814" s="138">
        <v>3</v>
      </c>
      <c r="C814" s="139">
        <v>3056</v>
      </c>
      <c r="D814" s="140" t="s">
        <v>651</v>
      </c>
      <c r="E814" s="141">
        <v>10.7</v>
      </c>
      <c r="F814" s="142" t="s">
        <v>678</v>
      </c>
      <c r="G814" s="152" t="s">
        <v>719</v>
      </c>
    </row>
    <row r="815" spans="1:7" ht="15.6" x14ac:dyDescent="0.3">
      <c r="A815" s="137">
        <v>3</v>
      </c>
      <c r="B815" s="138">
        <v>3</v>
      </c>
      <c r="C815" s="139">
        <v>3056</v>
      </c>
      <c r="D815" s="140" t="s">
        <v>649</v>
      </c>
      <c r="E815" s="141">
        <v>29</v>
      </c>
      <c r="F815" s="142" t="s">
        <v>679</v>
      </c>
      <c r="G815" s="152" t="s">
        <v>717</v>
      </c>
    </row>
    <row r="816" spans="1:7" ht="15.6" x14ac:dyDescent="0.3">
      <c r="A816" s="137">
        <v>3</v>
      </c>
      <c r="B816" s="138">
        <v>3</v>
      </c>
      <c r="C816" s="139">
        <v>3057</v>
      </c>
      <c r="D816" s="140" t="s">
        <v>642</v>
      </c>
      <c r="E816" s="141">
        <v>92.5</v>
      </c>
      <c r="F816" s="142" t="s">
        <v>678</v>
      </c>
      <c r="G816" s="152" t="s">
        <v>715</v>
      </c>
    </row>
    <row r="817" spans="1:7" ht="15.6" x14ac:dyDescent="0.3">
      <c r="A817" s="137">
        <v>3</v>
      </c>
      <c r="B817" s="138">
        <v>3</v>
      </c>
      <c r="C817" s="139">
        <v>3058</v>
      </c>
      <c r="D817" s="140" t="s">
        <v>637</v>
      </c>
      <c r="E817" s="141">
        <v>17.899999999999999</v>
      </c>
      <c r="F817" s="142" t="s">
        <v>675</v>
      </c>
      <c r="G817" s="152" t="s">
        <v>712</v>
      </c>
    </row>
    <row r="818" spans="1:7" ht="15.6" x14ac:dyDescent="0.3">
      <c r="A818" s="137">
        <v>3</v>
      </c>
      <c r="B818" s="138">
        <v>3</v>
      </c>
      <c r="C818" s="139">
        <v>3058</v>
      </c>
      <c r="D818" s="140" t="s">
        <v>638</v>
      </c>
      <c r="E818" s="141">
        <v>23.3</v>
      </c>
      <c r="F818" s="142" t="s">
        <v>676</v>
      </c>
      <c r="G818" s="152" t="s">
        <v>713</v>
      </c>
    </row>
    <row r="819" spans="1:7" ht="15.6" x14ac:dyDescent="0.3">
      <c r="A819" s="137">
        <v>3</v>
      </c>
      <c r="B819" s="138">
        <v>3</v>
      </c>
      <c r="C819" s="139">
        <v>3058</v>
      </c>
      <c r="D819" s="140" t="s">
        <v>640</v>
      </c>
      <c r="E819" s="141">
        <v>1.8</v>
      </c>
      <c r="F819" s="142" t="s">
        <v>678</v>
      </c>
      <c r="G819" s="152" t="s">
        <v>715</v>
      </c>
    </row>
    <row r="820" spans="1:7" ht="15.6" x14ac:dyDescent="0.3">
      <c r="A820" s="137">
        <v>3</v>
      </c>
      <c r="B820" s="138">
        <v>3</v>
      </c>
      <c r="C820" s="139">
        <v>3058</v>
      </c>
      <c r="D820" s="140" t="s">
        <v>641</v>
      </c>
      <c r="E820" s="141">
        <v>11</v>
      </c>
      <c r="F820" s="142" t="s">
        <v>679</v>
      </c>
      <c r="G820" s="152" t="s">
        <v>716</v>
      </c>
    </row>
    <row r="821" spans="1:7" ht="15.6" x14ac:dyDescent="0.3">
      <c r="A821" s="137">
        <v>4</v>
      </c>
      <c r="B821" s="138">
        <v>3</v>
      </c>
      <c r="C821" s="139">
        <v>4001</v>
      </c>
      <c r="D821" s="140" t="s">
        <v>637</v>
      </c>
      <c r="E821" s="141">
        <v>19.899999999999999</v>
      </c>
      <c r="F821" s="142" t="s">
        <v>675</v>
      </c>
      <c r="G821" s="152" t="s">
        <v>712</v>
      </c>
    </row>
    <row r="822" spans="1:7" ht="15.6" x14ac:dyDescent="0.3">
      <c r="A822" s="137">
        <v>4</v>
      </c>
      <c r="B822" s="138">
        <v>3</v>
      </c>
      <c r="C822" s="139">
        <v>4001</v>
      </c>
      <c r="D822" s="140" t="s">
        <v>638</v>
      </c>
      <c r="E822" s="141">
        <v>212.8</v>
      </c>
      <c r="F822" s="142" t="s">
        <v>676</v>
      </c>
      <c r="G822" s="152" t="s">
        <v>713</v>
      </c>
    </row>
    <row r="823" spans="1:7" ht="15.6" x14ac:dyDescent="0.3">
      <c r="A823" s="137">
        <v>4</v>
      </c>
      <c r="B823" s="138">
        <v>3</v>
      </c>
      <c r="C823" s="139">
        <v>4001</v>
      </c>
      <c r="D823" s="140" t="s">
        <v>640</v>
      </c>
      <c r="E823" s="141">
        <v>13.5</v>
      </c>
      <c r="F823" s="142" t="s">
        <v>678</v>
      </c>
      <c r="G823" s="152" t="s">
        <v>715</v>
      </c>
    </row>
    <row r="824" spans="1:7" ht="15.6" x14ac:dyDescent="0.3">
      <c r="A824" s="137">
        <v>4</v>
      </c>
      <c r="B824" s="138">
        <v>3</v>
      </c>
      <c r="C824" s="139">
        <v>4002</v>
      </c>
      <c r="D824" s="140" t="s">
        <v>637</v>
      </c>
      <c r="E824" s="141">
        <v>25.2</v>
      </c>
      <c r="F824" s="142" t="s">
        <v>675</v>
      </c>
      <c r="G824" s="152" t="s">
        <v>712</v>
      </c>
    </row>
    <row r="825" spans="1:7" ht="15.6" x14ac:dyDescent="0.3">
      <c r="A825" s="137">
        <v>4</v>
      </c>
      <c r="B825" s="138">
        <v>3</v>
      </c>
      <c r="C825" s="139">
        <v>4002</v>
      </c>
      <c r="D825" s="140" t="s">
        <v>638</v>
      </c>
      <c r="E825" s="141">
        <v>127</v>
      </c>
      <c r="F825" s="142" t="s">
        <v>676</v>
      </c>
      <c r="G825" s="152" t="s">
        <v>713</v>
      </c>
    </row>
    <row r="826" spans="1:7" ht="15.6" x14ac:dyDescent="0.3">
      <c r="A826" s="137">
        <v>4</v>
      </c>
      <c r="B826" s="138">
        <v>3</v>
      </c>
      <c r="C826" s="139">
        <v>4002</v>
      </c>
      <c r="D826" s="140" t="s">
        <v>640</v>
      </c>
      <c r="E826" s="141">
        <v>6.1</v>
      </c>
      <c r="F826" s="142" t="s">
        <v>678</v>
      </c>
      <c r="G826" s="152" t="s">
        <v>715</v>
      </c>
    </row>
    <row r="827" spans="1:7" ht="15.6" x14ac:dyDescent="0.3">
      <c r="A827" s="137">
        <v>4</v>
      </c>
      <c r="B827" s="138">
        <v>3</v>
      </c>
      <c r="C827" s="139">
        <v>4002</v>
      </c>
      <c r="D827" s="140" t="s">
        <v>641</v>
      </c>
      <c r="E827" s="141">
        <v>16.399999999999999</v>
      </c>
      <c r="F827" s="142" t="s">
        <v>679</v>
      </c>
      <c r="G827" s="152" t="s">
        <v>716</v>
      </c>
    </row>
    <row r="828" spans="1:7" ht="15.6" x14ac:dyDescent="0.3">
      <c r="A828" s="137">
        <v>4</v>
      </c>
      <c r="B828" s="138">
        <v>3</v>
      </c>
      <c r="C828" s="139">
        <v>4003</v>
      </c>
      <c r="D828" s="140" t="s">
        <v>637</v>
      </c>
      <c r="E828" s="141">
        <v>1.3</v>
      </c>
      <c r="F828" s="142" t="s">
        <v>675</v>
      </c>
      <c r="G828" s="152" t="s">
        <v>712</v>
      </c>
    </row>
    <row r="829" spans="1:7" ht="15.6" x14ac:dyDescent="0.3">
      <c r="A829" s="137">
        <v>4</v>
      </c>
      <c r="B829" s="138">
        <v>3</v>
      </c>
      <c r="C829" s="139">
        <v>4003</v>
      </c>
      <c r="D829" s="140" t="s">
        <v>638</v>
      </c>
      <c r="E829" s="141">
        <v>69.400000000000006</v>
      </c>
      <c r="F829" s="142" t="s">
        <v>676</v>
      </c>
      <c r="G829" s="152" t="s">
        <v>713</v>
      </c>
    </row>
    <row r="830" spans="1:7" ht="15.6" x14ac:dyDescent="0.3">
      <c r="A830" s="137">
        <v>4</v>
      </c>
      <c r="B830" s="138">
        <v>3</v>
      </c>
      <c r="C830" s="139">
        <v>4003</v>
      </c>
      <c r="D830" s="140" t="s">
        <v>640</v>
      </c>
      <c r="E830" s="141">
        <v>7.9</v>
      </c>
      <c r="F830" s="142" t="s">
        <v>678</v>
      </c>
      <c r="G830" s="152" t="s">
        <v>715</v>
      </c>
    </row>
    <row r="831" spans="1:7" ht="15.6" x14ac:dyDescent="0.3">
      <c r="A831" s="137">
        <v>4</v>
      </c>
      <c r="B831" s="138">
        <v>3</v>
      </c>
      <c r="C831" s="139">
        <v>4003</v>
      </c>
      <c r="D831" s="140" t="s">
        <v>641</v>
      </c>
      <c r="E831" s="141">
        <v>5.2</v>
      </c>
      <c r="F831" s="142" t="s">
        <v>679</v>
      </c>
      <c r="G831" s="152" t="s">
        <v>716</v>
      </c>
    </row>
    <row r="832" spans="1:7" ht="15.6" x14ac:dyDescent="0.3">
      <c r="A832" s="137">
        <v>4</v>
      </c>
      <c r="B832" s="138">
        <v>3</v>
      </c>
      <c r="C832" s="139">
        <v>4004</v>
      </c>
      <c r="D832" s="140" t="s">
        <v>637</v>
      </c>
      <c r="E832" s="141">
        <v>22.1</v>
      </c>
      <c r="F832" s="142" t="s">
        <v>675</v>
      </c>
      <c r="G832" s="152" t="s">
        <v>712</v>
      </c>
    </row>
    <row r="833" spans="1:7" ht="15.6" x14ac:dyDescent="0.3">
      <c r="A833" s="137">
        <v>4</v>
      </c>
      <c r="B833" s="138">
        <v>3</v>
      </c>
      <c r="C833" s="139">
        <v>4004</v>
      </c>
      <c r="D833" s="140" t="s">
        <v>638</v>
      </c>
      <c r="E833" s="141">
        <v>95</v>
      </c>
      <c r="F833" s="142" t="s">
        <v>676</v>
      </c>
      <c r="G833" s="152" t="s">
        <v>713</v>
      </c>
    </row>
    <row r="834" spans="1:7" ht="15.6" x14ac:dyDescent="0.3">
      <c r="A834" s="137">
        <v>4</v>
      </c>
      <c r="B834" s="138">
        <v>3</v>
      </c>
      <c r="C834" s="139">
        <v>4004</v>
      </c>
      <c r="D834" s="140" t="s">
        <v>640</v>
      </c>
      <c r="E834" s="141">
        <v>10.8</v>
      </c>
      <c r="F834" s="142" t="s">
        <v>678</v>
      </c>
      <c r="G834" s="152" t="s">
        <v>715</v>
      </c>
    </row>
    <row r="835" spans="1:7" ht="15.6" x14ac:dyDescent="0.3">
      <c r="A835" s="137">
        <v>4</v>
      </c>
      <c r="B835" s="138">
        <v>3</v>
      </c>
      <c r="C835" s="139">
        <v>4005</v>
      </c>
      <c r="D835" s="140" t="s">
        <v>637</v>
      </c>
      <c r="E835" s="141">
        <v>16.899999999999999</v>
      </c>
      <c r="F835" s="142" t="s">
        <v>675</v>
      </c>
      <c r="G835" s="152" t="s">
        <v>712</v>
      </c>
    </row>
    <row r="836" spans="1:7" ht="15.6" x14ac:dyDescent="0.3">
      <c r="A836" s="137">
        <v>4</v>
      </c>
      <c r="B836" s="138">
        <v>3</v>
      </c>
      <c r="C836" s="139">
        <v>4005</v>
      </c>
      <c r="D836" s="140" t="s">
        <v>638</v>
      </c>
      <c r="E836" s="141">
        <v>64.3</v>
      </c>
      <c r="F836" s="142" t="s">
        <v>676</v>
      </c>
      <c r="G836" s="152" t="s">
        <v>713</v>
      </c>
    </row>
    <row r="837" spans="1:7" ht="15.6" x14ac:dyDescent="0.3">
      <c r="A837" s="137">
        <v>4</v>
      </c>
      <c r="B837" s="138">
        <v>3</v>
      </c>
      <c r="C837" s="139">
        <v>4005</v>
      </c>
      <c r="D837" s="140" t="s">
        <v>640</v>
      </c>
      <c r="E837" s="141">
        <v>7.8</v>
      </c>
      <c r="F837" s="142" t="s">
        <v>678</v>
      </c>
      <c r="G837" s="152" t="s">
        <v>715</v>
      </c>
    </row>
    <row r="838" spans="1:7" ht="15.6" x14ac:dyDescent="0.3">
      <c r="A838" s="137">
        <v>4</v>
      </c>
      <c r="B838" s="138">
        <v>3</v>
      </c>
      <c r="C838" s="139">
        <v>4006</v>
      </c>
      <c r="D838" s="140" t="s">
        <v>637</v>
      </c>
      <c r="E838" s="141">
        <v>16.399999999999999</v>
      </c>
      <c r="F838" s="142" t="s">
        <v>675</v>
      </c>
      <c r="G838" s="152" t="s">
        <v>712</v>
      </c>
    </row>
    <row r="839" spans="1:7" ht="15.6" x14ac:dyDescent="0.3">
      <c r="A839" s="137">
        <v>4</v>
      </c>
      <c r="B839" s="138">
        <v>3</v>
      </c>
      <c r="C839" s="139">
        <v>4006</v>
      </c>
      <c r="D839" s="140" t="s">
        <v>638</v>
      </c>
      <c r="E839" s="141">
        <v>143.80000000000001</v>
      </c>
      <c r="F839" s="142" t="s">
        <v>676</v>
      </c>
      <c r="G839" s="152" t="s">
        <v>713</v>
      </c>
    </row>
    <row r="840" spans="1:7" ht="15.6" x14ac:dyDescent="0.3">
      <c r="A840" s="137">
        <v>4</v>
      </c>
      <c r="B840" s="138">
        <v>3</v>
      </c>
      <c r="C840" s="139">
        <v>4006</v>
      </c>
      <c r="D840" s="140" t="s">
        <v>640</v>
      </c>
      <c r="E840" s="141">
        <v>12.4</v>
      </c>
      <c r="F840" s="142" t="s">
        <v>678</v>
      </c>
      <c r="G840" s="152" t="s">
        <v>715</v>
      </c>
    </row>
    <row r="841" spans="1:7" ht="15.6" x14ac:dyDescent="0.3">
      <c r="A841" s="137">
        <v>4</v>
      </c>
      <c r="B841" s="138">
        <v>3</v>
      </c>
      <c r="C841" s="139">
        <v>4007</v>
      </c>
      <c r="D841" s="140" t="s">
        <v>637</v>
      </c>
      <c r="E841" s="141">
        <v>14.7</v>
      </c>
      <c r="F841" s="142" t="s">
        <v>675</v>
      </c>
      <c r="G841" s="152" t="s">
        <v>712</v>
      </c>
    </row>
    <row r="842" spans="1:7" ht="15.6" x14ac:dyDescent="0.3">
      <c r="A842" s="137">
        <v>4</v>
      </c>
      <c r="B842" s="138">
        <v>3</v>
      </c>
      <c r="C842" s="139">
        <v>4007</v>
      </c>
      <c r="D842" s="140" t="s">
        <v>638</v>
      </c>
      <c r="E842" s="141">
        <v>131.6</v>
      </c>
      <c r="F842" s="142" t="s">
        <v>676</v>
      </c>
      <c r="G842" s="152" t="s">
        <v>713</v>
      </c>
    </row>
    <row r="843" spans="1:7" ht="15.6" x14ac:dyDescent="0.3">
      <c r="A843" s="137">
        <v>4</v>
      </c>
      <c r="B843" s="138">
        <v>3</v>
      </c>
      <c r="C843" s="139">
        <v>4007</v>
      </c>
      <c r="D843" s="140" t="s">
        <v>641</v>
      </c>
      <c r="E843" s="141">
        <v>6.9</v>
      </c>
      <c r="F843" s="142" t="s">
        <v>679</v>
      </c>
      <c r="G843" s="152" t="s">
        <v>716</v>
      </c>
    </row>
    <row r="844" spans="1:7" ht="15.6" x14ac:dyDescent="0.3">
      <c r="A844" s="137">
        <v>4</v>
      </c>
      <c r="B844" s="138">
        <v>3</v>
      </c>
      <c r="C844" s="139">
        <v>4008</v>
      </c>
      <c r="D844" s="140" t="s">
        <v>637</v>
      </c>
      <c r="E844" s="141">
        <v>21.8</v>
      </c>
      <c r="F844" s="142" t="s">
        <v>675</v>
      </c>
      <c r="G844" s="152" t="s">
        <v>712</v>
      </c>
    </row>
    <row r="845" spans="1:7" ht="15.6" x14ac:dyDescent="0.3">
      <c r="A845" s="137">
        <v>4</v>
      </c>
      <c r="B845" s="138">
        <v>3</v>
      </c>
      <c r="C845" s="139">
        <v>4008</v>
      </c>
      <c r="D845" s="140" t="s">
        <v>638</v>
      </c>
      <c r="E845" s="141">
        <v>233.8</v>
      </c>
      <c r="F845" s="142" t="s">
        <v>676</v>
      </c>
      <c r="G845" s="152" t="s">
        <v>713</v>
      </c>
    </row>
    <row r="846" spans="1:7" ht="15.6" x14ac:dyDescent="0.3">
      <c r="A846" s="137">
        <v>4</v>
      </c>
      <c r="B846" s="138">
        <v>3</v>
      </c>
      <c r="C846" s="139">
        <v>4008</v>
      </c>
      <c r="D846" s="140" t="s">
        <v>640</v>
      </c>
      <c r="E846" s="141">
        <v>24.5</v>
      </c>
      <c r="F846" s="142" t="s">
        <v>678</v>
      </c>
      <c r="G846" s="152" t="s">
        <v>715</v>
      </c>
    </row>
    <row r="847" spans="1:7" ht="15.6" x14ac:dyDescent="0.3">
      <c r="A847" s="137">
        <v>4</v>
      </c>
      <c r="B847" s="138">
        <v>3</v>
      </c>
      <c r="C847" s="139">
        <v>4009</v>
      </c>
      <c r="D847" s="140" t="s">
        <v>642</v>
      </c>
      <c r="E847" s="141">
        <v>85.8</v>
      </c>
      <c r="F847" s="142" t="s">
        <v>678</v>
      </c>
      <c r="G847" s="152" t="s">
        <v>715</v>
      </c>
    </row>
    <row r="848" spans="1:7" ht="15.6" x14ac:dyDescent="0.3">
      <c r="A848" s="137">
        <v>4</v>
      </c>
      <c r="B848" s="138">
        <v>3</v>
      </c>
      <c r="C848" s="139">
        <v>4010</v>
      </c>
      <c r="D848" s="140" t="s">
        <v>637</v>
      </c>
      <c r="E848" s="141">
        <v>31</v>
      </c>
      <c r="F848" s="142" t="s">
        <v>675</v>
      </c>
      <c r="G848" s="152" t="s">
        <v>712</v>
      </c>
    </row>
    <row r="849" spans="1:7" ht="15.6" x14ac:dyDescent="0.3">
      <c r="A849" s="137">
        <v>4</v>
      </c>
      <c r="B849" s="138">
        <v>3</v>
      </c>
      <c r="C849" s="139">
        <v>4010</v>
      </c>
      <c r="D849" s="140" t="s">
        <v>638</v>
      </c>
      <c r="E849" s="141">
        <v>107</v>
      </c>
      <c r="F849" s="142" t="s">
        <v>676</v>
      </c>
      <c r="G849" s="152" t="s">
        <v>713</v>
      </c>
    </row>
    <row r="850" spans="1:7" ht="15.6" x14ac:dyDescent="0.3">
      <c r="A850" s="137">
        <v>4</v>
      </c>
      <c r="B850" s="138">
        <v>3</v>
      </c>
      <c r="C850" s="139">
        <v>4010</v>
      </c>
      <c r="D850" s="140" t="s">
        <v>640</v>
      </c>
      <c r="E850" s="141">
        <v>117.4</v>
      </c>
      <c r="F850" s="142" t="s">
        <v>678</v>
      </c>
      <c r="G850" s="152" t="s">
        <v>715</v>
      </c>
    </row>
    <row r="851" spans="1:7" ht="15.6" x14ac:dyDescent="0.3">
      <c r="A851" s="137">
        <v>4</v>
      </c>
      <c r="B851" s="138">
        <v>3</v>
      </c>
      <c r="C851" s="140" t="s">
        <v>669</v>
      </c>
      <c r="D851" s="140" t="s">
        <v>637</v>
      </c>
      <c r="E851" s="141">
        <v>10.9</v>
      </c>
      <c r="F851" s="142" t="s">
        <v>675</v>
      </c>
      <c r="G851" s="152" t="s">
        <v>712</v>
      </c>
    </row>
    <row r="852" spans="1:7" ht="15.6" x14ac:dyDescent="0.3">
      <c r="A852" s="137">
        <v>4</v>
      </c>
      <c r="B852" s="138">
        <v>3</v>
      </c>
      <c r="C852" s="140" t="s">
        <v>669</v>
      </c>
      <c r="D852" s="140" t="s">
        <v>638</v>
      </c>
      <c r="E852" s="141">
        <v>17.399999999999999</v>
      </c>
      <c r="F852" s="142" t="s">
        <v>676</v>
      </c>
      <c r="G852" s="152" t="s">
        <v>713</v>
      </c>
    </row>
    <row r="853" spans="1:7" ht="15.6" x14ac:dyDescent="0.3">
      <c r="A853" s="137">
        <v>4</v>
      </c>
      <c r="B853" s="138">
        <v>3</v>
      </c>
      <c r="C853" s="140" t="s">
        <v>669</v>
      </c>
      <c r="D853" s="140" t="s">
        <v>640</v>
      </c>
      <c r="E853" s="141">
        <v>51.3</v>
      </c>
      <c r="F853" s="142" t="s">
        <v>678</v>
      </c>
      <c r="G853" s="152" t="s">
        <v>715</v>
      </c>
    </row>
    <row r="854" spans="1:7" ht="31.2" x14ac:dyDescent="0.3">
      <c r="A854" s="137">
        <v>4</v>
      </c>
      <c r="B854" s="138">
        <v>3</v>
      </c>
      <c r="C854" s="139">
        <v>4011</v>
      </c>
      <c r="D854" s="140" t="s">
        <v>646</v>
      </c>
      <c r="E854" s="141">
        <v>2.1</v>
      </c>
      <c r="F854" s="142" t="s">
        <v>680</v>
      </c>
      <c r="G854" s="152" t="s">
        <v>712</v>
      </c>
    </row>
    <row r="855" spans="1:7" ht="15.6" x14ac:dyDescent="0.3">
      <c r="A855" s="137">
        <v>4</v>
      </c>
      <c r="B855" s="138">
        <v>3</v>
      </c>
      <c r="C855" s="139">
        <v>4011</v>
      </c>
      <c r="D855" s="140" t="s">
        <v>670</v>
      </c>
      <c r="E855" s="141">
        <v>26.7</v>
      </c>
      <c r="F855" s="142" t="s">
        <v>675</v>
      </c>
      <c r="G855" s="152" t="s">
        <v>712</v>
      </c>
    </row>
    <row r="856" spans="1:7" ht="15.6" x14ac:dyDescent="0.3">
      <c r="A856" s="137">
        <v>4</v>
      </c>
      <c r="B856" s="138">
        <v>3</v>
      </c>
      <c r="C856" s="139">
        <v>4011</v>
      </c>
      <c r="D856" s="140" t="s">
        <v>652</v>
      </c>
      <c r="E856" s="141">
        <v>3.1</v>
      </c>
      <c r="F856" s="142" t="s">
        <v>676</v>
      </c>
      <c r="G856" s="152" t="s">
        <v>712</v>
      </c>
    </row>
    <row r="857" spans="1:7" ht="15.6" x14ac:dyDescent="0.3">
      <c r="A857" s="137">
        <v>4</v>
      </c>
      <c r="B857" s="138">
        <v>3</v>
      </c>
      <c r="C857" s="139">
        <v>4011</v>
      </c>
      <c r="D857" s="140" t="s">
        <v>648</v>
      </c>
      <c r="E857" s="141">
        <v>26.8</v>
      </c>
      <c r="F857" s="142" t="s">
        <v>678</v>
      </c>
      <c r="G857" s="152" t="s">
        <v>718</v>
      </c>
    </row>
    <row r="858" spans="1:7" ht="15.6" x14ac:dyDescent="0.3">
      <c r="A858" s="137">
        <v>4</v>
      </c>
      <c r="B858" s="138">
        <v>3</v>
      </c>
      <c r="C858" s="139">
        <v>4011</v>
      </c>
      <c r="D858" s="140" t="s">
        <v>649</v>
      </c>
      <c r="E858" s="141">
        <v>54.5</v>
      </c>
      <c r="F858" s="142" t="s">
        <v>679</v>
      </c>
      <c r="G858" s="152" t="s">
        <v>717</v>
      </c>
    </row>
    <row r="859" spans="1:7" ht="15.6" x14ac:dyDescent="0.3">
      <c r="A859" s="137">
        <v>4</v>
      </c>
      <c r="B859" s="138">
        <v>3</v>
      </c>
      <c r="C859" s="139">
        <v>4012</v>
      </c>
      <c r="D859" s="140" t="s">
        <v>645</v>
      </c>
      <c r="E859" s="141">
        <v>10</v>
      </c>
      <c r="F859" s="142" t="s">
        <v>675</v>
      </c>
      <c r="G859" s="152" t="s">
        <v>712</v>
      </c>
    </row>
    <row r="860" spans="1:7" ht="31.2" x14ac:dyDescent="0.3">
      <c r="A860" s="137">
        <v>4</v>
      </c>
      <c r="B860" s="138">
        <v>3</v>
      </c>
      <c r="C860" s="139">
        <v>4012</v>
      </c>
      <c r="D860" s="140" t="s">
        <v>653</v>
      </c>
      <c r="E860" s="141">
        <v>1.8</v>
      </c>
      <c r="F860" s="142" t="s">
        <v>682</v>
      </c>
      <c r="G860" s="152" t="s">
        <v>712</v>
      </c>
    </row>
    <row r="861" spans="1:7" ht="31.2" x14ac:dyDescent="0.3">
      <c r="A861" s="137">
        <v>4</v>
      </c>
      <c r="B861" s="138">
        <v>3</v>
      </c>
      <c r="C861" s="139">
        <v>4012</v>
      </c>
      <c r="D861" s="140" t="s">
        <v>646</v>
      </c>
      <c r="E861" s="141">
        <v>0.9</v>
      </c>
      <c r="F861" s="142" t="s">
        <v>680</v>
      </c>
      <c r="G861" s="152" t="s">
        <v>712</v>
      </c>
    </row>
    <row r="862" spans="1:7" ht="15.6" x14ac:dyDescent="0.3">
      <c r="A862" s="137">
        <v>4</v>
      </c>
      <c r="B862" s="138">
        <v>3</v>
      </c>
      <c r="C862" s="139">
        <v>4012</v>
      </c>
      <c r="D862" s="140" t="s">
        <v>670</v>
      </c>
      <c r="E862" s="141">
        <v>26.8</v>
      </c>
      <c r="F862" s="142" t="s">
        <v>675</v>
      </c>
      <c r="G862" s="152" t="s">
        <v>712</v>
      </c>
    </row>
    <row r="863" spans="1:7" ht="15.6" x14ac:dyDescent="0.3">
      <c r="A863" s="137">
        <v>4</v>
      </c>
      <c r="B863" s="138">
        <v>3</v>
      </c>
      <c r="C863" s="139">
        <v>4012</v>
      </c>
      <c r="D863" s="140" t="s">
        <v>652</v>
      </c>
      <c r="E863" s="141">
        <v>2.4</v>
      </c>
      <c r="F863" s="142" t="s">
        <v>676</v>
      </c>
      <c r="G863" s="152" t="s">
        <v>712</v>
      </c>
    </row>
    <row r="864" spans="1:7" ht="46.8" x14ac:dyDescent="0.3">
      <c r="A864" s="137">
        <v>4</v>
      </c>
      <c r="B864" s="138">
        <v>3</v>
      </c>
      <c r="C864" s="139">
        <v>4012</v>
      </c>
      <c r="D864" s="140" t="s">
        <v>658</v>
      </c>
      <c r="E864" s="141">
        <v>0.9</v>
      </c>
      <c r="F864" s="142" t="s">
        <v>684</v>
      </c>
      <c r="G864" s="152" t="s">
        <v>713</v>
      </c>
    </row>
    <row r="865" spans="1:7" ht="15.6" x14ac:dyDescent="0.3">
      <c r="A865" s="137">
        <v>4</v>
      </c>
      <c r="B865" s="138">
        <v>3</v>
      </c>
      <c r="C865" s="139">
        <v>4012</v>
      </c>
      <c r="D865" s="140" t="s">
        <v>642</v>
      </c>
      <c r="E865" s="141">
        <v>1.8</v>
      </c>
      <c r="F865" s="142" t="s">
        <v>678</v>
      </c>
      <c r="G865" s="152" t="s">
        <v>715</v>
      </c>
    </row>
    <row r="866" spans="1:7" ht="15.6" x14ac:dyDescent="0.3">
      <c r="A866" s="137">
        <v>4</v>
      </c>
      <c r="B866" s="138">
        <v>3</v>
      </c>
      <c r="C866" s="139">
        <v>4012</v>
      </c>
      <c r="D866" s="140" t="s">
        <v>648</v>
      </c>
      <c r="E866" s="141">
        <v>9.9</v>
      </c>
      <c r="F866" s="142" t="s">
        <v>678</v>
      </c>
      <c r="G866" s="152" t="s">
        <v>718</v>
      </c>
    </row>
    <row r="867" spans="1:7" ht="15.6" x14ac:dyDescent="0.3">
      <c r="A867" s="137">
        <v>4</v>
      </c>
      <c r="B867" s="138">
        <v>3</v>
      </c>
      <c r="C867" s="139">
        <v>4012</v>
      </c>
      <c r="D867" s="140" t="s">
        <v>649</v>
      </c>
      <c r="E867" s="141">
        <v>5.5</v>
      </c>
      <c r="F867" s="142" t="s">
        <v>679</v>
      </c>
      <c r="G867" s="152" t="s">
        <v>717</v>
      </c>
    </row>
    <row r="868" spans="1:7" ht="15.6" x14ac:dyDescent="0.3">
      <c r="A868" s="137">
        <v>4</v>
      </c>
      <c r="B868" s="138">
        <v>3</v>
      </c>
      <c r="C868" s="139">
        <v>4012</v>
      </c>
      <c r="D868" s="140" t="s">
        <v>655</v>
      </c>
      <c r="E868" s="141">
        <v>4.7</v>
      </c>
      <c r="F868" s="142" t="s">
        <v>679</v>
      </c>
      <c r="G868" s="152" t="s">
        <v>717</v>
      </c>
    </row>
    <row r="869" spans="1:7" ht="15.6" x14ac:dyDescent="0.3">
      <c r="A869" s="137">
        <v>4</v>
      </c>
      <c r="B869" s="138">
        <v>3</v>
      </c>
      <c r="C869" s="139">
        <v>4013</v>
      </c>
      <c r="D869" s="140" t="s">
        <v>645</v>
      </c>
      <c r="E869" s="141">
        <v>10</v>
      </c>
      <c r="F869" s="142" t="s">
        <v>675</v>
      </c>
      <c r="G869" s="152" t="s">
        <v>712</v>
      </c>
    </row>
    <row r="870" spans="1:7" ht="31.2" x14ac:dyDescent="0.3">
      <c r="A870" s="137">
        <v>4</v>
      </c>
      <c r="B870" s="138">
        <v>3</v>
      </c>
      <c r="C870" s="139">
        <v>4013</v>
      </c>
      <c r="D870" s="140" t="s">
        <v>653</v>
      </c>
      <c r="E870" s="141">
        <v>1.8</v>
      </c>
      <c r="F870" s="142" t="s">
        <v>682</v>
      </c>
      <c r="G870" s="152" t="s">
        <v>712</v>
      </c>
    </row>
    <row r="871" spans="1:7" ht="31.2" x14ac:dyDescent="0.3">
      <c r="A871" s="137">
        <v>4</v>
      </c>
      <c r="B871" s="138">
        <v>3</v>
      </c>
      <c r="C871" s="139">
        <v>4013</v>
      </c>
      <c r="D871" s="140" t="s">
        <v>646</v>
      </c>
      <c r="E871" s="141">
        <v>3.1</v>
      </c>
      <c r="F871" s="142" t="s">
        <v>680</v>
      </c>
      <c r="G871" s="152" t="s">
        <v>712</v>
      </c>
    </row>
    <row r="872" spans="1:7" ht="15.6" x14ac:dyDescent="0.3">
      <c r="A872" s="137">
        <v>4</v>
      </c>
      <c r="B872" s="138">
        <v>3</v>
      </c>
      <c r="C872" s="139">
        <v>4013</v>
      </c>
      <c r="D872" s="140" t="s">
        <v>670</v>
      </c>
      <c r="E872" s="141">
        <v>20.5</v>
      </c>
      <c r="F872" s="142" t="s">
        <v>675</v>
      </c>
      <c r="G872" s="152" t="s">
        <v>712</v>
      </c>
    </row>
    <row r="873" spans="1:7" ht="15.6" x14ac:dyDescent="0.3">
      <c r="A873" s="137">
        <v>4</v>
      </c>
      <c r="B873" s="138">
        <v>3</v>
      </c>
      <c r="C873" s="139">
        <v>4013</v>
      </c>
      <c r="D873" s="140" t="s">
        <v>652</v>
      </c>
      <c r="E873" s="141">
        <v>5</v>
      </c>
      <c r="F873" s="142" t="s">
        <v>676</v>
      </c>
      <c r="G873" s="152" t="s">
        <v>712</v>
      </c>
    </row>
    <row r="874" spans="1:7" ht="46.8" x14ac:dyDescent="0.3">
      <c r="A874" s="137">
        <v>4</v>
      </c>
      <c r="B874" s="138">
        <v>3</v>
      </c>
      <c r="C874" s="139">
        <v>4013</v>
      </c>
      <c r="D874" s="140" t="s">
        <v>658</v>
      </c>
      <c r="E874" s="141">
        <v>1.3</v>
      </c>
      <c r="F874" s="142" t="s">
        <v>684</v>
      </c>
      <c r="G874" s="152" t="s">
        <v>713</v>
      </c>
    </row>
    <row r="875" spans="1:7" ht="15.6" x14ac:dyDescent="0.3">
      <c r="A875" s="137">
        <v>4</v>
      </c>
      <c r="B875" s="138">
        <v>3</v>
      </c>
      <c r="C875" s="139">
        <v>4013</v>
      </c>
      <c r="D875" s="140" t="s">
        <v>649</v>
      </c>
      <c r="E875" s="141">
        <v>20.399999999999999</v>
      </c>
      <c r="F875" s="142" t="s">
        <v>679</v>
      </c>
      <c r="G875" s="152" t="s">
        <v>717</v>
      </c>
    </row>
    <row r="876" spans="1:7" ht="15.6" x14ac:dyDescent="0.3">
      <c r="A876" s="137">
        <v>4</v>
      </c>
      <c r="B876" s="138">
        <v>3</v>
      </c>
      <c r="C876" s="139">
        <v>4013</v>
      </c>
      <c r="D876" s="140" t="s">
        <v>655</v>
      </c>
      <c r="E876" s="141">
        <v>17.2</v>
      </c>
      <c r="F876" s="142" t="s">
        <v>679</v>
      </c>
      <c r="G876" s="152" t="s">
        <v>717</v>
      </c>
    </row>
    <row r="877" spans="1:7" ht="15.6" x14ac:dyDescent="0.3">
      <c r="A877" s="137">
        <v>4</v>
      </c>
      <c r="B877" s="138">
        <v>3</v>
      </c>
      <c r="C877" s="139">
        <v>4014</v>
      </c>
      <c r="D877" s="140" t="s">
        <v>637</v>
      </c>
      <c r="E877" s="141">
        <v>12.3</v>
      </c>
      <c r="F877" s="142" t="s">
        <v>675</v>
      </c>
      <c r="G877" s="152" t="s">
        <v>712</v>
      </c>
    </row>
    <row r="878" spans="1:7" ht="15.6" x14ac:dyDescent="0.3">
      <c r="A878" s="137">
        <v>4</v>
      </c>
      <c r="B878" s="138">
        <v>3</v>
      </c>
      <c r="C878" s="139">
        <v>4014</v>
      </c>
      <c r="D878" s="140" t="s">
        <v>638</v>
      </c>
      <c r="E878" s="141">
        <v>27.9</v>
      </c>
      <c r="F878" s="142" t="s">
        <v>676</v>
      </c>
      <c r="G878" s="152" t="s">
        <v>713</v>
      </c>
    </row>
    <row r="879" spans="1:7" ht="15.6" x14ac:dyDescent="0.3">
      <c r="A879" s="137">
        <v>4</v>
      </c>
      <c r="B879" s="138">
        <v>3</v>
      </c>
      <c r="C879" s="139">
        <v>4014</v>
      </c>
      <c r="D879" s="140" t="s">
        <v>640</v>
      </c>
      <c r="E879" s="141">
        <v>56.4</v>
      </c>
      <c r="F879" s="142" t="s">
        <v>678</v>
      </c>
      <c r="G879" s="152" t="s">
        <v>715</v>
      </c>
    </row>
    <row r="880" spans="1:7" ht="15.6" x14ac:dyDescent="0.3">
      <c r="A880" s="137">
        <v>4</v>
      </c>
      <c r="B880" s="138">
        <v>3</v>
      </c>
      <c r="C880" s="139">
        <v>4015</v>
      </c>
      <c r="D880" s="140" t="s">
        <v>670</v>
      </c>
      <c r="E880" s="141">
        <v>39</v>
      </c>
      <c r="F880" s="142" t="s">
        <v>675</v>
      </c>
      <c r="G880" s="152" t="s">
        <v>712</v>
      </c>
    </row>
    <row r="881" spans="1:7" ht="15.6" x14ac:dyDescent="0.3">
      <c r="A881" s="137">
        <v>4</v>
      </c>
      <c r="B881" s="138">
        <v>3</v>
      </c>
      <c r="C881" s="139">
        <v>4015</v>
      </c>
      <c r="D881" s="140" t="s">
        <v>652</v>
      </c>
      <c r="E881" s="141">
        <v>22.8</v>
      </c>
      <c r="F881" s="142" t="s">
        <v>676</v>
      </c>
      <c r="G881" s="152" t="s">
        <v>712</v>
      </c>
    </row>
    <row r="882" spans="1:7" ht="15.6" x14ac:dyDescent="0.3">
      <c r="A882" s="137">
        <v>4</v>
      </c>
      <c r="B882" s="138">
        <v>3</v>
      </c>
      <c r="C882" s="139">
        <v>4015</v>
      </c>
      <c r="D882" s="140" t="s">
        <v>642</v>
      </c>
      <c r="E882" s="141">
        <v>2.1</v>
      </c>
      <c r="F882" s="142" t="s">
        <v>678</v>
      </c>
      <c r="G882" s="152" t="s">
        <v>715</v>
      </c>
    </row>
    <row r="883" spans="1:7" ht="15.6" x14ac:dyDescent="0.3">
      <c r="A883" s="137">
        <v>4</v>
      </c>
      <c r="B883" s="138">
        <v>3</v>
      </c>
      <c r="C883" s="139">
        <v>4015</v>
      </c>
      <c r="D883" s="140" t="s">
        <v>651</v>
      </c>
      <c r="E883" s="141">
        <v>11.7</v>
      </c>
      <c r="F883" s="142" t="s">
        <v>678</v>
      </c>
      <c r="G883" s="152" t="s">
        <v>719</v>
      </c>
    </row>
    <row r="884" spans="1:7" ht="15.6" x14ac:dyDescent="0.3">
      <c r="A884" s="137">
        <v>4</v>
      </c>
      <c r="B884" s="138">
        <v>3</v>
      </c>
      <c r="C884" s="139">
        <v>4015</v>
      </c>
      <c r="D884" s="140" t="s">
        <v>649</v>
      </c>
      <c r="E884" s="141">
        <v>45.3</v>
      </c>
      <c r="F884" s="142" t="s">
        <v>679</v>
      </c>
      <c r="G884" s="152" t="s">
        <v>717</v>
      </c>
    </row>
    <row r="885" spans="1:7" ht="15.6" x14ac:dyDescent="0.3">
      <c r="A885" s="137">
        <v>4</v>
      </c>
      <c r="B885" s="138">
        <v>3</v>
      </c>
      <c r="C885" s="139">
        <v>4015</v>
      </c>
      <c r="D885" s="140" t="s">
        <v>655</v>
      </c>
      <c r="E885" s="141">
        <v>11.9</v>
      </c>
      <c r="F885" s="142" t="s">
        <v>679</v>
      </c>
      <c r="G885" s="152" t="s">
        <v>717</v>
      </c>
    </row>
    <row r="886" spans="1:7" ht="15.6" x14ac:dyDescent="0.3">
      <c r="A886" s="137">
        <v>4</v>
      </c>
      <c r="B886" s="138">
        <v>3</v>
      </c>
      <c r="C886" s="139">
        <v>4016</v>
      </c>
      <c r="D886" s="140" t="s">
        <v>670</v>
      </c>
      <c r="E886" s="141">
        <v>18.399999999999999</v>
      </c>
      <c r="F886" s="142" t="s">
        <v>675</v>
      </c>
      <c r="G886" s="152" t="s">
        <v>712</v>
      </c>
    </row>
    <row r="887" spans="1:7" ht="15.6" x14ac:dyDescent="0.3">
      <c r="A887" s="137">
        <v>4</v>
      </c>
      <c r="B887" s="138">
        <v>3</v>
      </c>
      <c r="C887" s="139">
        <v>4016</v>
      </c>
      <c r="D887" s="140" t="s">
        <v>652</v>
      </c>
      <c r="E887" s="141">
        <v>3.9</v>
      </c>
      <c r="F887" s="142" t="s">
        <v>676</v>
      </c>
      <c r="G887" s="152" t="s">
        <v>712</v>
      </c>
    </row>
    <row r="888" spans="1:7" ht="15.6" x14ac:dyDescent="0.3">
      <c r="A888" s="137">
        <v>4</v>
      </c>
      <c r="B888" s="138">
        <v>3</v>
      </c>
      <c r="C888" s="139">
        <v>4016</v>
      </c>
      <c r="D888" s="140" t="s">
        <v>648</v>
      </c>
      <c r="E888" s="141">
        <v>12.3</v>
      </c>
      <c r="F888" s="142" t="s">
        <v>678</v>
      </c>
      <c r="G888" s="152" t="s">
        <v>718</v>
      </c>
    </row>
    <row r="889" spans="1:7" ht="15.6" x14ac:dyDescent="0.3">
      <c r="A889" s="137">
        <v>4</v>
      </c>
      <c r="B889" s="138">
        <v>3</v>
      </c>
      <c r="C889" s="139">
        <v>4016</v>
      </c>
      <c r="D889" s="140" t="s">
        <v>649</v>
      </c>
      <c r="E889" s="141">
        <v>18.3</v>
      </c>
      <c r="F889" s="142" t="s">
        <v>679</v>
      </c>
      <c r="G889" s="152" t="s">
        <v>717</v>
      </c>
    </row>
    <row r="890" spans="1:7" ht="15.6" x14ac:dyDescent="0.3">
      <c r="A890" s="137">
        <v>4</v>
      </c>
      <c r="B890" s="138">
        <v>3</v>
      </c>
      <c r="C890" s="139">
        <v>4016</v>
      </c>
      <c r="D890" s="140" t="s">
        <v>655</v>
      </c>
      <c r="E890" s="141">
        <v>18.3</v>
      </c>
      <c r="F890" s="142" t="s">
        <v>679</v>
      </c>
      <c r="G890" s="152" t="s">
        <v>717</v>
      </c>
    </row>
    <row r="891" spans="1:7" ht="15.6" x14ac:dyDescent="0.3">
      <c r="A891" s="137">
        <v>4</v>
      </c>
      <c r="B891" s="138">
        <v>3</v>
      </c>
      <c r="C891" s="139">
        <v>4017</v>
      </c>
      <c r="D891" s="140" t="s">
        <v>645</v>
      </c>
      <c r="E891" s="141">
        <v>10.4</v>
      </c>
      <c r="F891" s="142" t="s">
        <v>675</v>
      </c>
      <c r="G891" s="152" t="s">
        <v>712</v>
      </c>
    </row>
    <row r="892" spans="1:7" ht="31.2" x14ac:dyDescent="0.3">
      <c r="A892" s="137">
        <v>4</v>
      </c>
      <c r="B892" s="138">
        <v>3</v>
      </c>
      <c r="C892" s="139">
        <v>4017</v>
      </c>
      <c r="D892" s="140" t="s">
        <v>653</v>
      </c>
      <c r="E892" s="141">
        <v>1.9</v>
      </c>
      <c r="F892" s="142" t="s">
        <v>682</v>
      </c>
      <c r="G892" s="152" t="s">
        <v>712</v>
      </c>
    </row>
    <row r="893" spans="1:7" ht="31.2" x14ac:dyDescent="0.3">
      <c r="A893" s="137">
        <v>4</v>
      </c>
      <c r="B893" s="138">
        <v>3</v>
      </c>
      <c r="C893" s="139">
        <v>4017</v>
      </c>
      <c r="D893" s="140" t="s">
        <v>646</v>
      </c>
      <c r="E893" s="141">
        <v>0.9</v>
      </c>
      <c r="F893" s="142" t="s">
        <v>680</v>
      </c>
      <c r="G893" s="152" t="s">
        <v>712</v>
      </c>
    </row>
    <row r="894" spans="1:7" ht="15.6" x14ac:dyDescent="0.3">
      <c r="A894" s="137">
        <v>4</v>
      </c>
      <c r="B894" s="138">
        <v>3</v>
      </c>
      <c r="C894" s="139">
        <v>4017</v>
      </c>
      <c r="D894" s="140" t="s">
        <v>670</v>
      </c>
      <c r="E894" s="141">
        <v>28.2</v>
      </c>
      <c r="F894" s="142" t="s">
        <v>675</v>
      </c>
      <c r="G894" s="152" t="s">
        <v>712</v>
      </c>
    </row>
    <row r="895" spans="1:7" ht="15.6" x14ac:dyDescent="0.3">
      <c r="A895" s="137">
        <v>4</v>
      </c>
      <c r="B895" s="138">
        <v>3</v>
      </c>
      <c r="C895" s="139">
        <v>4017</v>
      </c>
      <c r="D895" s="140" t="s">
        <v>642</v>
      </c>
      <c r="E895" s="141">
        <v>2.8</v>
      </c>
      <c r="F895" s="142" t="s">
        <v>678</v>
      </c>
      <c r="G895" s="152" t="s">
        <v>715</v>
      </c>
    </row>
    <row r="896" spans="1:7" ht="15.6" x14ac:dyDescent="0.3">
      <c r="A896" s="137">
        <v>4</v>
      </c>
      <c r="B896" s="138">
        <v>3</v>
      </c>
      <c r="C896" s="139">
        <v>4017</v>
      </c>
      <c r="D896" s="140" t="s">
        <v>648</v>
      </c>
      <c r="E896" s="141">
        <v>13.2</v>
      </c>
      <c r="F896" s="142" t="s">
        <v>678</v>
      </c>
      <c r="G896" s="152" t="s">
        <v>718</v>
      </c>
    </row>
    <row r="897" spans="1:7" ht="15.6" x14ac:dyDescent="0.3">
      <c r="A897" s="137">
        <v>4</v>
      </c>
      <c r="B897" s="138">
        <v>3</v>
      </c>
      <c r="C897" s="139">
        <v>4017</v>
      </c>
      <c r="D897" s="140" t="s">
        <v>649</v>
      </c>
      <c r="E897" s="141">
        <v>6.1</v>
      </c>
      <c r="F897" s="142" t="s">
        <v>679</v>
      </c>
      <c r="G897" s="152" t="s">
        <v>717</v>
      </c>
    </row>
    <row r="898" spans="1:7" ht="15.6" x14ac:dyDescent="0.3">
      <c r="A898" s="137">
        <v>4</v>
      </c>
      <c r="B898" s="138">
        <v>3</v>
      </c>
      <c r="C898" s="139">
        <v>4017</v>
      </c>
      <c r="D898" s="140" t="s">
        <v>655</v>
      </c>
      <c r="E898" s="141">
        <v>5.2</v>
      </c>
      <c r="F898" s="142" t="s">
        <v>679</v>
      </c>
      <c r="G898" s="152" t="s">
        <v>717</v>
      </c>
    </row>
    <row r="899" spans="1:7" ht="15.6" x14ac:dyDescent="0.3">
      <c r="A899" s="137">
        <v>4</v>
      </c>
      <c r="B899" s="138">
        <v>3</v>
      </c>
      <c r="C899" s="139">
        <v>4018</v>
      </c>
      <c r="D899" s="140" t="s">
        <v>642</v>
      </c>
      <c r="E899" s="141">
        <v>92.2</v>
      </c>
      <c r="F899" s="142" t="s">
        <v>678</v>
      </c>
      <c r="G899" s="152" t="s">
        <v>715</v>
      </c>
    </row>
    <row r="900" spans="1:7" ht="15.6" x14ac:dyDescent="0.3">
      <c r="A900" s="137">
        <v>4</v>
      </c>
      <c r="B900" s="138">
        <v>3</v>
      </c>
      <c r="C900" s="139">
        <v>4001</v>
      </c>
      <c r="D900" s="140" t="s">
        <v>671</v>
      </c>
      <c r="E900" s="141">
        <v>69.5</v>
      </c>
      <c r="F900" s="149"/>
      <c r="G900" s="152" t="s">
        <v>720</v>
      </c>
    </row>
    <row r="901" spans="1:7" ht="15.6" x14ac:dyDescent="0.3">
      <c r="A901" s="137">
        <v>4</v>
      </c>
      <c r="B901" s="138">
        <v>3</v>
      </c>
      <c r="C901" s="139">
        <v>4002</v>
      </c>
      <c r="D901" s="140" t="s">
        <v>672</v>
      </c>
      <c r="E901" s="141">
        <v>27.4</v>
      </c>
      <c r="F901" s="142"/>
      <c r="G901" s="152" t="s">
        <v>721</v>
      </c>
    </row>
    <row r="902" spans="1:7" ht="15.6" x14ac:dyDescent="0.3">
      <c r="A902" s="137">
        <v>4</v>
      </c>
      <c r="B902" s="138">
        <v>3</v>
      </c>
      <c r="C902" s="139">
        <v>4003</v>
      </c>
      <c r="D902" s="140" t="s">
        <v>671</v>
      </c>
      <c r="E902" s="141">
        <v>44.4</v>
      </c>
      <c r="F902" s="149"/>
      <c r="G902" s="152" t="s">
        <v>720</v>
      </c>
    </row>
    <row r="903" spans="1:7" ht="15.6" x14ac:dyDescent="0.3">
      <c r="A903" s="137">
        <v>4</v>
      </c>
      <c r="B903" s="138">
        <v>3</v>
      </c>
      <c r="C903" s="139">
        <v>4004</v>
      </c>
      <c r="D903" s="140" t="s">
        <v>671</v>
      </c>
      <c r="E903" s="141">
        <v>55.4</v>
      </c>
      <c r="F903" s="149"/>
      <c r="G903" s="152" t="s">
        <v>720</v>
      </c>
    </row>
    <row r="904" spans="1:7" ht="15.6" x14ac:dyDescent="0.3">
      <c r="A904" s="137">
        <v>4</v>
      </c>
      <c r="B904" s="138">
        <v>3</v>
      </c>
      <c r="C904" s="139">
        <v>4005</v>
      </c>
      <c r="D904" s="140" t="s">
        <v>671</v>
      </c>
      <c r="E904" s="141">
        <v>51.7</v>
      </c>
      <c r="F904" s="149"/>
      <c r="G904" s="152" t="s">
        <v>720</v>
      </c>
    </row>
    <row r="905" spans="1:7" ht="15.6" x14ac:dyDescent="0.3">
      <c r="A905" s="137">
        <v>4</v>
      </c>
      <c r="B905" s="138">
        <v>3</v>
      </c>
      <c r="C905" s="139">
        <v>4006</v>
      </c>
      <c r="D905" s="140" t="s">
        <v>671</v>
      </c>
      <c r="E905" s="141">
        <v>57.4</v>
      </c>
      <c r="F905" s="149"/>
      <c r="G905" s="152" t="s">
        <v>720</v>
      </c>
    </row>
    <row r="906" spans="1:7" ht="15.6" x14ac:dyDescent="0.3">
      <c r="A906" s="137">
        <v>4</v>
      </c>
      <c r="B906" s="138">
        <v>3</v>
      </c>
      <c r="C906" s="139">
        <v>4007</v>
      </c>
      <c r="D906" s="140" t="s">
        <v>672</v>
      </c>
      <c r="E906" s="141">
        <v>19.600000000000001</v>
      </c>
      <c r="F906" s="142"/>
      <c r="G906" s="152" t="s">
        <v>721</v>
      </c>
    </row>
    <row r="907" spans="1:7" ht="15.6" x14ac:dyDescent="0.3">
      <c r="A907" s="137">
        <v>4</v>
      </c>
      <c r="B907" s="138">
        <v>3</v>
      </c>
      <c r="C907" s="139">
        <v>4008</v>
      </c>
      <c r="D907" s="140" t="s">
        <v>671</v>
      </c>
      <c r="E907" s="141">
        <v>96.3</v>
      </c>
      <c r="F907" s="149"/>
      <c r="G907" s="152" t="s">
        <v>720</v>
      </c>
    </row>
    <row r="908" spans="1:7" ht="15.6" x14ac:dyDescent="0.3">
      <c r="A908" s="137">
        <v>4</v>
      </c>
      <c r="B908" s="138">
        <v>3</v>
      </c>
      <c r="C908" s="139">
        <v>4009</v>
      </c>
      <c r="D908" s="140" t="s">
        <v>673</v>
      </c>
      <c r="E908" s="141">
        <v>28</v>
      </c>
      <c r="F908" s="142"/>
      <c r="G908" s="152" t="s">
        <v>722</v>
      </c>
    </row>
    <row r="909" spans="1:7" ht="15.6" x14ac:dyDescent="0.3">
      <c r="A909" s="137">
        <v>4</v>
      </c>
      <c r="B909" s="138">
        <v>3</v>
      </c>
      <c r="C909" s="139">
        <v>4010</v>
      </c>
      <c r="D909" s="140" t="s">
        <v>672</v>
      </c>
      <c r="E909" s="141">
        <v>243</v>
      </c>
      <c r="F909" s="142"/>
      <c r="G909" s="152" t="s">
        <v>721</v>
      </c>
    </row>
    <row r="910" spans="1:7" ht="15.6" x14ac:dyDescent="0.3">
      <c r="A910" s="137">
        <v>4</v>
      </c>
      <c r="B910" s="138">
        <v>3</v>
      </c>
      <c r="C910" s="140" t="s">
        <v>669</v>
      </c>
      <c r="D910" s="140" t="s">
        <v>672</v>
      </c>
      <c r="E910" s="141">
        <v>73.7</v>
      </c>
      <c r="F910" s="142"/>
      <c r="G910" s="152" t="s">
        <v>721</v>
      </c>
    </row>
    <row r="911" spans="1:7" ht="15.6" x14ac:dyDescent="0.3">
      <c r="A911" s="137">
        <v>4</v>
      </c>
      <c r="B911" s="138">
        <v>3</v>
      </c>
      <c r="C911" s="139">
        <v>4011</v>
      </c>
      <c r="D911" s="140" t="s">
        <v>674</v>
      </c>
      <c r="E911" s="141">
        <v>14.2</v>
      </c>
      <c r="F911" s="149"/>
      <c r="G911" s="152" t="s">
        <v>723</v>
      </c>
    </row>
    <row r="912" spans="1:7" ht="15.6" x14ac:dyDescent="0.3">
      <c r="A912" s="137">
        <v>4</v>
      </c>
      <c r="B912" s="138">
        <v>3</v>
      </c>
      <c r="C912" s="139">
        <v>4012</v>
      </c>
      <c r="D912" s="140" t="s">
        <v>674</v>
      </c>
      <c r="E912" s="141">
        <v>4.4000000000000004</v>
      </c>
      <c r="F912" s="149"/>
      <c r="G912" s="152" t="s">
        <v>723</v>
      </c>
    </row>
    <row r="913" spans="1:7" ht="15.6" x14ac:dyDescent="0.3">
      <c r="A913" s="137">
        <v>4</v>
      </c>
      <c r="B913" s="138">
        <v>3</v>
      </c>
      <c r="C913" s="139">
        <v>4013</v>
      </c>
      <c r="D913" s="140" t="s">
        <v>674</v>
      </c>
      <c r="E913" s="141">
        <v>6.7</v>
      </c>
      <c r="F913" s="149"/>
      <c r="G913" s="152" t="s">
        <v>723</v>
      </c>
    </row>
    <row r="914" spans="1:7" ht="15.6" x14ac:dyDescent="0.3">
      <c r="A914" s="137">
        <v>4</v>
      </c>
      <c r="B914" s="138">
        <v>3</v>
      </c>
      <c r="C914" s="139">
        <v>4014</v>
      </c>
      <c r="D914" s="140" t="s">
        <v>672</v>
      </c>
      <c r="E914" s="141">
        <v>10.8</v>
      </c>
      <c r="F914" s="142"/>
      <c r="G914" s="152" t="s">
        <v>721</v>
      </c>
    </row>
    <row r="915" spans="1:7" ht="15.6" x14ac:dyDescent="0.3">
      <c r="A915" s="137">
        <v>4</v>
      </c>
      <c r="B915" s="138">
        <v>3</v>
      </c>
      <c r="C915" s="139">
        <v>4015</v>
      </c>
      <c r="D915" s="140" t="s">
        <v>674</v>
      </c>
      <c r="E915" s="141">
        <v>16.5</v>
      </c>
      <c r="F915" s="149"/>
      <c r="G915" s="152" t="s">
        <v>723</v>
      </c>
    </row>
    <row r="916" spans="1:7" ht="15.6" x14ac:dyDescent="0.3">
      <c r="A916" s="137">
        <v>4</v>
      </c>
      <c r="B916" s="138">
        <v>3</v>
      </c>
      <c r="C916" s="139">
        <v>4016</v>
      </c>
      <c r="D916" s="140" t="s">
        <v>673</v>
      </c>
      <c r="E916" s="141">
        <v>5</v>
      </c>
      <c r="F916" s="142"/>
      <c r="G916" s="152" t="s">
        <v>722</v>
      </c>
    </row>
    <row r="917" spans="1:7" ht="15.6" x14ac:dyDescent="0.3">
      <c r="A917" s="137">
        <v>4</v>
      </c>
      <c r="B917" s="138">
        <v>3</v>
      </c>
      <c r="C917" s="139">
        <v>4017</v>
      </c>
      <c r="D917" s="140" t="s">
        <v>674</v>
      </c>
      <c r="E917" s="141">
        <v>5.0999999999999996</v>
      </c>
      <c r="F917" s="149"/>
      <c r="G917" s="152" t="s">
        <v>723</v>
      </c>
    </row>
    <row r="918" spans="1:7" ht="15.6" x14ac:dyDescent="0.3">
      <c r="A918" s="143">
        <v>4</v>
      </c>
      <c r="B918" s="144">
        <v>3</v>
      </c>
      <c r="C918" s="145">
        <v>4018</v>
      </c>
      <c r="D918" s="146" t="s">
        <v>673</v>
      </c>
      <c r="E918" s="147">
        <v>29.8</v>
      </c>
      <c r="F918" s="148"/>
      <c r="G918" s="152" t="s">
        <v>722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H29"/>
  <sheetViews>
    <sheetView workbookViewId="0">
      <selection sqref="A1:H1"/>
    </sheetView>
  </sheetViews>
  <sheetFormatPr defaultRowHeight="14.4" x14ac:dyDescent="0.3"/>
  <cols>
    <col min="1" max="1" width="11.5546875" customWidth="1"/>
    <col min="2" max="2" width="8.44140625" style="22" customWidth="1"/>
    <col min="3" max="3" width="11.44140625" style="22" customWidth="1"/>
    <col min="4" max="6" width="9.5546875" customWidth="1"/>
    <col min="7" max="7" width="11.88671875" customWidth="1"/>
    <col min="8" max="8" width="16.77734375" customWidth="1"/>
  </cols>
  <sheetData>
    <row r="1" spans="1:8" ht="64.2" customHeight="1" x14ac:dyDescent="0.3">
      <c r="A1" s="378" t="s">
        <v>274</v>
      </c>
      <c r="B1" s="378"/>
      <c r="C1" s="378"/>
      <c r="D1" s="378"/>
      <c r="E1" s="378"/>
      <c r="F1" s="378"/>
      <c r="G1" s="378"/>
      <c r="H1" s="378"/>
    </row>
    <row r="2" spans="1:8" ht="36" x14ac:dyDescent="0.3">
      <c r="A2" s="35" t="s">
        <v>9</v>
      </c>
      <c r="B2" s="35" t="s">
        <v>252</v>
      </c>
      <c r="C2" s="35" t="s">
        <v>251</v>
      </c>
      <c r="D2" s="35" t="s">
        <v>242</v>
      </c>
      <c r="E2" s="35" t="s">
        <v>241</v>
      </c>
      <c r="F2" s="35" t="s">
        <v>246</v>
      </c>
      <c r="G2" s="35" t="s">
        <v>14</v>
      </c>
      <c r="H2" s="35" t="s">
        <v>16</v>
      </c>
    </row>
    <row r="3" spans="1:8" ht="18" x14ac:dyDescent="0.3">
      <c r="A3" s="35">
        <v>1</v>
      </c>
      <c r="B3" s="35">
        <v>-1</v>
      </c>
      <c r="C3" s="35">
        <v>1</v>
      </c>
      <c r="D3" s="35" t="s">
        <v>282</v>
      </c>
      <c r="E3" s="35">
        <v>1</v>
      </c>
      <c r="F3" s="53">
        <f>0.632+10.367</f>
        <v>10.999000000000001</v>
      </c>
      <c r="G3" s="35" t="s">
        <v>158</v>
      </c>
      <c r="H3" s="52">
        <f>E3*F3/1000</f>
        <v>1.0999E-2</v>
      </c>
    </row>
    <row r="4" spans="1:8" ht="18" x14ac:dyDescent="0.3">
      <c r="A4" s="35">
        <v>2</v>
      </c>
      <c r="B4" s="35">
        <v>-1</v>
      </c>
      <c r="C4" s="35">
        <v>1</v>
      </c>
      <c r="D4" s="35" t="s">
        <v>275</v>
      </c>
      <c r="E4" s="35">
        <v>3</v>
      </c>
      <c r="F4" s="53">
        <f>15.587</f>
        <v>15.587</v>
      </c>
      <c r="G4" s="35" t="s">
        <v>158</v>
      </c>
      <c r="H4" s="52">
        <f t="shared" ref="H4:H28" si="0">E4*F4/1000</f>
        <v>4.6760999999999997E-2</v>
      </c>
    </row>
    <row r="5" spans="1:8" ht="18" x14ac:dyDescent="0.3">
      <c r="A5" s="35">
        <v>3</v>
      </c>
      <c r="B5" s="35">
        <v>-1</v>
      </c>
      <c r="C5" s="35">
        <v>1</v>
      </c>
      <c r="D5" s="35" t="s">
        <v>279</v>
      </c>
      <c r="E5" s="35">
        <v>1</v>
      </c>
      <c r="F5" s="53">
        <v>9.7129999999999992</v>
      </c>
      <c r="G5" s="35" t="s">
        <v>158</v>
      </c>
      <c r="H5" s="52">
        <f t="shared" si="0"/>
        <v>9.7129999999999994E-3</v>
      </c>
    </row>
    <row r="6" spans="1:8" ht="18" x14ac:dyDescent="0.3">
      <c r="A6" s="35">
        <v>4</v>
      </c>
      <c r="B6" s="35">
        <v>-1</v>
      </c>
      <c r="C6" s="35">
        <v>1</v>
      </c>
      <c r="D6" s="35" t="s">
        <v>280</v>
      </c>
      <c r="E6" s="35">
        <v>2</v>
      </c>
      <c r="F6" s="53">
        <v>11.670999999999999</v>
      </c>
      <c r="G6" s="35" t="s">
        <v>158</v>
      </c>
      <c r="H6" s="52">
        <f t="shared" si="0"/>
        <v>2.3341999999999998E-2</v>
      </c>
    </row>
    <row r="7" spans="1:8" ht="20.399999999999999" customHeight="1" x14ac:dyDescent="0.3">
      <c r="A7" s="35">
        <v>5</v>
      </c>
      <c r="B7" s="35">
        <v>-1</v>
      </c>
      <c r="C7" s="35">
        <v>1</v>
      </c>
      <c r="D7" s="35" t="s">
        <v>281</v>
      </c>
      <c r="E7" s="35">
        <v>1</v>
      </c>
      <c r="F7" s="53">
        <f>9.789+0.883</f>
        <v>10.672000000000001</v>
      </c>
      <c r="G7" s="35" t="s">
        <v>158</v>
      </c>
      <c r="H7" s="52">
        <f t="shared" si="0"/>
        <v>1.0672000000000001E-2</v>
      </c>
    </row>
    <row r="8" spans="1:8" ht="18" x14ac:dyDescent="0.3">
      <c r="A8" s="35">
        <v>6</v>
      </c>
      <c r="B8" s="35">
        <v>-1</v>
      </c>
      <c r="C8" s="35">
        <v>1</v>
      </c>
      <c r="D8" s="35" t="s">
        <v>276</v>
      </c>
      <c r="E8" s="35">
        <v>1</v>
      </c>
      <c r="F8" s="53">
        <f>1.8012+0.883</f>
        <v>2.6841999999999997</v>
      </c>
      <c r="G8" s="35" t="s">
        <v>158</v>
      </c>
      <c r="H8" s="52">
        <f t="shared" si="0"/>
        <v>2.6841999999999999E-3</v>
      </c>
    </row>
    <row r="9" spans="1:8" ht="18" x14ac:dyDescent="0.3">
      <c r="A9" s="35">
        <v>7</v>
      </c>
      <c r="B9" s="35">
        <v>-1</v>
      </c>
      <c r="C9" s="35">
        <v>1</v>
      </c>
      <c r="D9" s="35" t="s">
        <v>277</v>
      </c>
      <c r="E9" s="35">
        <v>2</v>
      </c>
      <c r="F9" s="53">
        <v>0.80500000000000005</v>
      </c>
      <c r="G9" s="35" t="s">
        <v>158</v>
      </c>
      <c r="H9" s="52">
        <f t="shared" si="0"/>
        <v>1.6100000000000001E-3</v>
      </c>
    </row>
    <row r="10" spans="1:8" ht="18" x14ac:dyDescent="0.3">
      <c r="A10" s="35">
        <v>8</v>
      </c>
      <c r="B10" s="35">
        <v>-1</v>
      </c>
      <c r="C10" s="35">
        <v>1</v>
      </c>
      <c r="D10" s="35" t="s">
        <v>278</v>
      </c>
      <c r="E10" s="35">
        <v>1</v>
      </c>
      <c r="F10" s="53">
        <f>1.216</f>
        <v>1.216</v>
      </c>
      <c r="G10" s="35" t="s">
        <v>158</v>
      </c>
      <c r="H10" s="52">
        <f t="shared" si="0"/>
        <v>1.2160000000000001E-3</v>
      </c>
    </row>
    <row r="11" spans="1:8" ht="18" x14ac:dyDescent="0.3">
      <c r="A11" s="35"/>
      <c r="B11" s="35"/>
      <c r="C11" s="35"/>
      <c r="D11" s="35"/>
      <c r="E11" s="35"/>
      <c r="F11" s="53"/>
      <c r="G11" s="35"/>
      <c r="H11" s="52"/>
    </row>
    <row r="12" spans="1:8" ht="18" x14ac:dyDescent="0.3">
      <c r="A12" s="35">
        <v>9</v>
      </c>
      <c r="B12" s="35">
        <v>-1</v>
      </c>
      <c r="C12" s="35">
        <v>1</v>
      </c>
      <c r="D12" s="35" t="s">
        <v>282</v>
      </c>
      <c r="E12" s="35">
        <v>1</v>
      </c>
      <c r="F12" s="53">
        <f>0.632+10.367</f>
        <v>10.999000000000001</v>
      </c>
      <c r="G12" s="35" t="s">
        <v>158</v>
      </c>
      <c r="H12" s="52">
        <f>E12*F12/1000</f>
        <v>1.0999E-2</v>
      </c>
    </row>
    <row r="13" spans="1:8" ht="18" x14ac:dyDescent="0.3">
      <c r="A13" s="35">
        <v>10</v>
      </c>
      <c r="B13" s="35">
        <v>-1</v>
      </c>
      <c r="C13" s="35">
        <v>2</v>
      </c>
      <c r="D13" s="35" t="s">
        <v>275</v>
      </c>
      <c r="E13" s="35">
        <v>3</v>
      </c>
      <c r="F13" s="53">
        <f>15.587</f>
        <v>15.587</v>
      </c>
      <c r="G13" s="35" t="s">
        <v>158</v>
      </c>
      <c r="H13" s="52">
        <f t="shared" si="0"/>
        <v>4.6760999999999997E-2</v>
      </c>
    </row>
    <row r="14" spans="1:8" ht="18" x14ac:dyDescent="0.3">
      <c r="A14" s="35">
        <v>11</v>
      </c>
      <c r="B14" s="35">
        <v>-1</v>
      </c>
      <c r="C14" s="35">
        <v>2</v>
      </c>
      <c r="D14" s="35" t="s">
        <v>279</v>
      </c>
      <c r="E14" s="35">
        <v>1</v>
      </c>
      <c r="F14" s="53">
        <v>9.7129999999999992</v>
      </c>
      <c r="G14" s="35" t="s">
        <v>158</v>
      </c>
      <c r="H14" s="52">
        <f t="shared" si="0"/>
        <v>9.7129999999999994E-3</v>
      </c>
    </row>
    <row r="15" spans="1:8" ht="18" x14ac:dyDescent="0.3">
      <c r="A15" s="35">
        <v>12</v>
      </c>
      <c r="B15" s="35">
        <v>-1</v>
      </c>
      <c r="C15" s="35">
        <v>2</v>
      </c>
      <c r="D15" s="35" t="s">
        <v>283</v>
      </c>
      <c r="E15" s="35">
        <v>1</v>
      </c>
      <c r="F15" s="53">
        <f>2.464+0.883</f>
        <v>3.347</v>
      </c>
      <c r="G15" s="35" t="s">
        <v>158</v>
      </c>
      <c r="H15" s="52">
        <f t="shared" si="0"/>
        <v>3.3470000000000001E-3</v>
      </c>
    </row>
    <row r="16" spans="1:8" ht="18" x14ac:dyDescent="0.3">
      <c r="A16" s="35">
        <v>13</v>
      </c>
      <c r="B16" s="35">
        <v>-1</v>
      </c>
      <c r="C16" s="35">
        <v>2</v>
      </c>
      <c r="D16" s="35" t="s">
        <v>277</v>
      </c>
      <c r="E16" s="35">
        <v>2</v>
      </c>
      <c r="F16" s="53">
        <v>0.80500000000000005</v>
      </c>
      <c r="G16" s="35" t="s">
        <v>158</v>
      </c>
      <c r="H16" s="52">
        <f t="shared" si="0"/>
        <v>1.6100000000000001E-3</v>
      </c>
    </row>
    <row r="17" spans="1:8" ht="18" x14ac:dyDescent="0.3">
      <c r="A17" s="35">
        <v>14</v>
      </c>
      <c r="B17" s="35">
        <v>-1</v>
      </c>
      <c r="C17" s="35">
        <v>2</v>
      </c>
      <c r="D17" s="35" t="s">
        <v>278</v>
      </c>
      <c r="E17" s="35">
        <v>2</v>
      </c>
      <c r="F17" s="53">
        <f>1.216</f>
        <v>1.216</v>
      </c>
      <c r="G17" s="35" t="s">
        <v>158</v>
      </c>
      <c r="H17" s="52">
        <f t="shared" si="0"/>
        <v>2.4320000000000001E-3</v>
      </c>
    </row>
    <row r="18" spans="1:8" ht="18" x14ac:dyDescent="0.3">
      <c r="A18" s="35"/>
      <c r="B18" s="35"/>
      <c r="C18" s="35"/>
      <c r="D18" s="35"/>
      <c r="E18" s="35"/>
      <c r="F18" s="53"/>
      <c r="G18" s="35"/>
      <c r="H18" s="52"/>
    </row>
    <row r="19" spans="1:8" ht="18" x14ac:dyDescent="0.3">
      <c r="A19" s="35">
        <v>15</v>
      </c>
      <c r="B19" s="35">
        <v>-1</v>
      </c>
      <c r="C19" s="35">
        <v>3</v>
      </c>
      <c r="D19" s="35" t="s">
        <v>282</v>
      </c>
      <c r="E19" s="35">
        <v>1</v>
      </c>
      <c r="F19" s="53">
        <f>0.632+10.367</f>
        <v>10.999000000000001</v>
      </c>
      <c r="G19" s="35" t="s">
        <v>158</v>
      </c>
      <c r="H19" s="52">
        <f t="shared" si="0"/>
        <v>1.0999E-2</v>
      </c>
    </row>
    <row r="20" spans="1:8" ht="18" x14ac:dyDescent="0.3">
      <c r="A20" s="35">
        <v>16</v>
      </c>
      <c r="B20" s="35">
        <v>-1</v>
      </c>
      <c r="C20" s="35">
        <v>3</v>
      </c>
      <c r="D20" s="35" t="s">
        <v>275</v>
      </c>
      <c r="E20" s="35">
        <v>3</v>
      </c>
      <c r="F20" s="53">
        <f>15.587</f>
        <v>15.587</v>
      </c>
      <c r="G20" s="35" t="s">
        <v>158</v>
      </c>
      <c r="H20" s="52">
        <f t="shared" si="0"/>
        <v>4.6760999999999997E-2</v>
      </c>
    </row>
    <row r="21" spans="1:8" ht="18" x14ac:dyDescent="0.3">
      <c r="A21" s="35">
        <v>17</v>
      </c>
      <c r="B21" s="35">
        <v>-1</v>
      </c>
      <c r="C21" s="35">
        <v>3</v>
      </c>
      <c r="D21" s="35" t="s">
        <v>279</v>
      </c>
      <c r="E21" s="35">
        <v>2</v>
      </c>
      <c r="F21" s="53">
        <v>9.7129999999999992</v>
      </c>
      <c r="G21" s="35" t="s">
        <v>158</v>
      </c>
      <c r="H21" s="52">
        <f t="shared" si="0"/>
        <v>1.9425999999999999E-2</v>
      </c>
    </row>
    <row r="22" spans="1:8" ht="18" x14ac:dyDescent="0.3">
      <c r="A22" s="35">
        <v>18</v>
      </c>
      <c r="B22" s="35">
        <v>-1</v>
      </c>
      <c r="C22" s="35">
        <v>3</v>
      </c>
      <c r="D22" s="35" t="s">
        <v>280</v>
      </c>
      <c r="E22" s="35">
        <v>2</v>
      </c>
      <c r="F22" s="53">
        <v>11.670999999999999</v>
      </c>
      <c r="G22" s="35" t="s">
        <v>158</v>
      </c>
      <c r="H22" s="52">
        <f t="shared" si="0"/>
        <v>2.3341999999999998E-2</v>
      </c>
    </row>
    <row r="23" spans="1:8" ht="18" x14ac:dyDescent="0.3">
      <c r="A23" s="35">
        <v>19</v>
      </c>
      <c r="B23" s="35">
        <v>-1</v>
      </c>
      <c r="C23" s="35">
        <v>3</v>
      </c>
      <c r="D23" s="35" t="s">
        <v>281</v>
      </c>
      <c r="E23" s="35">
        <v>1</v>
      </c>
      <c r="F23" s="53">
        <f>9.789+0.883</f>
        <v>10.672000000000001</v>
      </c>
      <c r="G23" s="35" t="s">
        <v>158</v>
      </c>
      <c r="H23" s="52">
        <f t="shared" si="0"/>
        <v>1.0672000000000001E-2</v>
      </c>
    </row>
    <row r="24" spans="1:8" ht="18" x14ac:dyDescent="0.3">
      <c r="A24" s="35">
        <v>20</v>
      </c>
      <c r="B24" s="35">
        <v>-1</v>
      </c>
      <c r="C24" s="35">
        <v>3</v>
      </c>
      <c r="D24" s="35" t="s">
        <v>284</v>
      </c>
      <c r="E24" s="35">
        <v>2</v>
      </c>
      <c r="F24" s="53">
        <v>12.65</v>
      </c>
      <c r="G24" s="35" t="s">
        <v>158</v>
      </c>
      <c r="H24" s="52">
        <f t="shared" si="0"/>
        <v>2.53E-2</v>
      </c>
    </row>
    <row r="25" spans="1:8" ht="18" x14ac:dyDescent="0.3">
      <c r="A25" s="35">
        <v>21</v>
      </c>
      <c r="B25" s="35">
        <v>-1</v>
      </c>
      <c r="C25" s="35">
        <v>3</v>
      </c>
      <c r="D25" s="35" t="s">
        <v>285</v>
      </c>
      <c r="E25" s="35">
        <v>1</v>
      </c>
      <c r="F25" s="53">
        <v>13.629</v>
      </c>
      <c r="G25" s="35" t="s">
        <v>158</v>
      </c>
      <c r="H25" s="52">
        <f t="shared" si="0"/>
        <v>1.3628999999999999E-2</v>
      </c>
    </row>
    <row r="26" spans="1:8" ht="18" x14ac:dyDescent="0.3">
      <c r="A26" s="35">
        <v>22</v>
      </c>
      <c r="B26" s="35">
        <v>-1</v>
      </c>
      <c r="C26" s="35">
        <v>3</v>
      </c>
      <c r="D26" s="35" t="s">
        <v>286</v>
      </c>
      <c r="E26" s="35">
        <v>1</v>
      </c>
      <c r="F26" s="53">
        <f>3.033+0.883</f>
        <v>3.9159999999999999</v>
      </c>
      <c r="G26" s="35" t="s">
        <v>158</v>
      </c>
      <c r="H26" s="52">
        <f t="shared" si="0"/>
        <v>3.9160000000000002E-3</v>
      </c>
    </row>
    <row r="27" spans="1:8" ht="18" x14ac:dyDescent="0.3">
      <c r="A27" s="35">
        <v>23</v>
      </c>
      <c r="B27" s="35">
        <v>-1</v>
      </c>
      <c r="C27" s="35">
        <v>3</v>
      </c>
      <c r="D27" s="35" t="s">
        <v>277</v>
      </c>
      <c r="E27" s="35">
        <v>1</v>
      </c>
      <c r="F27" s="53">
        <v>0.80500000000000005</v>
      </c>
      <c r="G27" s="35" t="s">
        <v>158</v>
      </c>
      <c r="H27" s="52">
        <f t="shared" si="0"/>
        <v>8.0500000000000005E-4</v>
      </c>
    </row>
    <row r="28" spans="1:8" ht="18" x14ac:dyDescent="0.3">
      <c r="A28" s="35">
        <v>24</v>
      </c>
      <c r="B28" s="35">
        <v>-1</v>
      </c>
      <c r="C28" s="35">
        <v>3</v>
      </c>
      <c r="D28" s="35" t="s">
        <v>278</v>
      </c>
      <c r="E28" s="35">
        <v>1</v>
      </c>
      <c r="F28" s="53">
        <f>1.216</f>
        <v>1.216</v>
      </c>
      <c r="G28" s="35" t="s">
        <v>158</v>
      </c>
      <c r="H28" s="52">
        <f t="shared" si="0"/>
        <v>1.2160000000000001E-3</v>
      </c>
    </row>
    <row r="29" spans="1:8" ht="18" x14ac:dyDescent="0.3">
      <c r="A29" s="20"/>
      <c r="B29" s="16"/>
      <c r="C29" s="16"/>
      <c r="D29" s="16"/>
      <c r="E29" s="28">
        <f>SUM(E3:E28)</f>
        <v>37</v>
      </c>
      <c r="F29" s="16" t="s">
        <v>231</v>
      </c>
      <c r="G29" s="16" t="s">
        <v>158</v>
      </c>
      <c r="H29" s="23">
        <f>SUM(H3:H28)</f>
        <v>0.33792519999999993</v>
      </c>
    </row>
  </sheetData>
  <mergeCells count="1">
    <mergeCell ref="A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opLeftCell="A2" zoomScale="70" zoomScaleNormal="70" workbookViewId="0"/>
  </sheetViews>
  <sheetFormatPr defaultRowHeight="14.4" x14ac:dyDescent="0.3"/>
  <cols>
    <col min="1" max="1" width="15.5546875" style="174" customWidth="1"/>
    <col min="2" max="2" width="55.6640625" customWidth="1"/>
    <col min="3" max="3" width="44.77734375" customWidth="1"/>
    <col min="4" max="4" width="13.44140625" customWidth="1"/>
    <col min="5" max="5" width="16.77734375" customWidth="1"/>
  </cols>
  <sheetData>
    <row r="1" spans="1:5" ht="18" x14ac:dyDescent="0.3">
      <c r="A1" s="175" t="s">
        <v>736</v>
      </c>
      <c r="B1" s="171" t="s">
        <v>737</v>
      </c>
      <c r="C1" s="169" t="s">
        <v>228</v>
      </c>
      <c r="D1" s="170" t="s">
        <v>14</v>
      </c>
      <c r="E1" s="173" t="s">
        <v>738</v>
      </c>
    </row>
    <row r="2" spans="1:5" ht="126" x14ac:dyDescent="0.3">
      <c r="A2" s="175">
        <v>1</v>
      </c>
      <c r="B2" s="281" t="s">
        <v>313</v>
      </c>
      <c r="C2" s="169" t="s">
        <v>314</v>
      </c>
      <c r="D2" s="170" t="s">
        <v>128</v>
      </c>
      <c r="E2" s="173">
        <v>742.98</v>
      </c>
    </row>
    <row r="3" spans="1:5" ht="72" x14ac:dyDescent="0.3">
      <c r="A3" s="175">
        <v>2</v>
      </c>
      <c r="B3" s="282" t="s">
        <v>406</v>
      </c>
      <c r="C3" s="7" t="s">
        <v>734</v>
      </c>
      <c r="D3" s="9" t="s">
        <v>23</v>
      </c>
      <c r="E3" s="172">
        <f>'3.1.1'!I3+'3.1.1'!I7+'3.1.1'!I8</f>
        <v>346.8</v>
      </c>
    </row>
    <row r="4" spans="1:5" ht="72" x14ac:dyDescent="0.3">
      <c r="A4" s="175">
        <v>3</v>
      </c>
      <c r="B4" s="281" t="s">
        <v>406</v>
      </c>
      <c r="C4" s="169" t="s">
        <v>414</v>
      </c>
      <c r="D4" s="170" t="s">
        <v>23</v>
      </c>
      <c r="E4" s="173">
        <f>'3.1.1'!I4+SUM('3.1.1'!I10:I16)</f>
        <v>446.9</v>
      </c>
    </row>
    <row r="5" spans="1:5" ht="54" x14ac:dyDescent="0.3">
      <c r="A5" s="175">
        <v>4</v>
      </c>
      <c r="B5" s="281" t="s">
        <v>453</v>
      </c>
      <c r="C5" s="169" t="s">
        <v>454</v>
      </c>
      <c r="D5" s="170" t="s">
        <v>23</v>
      </c>
      <c r="E5" s="173">
        <f>'3.1.1'!I6+'3.1.1'!I9</f>
        <v>3098.9</v>
      </c>
    </row>
    <row r="6" spans="1:5" ht="54" x14ac:dyDescent="0.3">
      <c r="A6" s="175">
        <v>5</v>
      </c>
      <c r="B6" s="282" t="s">
        <v>453</v>
      </c>
      <c r="C6" s="7" t="s">
        <v>459</v>
      </c>
      <c r="D6" s="9" t="s">
        <v>23</v>
      </c>
      <c r="E6" s="172">
        <f>'3.1.1'!I5</f>
        <v>1231.0999999999999</v>
      </c>
    </row>
    <row r="7" spans="1:5" ht="18" x14ac:dyDescent="0.3">
      <c r="D7" s="10" t="s">
        <v>735</v>
      </c>
      <c r="E7" s="172">
        <f>SUM(E3:E6)</f>
        <v>5123.7000000000007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3.2" x14ac:dyDescent="0.25"/>
  <cols>
    <col min="1" max="1" width="9.109375" style="195" customWidth="1"/>
    <col min="2" max="9" width="8.88671875" style="195"/>
    <col min="10" max="16384" width="8.88671875" style="196"/>
  </cols>
  <sheetData>
    <row r="1" spans="1:9" s="220" customFormat="1" x14ac:dyDescent="0.25">
      <c r="A1" s="216" t="s">
        <v>252</v>
      </c>
      <c r="B1" s="217">
        <v>1</v>
      </c>
      <c r="C1" s="217">
        <v>1</v>
      </c>
      <c r="D1" s="217">
        <v>2</v>
      </c>
      <c r="E1" s="217">
        <v>2</v>
      </c>
      <c r="F1" s="217">
        <v>3</v>
      </c>
      <c r="G1" s="217">
        <v>3</v>
      </c>
      <c r="H1" s="218">
        <v>4</v>
      </c>
      <c r="I1" s="219"/>
    </row>
    <row r="2" spans="1:9" s="220" customFormat="1" ht="13.8" thickBot="1" x14ac:dyDescent="0.3">
      <c r="A2" s="221" t="s">
        <v>251</v>
      </c>
      <c r="B2" s="222" t="s">
        <v>740</v>
      </c>
      <c r="C2" s="222" t="s">
        <v>741</v>
      </c>
      <c r="D2" s="222" t="s">
        <v>749</v>
      </c>
      <c r="E2" s="222" t="s">
        <v>748</v>
      </c>
      <c r="F2" s="222" t="s">
        <v>750</v>
      </c>
      <c r="G2" s="222" t="s">
        <v>751</v>
      </c>
      <c r="H2" s="223" t="s">
        <v>752</v>
      </c>
      <c r="I2" s="224" t="s">
        <v>231</v>
      </c>
    </row>
    <row r="3" spans="1:9" x14ac:dyDescent="0.25">
      <c r="A3" s="210" t="s">
        <v>651</v>
      </c>
      <c r="B3" s="211">
        <f>SUMIF(Таблица4[Марка],A3,Таблица4[Площадь])</f>
        <v>15</v>
      </c>
      <c r="C3" s="211">
        <f>SUMIF(Таблица46[Марка],A3,Таблица46[Площадь])</f>
        <v>19.799999999999997</v>
      </c>
      <c r="D3" s="211">
        <f>SUMIF(Таблица467[Марка],A3,Таблица467[Площадь])</f>
        <v>14.9</v>
      </c>
      <c r="E3" s="211">
        <f>SUMIF(Таблица4678[Марка],A3,Таблица4678[Площадь])</f>
        <v>10.7</v>
      </c>
      <c r="F3" s="211">
        <f>SUMIF(Таблица46789[Марка],A3,Таблица46789[Площадь])</f>
        <v>14.9</v>
      </c>
      <c r="G3" s="211">
        <f>SUMIF(Таблица4678910[Марка],A3,Таблица4678910[Площадь])</f>
        <v>0</v>
      </c>
      <c r="H3" s="212">
        <f>SUMIF(Таблица467891011[Марка],A3,Таблица467891011[Площадь])</f>
        <v>11.7</v>
      </c>
      <c r="I3" s="225">
        <f t="shared" ref="I3:I16" si="0">SUM(B3:H3)</f>
        <v>87</v>
      </c>
    </row>
    <row r="4" spans="1:9" x14ac:dyDescent="0.25">
      <c r="A4" s="213" t="s">
        <v>644</v>
      </c>
      <c r="B4" s="214">
        <f>SUMIF(Таблица4[Марка],A4,Таблица4[Площадь])</f>
        <v>6.1</v>
      </c>
      <c r="C4" s="214">
        <f>SUMIF(Таблица46[Марка],A4,Таблица46[Площадь])</f>
        <v>0</v>
      </c>
      <c r="D4" s="214">
        <f>SUMIF(Таблица467[Марка],A4,Таблица467[Площадь])</f>
        <v>6.1</v>
      </c>
      <c r="E4" s="214">
        <f>SUMIF(Таблица4678[Марка],A4,Таблица4678[Площадь])</f>
        <v>0</v>
      </c>
      <c r="F4" s="214">
        <f>SUMIF(Таблица46789[Марка],A4,Таблица46789[Площадь])</f>
        <v>0</v>
      </c>
      <c r="G4" s="214">
        <f>SUMIF(Таблица4678910[Марка],A4,Таблица4678910[Площадь])</f>
        <v>0</v>
      </c>
      <c r="H4" s="215">
        <f>SUMIF(Таблица467891011[Марка],A4,Таблица467891011[Площадь])</f>
        <v>0</v>
      </c>
      <c r="I4" s="225">
        <f t="shared" si="0"/>
        <v>12.2</v>
      </c>
    </row>
    <row r="5" spans="1:9" x14ac:dyDescent="0.25">
      <c r="A5" s="213" t="s">
        <v>640</v>
      </c>
      <c r="B5" s="214">
        <f>SUMIF(Таблица4[Марка],A5,Таблица4[Площадь])</f>
        <v>261.3</v>
      </c>
      <c r="C5" s="214">
        <f>SUMIF(Таблица46[Марка],A5,Таблица46[Площадь])</f>
        <v>0</v>
      </c>
      <c r="D5" s="214">
        <f>SUMIF(Таблица467[Марка],A5,Таблица467[Площадь])</f>
        <v>352.5</v>
      </c>
      <c r="E5" s="214">
        <f>SUMIF(Таблица4678[Марка],A5,Таблица4678[Площадь])</f>
        <v>93.2</v>
      </c>
      <c r="F5" s="214">
        <f>SUMIF(Таблица46789[Марка],A5,Таблица46789[Площадь])</f>
        <v>143.19999999999999</v>
      </c>
      <c r="G5" s="214">
        <f>SUMIF(Таблица4678910[Марка],A5,Таблица4678910[Площадь])</f>
        <v>155.80000000000001</v>
      </c>
      <c r="H5" s="215">
        <f>SUMIF(Таблица467891011[Марка],A5,Таблица467891011[Площадь])</f>
        <v>225.10000000000002</v>
      </c>
      <c r="I5" s="225">
        <f t="shared" si="0"/>
        <v>1231.0999999999999</v>
      </c>
    </row>
    <row r="6" spans="1:9" x14ac:dyDescent="0.25">
      <c r="A6" s="213" t="s">
        <v>638</v>
      </c>
      <c r="B6" s="214">
        <f>SUMIF(Таблица4[Марка],A6,Таблица4[Площадь])</f>
        <v>622.40000000000009</v>
      </c>
      <c r="C6" s="214">
        <f>SUMIF(Таблица46[Марка],A6,Таблица46[Площадь])</f>
        <v>10.6</v>
      </c>
      <c r="D6" s="214">
        <f>SUMIF(Таблица467[Марка],A6,Таблица467[Площадь])</f>
        <v>554.79999999999995</v>
      </c>
      <c r="E6" s="214">
        <f>SUMIF(Таблица4678[Марка],A6,Таблица4678[Площадь])</f>
        <v>483.4</v>
      </c>
      <c r="F6" s="214">
        <f>SUMIF(Таблица46789[Марка],A6,Таблица46789[Площадь])</f>
        <v>92.8</v>
      </c>
      <c r="G6" s="214">
        <f>SUMIF(Таблица4678910[Марка],A6,Таблица4678910[Площадь])</f>
        <v>344</v>
      </c>
      <c r="H6" s="215">
        <f>SUMIF(Таблица467891011[Марка],A6,Таблица467891011[Площадь])</f>
        <v>152.30000000000001</v>
      </c>
      <c r="I6" s="225">
        <f t="shared" si="0"/>
        <v>2260.3000000000002</v>
      </c>
    </row>
    <row r="7" spans="1:9" x14ac:dyDescent="0.25">
      <c r="A7" s="213" t="s">
        <v>642</v>
      </c>
      <c r="B7" s="214">
        <f>SUMIF(Таблица4[Марка],A7,Таблица4[Площадь])</f>
        <v>55.6</v>
      </c>
      <c r="C7" s="214">
        <f>SUMIF(Таблица46[Марка],A7,Таблица46[Площадь])</f>
        <v>30.9</v>
      </c>
      <c r="D7" s="214">
        <f>SUMIF(Таблица467[Марка],A7,Таблица467[Площадь])</f>
        <v>0</v>
      </c>
      <c r="E7" s="214">
        <f>SUMIF(Таблица4678[Марка],A7,Таблица4678[Площадь])</f>
        <v>26.699999999999996</v>
      </c>
      <c r="F7" s="214">
        <f>SUMIF(Таблица46789[Марка],A7,Таблица46789[Площадь])</f>
        <v>0</v>
      </c>
      <c r="G7" s="214">
        <f>SUMIF(Таблица4678910[Марка],A7,Таблица4678910[Площадь])</f>
        <v>1.8</v>
      </c>
      <c r="H7" s="215">
        <f>SUMIF(Таблица467891011[Марка],A7,Таблица467891011[Площадь])</f>
        <v>6.7</v>
      </c>
      <c r="I7" s="225">
        <f t="shared" si="0"/>
        <v>121.69999999999999</v>
      </c>
    </row>
    <row r="8" spans="1:9" x14ac:dyDescent="0.25">
      <c r="A8" s="213" t="s">
        <v>648</v>
      </c>
      <c r="B8" s="214">
        <f>SUMIF(Таблица4[Марка],A8,Таблица4[Площадь])</f>
        <v>3.1</v>
      </c>
      <c r="C8" s="214">
        <f>SUMIF(Таблица46[Марка],A8,Таблица46[Площадь])</f>
        <v>31.4</v>
      </c>
      <c r="D8" s="214">
        <f>SUMIF(Таблица467[Марка],A8,Таблица467[Площадь])</f>
        <v>3.1</v>
      </c>
      <c r="E8" s="214">
        <f>SUMIF(Таблица4678[Марка],A8,Таблица4678[Площадь])</f>
        <v>28.4</v>
      </c>
      <c r="F8" s="214">
        <f>SUMIF(Таблица46789[Марка],A8,Таблица46789[Площадь])</f>
        <v>0</v>
      </c>
      <c r="G8" s="214">
        <f>SUMIF(Таблица4678910[Марка],A8,Таблица4678910[Площадь])</f>
        <v>9.9</v>
      </c>
      <c r="H8" s="215">
        <f>SUMIF(Таблица467891011[Марка],A8,Таблица467891011[Площадь])</f>
        <v>62.2</v>
      </c>
      <c r="I8" s="225">
        <f t="shared" si="0"/>
        <v>138.10000000000002</v>
      </c>
    </row>
    <row r="9" spans="1:9" x14ac:dyDescent="0.25">
      <c r="A9" s="213" t="s">
        <v>637</v>
      </c>
      <c r="B9" s="214">
        <f>SUMIF(Таблица4[Марка],A9,Таблица4[Площадь])</f>
        <v>189.89999999999998</v>
      </c>
      <c r="C9" s="214">
        <f>SUMIF(Таблица46[Марка],A9,Таблица46[Площадь])</f>
        <v>5.7</v>
      </c>
      <c r="D9" s="214">
        <f>SUMIF(Таблица467[Марка],A9,Таблица467[Площадь])</f>
        <v>216.7</v>
      </c>
      <c r="E9" s="214">
        <f>SUMIF(Таблица4678[Марка],A9,Таблица4678[Площадь])</f>
        <v>86.399999999999991</v>
      </c>
      <c r="F9" s="214">
        <f>SUMIF(Таблица46789[Марка],A9,Таблица46789[Площадь])</f>
        <v>153.6</v>
      </c>
      <c r="G9" s="214">
        <f>SUMIF(Таблица4678910[Марка],A9,Таблица4678910[Площадь])</f>
        <v>132.1</v>
      </c>
      <c r="H9" s="215">
        <f>SUMIF(Таблица467891011[Марка],A9,Таблица467891011[Площадь])</f>
        <v>54.199999999999996</v>
      </c>
      <c r="I9" s="225">
        <f t="shared" si="0"/>
        <v>838.6</v>
      </c>
    </row>
    <row r="10" spans="1:9" x14ac:dyDescent="0.25">
      <c r="A10" s="213" t="s">
        <v>645</v>
      </c>
      <c r="B10" s="214">
        <f>SUMIF(Таблица4[Марка],A10,Таблица4[Площадь])</f>
        <v>53.7</v>
      </c>
      <c r="C10" s="214">
        <f>SUMIF(Таблица46[Марка],A10,Таблица46[Площадь])</f>
        <v>19.3</v>
      </c>
      <c r="D10" s="214">
        <f>SUMIF(Таблица467[Марка],A10,Таблица467[Площадь])</f>
        <v>18.600000000000001</v>
      </c>
      <c r="E10" s="214">
        <f>SUMIF(Таблица4678[Марка],A10,Таблица4678[Площадь])</f>
        <v>19.3</v>
      </c>
      <c r="F10" s="214">
        <f>SUMIF(Таблица46789[Марка],A10,Таблица46789[Площадь])</f>
        <v>16.100000000000001</v>
      </c>
      <c r="G10" s="214">
        <f>SUMIF(Таблица4678910[Марка],A10,Таблица4678910[Площадь])</f>
        <v>18.899999999999999</v>
      </c>
      <c r="H10" s="215">
        <f>SUMIF(Таблица467891011[Марка],A10,Таблица467891011[Площадь])</f>
        <v>30.4</v>
      </c>
      <c r="I10" s="225">
        <f t="shared" si="0"/>
        <v>176.3</v>
      </c>
    </row>
    <row r="11" spans="1:9" x14ac:dyDescent="0.25">
      <c r="A11" s="213" t="s">
        <v>652</v>
      </c>
      <c r="B11" s="214">
        <f>SUMIF(Таблица4[Марка],A11,Таблица4[Площадь])</f>
        <v>19.5</v>
      </c>
      <c r="C11" s="214">
        <f>SUMIF(Таблица46[Марка],A11,Таблица46[Площадь])</f>
        <v>38</v>
      </c>
      <c r="D11" s="214">
        <f>SUMIF(Таблица467[Марка],A11,Таблица467[Площадь])</f>
        <v>19.5</v>
      </c>
      <c r="E11" s="214">
        <f>SUMIF(Таблица4678[Марка],A11,Таблица4678[Площадь])</f>
        <v>7.4</v>
      </c>
      <c r="F11" s="214">
        <f>SUMIF(Таблица46789[Марка],A11,Таблица46789[Площадь])</f>
        <v>0</v>
      </c>
      <c r="G11" s="214">
        <f>SUMIF(Таблица4678910[Марка],A11,Таблица4678910[Площадь])</f>
        <v>8</v>
      </c>
      <c r="H11" s="215">
        <f>SUMIF(Таблица467891011[Марка],A11,Таблица467891011[Площадь])</f>
        <v>37.199999999999996</v>
      </c>
      <c r="I11" s="225">
        <f t="shared" si="0"/>
        <v>129.6</v>
      </c>
    </row>
    <row r="12" spans="1:9" x14ac:dyDescent="0.25">
      <c r="A12" s="213" t="s">
        <v>657</v>
      </c>
      <c r="B12" s="214">
        <f>SUMIF(Таблица4[Марка],A12,Таблица4[Площадь])</f>
        <v>0</v>
      </c>
      <c r="C12" s="214">
        <f>SUMIF(Таблица46[Марка],A12,Таблица46[Площадь])</f>
        <v>40.300000000000004</v>
      </c>
      <c r="D12" s="214">
        <f>SUMIF(Таблица467[Марка],A12,Таблица467[Площадь])</f>
        <v>0</v>
      </c>
      <c r="E12" s="214">
        <f>SUMIF(Таблица4678[Марка],A12,Таблица4678[Площадь])</f>
        <v>22.7</v>
      </c>
      <c r="F12" s="214">
        <f>SUMIF(Таблица46789[Марка],A12,Таблица46789[Площадь])</f>
        <v>0</v>
      </c>
      <c r="G12" s="214">
        <f>SUMIF(Таблица4678910[Марка],A12,Таблица4678910[Площадь])</f>
        <v>0</v>
      </c>
      <c r="H12" s="215">
        <f>SUMIF(Таблица467891011[Марка],A12,Таблица467891011[Площадь])</f>
        <v>0</v>
      </c>
      <c r="I12" s="225">
        <f t="shared" si="0"/>
        <v>63</v>
      </c>
    </row>
    <row r="13" spans="1:9" x14ac:dyDescent="0.25">
      <c r="A13" s="213" t="s">
        <v>643</v>
      </c>
      <c r="B13" s="214">
        <f>SUMIF(Таблица4[Марка],A13,Таблица4[Площадь])</f>
        <v>19.899999999999999</v>
      </c>
      <c r="C13" s="214">
        <f>SUMIF(Таблица46[Марка],A13,Таблица46[Площадь])</f>
        <v>0</v>
      </c>
      <c r="D13" s="214">
        <f>SUMIF(Таблица467[Марка],A13,Таблица467[Площадь])</f>
        <v>0</v>
      </c>
      <c r="E13" s="214">
        <f>SUMIF(Таблица4678[Марка],A13,Таблица4678[Площадь])</f>
        <v>0</v>
      </c>
      <c r="F13" s="214">
        <f>SUMIF(Таблица46789[Марка],A13,Таблица46789[Площадь])</f>
        <v>0</v>
      </c>
      <c r="G13" s="214">
        <f>SUMIF(Таблица4678910[Марка],A13,Таблица4678910[Площадь])</f>
        <v>0</v>
      </c>
      <c r="H13" s="215">
        <f>SUMIF(Таблица467891011[Марка],A13,Таблица467891011[Площадь])</f>
        <v>0</v>
      </c>
      <c r="I13" s="225">
        <f t="shared" si="0"/>
        <v>19.899999999999999</v>
      </c>
    </row>
    <row r="14" spans="1:9" x14ac:dyDescent="0.25">
      <c r="A14" s="213" t="s">
        <v>646</v>
      </c>
      <c r="B14" s="214">
        <f>SUMIF(Таблица4[Марка],A14,Таблица4[Площадь])</f>
        <v>5.7</v>
      </c>
      <c r="C14" s="214">
        <f>SUMIF(Таблица46[Марка],A14,Таблица46[Площадь])</f>
        <v>6.3000000000000007</v>
      </c>
      <c r="D14" s="214">
        <f>SUMIF(Таблица467[Марка],A14,Таблица467[Площадь])</f>
        <v>0</v>
      </c>
      <c r="E14" s="214">
        <f>SUMIF(Таблица4678[Марка],A14,Таблица4678[Площадь])</f>
        <v>0</v>
      </c>
      <c r="F14" s="214">
        <f>SUMIF(Таблица46789[Марка],A14,Таблица46789[Площадь])</f>
        <v>0</v>
      </c>
      <c r="G14" s="214">
        <f>SUMIF(Таблица4678910[Марка],A14,Таблица4678910[Площадь])</f>
        <v>0</v>
      </c>
      <c r="H14" s="215">
        <f>SUMIF(Таблица467891011[Марка],A14,Таблица467891011[Площадь])</f>
        <v>7</v>
      </c>
      <c r="I14" s="225">
        <f t="shared" si="0"/>
        <v>19</v>
      </c>
    </row>
    <row r="15" spans="1:9" x14ac:dyDescent="0.25">
      <c r="A15" s="213" t="s">
        <v>653</v>
      </c>
      <c r="B15" s="214">
        <f>SUMIF(Таблица4[Марка],A15,Таблица4[Площадь])</f>
        <v>7.6</v>
      </c>
      <c r="C15" s="214">
        <f>SUMIF(Таблица46[Марка],A15,Таблица46[Площадь])</f>
        <v>3.5</v>
      </c>
      <c r="D15" s="214">
        <f>SUMIF(Таблица467[Марка],A15,Таблица467[Площадь])</f>
        <v>0</v>
      </c>
      <c r="E15" s="214">
        <f>SUMIF(Таблица4678[Марка],A15,Таблица4678[Площадь])</f>
        <v>0</v>
      </c>
      <c r="F15" s="214">
        <f>SUMIF(Таблица46789[Марка],A15,Таблица46789[Площадь])</f>
        <v>0</v>
      </c>
      <c r="G15" s="214">
        <f>SUMIF(Таблица4678910[Марка],A15,Таблица4678910[Площадь])</f>
        <v>0</v>
      </c>
      <c r="H15" s="215">
        <f>SUMIF(Таблица467891011[Марка],A15,Таблица467891011[Площадь])</f>
        <v>5.5</v>
      </c>
      <c r="I15" s="225">
        <f t="shared" si="0"/>
        <v>16.600000000000001</v>
      </c>
    </row>
    <row r="16" spans="1:9" ht="13.8" thickBot="1" x14ac:dyDescent="0.3">
      <c r="A16" s="213" t="s">
        <v>658</v>
      </c>
      <c r="B16" s="214">
        <f>SUMIF(Таблица4[Марка],A16,Таблица4[Площадь])</f>
        <v>0</v>
      </c>
      <c r="C16" s="214">
        <f>SUMIF(Таблица46[Марка],A16,Таблица46[Площадь])</f>
        <v>6.9</v>
      </c>
      <c r="D16" s="214">
        <f>SUMIF(Таблица467[Марка],A16,Таблица467[Площадь])</f>
        <v>0</v>
      </c>
      <c r="E16" s="214">
        <f>SUMIF(Таблица4678[Марка],A16,Таблица4678[Площадь])</f>
        <v>1.2</v>
      </c>
      <c r="F16" s="214">
        <f>SUMIF(Таблица46789[Марка],A16,Таблица46789[Площадь])</f>
        <v>0</v>
      </c>
      <c r="G16" s="214">
        <f>SUMIF(Таблица4678910[Марка],A16,Таблица4678910[Площадь])</f>
        <v>0</v>
      </c>
      <c r="H16" s="215">
        <f>SUMIF(Таблица467891011[Марка],A16,Таблица467891011[Площадь])</f>
        <v>2.2000000000000002</v>
      </c>
      <c r="I16" s="226">
        <f t="shared" si="0"/>
        <v>10.3</v>
      </c>
    </row>
    <row r="17" spans="8:9" x14ac:dyDescent="0.25">
      <c r="H17" s="195" t="s">
        <v>269</v>
      </c>
      <c r="I17" s="227">
        <f>SUM(I3:I16)</f>
        <v>5123.7000000000007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9"/>
  <sheetViews>
    <sheetView zoomScale="85" zoomScaleNormal="85" workbookViewId="0">
      <selection activeCell="E2" sqref="E2"/>
    </sheetView>
  </sheetViews>
  <sheetFormatPr defaultRowHeight="14.4" x14ac:dyDescent="0.3"/>
  <cols>
    <col min="1" max="1" width="15.5546875" style="174" customWidth="1"/>
    <col min="2" max="2" width="55.6640625" customWidth="1"/>
    <col min="3" max="3" width="44.77734375" customWidth="1"/>
    <col min="4" max="4" width="13.44140625" customWidth="1"/>
    <col min="5" max="5" width="16.77734375" customWidth="1"/>
  </cols>
  <sheetData>
    <row r="1" spans="1:5" ht="18" x14ac:dyDescent="0.3">
      <c r="A1" s="175" t="s">
        <v>736</v>
      </c>
      <c r="B1" s="171" t="s">
        <v>737</v>
      </c>
      <c r="C1" s="169" t="s">
        <v>228</v>
      </c>
      <c r="D1" s="170" t="s">
        <v>14</v>
      </c>
      <c r="E1" s="173" t="s">
        <v>738</v>
      </c>
    </row>
    <row r="2" spans="1:5" ht="126" x14ac:dyDescent="0.3">
      <c r="A2" s="175">
        <v>1</v>
      </c>
      <c r="B2" s="171" t="s">
        <v>313</v>
      </c>
      <c r="C2" s="169" t="s">
        <v>314</v>
      </c>
      <c r="D2" s="170" t="s">
        <v>128</v>
      </c>
      <c r="E2" s="173" t="e">
        <f>SUM(E3:E8)/7.61406957765593</f>
        <v>#REF!</v>
      </c>
    </row>
    <row r="3" spans="1:5" ht="72" x14ac:dyDescent="0.3">
      <c r="A3" s="175">
        <v>2</v>
      </c>
      <c r="B3" s="246" t="s">
        <v>396</v>
      </c>
      <c r="C3" s="247" t="s">
        <v>397</v>
      </c>
      <c r="D3" s="248" t="s">
        <v>23</v>
      </c>
      <c r="E3" s="249" t="e">
        <f>'3.1.1'!#REF!+'3.1.1'!#REF!</f>
        <v>#REF!</v>
      </c>
    </row>
    <row r="4" spans="1:5" ht="72" x14ac:dyDescent="0.3">
      <c r="A4" s="175">
        <v>3</v>
      </c>
      <c r="B4" s="8" t="s">
        <v>406</v>
      </c>
      <c r="C4" s="7" t="s">
        <v>734</v>
      </c>
      <c r="D4" s="9" t="s">
        <v>23</v>
      </c>
      <c r="E4" s="172">
        <f>'3.1.1'!I3+'3.1.1'!I7+'3.1.1'!I8</f>
        <v>346.8</v>
      </c>
    </row>
    <row r="5" spans="1:5" ht="72" x14ac:dyDescent="0.3">
      <c r="A5" s="175">
        <v>4</v>
      </c>
      <c r="B5" s="171" t="s">
        <v>406</v>
      </c>
      <c r="C5" s="169" t="s">
        <v>414</v>
      </c>
      <c r="D5" s="170" t="s">
        <v>23</v>
      </c>
      <c r="E5" s="173">
        <f>'3.1.1'!I4+SUM('3.1.1'!I10:I16)</f>
        <v>446.9</v>
      </c>
    </row>
    <row r="6" spans="1:5" ht="54" x14ac:dyDescent="0.3">
      <c r="A6" s="175">
        <v>5</v>
      </c>
      <c r="B6" s="8" t="s">
        <v>445</v>
      </c>
      <c r="C6" s="7" t="s">
        <v>446</v>
      </c>
      <c r="D6" s="9" t="s">
        <v>23</v>
      </c>
      <c r="E6" s="245" t="e">
        <f>'3.1.1'!#REF!</f>
        <v>#REF!</v>
      </c>
    </row>
    <row r="7" spans="1:5" ht="54" x14ac:dyDescent="0.3">
      <c r="A7" s="175">
        <v>6</v>
      </c>
      <c r="B7" s="171" t="s">
        <v>453</v>
      </c>
      <c r="C7" s="169" t="s">
        <v>454</v>
      </c>
      <c r="D7" s="170" t="s">
        <v>23</v>
      </c>
      <c r="E7" s="173">
        <f>'3.1.1'!I6+'3.1.1'!I9</f>
        <v>3098.9</v>
      </c>
    </row>
    <row r="8" spans="1:5" ht="54" x14ac:dyDescent="0.3">
      <c r="A8" s="175">
        <v>7</v>
      </c>
      <c r="B8" s="8" t="s">
        <v>453</v>
      </c>
      <c r="C8" s="7" t="s">
        <v>459</v>
      </c>
      <c r="D8" s="9" t="s">
        <v>23</v>
      </c>
      <c r="E8" s="172">
        <f>'3.1.1'!I5</f>
        <v>1231.0999999999999</v>
      </c>
    </row>
    <row r="9" spans="1:5" ht="18" x14ac:dyDescent="0.3">
      <c r="D9" s="10" t="s">
        <v>735</v>
      </c>
      <c r="E9" s="172" t="e">
        <f>SUM(E3:E8)</f>
        <v>#REF!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62"/>
  <sheetViews>
    <sheetView workbookViewId="0"/>
  </sheetViews>
  <sheetFormatPr defaultRowHeight="13.2" x14ac:dyDescent="0.25"/>
  <cols>
    <col min="1" max="1" width="9.109375" style="195" customWidth="1"/>
    <col min="2" max="9" width="8.88671875" style="195"/>
    <col min="10" max="10" width="8.88671875" style="196"/>
    <col min="11" max="11" width="6" style="196" customWidth="1"/>
    <col min="12" max="12" width="6.5546875" style="196" customWidth="1"/>
    <col min="13" max="13" width="11.33203125" style="196" customWidth="1"/>
    <col min="14" max="14" width="8.5546875" style="196" customWidth="1"/>
    <col min="15" max="15" width="10.77734375" style="196" customWidth="1"/>
    <col min="16" max="16" width="47.5546875" style="196" customWidth="1"/>
    <col min="17" max="16384" width="8.88671875" style="196"/>
  </cols>
  <sheetData>
    <row r="1" spans="1:9" s="220" customFormat="1" x14ac:dyDescent="0.25">
      <c r="A1" s="216" t="s">
        <v>252</v>
      </c>
      <c r="B1" s="217">
        <v>1</v>
      </c>
      <c r="C1" s="217">
        <v>1</v>
      </c>
      <c r="D1" s="217">
        <v>2</v>
      </c>
      <c r="E1" s="217">
        <v>2</v>
      </c>
      <c r="F1" s="217">
        <v>3</v>
      </c>
      <c r="G1" s="217">
        <v>3</v>
      </c>
      <c r="H1" s="218">
        <v>4</v>
      </c>
      <c r="I1" s="219"/>
    </row>
    <row r="2" spans="1:9" s="220" customFormat="1" ht="13.8" thickBot="1" x14ac:dyDescent="0.3">
      <c r="A2" s="221" t="s">
        <v>251</v>
      </c>
      <c r="B2" s="222" t="s">
        <v>740</v>
      </c>
      <c r="C2" s="222" t="s">
        <v>741</v>
      </c>
      <c r="D2" s="222" t="s">
        <v>742</v>
      </c>
      <c r="E2" s="222" t="s">
        <v>743</v>
      </c>
      <c r="F2" s="222" t="s">
        <v>744</v>
      </c>
      <c r="G2" s="222" t="s">
        <v>745</v>
      </c>
      <c r="H2" s="223" t="s">
        <v>746</v>
      </c>
      <c r="I2" s="224" t="s">
        <v>231</v>
      </c>
    </row>
    <row r="3" spans="1:9" x14ac:dyDescent="0.25">
      <c r="A3" s="210" t="s">
        <v>651</v>
      </c>
      <c r="B3" s="211">
        <f>SUMIF(Таблица4[Марка],A3,Таблица4[Площадь])</f>
        <v>15</v>
      </c>
      <c r="C3" s="211">
        <f>SUMIF(Таблица46[Марка],A3,Таблица46[Площадь])</f>
        <v>19.799999999999997</v>
      </c>
      <c r="D3" s="211">
        <f>SUMIF(Таблица467[Марка],A3,Таблица467[Площадь])</f>
        <v>14.9</v>
      </c>
      <c r="E3" s="211">
        <f>SUMIF(Таблица4678[Марка],A3,Таблица4678[Площадь])</f>
        <v>10.7</v>
      </c>
      <c r="F3" s="211">
        <f>SUMIF(Таблица46789[Марка],A3,Таблица46789[Площадь])</f>
        <v>14.9</v>
      </c>
      <c r="G3" s="211">
        <f>SUMIF(Таблица4678910[Марка],A3,Таблица4678910[Площадь])</f>
        <v>0</v>
      </c>
      <c r="H3" s="212">
        <f>SUMIF(Таблица467891011[Марка],A3,Таблица467891011[Площадь])</f>
        <v>11.7</v>
      </c>
      <c r="I3" s="225">
        <f t="shared" ref="I3:I19" si="0">SUM(B3:H3)</f>
        <v>87</v>
      </c>
    </row>
    <row r="4" spans="1:9" x14ac:dyDescent="0.25">
      <c r="A4" s="250" t="s">
        <v>649</v>
      </c>
      <c r="B4" s="251">
        <f>SUMIF(Таблица4[Марка],A4,Таблица4[Площадь])</f>
        <v>0</v>
      </c>
      <c r="C4" s="251">
        <f>SUMIF(Таблица46[Марка],A4,Таблица46[Площадь])</f>
        <v>0</v>
      </c>
      <c r="D4" s="251">
        <f>SUMIF(Таблица467[Марка],A4,Таблица467[Площадь])</f>
        <v>0</v>
      </c>
      <c r="E4" s="251">
        <f>SUMIF(Таблица4678[Марка],A4,Таблица4678[Площадь])</f>
        <v>0</v>
      </c>
      <c r="F4" s="251">
        <f>SUMIF(Таблица46789[Марка],A4,Таблица46789[Площадь])</f>
        <v>0</v>
      </c>
      <c r="G4" s="251">
        <f>SUMIF(Таблица4678910[Марка],A4,Таблица4678910[Площадь])</f>
        <v>0</v>
      </c>
      <c r="H4" s="252">
        <f>SUMIF(Таблица467891011[Марка],A4,Таблица467891011[Площадь])</f>
        <v>0</v>
      </c>
      <c r="I4" s="253">
        <f t="shared" si="0"/>
        <v>0</v>
      </c>
    </row>
    <row r="5" spans="1:9" x14ac:dyDescent="0.25">
      <c r="A5" s="213" t="s">
        <v>644</v>
      </c>
      <c r="B5" s="214">
        <f>SUMIF(Таблица4[Марка],A5,Таблица4[Площадь])</f>
        <v>6.1</v>
      </c>
      <c r="C5" s="214">
        <f>SUMIF(Таблица46[Марка],A5,Таблица46[Площадь])</f>
        <v>0</v>
      </c>
      <c r="D5" s="214">
        <f>SUMIF(Таблица467[Марка],A5,Таблица467[Площадь])</f>
        <v>6.1</v>
      </c>
      <c r="E5" s="214">
        <f>SUMIF(Таблица4678[Марка],A5,Таблица4678[Площадь])</f>
        <v>0</v>
      </c>
      <c r="F5" s="214">
        <f>SUMIF(Таблица46789[Марка],A5,Таблица46789[Площадь])</f>
        <v>0</v>
      </c>
      <c r="G5" s="214">
        <f>SUMIF(Таблица4678910[Марка],A5,Таблица4678910[Площадь])</f>
        <v>0</v>
      </c>
      <c r="H5" s="215">
        <f>SUMIF(Таблица467891011[Марка],A5,Таблица467891011[Площадь])</f>
        <v>0</v>
      </c>
      <c r="I5" s="225">
        <f t="shared" si="0"/>
        <v>12.2</v>
      </c>
    </row>
    <row r="6" spans="1:9" x14ac:dyDescent="0.25">
      <c r="A6" s="213" t="s">
        <v>640</v>
      </c>
      <c r="B6" s="214">
        <f>SUMIF(Таблица4[Марка],A6,Таблица4[Площадь])</f>
        <v>261.3</v>
      </c>
      <c r="C6" s="214">
        <f>SUMIF(Таблица46[Марка],A6,Таблица46[Площадь])</f>
        <v>0</v>
      </c>
      <c r="D6" s="214">
        <f>SUMIF(Таблица467[Марка],A6,Таблица467[Площадь])</f>
        <v>352.5</v>
      </c>
      <c r="E6" s="214">
        <f>SUMIF(Таблица4678[Марка],A6,Таблица4678[Площадь])</f>
        <v>93.2</v>
      </c>
      <c r="F6" s="214">
        <f>SUMIF(Таблица46789[Марка],A6,Таблица46789[Площадь])</f>
        <v>143.19999999999999</v>
      </c>
      <c r="G6" s="214">
        <f>SUMIF(Таблица4678910[Марка],A6,Таблица4678910[Площадь])</f>
        <v>155.80000000000001</v>
      </c>
      <c r="H6" s="215">
        <f>SUMIF(Таблица467891011[Марка],A6,Таблица467891011[Площадь])</f>
        <v>225.10000000000002</v>
      </c>
      <c r="I6" s="225">
        <f t="shared" si="0"/>
        <v>1231.0999999999999</v>
      </c>
    </row>
    <row r="7" spans="1:9" x14ac:dyDescent="0.25">
      <c r="A7" s="213" t="s">
        <v>638</v>
      </c>
      <c r="B7" s="214">
        <f>SUMIF(Таблица4[Марка],A7,Таблица4[Площадь])</f>
        <v>622.40000000000009</v>
      </c>
      <c r="C7" s="214">
        <f>SUMIF(Таблица46[Марка],A7,Таблица46[Площадь])</f>
        <v>10.6</v>
      </c>
      <c r="D7" s="214">
        <f>SUMIF(Таблица467[Марка],A7,Таблица467[Площадь])</f>
        <v>554.79999999999995</v>
      </c>
      <c r="E7" s="214">
        <f>SUMIF(Таблица4678[Марка],A7,Таблица4678[Площадь])</f>
        <v>483.4</v>
      </c>
      <c r="F7" s="214">
        <f>SUMIF(Таблица46789[Марка],A7,Таблица46789[Площадь])</f>
        <v>92.8</v>
      </c>
      <c r="G7" s="214">
        <f>SUMIF(Таблица4678910[Марка],A7,Таблица4678910[Площадь])</f>
        <v>344</v>
      </c>
      <c r="H7" s="215">
        <f>SUMIF(Таблица467891011[Марка],A7,Таблица467891011[Площадь])</f>
        <v>152.30000000000001</v>
      </c>
      <c r="I7" s="225">
        <f t="shared" si="0"/>
        <v>2260.3000000000002</v>
      </c>
    </row>
    <row r="8" spans="1:9" x14ac:dyDescent="0.25">
      <c r="A8" s="213" t="s">
        <v>642</v>
      </c>
      <c r="B8" s="214">
        <f>SUMIF(Таблица4[Марка],A8,Таблица4[Площадь])</f>
        <v>55.6</v>
      </c>
      <c r="C8" s="214">
        <f>SUMIF(Таблица46[Марка],A8,Таблица46[Площадь])</f>
        <v>30.9</v>
      </c>
      <c r="D8" s="214">
        <f>SUMIF(Таблица467[Марка],A8,Таблица467[Площадь])</f>
        <v>0</v>
      </c>
      <c r="E8" s="214">
        <f>SUMIF(Таблица4678[Марка],A8,Таблица4678[Площадь])</f>
        <v>26.699999999999996</v>
      </c>
      <c r="F8" s="214">
        <f>SUMIF(Таблица46789[Марка],A8,Таблица46789[Площадь])</f>
        <v>0</v>
      </c>
      <c r="G8" s="214">
        <f>SUMIF(Таблица4678910[Марка],A8,Таблица4678910[Площадь])</f>
        <v>1.8</v>
      </c>
      <c r="H8" s="215">
        <f>SUMIF(Таблица467891011[Марка],A8,Таблица467891011[Площадь])</f>
        <v>6.7</v>
      </c>
      <c r="I8" s="225">
        <f t="shared" si="0"/>
        <v>121.69999999999999</v>
      </c>
    </row>
    <row r="9" spans="1:9" x14ac:dyDescent="0.25">
      <c r="A9" s="250" t="s">
        <v>641</v>
      </c>
      <c r="B9" s="251">
        <f>SUMIF(Таблица4[Марка],A9,Таблица4[Площадь])</f>
        <v>0</v>
      </c>
      <c r="C9" s="251">
        <f>SUMIF(Таблица46[Марка],A9,Таблица46[Площадь])</f>
        <v>0</v>
      </c>
      <c r="D9" s="251">
        <f>SUMIF(Таблица467[Марка],A9,Таблица467[Площадь])</f>
        <v>0</v>
      </c>
      <c r="E9" s="251">
        <f>SUMIF(Таблица4678[Марка],A9,Таблица4678[Площадь])</f>
        <v>0</v>
      </c>
      <c r="F9" s="251">
        <f>SUMIF(Таблица46789[Марка],A9,Таблица46789[Площадь])</f>
        <v>0</v>
      </c>
      <c r="G9" s="251">
        <f>SUMIF(Таблица4678910[Марка],A9,Таблица4678910[Площадь])</f>
        <v>0</v>
      </c>
      <c r="H9" s="252">
        <f>SUMIF(Таблица467891011[Марка],A9,Таблица467891011[Площадь])</f>
        <v>0</v>
      </c>
      <c r="I9" s="253">
        <f t="shared" si="0"/>
        <v>0</v>
      </c>
    </row>
    <row r="10" spans="1:9" x14ac:dyDescent="0.25">
      <c r="A10" s="250" t="s">
        <v>655</v>
      </c>
      <c r="B10" s="251">
        <f>SUMIF(Таблица4[Марка],A10,Таблица4[Площадь])</f>
        <v>0</v>
      </c>
      <c r="C10" s="251">
        <f>SUMIF(Таблица46[Марка],A10,Таблица46[Площадь])</f>
        <v>0</v>
      </c>
      <c r="D10" s="251">
        <f>SUMIF(Таблица467[Марка],A10,Таблица467[Площадь])</f>
        <v>0</v>
      </c>
      <c r="E10" s="251">
        <f>SUMIF(Таблица4678[Марка],A10,Таблица4678[Площадь])</f>
        <v>0</v>
      </c>
      <c r="F10" s="251">
        <f>SUMIF(Таблица46789[Марка],A10,Таблица46789[Площадь])</f>
        <v>0</v>
      </c>
      <c r="G10" s="251">
        <f>SUMIF(Таблица4678910[Марка],A10,Таблица4678910[Площадь])</f>
        <v>0</v>
      </c>
      <c r="H10" s="252">
        <f>SUMIF(Таблица467891011[Марка],A10,Таблица467891011[Площадь])</f>
        <v>0</v>
      </c>
      <c r="I10" s="253">
        <f t="shared" si="0"/>
        <v>0</v>
      </c>
    </row>
    <row r="11" spans="1:9" x14ac:dyDescent="0.25">
      <c r="A11" s="213" t="s">
        <v>648</v>
      </c>
      <c r="B11" s="214">
        <f>SUMIF(Таблица4[Марка],A11,Таблица4[Площадь])</f>
        <v>3.1</v>
      </c>
      <c r="C11" s="214">
        <f>SUMIF(Таблица46[Марка],A11,Таблица46[Площадь])</f>
        <v>31.4</v>
      </c>
      <c r="D11" s="214">
        <f>SUMIF(Таблица467[Марка],A11,Таблица467[Площадь])</f>
        <v>3.1</v>
      </c>
      <c r="E11" s="214">
        <f>SUMIF(Таблица4678[Марка],A11,Таблица4678[Площадь])</f>
        <v>28.4</v>
      </c>
      <c r="F11" s="214">
        <f>SUMIF(Таблица46789[Марка],A11,Таблица46789[Площадь])</f>
        <v>0</v>
      </c>
      <c r="G11" s="214">
        <f>SUMIF(Таблица4678910[Марка],A11,Таблица4678910[Площадь])</f>
        <v>9.9</v>
      </c>
      <c r="H11" s="215">
        <f>SUMIF(Таблица467891011[Марка],A11,Таблица467891011[Площадь])</f>
        <v>62.2</v>
      </c>
      <c r="I11" s="225">
        <f t="shared" si="0"/>
        <v>138.10000000000002</v>
      </c>
    </row>
    <row r="12" spans="1:9" x14ac:dyDescent="0.25">
      <c r="A12" s="213" t="s">
        <v>637</v>
      </c>
      <c r="B12" s="214">
        <f>SUMIF(Таблица4[Марка],A12,Таблица4[Площадь])</f>
        <v>189.89999999999998</v>
      </c>
      <c r="C12" s="214">
        <f>SUMIF(Таблица46[Марка],A12,Таблица46[Площадь])</f>
        <v>5.7</v>
      </c>
      <c r="D12" s="214">
        <f>SUMIF(Таблица467[Марка],A12,Таблица467[Площадь])</f>
        <v>216.7</v>
      </c>
      <c r="E12" s="214">
        <f>SUMIF(Таблица4678[Марка],A12,Таблица4678[Площадь])</f>
        <v>86.399999999999991</v>
      </c>
      <c r="F12" s="214">
        <f>SUMIF(Таблица46789[Марка],A12,Таблица46789[Площадь])</f>
        <v>153.6</v>
      </c>
      <c r="G12" s="214">
        <f>SUMIF(Таблица4678910[Марка],A12,Таблица4678910[Площадь])</f>
        <v>132.1</v>
      </c>
      <c r="H12" s="215">
        <f>SUMIF(Таблица467891011[Марка],A12,Таблица467891011[Площадь])</f>
        <v>54.199999999999996</v>
      </c>
      <c r="I12" s="225">
        <f t="shared" si="0"/>
        <v>838.6</v>
      </c>
    </row>
    <row r="13" spans="1:9" x14ac:dyDescent="0.25">
      <c r="A13" s="213" t="s">
        <v>645</v>
      </c>
      <c r="B13" s="214">
        <f>SUMIF(Таблица4[Марка],A13,Таблица4[Площадь])</f>
        <v>53.7</v>
      </c>
      <c r="C13" s="214">
        <f>SUMIF(Таблица46[Марка],A13,Таблица46[Площадь])</f>
        <v>19.3</v>
      </c>
      <c r="D13" s="214">
        <f>SUMIF(Таблица467[Марка],A13,Таблица467[Площадь])</f>
        <v>18.600000000000001</v>
      </c>
      <c r="E13" s="214">
        <f>SUMIF(Таблица4678[Марка],A13,Таблица4678[Площадь])</f>
        <v>19.3</v>
      </c>
      <c r="F13" s="214">
        <f>SUMIF(Таблица46789[Марка],A13,Таблица46789[Площадь])</f>
        <v>16.100000000000001</v>
      </c>
      <c r="G13" s="214">
        <f>SUMIF(Таблица4678910[Марка],A13,Таблица4678910[Площадь])</f>
        <v>18.899999999999999</v>
      </c>
      <c r="H13" s="215">
        <f>SUMIF(Таблица467891011[Марка],A13,Таблица467891011[Площадь])</f>
        <v>30.4</v>
      </c>
      <c r="I13" s="225">
        <f t="shared" si="0"/>
        <v>176.3</v>
      </c>
    </row>
    <row r="14" spans="1:9" x14ac:dyDescent="0.25">
      <c r="A14" s="213" t="s">
        <v>652</v>
      </c>
      <c r="B14" s="214">
        <f>SUMIF(Таблица4[Марка],A14,Таблица4[Площадь])</f>
        <v>19.5</v>
      </c>
      <c r="C14" s="214">
        <f>SUMIF(Таблица46[Марка],A14,Таблица46[Площадь])</f>
        <v>38</v>
      </c>
      <c r="D14" s="214">
        <f>SUMIF(Таблица467[Марка],A14,Таблица467[Площадь])</f>
        <v>19.5</v>
      </c>
      <c r="E14" s="214">
        <f>SUMIF(Таблица4678[Марка],A14,Таблица4678[Площадь])</f>
        <v>7.4</v>
      </c>
      <c r="F14" s="214">
        <f>SUMIF(Таблица46789[Марка],A14,Таблица46789[Площадь])</f>
        <v>0</v>
      </c>
      <c r="G14" s="214">
        <f>SUMIF(Таблица4678910[Марка],A14,Таблица4678910[Площадь])</f>
        <v>8</v>
      </c>
      <c r="H14" s="215">
        <f>SUMIF(Таблица467891011[Марка],A14,Таблица467891011[Площадь])</f>
        <v>37.199999999999996</v>
      </c>
      <c r="I14" s="225">
        <f t="shared" si="0"/>
        <v>129.6</v>
      </c>
    </row>
    <row r="15" spans="1:9" x14ac:dyDescent="0.25">
      <c r="A15" s="213" t="s">
        <v>657</v>
      </c>
      <c r="B15" s="214">
        <f>SUMIF(Таблица4[Марка],A15,Таблица4[Площадь])</f>
        <v>0</v>
      </c>
      <c r="C15" s="214">
        <f>SUMIF(Таблица46[Марка],A15,Таблица46[Площадь])</f>
        <v>40.300000000000004</v>
      </c>
      <c r="D15" s="214">
        <f>SUMIF(Таблица467[Марка],A15,Таблица467[Площадь])</f>
        <v>0</v>
      </c>
      <c r="E15" s="214">
        <f>SUMIF(Таблица4678[Марка],A15,Таблица4678[Площадь])</f>
        <v>22.7</v>
      </c>
      <c r="F15" s="214">
        <f>SUMIF(Таблица46789[Марка],A15,Таблица46789[Площадь])</f>
        <v>0</v>
      </c>
      <c r="G15" s="214">
        <f>SUMIF(Таблица4678910[Марка],A15,Таблица4678910[Площадь])</f>
        <v>0</v>
      </c>
      <c r="H15" s="215">
        <f>SUMIF(Таблица467891011[Марка],A15,Таблица467891011[Площадь])</f>
        <v>0</v>
      </c>
      <c r="I15" s="225">
        <f t="shared" si="0"/>
        <v>63</v>
      </c>
    </row>
    <row r="16" spans="1:9" x14ac:dyDescent="0.25">
      <c r="A16" s="213" t="s">
        <v>643</v>
      </c>
      <c r="B16" s="214">
        <f>SUMIF(Таблица4[Марка],A16,Таблица4[Площадь])</f>
        <v>19.899999999999999</v>
      </c>
      <c r="C16" s="214">
        <f>SUMIF(Таблица46[Марка],A16,Таблица46[Площадь])</f>
        <v>0</v>
      </c>
      <c r="D16" s="214">
        <f>SUMIF(Таблица467[Марка],A16,Таблица467[Площадь])</f>
        <v>0</v>
      </c>
      <c r="E16" s="214">
        <f>SUMIF(Таблица4678[Марка],A16,Таблица4678[Площадь])</f>
        <v>0</v>
      </c>
      <c r="F16" s="214">
        <f>SUMIF(Таблица46789[Марка],A16,Таблица46789[Площадь])</f>
        <v>0</v>
      </c>
      <c r="G16" s="214">
        <f>SUMIF(Таблица4678910[Марка],A16,Таблица4678910[Площадь])</f>
        <v>0</v>
      </c>
      <c r="H16" s="215">
        <f>SUMIF(Таблица467891011[Марка],A16,Таблица467891011[Площадь])</f>
        <v>0</v>
      </c>
      <c r="I16" s="225">
        <f t="shared" si="0"/>
        <v>19.899999999999999</v>
      </c>
    </row>
    <row r="17" spans="1:16" x14ac:dyDescent="0.25">
      <c r="A17" s="213" t="s">
        <v>646</v>
      </c>
      <c r="B17" s="214">
        <f>SUMIF(Таблица4[Марка],A17,Таблица4[Площадь])</f>
        <v>5.7</v>
      </c>
      <c r="C17" s="214">
        <f>SUMIF(Таблица46[Марка],A17,Таблица46[Площадь])</f>
        <v>6.3000000000000007</v>
      </c>
      <c r="D17" s="214">
        <f>SUMIF(Таблица467[Марка],A17,Таблица467[Площадь])</f>
        <v>0</v>
      </c>
      <c r="E17" s="214">
        <f>SUMIF(Таблица4678[Марка],A17,Таблица4678[Площадь])</f>
        <v>0</v>
      </c>
      <c r="F17" s="214">
        <f>SUMIF(Таблица46789[Марка],A17,Таблица46789[Площадь])</f>
        <v>0</v>
      </c>
      <c r="G17" s="214">
        <f>SUMIF(Таблица4678910[Марка],A17,Таблица4678910[Площадь])</f>
        <v>0</v>
      </c>
      <c r="H17" s="215">
        <f>SUMIF(Таблица467891011[Марка],A17,Таблица467891011[Площадь])</f>
        <v>7</v>
      </c>
      <c r="I17" s="225">
        <f t="shared" si="0"/>
        <v>19</v>
      </c>
    </row>
    <row r="18" spans="1:16" x14ac:dyDescent="0.25">
      <c r="A18" s="213" t="s">
        <v>653</v>
      </c>
      <c r="B18" s="214">
        <f>SUMIF(Таблица4[Марка],A18,Таблица4[Площадь])</f>
        <v>7.6</v>
      </c>
      <c r="C18" s="214">
        <f>SUMIF(Таблица46[Марка],A18,Таблица46[Площадь])</f>
        <v>3.5</v>
      </c>
      <c r="D18" s="214">
        <f>SUMIF(Таблица467[Марка],A18,Таблица467[Площадь])</f>
        <v>0</v>
      </c>
      <c r="E18" s="214">
        <f>SUMIF(Таблица4678[Марка],A18,Таблица4678[Площадь])</f>
        <v>0</v>
      </c>
      <c r="F18" s="214">
        <f>SUMIF(Таблица46789[Марка],A18,Таблица46789[Площадь])</f>
        <v>0</v>
      </c>
      <c r="G18" s="214">
        <f>SUMIF(Таблица4678910[Марка],A18,Таблица4678910[Площадь])</f>
        <v>0</v>
      </c>
      <c r="H18" s="215">
        <f>SUMIF(Таблица467891011[Марка],A18,Таблица467891011[Площадь])</f>
        <v>5.5</v>
      </c>
      <c r="I18" s="225">
        <f t="shared" si="0"/>
        <v>16.600000000000001</v>
      </c>
    </row>
    <row r="19" spans="1:16" ht="13.8" thickBot="1" x14ac:dyDescent="0.3">
      <c r="A19" s="213" t="s">
        <v>658</v>
      </c>
      <c r="B19" s="214">
        <f>SUMIF(Таблица4[Марка],A19,Таблица4[Площадь])</f>
        <v>0</v>
      </c>
      <c r="C19" s="214">
        <f>SUMIF(Таблица46[Марка],A19,Таблица46[Площадь])</f>
        <v>6.9</v>
      </c>
      <c r="D19" s="214">
        <f>SUMIF(Таблица467[Марка],A19,Таблица467[Площадь])</f>
        <v>0</v>
      </c>
      <c r="E19" s="214">
        <f>SUMIF(Таблица4678[Марка],A19,Таблица4678[Площадь])</f>
        <v>1.2</v>
      </c>
      <c r="F19" s="214">
        <f>SUMIF(Таблица46789[Марка],A19,Таблица46789[Площадь])</f>
        <v>0</v>
      </c>
      <c r="G19" s="214">
        <f>SUMIF(Таблица4678910[Марка],A19,Таблица4678910[Площадь])</f>
        <v>0</v>
      </c>
      <c r="H19" s="215">
        <f>SUMIF(Таблица467891011[Марка],A19,Таблица467891011[Площадь])</f>
        <v>2.2000000000000002</v>
      </c>
      <c r="I19" s="226">
        <f t="shared" si="0"/>
        <v>10.3</v>
      </c>
    </row>
    <row r="20" spans="1:16" x14ac:dyDescent="0.25">
      <c r="H20" s="195" t="s">
        <v>269</v>
      </c>
      <c r="I20" s="227">
        <f>SUM(I3:I19)</f>
        <v>5123.7000000000007</v>
      </c>
    </row>
    <row r="22" spans="1:16" ht="26.4" x14ac:dyDescent="0.25">
      <c r="K22" s="254" t="s">
        <v>252</v>
      </c>
      <c r="L22" s="254" t="s">
        <v>251</v>
      </c>
      <c r="M22" s="255" t="s">
        <v>724</v>
      </c>
      <c r="N22" s="256" t="s">
        <v>634</v>
      </c>
      <c r="O22" s="256" t="s">
        <v>635</v>
      </c>
      <c r="P22" s="257" t="s">
        <v>636</v>
      </c>
    </row>
    <row r="23" spans="1:16" x14ac:dyDescent="0.25">
      <c r="K23" s="181">
        <v>1</v>
      </c>
      <c r="L23" s="181">
        <v>1</v>
      </c>
      <c r="M23" s="182">
        <v>1001</v>
      </c>
      <c r="N23" s="183" t="s">
        <v>641</v>
      </c>
      <c r="O23" s="184">
        <v>15</v>
      </c>
      <c r="P23" s="258" t="s">
        <v>747</v>
      </c>
    </row>
    <row r="24" spans="1:16" x14ac:dyDescent="0.25">
      <c r="K24" s="186">
        <v>1</v>
      </c>
      <c r="L24" s="186">
        <v>1</v>
      </c>
      <c r="M24" s="187">
        <v>1002</v>
      </c>
      <c r="N24" s="188" t="s">
        <v>641</v>
      </c>
      <c r="O24" s="189">
        <v>3.8</v>
      </c>
      <c r="P24" s="259" t="s">
        <v>747</v>
      </c>
    </row>
    <row r="25" spans="1:16" x14ac:dyDescent="0.25">
      <c r="K25" s="181">
        <v>1</v>
      </c>
      <c r="L25" s="181">
        <v>1</v>
      </c>
      <c r="M25" s="182">
        <v>1003</v>
      </c>
      <c r="N25" s="183" t="s">
        <v>641</v>
      </c>
      <c r="O25" s="184">
        <v>3.8</v>
      </c>
      <c r="P25" s="258" t="s">
        <v>747</v>
      </c>
    </row>
    <row r="26" spans="1:16" x14ac:dyDescent="0.25">
      <c r="K26" s="181">
        <v>1</v>
      </c>
      <c r="L26" s="181">
        <v>1</v>
      </c>
      <c r="M26" s="182">
        <v>1005</v>
      </c>
      <c r="N26" s="183" t="s">
        <v>641</v>
      </c>
      <c r="O26" s="184">
        <v>3.6</v>
      </c>
      <c r="P26" s="258" t="s">
        <v>747</v>
      </c>
    </row>
    <row r="27" spans="1:16" x14ac:dyDescent="0.25">
      <c r="K27" s="235">
        <v>1</v>
      </c>
      <c r="L27" s="235">
        <v>1</v>
      </c>
      <c r="M27" s="236">
        <v>1007</v>
      </c>
      <c r="N27" s="237" t="s">
        <v>641</v>
      </c>
      <c r="O27" s="238">
        <v>7.3</v>
      </c>
      <c r="P27" s="260" t="s">
        <v>747</v>
      </c>
    </row>
    <row r="28" spans="1:16" x14ac:dyDescent="0.25">
      <c r="K28" s="181">
        <v>1</v>
      </c>
      <c r="L28" s="181">
        <v>1</v>
      </c>
      <c r="M28" s="182">
        <v>1010</v>
      </c>
      <c r="N28" s="183" t="s">
        <v>649</v>
      </c>
      <c r="O28" s="184">
        <v>7.9</v>
      </c>
      <c r="P28" s="258" t="s">
        <v>747</v>
      </c>
    </row>
    <row r="29" spans="1:16" x14ac:dyDescent="0.25">
      <c r="K29" s="235">
        <v>1</v>
      </c>
      <c r="L29" s="235">
        <v>1</v>
      </c>
      <c r="M29" s="236">
        <v>1012</v>
      </c>
      <c r="N29" s="237" t="s">
        <v>649</v>
      </c>
      <c r="O29" s="238">
        <v>39.799999999999997</v>
      </c>
      <c r="P29" s="260" t="s">
        <v>747</v>
      </c>
    </row>
    <row r="30" spans="1:16" x14ac:dyDescent="0.25">
      <c r="K30" s="186">
        <v>1</v>
      </c>
      <c r="L30" s="186">
        <v>1</v>
      </c>
      <c r="M30" s="187">
        <v>1013</v>
      </c>
      <c r="N30" s="188" t="s">
        <v>655</v>
      </c>
      <c r="O30" s="189">
        <v>5.9</v>
      </c>
      <c r="P30" s="259" t="s">
        <v>747</v>
      </c>
    </row>
    <row r="31" spans="1:16" x14ac:dyDescent="0.25">
      <c r="K31" s="235">
        <v>1</v>
      </c>
      <c r="L31" s="235">
        <v>1</v>
      </c>
      <c r="M31" s="236">
        <v>1014</v>
      </c>
      <c r="N31" s="237" t="s">
        <v>649</v>
      </c>
      <c r="O31" s="238">
        <v>18</v>
      </c>
      <c r="P31" s="260" t="s">
        <v>747</v>
      </c>
    </row>
    <row r="32" spans="1:16" x14ac:dyDescent="0.25">
      <c r="K32" s="261">
        <v>2</v>
      </c>
      <c r="L32" s="235">
        <v>1</v>
      </c>
      <c r="M32" s="236">
        <v>2001</v>
      </c>
      <c r="N32" s="237" t="s">
        <v>641</v>
      </c>
      <c r="O32" s="238">
        <v>13.8</v>
      </c>
      <c r="P32" s="262" t="s">
        <v>739</v>
      </c>
    </row>
    <row r="33" spans="11:16" x14ac:dyDescent="0.25">
      <c r="K33" s="263">
        <v>2</v>
      </c>
      <c r="L33" s="186">
        <v>1</v>
      </c>
      <c r="M33" s="187">
        <v>2002</v>
      </c>
      <c r="N33" s="188" t="s">
        <v>641</v>
      </c>
      <c r="O33" s="189">
        <v>3.9</v>
      </c>
      <c r="P33" s="264" t="s">
        <v>739</v>
      </c>
    </row>
    <row r="34" spans="11:16" x14ac:dyDescent="0.25">
      <c r="K34" s="261">
        <v>2</v>
      </c>
      <c r="L34" s="235">
        <v>1</v>
      </c>
      <c r="M34" s="236">
        <v>2003</v>
      </c>
      <c r="N34" s="237" t="s">
        <v>641</v>
      </c>
      <c r="O34" s="238">
        <v>3.9</v>
      </c>
      <c r="P34" s="262" t="s">
        <v>739</v>
      </c>
    </row>
    <row r="35" spans="11:16" x14ac:dyDescent="0.25">
      <c r="K35" s="263">
        <v>2</v>
      </c>
      <c r="L35" s="186">
        <v>1</v>
      </c>
      <c r="M35" s="187">
        <v>2004</v>
      </c>
      <c r="N35" s="188" t="s">
        <v>641</v>
      </c>
      <c r="O35" s="189">
        <v>4</v>
      </c>
      <c r="P35" s="264" t="s">
        <v>739</v>
      </c>
    </row>
    <row r="36" spans="11:16" x14ac:dyDescent="0.25">
      <c r="K36" s="261">
        <v>2</v>
      </c>
      <c r="L36" s="235">
        <v>1</v>
      </c>
      <c r="M36" s="236">
        <v>2005</v>
      </c>
      <c r="N36" s="237" t="s">
        <v>641</v>
      </c>
      <c r="O36" s="238">
        <v>3.6</v>
      </c>
      <c r="P36" s="262" t="s">
        <v>739</v>
      </c>
    </row>
    <row r="37" spans="11:16" x14ac:dyDescent="0.25">
      <c r="K37" s="263">
        <v>2</v>
      </c>
      <c r="L37" s="186">
        <v>1</v>
      </c>
      <c r="M37" s="187">
        <v>2006</v>
      </c>
      <c r="N37" s="188" t="s">
        <v>641</v>
      </c>
      <c r="O37" s="189">
        <v>7.1</v>
      </c>
      <c r="P37" s="264" t="s">
        <v>739</v>
      </c>
    </row>
    <row r="38" spans="11:16" x14ac:dyDescent="0.25">
      <c r="K38" s="265">
        <v>2</v>
      </c>
      <c r="L38" s="239">
        <v>1</v>
      </c>
      <c r="M38" s="240">
        <v>2009</v>
      </c>
      <c r="N38" s="241" t="s">
        <v>655</v>
      </c>
      <c r="O38" s="242">
        <v>7</v>
      </c>
      <c r="P38" s="266" t="s">
        <v>739</v>
      </c>
    </row>
    <row r="39" spans="11:16" x14ac:dyDescent="0.25">
      <c r="K39" s="267">
        <v>2</v>
      </c>
      <c r="L39" s="268">
        <v>1</v>
      </c>
      <c r="M39" s="269">
        <v>2011</v>
      </c>
      <c r="N39" s="270" t="s">
        <v>649</v>
      </c>
      <c r="O39" s="271">
        <v>39.1</v>
      </c>
      <c r="P39" s="272" t="s">
        <v>739</v>
      </c>
    </row>
    <row r="40" spans="11:16" x14ac:dyDescent="0.25">
      <c r="K40" s="261">
        <v>2</v>
      </c>
      <c r="L40" s="235">
        <v>3</v>
      </c>
      <c r="M40" s="243">
        <v>2034</v>
      </c>
      <c r="N40" s="237" t="s">
        <v>641</v>
      </c>
      <c r="O40" s="238">
        <v>2.7</v>
      </c>
      <c r="P40" s="262" t="s">
        <v>739</v>
      </c>
    </row>
    <row r="41" spans="11:16" x14ac:dyDescent="0.25">
      <c r="K41" s="263">
        <v>2</v>
      </c>
      <c r="L41" s="186">
        <v>3</v>
      </c>
      <c r="M41" s="244">
        <v>2035</v>
      </c>
      <c r="N41" s="188" t="s">
        <v>641</v>
      </c>
      <c r="O41" s="189">
        <v>3.6</v>
      </c>
      <c r="P41" s="264" t="s">
        <v>739</v>
      </c>
    </row>
    <row r="42" spans="11:16" x14ac:dyDescent="0.25">
      <c r="K42" s="261">
        <v>2</v>
      </c>
      <c r="L42" s="235">
        <v>3</v>
      </c>
      <c r="M42" s="243">
        <v>2042</v>
      </c>
      <c r="N42" s="237" t="s">
        <v>649</v>
      </c>
      <c r="O42" s="238">
        <v>29</v>
      </c>
      <c r="P42" s="262" t="s">
        <v>739</v>
      </c>
    </row>
    <row r="43" spans="11:16" x14ac:dyDescent="0.25">
      <c r="K43" s="263">
        <v>2</v>
      </c>
      <c r="L43" s="186">
        <v>3</v>
      </c>
      <c r="M43" s="244">
        <v>2043</v>
      </c>
      <c r="N43" s="188" t="s">
        <v>649</v>
      </c>
      <c r="O43" s="189">
        <v>24.6</v>
      </c>
      <c r="P43" s="264" t="s">
        <v>739</v>
      </c>
    </row>
    <row r="44" spans="11:16" x14ac:dyDescent="0.25">
      <c r="K44" s="261">
        <v>2</v>
      </c>
      <c r="L44" s="235">
        <v>3</v>
      </c>
      <c r="M44" s="243">
        <v>2045</v>
      </c>
      <c r="N44" s="237" t="s">
        <v>655</v>
      </c>
      <c r="O44" s="238">
        <v>17.2</v>
      </c>
      <c r="P44" s="262" t="s">
        <v>739</v>
      </c>
    </row>
    <row r="45" spans="11:16" x14ac:dyDescent="0.25">
      <c r="K45" s="263">
        <v>2</v>
      </c>
      <c r="L45" s="186">
        <v>3</v>
      </c>
      <c r="M45" s="244">
        <v>2048</v>
      </c>
      <c r="N45" s="188" t="s">
        <v>655</v>
      </c>
      <c r="O45" s="189">
        <v>18.3</v>
      </c>
      <c r="P45" s="264" t="s">
        <v>739</v>
      </c>
    </row>
    <row r="46" spans="11:16" x14ac:dyDescent="0.25">
      <c r="K46" s="273">
        <v>2</v>
      </c>
      <c r="L46" s="274">
        <v>3</v>
      </c>
      <c r="M46" s="275">
        <v>2049</v>
      </c>
      <c r="N46" s="276" t="s">
        <v>655</v>
      </c>
      <c r="O46" s="277">
        <v>5.2</v>
      </c>
      <c r="P46" s="278" t="s">
        <v>739</v>
      </c>
    </row>
    <row r="47" spans="11:16" x14ac:dyDescent="0.25">
      <c r="K47" s="273">
        <v>3</v>
      </c>
      <c r="L47" s="274">
        <v>1</v>
      </c>
      <c r="M47" s="279">
        <v>3011</v>
      </c>
      <c r="N47" s="276" t="s">
        <v>655</v>
      </c>
      <c r="O47" s="277">
        <v>7.8</v>
      </c>
      <c r="P47" s="278" t="s">
        <v>739</v>
      </c>
    </row>
    <row r="48" spans="11:16" x14ac:dyDescent="0.25">
      <c r="K48" s="261">
        <v>3</v>
      </c>
      <c r="L48" s="235">
        <v>3</v>
      </c>
      <c r="M48" s="243">
        <v>3040</v>
      </c>
      <c r="N48" s="237" t="s">
        <v>641</v>
      </c>
      <c r="O48" s="238">
        <v>3.3</v>
      </c>
      <c r="P48" s="262" t="s">
        <v>739</v>
      </c>
    </row>
    <row r="49" spans="11:16" x14ac:dyDescent="0.25">
      <c r="K49" s="263">
        <v>3</v>
      </c>
      <c r="L49" s="186">
        <v>3</v>
      </c>
      <c r="M49" s="244">
        <v>3041</v>
      </c>
      <c r="N49" s="188" t="s">
        <v>641</v>
      </c>
      <c r="O49" s="189">
        <v>3.7</v>
      </c>
      <c r="P49" s="264" t="s">
        <v>739</v>
      </c>
    </row>
    <row r="50" spans="11:16" x14ac:dyDescent="0.25">
      <c r="K50" s="261">
        <v>3</v>
      </c>
      <c r="L50" s="235">
        <v>3</v>
      </c>
      <c r="M50" s="243">
        <v>3052</v>
      </c>
      <c r="N50" s="237" t="s">
        <v>655</v>
      </c>
      <c r="O50" s="238">
        <v>5.9</v>
      </c>
      <c r="P50" s="262" t="s">
        <v>739</v>
      </c>
    </row>
    <row r="51" spans="11:16" x14ac:dyDescent="0.25">
      <c r="K51" s="267">
        <v>3</v>
      </c>
      <c r="L51" s="268">
        <v>3</v>
      </c>
      <c r="M51" s="280">
        <v>3053</v>
      </c>
      <c r="N51" s="270" t="s">
        <v>655</v>
      </c>
      <c r="O51" s="271">
        <v>17.2</v>
      </c>
      <c r="P51" s="272" t="s">
        <v>739</v>
      </c>
    </row>
    <row r="52" spans="11:16" x14ac:dyDescent="0.25">
      <c r="K52" s="261">
        <v>4</v>
      </c>
      <c r="L52" s="235">
        <v>3</v>
      </c>
      <c r="M52" s="236">
        <v>4011</v>
      </c>
      <c r="N52" s="237" t="s">
        <v>649</v>
      </c>
      <c r="O52" s="238">
        <v>54.5</v>
      </c>
      <c r="P52" s="262" t="s">
        <v>747</v>
      </c>
    </row>
    <row r="53" spans="11:16" x14ac:dyDescent="0.25">
      <c r="K53" s="263">
        <v>4</v>
      </c>
      <c r="L53" s="186">
        <v>3</v>
      </c>
      <c r="M53" s="187">
        <v>4012</v>
      </c>
      <c r="N53" s="188" t="s">
        <v>649</v>
      </c>
      <c r="O53" s="189">
        <v>5.5</v>
      </c>
      <c r="P53" s="264" t="s">
        <v>747</v>
      </c>
    </row>
    <row r="54" spans="11:16" x14ac:dyDescent="0.25">
      <c r="K54" s="261">
        <v>4</v>
      </c>
      <c r="L54" s="235">
        <v>3</v>
      </c>
      <c r="M54" s="236">
        <v>4012</v>
      </c>
      <c r="N54" s="237" t="s">
        <v>655</v>
      </c>
      <c r="O54" s="238">
        <v>4.7</v>
      </c>
      <c r="P54" s="262" t="s">
        <v>747</v>
      </c>
    </row>
    <row r="55" spans="11:16" x14ac:dyDescent="0.25">
      <c r="K55" s="263">
        <v>4</v>
      </c>
      <c r="L55" s="186">
        <v>3</v>
      </c>
      <c r="M55" s="187">
        <v>4013</v>
      </c>
      <c r="N55" s="188" t="s">
        <v>649</v>
      </c>
      <c r="O55" s="189">
        <v>20.399999999999999</v>
      </c>
      <c r="P55" s="264" t="s">
        <v>747</v>
      </c>
    </row>
    <row r="56" spans="11:16" x14ac:dyDescent="0.25">
      <c r="K56" s="261">
        <v>4</v>
      </c>
      <c r="L56" s="235">
        <v>3</v>
      </c>
      <c r="M56" s="236">
        <v>4013</v>
      </c>
      <c r="N56" s="237" t="s">
        <v>655</v>
      </c>
      <c r="O56" s="238">
        <v>17.2</v>
      </c>
      <c r="P56" s="262" t="s">
        <v>747</v>
      </c>
    </row>
    <row r="57" spans="11:16" x14ac:dyDescent="0.25">
      <c r="K57" s="263">
        <v>4</v>
      </c>
      <c r="L57" s="186">
        <v>3</v>
      </c>
      <c r="M57" s="187">
        <v>4015</v>
      </c>
      <c r="N57" s="188" t="s">
        <v>649</v>
      </c>
      <c r="O57" s="189">
        <v>45.3</v>
      </c>
      <c r="P57" s="264" t="s">
        <v>747</v>
      </c>
    </row>
    <row r="58" spans="11:16" x14ac:dyDescent="0.25">
      <c r="K58" s="261">
        <v>4</v>
      </c>
      <c r="L58" s="235">
        <v>3</v>
      </c>
      <c r="M58" s="236">
        <v>4015</v>
      </c>
      <c r="N58" s="237" t="s">
        <v>655</v>
      </c>
      <c r="O58" s="238">
        <v>11.9</v>
      </c>
      <c r="P58" s="262" t="s">
        <v>747</v>
      </c>
    </row>
    <row r="59" spans="11:16" x14ac:dyDescent="0.25">
      <c r="K59" s="263">
        <v>4</v>
      </c>
      <c r="L59" s="186">
        <v>3</v>
      </c>
      <c r="M59" s="187">
        <v>4016</v>
      </c>
      <c r="N59" s="188" t="s">
        <v>649</v>
      </c>
      <c r="O59" s="189">
        <v>18.3</v>
      </c>
      <c r="P59" s="264" t="s">
        <v>747</v>
      </c>
    </row>
    <row r="60" spans="11:16" x14ac:dyDescent="0.25">
      <c r="K60" s="261">
        <v>4</v>
      </c>
      <c r="L60" s="235">
        <v>3</v>
      </c>
      <c r="M60" s="236">
        <v>4016</v>
      </c>
      <c r="N60" s="237" t="s">
        <v>655</v>
      </c>
      <c r="O60" s="238">
        <v>18.3</v>
      </c>
      <c r="P60" s="262" t="s">
        <v>747</v>
      </c>
    </row>
    <row r="61" spans="11:16" x14ac:dyDescent="0.25">
      <c r="K61" s="263">
        <v>4</v>
      </c>
      <c r="L61" s="186">
        <v>3</v>
      </c>
      <c r="M61" s="187">
        <v>4017</v>
      </c>
      <c r="N61" s="188" t="s">
        <v>649</v>
      </c>
      <c r="O61" s="189">
        <v>6.1</v>
      </c>
      <c r="P61" s="264" t="s">
        <v>747</v>
      </c>
    </row>
    <row r="62" spans="11:16" x14ac:dyDescent="0.25">
      <c r="K62" s="273">
        <v>4</v>
      </c>
      <c r="L62" s="274">
        <v>3</v>
      </c>
      <c r="M62" s="279">
        <v>4017</v>
      </c>
      <c r="N62" s="276" t="s">
        <v>655</v>
      </c>
      <c r="O62" s="277">
        <v>5.2</v>
      </c>
      <c r="P62" s="278" t="s">
        <v>747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F37"/>
  <sheetViews>
    <sheetView workbookViewId="0"/>
  </sheetViews>
  <sheetFormatPr defaultRowHeight="13.2" x14ac:dyDescent="0.25"/>
  <cols>
    <col min="1" max="1" width="6" style="195" customWidth="1"/>
    <col min="2" max="2" width="6.5546875" style="195" customWidth="1"/>
    <col min="3" max="3" width="11.33203125" style="195" customWidth="1"/>
    <col min="4" max="4" width="8.5546875" style="195" customWidth="1"/>
    <col min="5" max="5" width="10.77734375" style="195" customWidth="1"/>
    <col min="6" max="6" width="47.5546875" style="196" customWidth="1"/>
    <col min="7" max="16384" width="8.88671875" style="196"/>
  </cols>
  <sheetData>
    <row r="1" spans="1:6" ht="26.4" x14ac:dyDescent="0.25">
      <c r="A1" s="177" t="s">
        <v>252</v>
      </c>
      <c r="B1" s="178" t="s">
        <v>251</v>
      </c>
      <c r="C1" s="179" t="s">
        <v>724</v>
      </c>
      <c r="D1" s="176" t="s">
        <v>634</v>
      </c>
      <c r="E1" s="176" t="s">
        <v>635</v>
      </c>
      <c r="F1" s="153" t="s">
        <v>636</v>
      </c>
    </row>
    <row r="2" spans="1:6" x14ac:dyDescent="0.25">
      <c r="A2" s="180">
        <v>1</v>
      </c>
      <c r="B2" s="181">
        <v>1</v>
      </c>
      <c r="C2" s="182">
        <v>1001</v>
      </c>
      <c r="D2" s="183" t="s">
        <v>637</v>
      </c>
      <c r="E2" s="184">
        <v>12.6</v>
      </c>
      <c r="F2" s="283" t="s">
        <v>762</v>
      </c>
    </row>
    <row r="3" spans="1:6" x14ac:dyDescent="0.25">
      <c r="A3" s="185">
        <v>1</v>
      </c>
      <c r="B3" s="186">
        <v>1</v>
      </c>
      <c r="C3" s="187">
        <v>1001</v>
      </c>
      <c r="D3" s="188" t="s">
        <v>638</v>
      </c>
      <c r="E3" s="189">
        <v>55.1</v>
      </c>
      <c r="F3" s="155" t="s">
        <v>761</v>
      </c>
    </row>
    <row r="4" spans="1:6" x14ac:dyDescent="0.25">
      <c r="A4" s="185">
        <v>1</v>
      </c>
      <c r="B4" s="186">
        <v>1</v>
      </c>
      <c r="C4" s="187">
        <v>1001</v>
      </c>
      <c r="D4" s="188" t="s">
        <v>640</v>
      </c>
      <c r="E4" s="189">
        <v>40.4</v>
      </c>
      <c r="F4" s="285" t="s">
        <v>760</v>
      </c>
    </row>
    <row r="5" spans="1:6" x14ac:dyDescent="0.25">
      <c r="A5" s="185">
        <v>1</v>
      </c>
      <c r="B5" s="186">
        <v>1</v>
      </c>
      <c r="C5" s="187">
        <v>1002</v>
      </c>
      <c r="D5" s="188" t="s">
        <v>637</v>
      </c>
      <c r="E5" s="189">
        <v>6.2</v>
      </c>
      <c r="F5" s="155" t="s">
        <v>762</v>
      </c>
    </row>
    <row r="6" spans="1:6" x14ac:dyDescent="0.25">
      <c r="A6" s="180">
        <v>1</v>
      </c>
      <c r="B6" s="181">
        <v>1</v>
      </c>
      <c r="C6" s="182">
        <v>1002</v>
      </c>
      <c r="D6" s="183" t="s">
        <v>638</v>
      </c>
      <c r="E6" s="184">
        <v>81.3</v>
      </c>
      <c r="F6" s="154" t="s">
        <v>761</v>
      </c>
    </row>
    <row r="7" spans="1:6" x14ac:dyDescent="0.25">
      <c r="A7" s="180">
        <v>1</v>
      </c>
      <c r="B7" s="181">
        <v>1</v>
      </c>
      <c r="C7" s="182">
        <v>1002</v>
      </c>
      <c r="D7" s="183" t="s">
        <v>640</v>
      </c>
      <c r="E7" s="184">
        <v>10</v>
      </c>
      <c r="F7" s="285" t="s">
        <v>760</v>
      </c>
    </row>
    <row r="8" spans="1:6" x14ac:dyDescent="0.25">
      <c r="A8" s="180">
        <v>1</v>
      </c>
      <c r="B8" s="181">
        <v>1</v>
      </c>
      <c r="C8" s="182">
        <v>1003</v>
      </c>
      <c r="D8" s="183" t="s">
        <v>637</v>
      </c>
      <c r="E8" s="184">
        <v>7.8</v>
      </c>
      <c r="F8" s="154" t="s">
        <v>762</v>
      </c>
    </row>
    <row r="9" spans="1:6" x14ac:dyDescent="0.25">
      <c r="A9" s="185">
        <v>1</v>
      </c>
      <c r="B9" s="186">
        <v>1</v>
      </c>
      <c r="C9" s="187">
        <v>1003</v>
      </c>
      <c r="D9" s="188" t="s">
        <v>638</v>
      </c>
      <c r="E9" s="189">
        <v>59.9</v>
      </c>
      <c r="F9" s="155" t="s">
        <v>761</v>
      </c>
    </row>
    <row r="10" spans="1:6" x14ac:dyDescent="0.25">
      <c r="A10" s="185">
        <v>1</v>
      </c>
      <c r="B10" s="186">
        <v>1</v>
      </c>
      <c r="C10" s="187">
        <v>1003</v>
      </c>
      <c r="D10" s="188" t="s">
        <v>640</v>
      </c>
      <c r="E10" s="189">
        <v>31.7</v>
      </c>
      <c r="F10" s="285" t="s">
        <v>760</v>
      </c>
    </row>
    <row r="11" spans="1:6" x14ac:dyDescent="0.25">
      <c r="A11" s="180">
        <v>1</v>
      </c>
      <c r="B11" s="181">
        <v>1</v>
      </c>
      <c r="C11" s="182">
        <v>1005</v>
      </c>
      <c r="D11" s="183" t="s">
        <v>637</v>
      </c>
      <c r="E11" s="184">
        <v>3.4</v>
      </c>
      <c r="F11" s="154" t="s">
        <v>762</v>
      </c>
    </row>
    <row r="12" spans="1:6" x14ac:dyDescent="0.25">
      <c r="A12" s="185">
        <v>1</v>
      </c>
      <c r="B12" s="186">
        <v>1</v>
      </c>
      <c r="C12" s="187">
        <v>1005</v>
      </c>
      <c r="D12" s="188" t="s">
        <v>638</v>
      </c>
      <c r="E12" s="189">
        <v>73</v>
      </c>
      <c r="F12" s="155" t="s">
        <v>761</v>
      </c>
    </row>
    <row r="13" spans="1:6" x14ac:dyDescent="0.25">
      <c r="A13" s="185">
        <v>1</v>
      </c>
      <c r="B13" s="186">
        <v>1</v>
      </c>
      <c r="C13" s="187">
        <v>1005</v>
      </c>
      <c r="D13" s="188" t="s">
        <v>640</v>
      </c>
      <c r="E13" s="189">
        <v>8.5</v>
      </c>
      <c r="F13" s="285" t="s">
        <v>760</v>
      </c>
    </row>
    <row r="14" spans="1:6" x14ac:dyDescent="0.25">
      <c r="A14" s="185">
        <v>1</v>
      </c>
      <c r="B14" s="186">
        <v>1</v>
      </c>
      <c r="C14" s="187">
        <v>1007</v>
      </c>
      <c r="D14" s="188" t="s">
        <v>637</v>
      </c>
      <c r="E14" s="189">
        <v>7.8</v>
      </c>
      <c r="F14" s="155" t="s">
        <v>762</v>
      </c>
    </row>
    <row r="15" spans="1:6" x14ac:dyDescent="0.25">
      <c r="A15" s="180">
        <v>1</v>
      </c>
      <c r="B15" s="181">
        <v>1</v>
      </c>
      <c r="C15" s="182">
        <v>1007</v>
      </c>
      <c r="D15" s="183" t="s">
        <v>638</v>
      </c>
      <c r="E15" s="184">
        <v>74</v>
      </c>
      <c r="F15" s="154" t="s">
        <v>761</v>
      </c>
    </row>
    <row r="16" spans="1:6" x14ac:dyDescent="0.25">
      <c r="A16" s="180">
        <v>1</v>
      </c>
      <c r="B16" s="181">
        <v>1</v>
      </c>
      <c r="C16" s="182">
        <v>1007</v>
      </c>
      <c r="D16" s="183" t="s">
        <v>640</v>
      </c>
      <c r="E16" s="184">
        <v>56</v>
      </c>
      <c r="F16" s="285" t="s">
        <v>760</v>
      </c>
    </row>
    <row r="17" spans="1:6" x14ac:dyDescent="0.25">
      <c r="A17" s="185">
        <v>1</v>
      </c>
      <c r="B17" s="186">
        <v>1</v>
      </c>
      <c r="C17" s="187">
        <v>1008</v>
      </c>
      <c r="D17" s="188" t="s">
        <v>642</v>
      </c>
      <c r="E17" s="189">
        <v>55.6</v>
      </c>
      <c r="F17" s="288" t="s">
        <v>754</v>
      </c>
    </row>
    <row r="18" spans="1:6" x14ac:dyDescent="0.25">
      <c r="A18" s="180">
        <v>1</v>
      </c>
      <c r="B18" s="181">
        <v>1</v>
      </c>
      <c r="C18" s="182">
        <v>1008</v>
      </c>
      <c r="D18" s="183" t="s">
        <v>643</v>
      </c>
      <c r="E18" s="184">
        <v>19.899999999999999</v>
      </c>
      <c r="F18" s="154" t="s">
        <v>755</v>
      </c>
    </row>
    <row r="19" spans="1:6" x14ac:dyDescent="0.25">
      <c r="A19" s="185">
        <v>1</v>
      </c>
      <c r="B19" s="186">
        <v>1</v>
      </c>
      <c r="C19" s="187">
        <v>1010</v>
      </c>
      <c r="D19" s="188" t="s">
        <v>645</v>
      </c>
      <c r="E19" s="189">
        <v>14.4</v>
      </c>
      <c r="F19" s="155" t="s">
        <v>755</v>
      </c>
    </row>
    <row r="20" spans="1:6" x14ac:dyDescent="0.25">
      <c r="A20" s="185">
        <v>1</v>
      </c>
      <c r="B20" s="186">
        <v>1</v>
      </c>
      <c r="C20" s="187">
        <v>1010</v>
      </c>
      <c r="D20" s="188" t="s">
        <v>651</v>
      </c>
      <c r="E20" s="189">
        <v>15</v>
      </c>
      <c r="F20" s="288" t="s">
        <v>754</v>
      </c>
    </row>
    <row r="21" spans="1:6" x14ac:dyDescent="0.25">
      <c r="A21" s="185">
        <v>1</v>
      </c>
      <c r="B21" s="186">
        <v>1</v>
      </c>
      <c r="C21" s="187">
        <v>1012</v>
      </c>
      <c r="D21" s="188" t="s">
        <v>644</v>
      </c>
      <c r="E21" s="189">
        <v>6.1</v>
      </c>
      <c r="F21" s="155" t="s">
        <v>755</v>
      </c>
    </row>
    <row r="22" spans="1:6" x14ac:dyDescent="0.25">
      <c r="A22" s="180">
        <v>1</v>
      </c>
      <c r="B22" s="181">
        <v>1</v>
      </c>
      <c r="C22" s="182">
        <v>1012</v>
      </c>
      <c r="D22" s="183" t="s">
        <v>645</v>
      </c>
      <c r="E22" s="184">
        <v>2.5</v>
      </c>
      <c r="F22" s="154" t="s">
        <v>755</v>
      </c>
    </row>
    <row r="23" spans="1:6" x14ac:dyDescent="0.25">
      <c r="A23" s="185">
        <v>1</v>
      </c>
      <c r="B23" s="186">
        <v>1</v>
      </c>
      <c r="C23" s="187">
        <v>1012</v>
      </c>
      <c r="D23" s="188" t="s">
        <v>646</v>
      </c>
      <c r="E23" s="189">
        <v>1.3</v>
      </c>
      <c r="F23" s="155" t="s">
        <v>758</v>
      </c>
    </row>
    <row r="24" spans="1:6" x14ac:dyDescent="0.25">
      <c r="A24" s="180">
        <v>1</v>
      </c>
      <c r="B24" s="181">
        <v>1</v>
      </c>
      <c r="C24" s="182">
        <v>1012</v>
      </c>
      <c r="D24" s="183" t="s">
        <v>652</v>
      </c>
      <c r="E24" s="184">
        <v>19.5</v>
      </c>
      <c r="F24" s="154" t="s">
        <v>757</v>
      </c>
    </row>
    <row r="25" spans="1:6" x14ac:dyDescent="0.25">
      <c r="A25" s="180">
        <v>1</v>
      </c>
      <c r="B25" s="181">
        <v>1</v>
      </c>
      <c r="C25" s="182">
        <v>1012</v>
      </c>
      <c r="D25" s="183" t="s">
        <v>648</v>
      </c>
      <c r="E25" s="184">
        <v>3.1</v>
      </c>
      <c r="F25" s="288" t="s">
        <v>754</v>
      </c>
    </row>
    <row r="26" spans="1:6" x14ac:dyDescent="0.25">
      <c r="A26" s="180">
        <v>1</v>
      </c>
      <c r="B26" s="181">
        <v>1</v>
      </c>
      <c r="C26" s="182">
        <v>1013</v>
      </c>
      <c r="D26" s="183" t="s">
        <v>645</v>
      </c>
      <c r="E26" s="184">
        <v>22.8</v>
      </c>
      <c r="F26" s="154" t="s">
        <v>755</v>
      </c>
    </row>
    <row r="27" spans="1:6" x14ac:dyDescent="0.25">
      <c r="A27" s="185">
        <v>1</v>
      </c>
      <c r="B27" s="186">
        <v>1</v>
      </c>
      <c r="C27" s="187">
        <v>1013</v>
      </c>
      <c r="D27" s="188" t="s">
        <v>653</v>
      </c>
      <c r="E27" s="189">
        <v>4.5999999999999996</v>
      </c>
      <c r="F27" s="155" t="s">
        <v>756</v>
      </c>
    </row>
    <row r="28" spans="1:6" x14ac:dyDescent="0.25">
      <c r="A28" s="180">
        <v>1</v>
      </c>
      <c r="B28" s="181">
        <v>1</v>
      </c>
      <c r="C28" s="182">
        <v>1013</v>
      </c>
      <c r="D28" s="183" t="s">
        <v>646</v>
      </c>
      <c r="E28" s="184">
        <v>1.1000000000000001</v>
      </c>
      <c r="F28" s="154" t="s">
        <v>758</v>
      </c>
    </row>
    <row r="29" spans="1:6" ht="14.4" customHeight="1" x14ac:dyDescent="0.25">
      <c r="A29" s="180">
        <v>1</v>
      </c>
      <c r="B29" s="181">
        <v>1</v>
      </c>
      <c r="C29" s="182">
        <v>1014</v>
      </c>
      <c r="D29" s="183" t="s">
        <v>645</v>
      </c>
      <c r="E29" s="184">
        <v>14</v>
      </c>
      <c r="F29" s="154" t="s">
        <v>755</v>
      </c>
    </row>
    <row r="30" spans="1:6" x14ac:dyDescent="0.25">
      <c r="A30" s="185">
        <v>1</v>
      </c>
      <c r="B30" s="186">
        <v>1</v>
      </c>
      <c r="C30" s="187">
        <v>1014</v>
      </c>
      <c r="D30" s="188" t="s">
        <v>653</v>
      </c>
      <c r="E30" s="189">
        <v>3</v>
      </c>
      <c r="F30" s="155" t="s">
        <v>756</v>
      </c>
    </row>
    <row r="31" spans="1:6" x14ac:dyDescent="0.25">
      <c r="A31" s="180">
        <v>1</v>
      </c>
      <c r="B31" s="181">
        <v>1</v>
      </c>
      <c r="C31" s="182">
        <v>1014</v>
      </c>
      <c r="D31" s="183" t="s">
        <v>646</v>
      </c>
      <c r="E31" s="184">
        <v>3.3</v>
      </c>
      <c r="F31" s="154" t="s">
        <v>758</v>
      </c>
    </row>
    <row r="32" spans="1:6" x14ac:dyDescent="0.25">
      <c r="A32" s="180">
        <v>1</v>
      </c>
      <c r="B32" s="181">
        <v>1</v>
      </c>
      <c r="C32" s="182">
        <v>1015</v>
      </c>
      <c r="D32" s="183" t="s">
        <v>637</v>
      </c>
      <c r="E32" s="184">
        <v>51.4</v>
      </c>
      <c r="F32" s="154" t="s">
        <v>762</v>
      </c>
    </row>
    <row r="33" spans="1:6" x14ac:dyDescent="0.25">
      <c r="A33" s="185">
        <v>1</v>
      </c>
      <c r="B33" s="186">
        <v>1</v>
      </c>
      <c r="C33" s="187">
        <v>1015</v>
      </c>
      <c r="D33" s="188" t="s">
        <v>638</v>
      </c>
      <c r="E33" s="189">
        <v>115.8</v>
      </c>
      <c r="F33" s="155" t="s">
        <v>761</v>
      </c>
    </row>
    <row r="34" spans="1:6" x14ac:dyDescent="0.25">
      <c r="A34" s="185">
        <v>1</v>
      </c>
      <c r="B34" s="186">
        <v>1</v>
      </c>
      <c r="C34" s="187">
        <v>1015</v>
      </c>
      <c r="D34" s="188" t="s">
        <v>640</v>
      </c>
      <c r="E34" s="189">
        <v>69.2</v>
      </c>
      <c r="F34" s="285" t="s">
        <v>760</v>
      </c>
    </row>
    <row r="35" spans="1:6" x14ac:dyDescent="0.25">
      <c r="A35" s="180">
        <v>1</v>
      </c>
      <c r="B35" s="181">
        <v>1</v>
      </c>
      <c r="C35" s="182">
        <v>1016</v>
      </c>
      <c r="D35" s="183" t="s">
        <v>637</v>
      </c>
      <c r="E35" s="184">
        <v>100.7</v>
      </c>
      <c r="F35" s="154" t="s">
        <v>762</v>
      </c>
    </row>
    <row r="36" spans="1:6" x14ac:dyDescent="0.25">
      <c r="A36" s="185">
        <v>1</v>
      </c>
      <c r="B36" s="186">
        <v>1</v>
      </c>
      <c r="C36" s="187">
        <v>1016</v>
      </c>
      <c r="D36" s="188" t="s">
        <v>638</v>
      </c>
      <c r="E36" s="189">
        <v>163.30000000000001</v>
      </c>
      <c r="F36" s="155" t="s">
        <v>761</v>
      </c>
    </row>
    <row r="37" spans="1:6" x14ac:dyDescent="0.25">
      <c r="A37" s="185">
        <v>1</v>
      </c>
      <c r="B37" s="186">
        <v>1</v>
      </c>
      <c r="C37" s="187">
        <v>1016</v>
      </c>
      <c r="D37" s="188" t="s">
        <v>640</v>
      </c>
      <c r="E37" s="189">
        <v>45.5</v>
      </c>
      <c r="F37" s="285" t="s">
        <v>760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F29"/>
  <sheetViews>
    <sheetView workbookViewId="0"/>
  </sheetViews>
  <sheetFormatPr defaultRowHeight="13.2" x14ac:dyDescent="0.25"/>
  <cols>
    <col min="1" max="1" width="7" style="195" customWidth="1"/>
    <col min="2" max="2" width="8.6640625" style="195" customWidth="1"/>
    <col min="3" max="3" width="7.6640625" style="195" customWidth="1"/>
    <col min="4" max="4" width="7.88671875" style="195" customWidth="1"/>
    <col min="5" max="5" width="10.21875" style="195" customWidth="1"/>
    <col min="6" max="6" width="47.5546875" style="196" customWidth="1"/>
    <col min="7" max="16384" width="8.88671875" style="196"/>
  </cols>
  <sheetData>
    <row r="1" spans="1:6" ht="39.6" x14ac:dyDescent="0.25">
      <c r="A1" s="177" t="s">
        <v>252</v>
      </c>
      <c r="B1" s="178" t="s">
        <v>251</v>
      </c>
      <c r="C1" s="179" t="s">
        <v>724</v>
      </c>
      <c r="D1" s="176" t="s">
        <v>634</v>
      </c>
      <c r="E1" s="176" t="s">
        <v>635</v>
      </c>
      <c r="F1" s="153" t="s">
        <v>636</v>
      </c>
    </row>
    <row r="2" spans="1:6" x14ac:dyDescent="0.25">
      <c r="A2" s="190">
        <v>1</v>
      </c>
      <c r="B2" s="191">
        <v>3</v>
      </c>
      <c r="C2" s="192">
        <v>1087</v>
      </c>
      <c r="D2" s="193" t="s">
        <v>646</v>
      </c>
      <c r="E2" s="194">
        <v>2.1</v>
      </c>
      <c r="F2" s="167" t="s">
        <v>758</v>
      </c>
    </row>
    <row r="3" spans="1:6" x14ac:dyDescent="0.25">
      <c r="A3" s="190">
        <v>1</v>
      </c>
      <c r="B3" s="191">
        <v>3</v>
      </c>
      <c r="C3" s="192">
        <v>1087</v>
      </c>
      <c r="D3" s="193" t="s">
        <v>652</v>
      </c>
      <c r="E3" s="194">
        <v>3.2</v>
      </c>
      <c r="F3" s="167" t="s">
        <v>757</v>
      </c>
    </row>
    <row r="4" spans="1:6" x14ac:dyDescent="0.25">
      <c r="A4" s="190">
        <v>1</v>
      </c>
      <c r="B4" s="191">
        <v>3</v>
      </c>
      <c r="C4" s="192">
        <v>1087</v>
      </c>
      <c r="D4" s="193" t="s">
        <v>657</v>
      </c>
      <c r="E4" s="194">
        <v>14.5</v>
      </c>
      <c r="F4" s="167" t="s">
        <v>758</v>
      </c>
    </row>
    <row r="5" spans="1:6" x14ac:dyDescent="0.25">
      <c r="A5" s="190">
        <v>1</v>
      </c>
      <c r="B5" s="191">
        <v>3</v>
      </c>
      <c r="C5" s="192">
        <v>1087</v>
      </c>
      <c r="D5" s="193" t="s">
        <v>651</v>
      </c>
      <c r="E5" s="194">
        <v>9.1999999999999993</v>
      </c>
      <c r="F5" s="284" t="s">
        <v>754</v>
      </c>
    </row>
    <row r="6" spans="1:6" x14ac:dyDescent="0.25">
      <c r="A6" s="190">
        <v>1</v>
      </c>
      <c r="B6" s="191">
        <v>3</v>
      </c>
      <c r="C6" s="192">
        <v>1088</v>
      </c>
      <c r="D6" s="193" t="s">
        <v>652</v>
      </c>
      <c r="E6" s="194">
        <v>24.2</v>
      </c>
      <c r="F6" s="167" t="s">
        <v>757</v>
      </c>
    </row>
    <row r="7" spans="1:6" ht="26.4" x14ac:dyDescent="0.25">
      <c r="A7" s="190">
        <v>1</v>
      </c>
      <c r="B7" s="191">
        <v>3</v>
      </c>
      <c r="C7" s="192">
        <v>1088</v>
      </c>
      <c r="D7" s="193" t="s">
        <v>658</v>
      </c>
      <c r="E7" s="194">
        <v>4.8</v>
      </c>
      <c r="F7" s="167" t="s">
        <v>759</v>
      </c>
    </row>
    <row r="8" spans="1:6" x14ac:dyDescent="0.25">
      <c r="A8" s="190">
        <v>1</v>
      </c>
      <c r="B8" s="191">
        <v>3</v>
      </c>
      <c r="C8" s="192">
        <v>1088</v>
      </c>
      <c r="D8" s="193" t="s">
        <v>642</v>
      </c>
      <c r="E8" s="194">
        <v>4.2</v>
      </c>
      <c r="F8" s="284" t="s">
        <v>754</v>
      </c>
    </row>
    <row r="9" spans="1:6" x14ac:dyDescent="0.25">
      <c r="A9" s="190">
        <v>1</v>
      </c>
      <c r="B9" s="191">
        <v>3</v>
      </c>
      <c r="C9" s="192">
        <v>1088</v>
      </c>
      <c r="D9" s="193" t="s">
        <v>648</v>
      </c>
      <c r="E9" s="194">
        <v>23.3</v>
      </c>
      <c r="F9" s="284" t="s">
        <v>754</v>
      </c>
    </row>
    <row r="10" spans="1:6" x14ac:dyDescent="0.25">
      <c r="A10" s="190">
        <v>1</v>
      </c>
      <c r="B10" s="191">
        <v>3</v>
      </c>
      <c r="C10" s="192">
        <v>1089</v>
      </c>
      <c r="D10" s="193" t="s">
        <v>645</v>
      </c>
      <c r="E10" s="194">
        <v>8.9</v>
      </c>
      <c r="F10" s="167" t="s">
        <v>755</v>
      </c>
    </row>
    <row r="11" spans="1:6" x14ac:dyDescent="0.25">
      <c r="A11" s="190">
        <v>1</v>
      </c>
      <c r="B11" s="191">
        <v>3</v>
      </c>
      <c r="C11" s="192">
        <v>1089</v>
      </c>
      <c r="D11" s="193" t="s">
        <v>653</v>
      </c>
      <c r="E11" s="194">
        <v>1.6</v>
      </c>
      <c r="F11" s="167" t="s">
        <v>756</v>
      </c>
    </row>
    <row r="12" spans="1:6" x14ac:dyDescent="0.25">
      <c r="A12" s="190">
        <v>1</v>
      </c>
      <c r="B12" s="191">
        <v>3</v>
      </c>
      <c r="C12" s="192">
        <v>1089</v>
      </c>
      <c r="D12" s="193" t="s">
        <v>646</v>
      </c>
      <c r="E12" s="194">
        <v>3.2</v>
      </c>
      <c r="F12" s="167" t="s">
        <v>758</v>
      </c>
    </row>
    <row r="13" spans="1:6" x14ac:dyDescent="0.25">
      <c r="A13" s="190">
        <v>1</v>
      </c>
      <c r="B13" s="191">
        <v>3</v>
      </c>
      <c r="C13" s="192">
        <v>1089</v>
      </c>
      <c r="D13" s="193" t="s">
        <v>652</v>
      </c>
      <c r="E13" s="194">
        <v>4.3</v>
      </c>
      <c r="F13" s="167" t="s">
        <v>757</v>
      </c>
    </row>
    <row r="14" spans="1:6" ht="26.4" x14ac:dyDescent="0.25">
      <c r="A14" s="190">
        <v>1</v>
      </c>
      <c r="B14" s="191">
        <v>3</v>
      </c>
      <c r="C14" s="192">
        <v>1089</v>
      </c>
      <c r="D14" s="193" t="s">
        <v>658</v>
      </c>
      <c r="E14" s="194">
        <v>1.2</v>
      </c>
      <c r="F14" s="167" t="s">
        <v>759</v>
      </c>
    </row>
    <row r="15" spans="1:6" x14ac:dyDescent="0.25">
      <c r="A15" s="190">
        <v>1</v>
      </c>
      <c r="B15" s="191">
        <v>3</v>
      </c>
      <c r="C15" s="192">
        <v>1090</v>
      </c>
      <c r="D15" s="193" t="s">
        <v>652</v>
      </c>
      <c r="E15" s="194">
        <v>2.1</v>
      </c>
      <c r="F15" s="167" t="s">
        <v>757</v>
      </c>
    </row>
    <row r="16" spans="1:6" x14ac:dyDescent="0.25">
      <c r="A16" s="190">
        <v>1</v>
      </c>
      <c r="B16" s="191">
        <v>3</v>
      </c>
      <c r="C16" s="192">
        <v>1090</v>
      </c>
      <c r="D16" s="193" t="s">
        <v>657</v>
      </c>
      <c r="E16" s="194">
        <v>20.6</v>
      </c>
      <c r="F16" s="167" t="s">
        <v>758</v>
      </c>
    </row>
    <row r="17" spans="1:6" x14ac:dyDescent="0.25">
      <c r="A17" s="190">
        <v>1</v>
      </c>
      <c r="B17" s="191">
        <v>3</v>
      </c>
      <c r="C17" s="192">
        <v>1090</v>
      </c>
      <c r="D17" s="193" t="s">
        <v>642</v>
      </c>
      <c r="E17" s="194">
        <v>1.9</v>
      </c>
      <c r="F17" s="284" t="s">
        <v>754</v>
      </c>
    </row>
    <row r="18" spans="1:6" x14ac:dyDescent="0.25">
      <c r="A18" s="190">
        <v>1</v>
      </c>
      <c r="B18" s="191">
        <v>3</v>
      </c>
      <c r="C18" s="192">
        <v>1090</v>
      </c>
      <c r="D18" s="193" t="s">
        <v>651</v>
      </c>
      <c r="E18" s="194">
        <v>10.6</v>
      </c>
      <c r="F18" s="284" t="s">
        <v>754</v>
      </c>
    </row>
    <row r="19" spans="1:6" x14ac:dyDescent="0.25">
      <c r="A19" s="190">
        <v>1</v>
      </c>
      <c r="B19" s="191">
        <v>3</v>
      </c>
      <c r="C19" s="192">
        <v>1091</v>
      </c>
      <c r="D19" s="193" t="s">
        <v>637</v>
      </c>
      <c r="E19" s="194">
        <v>5.7</v>
      </c>
      <c r="F19" s="167" t="s">
        <v>755</v>
      </c>
    </row>
    <row r="20" spans="1:6" x14ac:dyDescent="0.25">
      <c r="A20" s="190">
        <v>1</v>
      </c>
      <c r="B20" s="191">
        <v>3</v>
      </c>
      <c r="C20" s="192">
        <v>1091</v>
      </c>
      <c r="D20" s="193" t="s">
        <v>638</v>
      </c>
      <c r="E20" s="194">
        <v>10.6</v>
      </c>
      <c r="F20" s="167" t="s">
        <v>757</v>
      </c>
    </row>
    <row r="21" spans="1:6" x14ac:dyDescent="0.25">
      <c r="A21" s="190">
        <v>1</v>
      </c>
      <c r="B21" s="191">
        <v>3</v>
      </c>
      <c r="C21" s="192">
        <v>1091</v>
      </c>
      <c r="D21" s="193" t="s">
        <v>652</v>
      </c>
      <c r="E21" s="194">
        <v>4.2</v>
      </c>
      <c r="F21" s="167" t="s">
        <v>757</v>
      </c>
    </row>
    <row r="22" spans="1:6" x14ac:dyDescent="0.25">
      <c r="A22" s="190">
        <v>1</v>
      </c>
      <c r="B22" s="191">
        <v>3</v>
      </c>
      <c r="C22" s="192">
        <v>1091</v>
      </c>
      <c r="D22" s="193" t="s">
        <v>642</v>
      </c>
      <c r="E22" s="194">
        <v>22.9</v>
      </c>
      <c r="F22" s="284" t="s">
        <v>754</v>
      </c>
    </row>
    <row r="23" spans="1:6" x14ac:dyDescent="0.25">
      <c r="A23" s="190">
        <v>1</v>
      </c>
      <c r="B23" s="191">
        <v>3</v>
      </c>
      <c r="C23" s="192">
        <v>1092</v>
      </c>
      <c r="D23" s="193" t="s">
        <v>645</v>
      </c>
      <c r="E23" s="194">
        <v>10.4</v>
      </c>
      <c r="F23" s="167" t="s">
        <v>755</v>
      </c>
    </row>
    <row r="24" spans="1:6" x14ac:dyDescent="0.25">
      <c r="A24" s="190">
        <v>1</v>
      </c>
      <c r="B24" s="191">
        <v>3</v>
      </c>
      <c r="C24" s="192">
        <v>1092</v>
      </c>
      <c r="D24" s="193" t="s">
        <v>653</v>
      </c>
      <c r="E24" s="194">
        <v>1.9</v>
      </c>
      <c r="F24" s="167" t="s">
        <v>756</v>
      </c>
    </row>
    <row r="25" spans="1:6" x14ac:dyDescent="0.25">
      <c r="A25" s="190">
        <v>1</v>
      </c>
      <c r="B25" s="191">
        <v>3</v>
      </c>
      <c r="C25" s="192">
        <v>1092</v>
      </c>
      <c r="D25" s="193" t="s">
        <v>646</v>
      </c>
      <c r="E25" s="194">
        <v>1</v>
      </c>
      <c r="F25" s="167" t="s">
        <v>758</v>
      </c>
    </row>
    <row r="26" spans="1:6" x14ac:dyDescent="0.25">
      <c r="A26" s="190">
        <v>1</v>
      </c>
      <c r="B26" s="191">
        <v>3</v>
      </c>
      <c r="C26" s="192">
        <v>1092</v>
      </c>
      <c r="D26" s="193" t="s">
        <v>657</v>
      </c>
      <c r="E26" s="194">
        <v>5.2</v>
      </c>
      <c r="F26" s="167" t="s">
        <v>758</v>
      </c>
    </row>
    <row r="27" spans="1:6" ht="26.4" x14ac:dyDescent="0.25">
      <c r="A27" s="190">
        <v>1</v>
      </c>
      <c r="B27" s="191">
        <v>3</v>
      </c>
      <c r="C27" s="192">
        <v>1092</v>
      </c>
      <c r="D27" s="193" t="s">
        <v>658</v>
      </c>
      <c r="E27" s="194">
        <v>0.9</v>
      </c>
      <c r="F27" s="167" t="s">
        <v>759</v>
      </c>
    </row>
    <row r="28" spans="1:6" x14ac:dyDescent="0.25">
      <c r="A28" s="190">
        <v>1</v>
      </c>
      <c r="B28" s="191">
        <v>3</v>
      </c>
      <c r="C28" s="192">
        <v>1092</v>
      </c>
      <c r="D28" s="193" t="s">
        <v>642</v>
      </c>
      <c r="E28" s="194">
        <v>1.9</v>
      </c>
      <c r="F28" s="284" t="s">
        <v>754</v>
      </c>
    </row>
    <row r="29" spans="1:6" x14ac:dyDescent="0.25">
      <c r="A29" s="190">
        <v>1</v>
      </c>
      <c r="B29" s="191">
        <v>3</v>
      </c>
      <c r="C29" s="192">
        <v>1092</v>
      </c>
      <c r="D29" s="193" t="s">
        <v>648</v>
      </c>
      <c r="E29" s="194">
        <v>8.1</v>
      </c>
      <c r="F29" s="284" t="s">
        <v>754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F31"/>
  <sheetViews>
    <sheetView workbookViewId="0"/>
  </sheetViews>
  <sheetFormatPr defaultRowHeight="13.2" x14ac:dyDescent="0.25"/>
  <cols>
    <col min="1" max="1" width="7" style="195" customWidth="1"/>
    <col min="2" max="2" width="8.6640625" style="195" customWidth="1"/>
    <col min="3" max="3" width="7.6640625" style="195" customWidth="1"/>
    <col min="4" max="4" width="7.88671875" style="195" customWidth="1"/>
    <col min="5" max="5" width="10.21875" style="195" customWidth="1"/>
    <col min="6" max="6" width="47.5546875" style="196" customWidth="1"/>
    <col min="7" max="16384" width="8.88671875" style="196"/>
  </cols>
  <sheetData>
    <row r="1" spans="1:6" ht="39.6" x14ac:dyDescent="0.25">
      <c r="A1" s="177" t="s">
        <v>252</v>
      </c>
      <c r="B1" s="178" t="s">
        <v>251</v>
      </c>
      <c r="C1" s="179" t="s">
        <v>724</v>
      </c>
      <c r="D1" s="176" t="s">
        <v>634</v>
      </c>
      <c r="E1" s="176" t="s">
        <v>635</v>
      </c>
      <c r="F1" s="153" t="s">
        <v>636</v>
      </c>
    </row>
    <row r="2" spans="1:6" x14ac:dyDescent="0.25">
      <c r="A2" s="190">
        <v>2</v>
      </c>
      <c r="B2" s="191">
        <v>1</v>
      </c>
      <c r="C2" s="192">
        <v>2001</v>
      </c>
      <c r="D2" s="193" t="s">
        <v>637</v>
      </c>
      <c r="E2" s="194">
        <v>20</v>
      </c>
      <c r="F2" s="167" t="s">
        <v>755</v>
      </c>
    </row>
    <row r="3" spans="1:6" x14ac:dyDescent="0.25">
      <c r="A3" s="190">
        <v>2</v>
      </c>
      <c r="B3" s="191">
        <v>1</v>
      </c>
      <c r="C3" s="192">
        <v>2001</v>
      </c>
      <c r="D3" s="193" t="s">
        <v>638</v>
      </c>
      <c r="E3" s="194">
        <v>45.3</v>
      </c>
      <c r="F3" s="167" t="s">
        <v>757</v>
      </c>
    </row>
    <row r="4" spans="1:6" x14ac:dyDescent="0.25">
      <c r="A4" s="197">
        <v>2</v>
      </c>
      <c r="B4" s="198">
        <v>1</v>
      </c>
      <c r="C4" s="192">
        <v>2001</v>
      </c>
      <c r="D4" s="199" t="s">
        <v>640</v>
      </c>
      <c r="E4" s="194">
        <v>36.4</v>
      </c>
      <c r="F4" s="286" t="s">
        <v>760</v>
      </c>
    </row>
    <row r="5" spans="1:6" x14ac:dyDescent="0.25">
      <c r="A5" s="197">
        <v>2</v>
      </c>
      <c r="B5" s="198">
        <v>1</v>
      </c>
      <c r="C5" s="192">
        <v>2002</v>
      </c>
      <c r="D5" s="199" t="s">
        <v>637</v>
      </c>
      <c r="E5" s="194">
        <v>10.9</v>
      </c>
      <c r="F5" s="200" t="s">
        <v>755</v>
      </c>
    </row>
    <row r="6" spans="1:6" x14ac:dyDescent="0.25">
      <c r="A6" s="197">
        <v>2</v>
      </c>
      <c r="B6" s="198">
        <v>1</v>
      </c>
      <c r="C6" s="192">
        <v>2002</v>
      </c>
      <c r="D6" s="199" t="s">
        <v>638</v>
      </c>
      <c r="E6" s="194">
        <v>82.6</v>
      </c>
      <c r="F6" s="200" t="s">
        <v>757</v>
      </c>
    </row>
    <row r="7" spans="1:6" x14ac:dyDescent="0.25">
      <c r="A7" s="201">
        <v>2</v>
      </c>
      <c r="B7" s="202">
        <v>1</v>
      </c>
      <c r="C7" s="206">
        <v>2002</v>
      </c>
      <c r="D7" s="203" t="s">
        <v>640</v>
      </c>
      <c r="E7" s="204">
        <v>8.6</v>
      </c>
      <c r="F7" s="286" t="s">
        <v>760</v>
      </c>
    </row>
    <row r="8" spans="1:6" x14ac:dyDescent="0.25">
      <c r="A8" s="197">
        <v>2</v>
      </c>
      <c r="B8" s="198">
        <v>1</v>
      </c>
      <c r="C8" s="192">
        <v>2003</v>
      </c>
      <c r="D8" s="199" t="s">
        <v>637</v>
      </c>
      <c r="E8" s="194">
        <v>12.3</v>
      </c>
      <c r="F8" s="200" t="s">
        <v>755</v>
      </c>
    </row>
    <row r="9" spans="1:6" x14ac:dyDescent="0.25">
      <c r="A9" s="197">
        <v>2</v>
      </c>
      <c r="B9" s="198">
        <v>1</v>
      </c>
      <c r="C9" s="192">
        <v>2003</v>
      </c>
      <c r="D9" s="199" t="s">
        <v>638</v>
      </c>
      <c r="E9" s="194">
        <v>26.2</v>
      </c>
      <c r="F9" s="200" t="s">
        <v>757</v>
      </c>
    </row>
    <row r="10" spans="1:6" x14ac:dyDescent="0.25">
      <c r="A10" s="197">
        <v>2</v>
      </c>
      <c r="B10" s="198">
        <v>1</v>
      </c>
      <c r="C10" s="192">
        <v>2003</v>
      </c>
      <c r="D10" s="199" t="s">
        <v>640</v>
      </c>
      <c r="E10" s="194">
        <v>31.5</v>
      </c>
      <c r="F10" s="286" t="s">
        <v>760</v>
      </c>
    </row>
    <row r="11" spans="1:6" x14ac:dyDescent="0.25">
      <c r="A11" s="201">
        <v>2</v>
      </c>
      <c r="B11" s="202">
        <v>1</v>
      </c>
      <c r="C11" s="206">
        <v>2004</v>
      </c>
      <c r="D11" s="203" t="s">
        <v>637</v>
      </c>
      <c r="E11" s="204">
        <v>10.9</v>
      </c>
      <c r="F11" s="205" t="s">
        <v>755</v>
      </c>
    </row>
    <row r="12" spans="1:6" x14ac:dyDescent="0.25">
      <c r="A12" s="197">
        <v>2</v>
      </c>
      <c r="B12" s="198">
        <v>1</v>
      </c>
      <c r="C12" s="192">
        <v>2004</v>
      </c>
      <c r="D12" s="199" t="s">
        <v>638</v>
      </c>
      <c r="E12" s="194">
        <v>55.5</v>
      </c>
      <c r="F12" s="200" t="s">
        <v>757</v>
      </c>
    </row>
    <row r="13" spans="1:6" x14ac:dyDescent="0.25">
      <c r="A13" s="197">
        <v>2</v>
      </c>
      <c r="B13" s="198">
        <v>1</v>
      </c>
      <c r="C13" s="192">
        <v>2004</v>
      </c>
      <c r="D13" s="199" t="s">
        <v>640</v>
      </c>
      <c r="E13" s="194">
        <v>33.799999999999997</v>
      </c>
      <c r="F13" s="286" t="s">
        <v>760</v>
      </c>
    </row>
    <row r="14" spans="1:6" x14ac:dyDescent="0.25">
      <c r="A14" s="197">
        <v>2</v>
      </c>
      <c r="B14" s="198">
        <v>1</v>
      </c>
      <c r="C14" s="192">
        <v>2005</v>
      </c>
      <c r="D14" s="199" t="s">
        <v>637</v>
      </c>
      <c r="E14" s="194">
        <v>15.9</v>
      </c>
      <c r="F14" s="200" t="s">
        <v>755</v>
      </c>
    </row>
    <row r="15" spans="1:6" x14ac:dyDescent="0.25">
      <c r="A15" s="201">
        <v>2</v>
      </c>
      <c r="B15" s="202">
        <v>1</v>
      </c>
      <c r="C15" s="206">
        <v>2005</v>
      </c>
      <c r="D15" s="203" t="s">
        <v>638</v>
      </c>
      <c r="E15" s="204">
        <v>47.1</v>
      </c>
      <c r="F15" s="205" t="s">
        <v>757</v>
      </c>
    </row>
    <row r="16" spans="1:6" x14ac:dyDescent="0.25">
      <c r="A16" s="197">
        <v>2</v>
      </c>
      <c r="B16" s="198">
        <v>1</v>
      </c>
      <c r="C16" s="192">
        <v>2005</v>
      </c>
      <c r="D16" s="199" t="s">
        <v>640</v>
      </c>
      <c r="E16" s="194">
        <v>38.5</v>
      </c>
      <c r="F16" s="286" t="s">
        <v>760</v>
      </c>
    </row>
    <row r="17" spans="1:6" x14ac:dyDescent="0.25">
      <c r="A17" s="197">
        <v>2</v>
      </c>
      <c r="B17" s="198">
        <v>1</v>
      </c>
      <c r="C17" s="192">
        <v>2006</v>
      </c>
      <c r="D17" s="199" t="s">
        <v>637</v>
      </c>
      <c r="E17" s="194">
        <v>15.6</v>
      </c>
      <c r="F17" s="200" t="s">
        <v>755</v>
      </c>
    </row>
    <row r="18" spans="1:6" x14ac:dyDescent="0.25">
      <c r="A18" s="197">
        <v>2</v>
      </c>
      <c r="B18" s="198">
        <v>1</v>
      </c>
      <c r="C18" s="192">
        <v>2006</v>
      </c>
      <c r="D18" s="199" t="s">
        <v>638</v>
      </c>
      <c r="E18" s="194">
        <v>49.5</v>
      </c>
      <c r="F18" s="200" t="s">
        <v>757</v>
      </c>
    </row>
    <row r="19" spans="1:6" x14ac:dyDescent="0.25">
      <c r="A19" s="201">
        <v>2</v>
      </c>
      <c r="B19" s="202">
        <v>1</v>
      </c>
      <c r="C19" s="206">
        <v>2006</v>
      </c>
      <c r="D19" s="203" t="s">
        <v>640</v>
      </c>
      <c r="E19" s="204">
        <v>65.7</v>
      </c>
      <c r="F19" s="286" t="s">
        <v>760</v>
      </c>
    </row>
    <row r="20" spans="1:6" x14ac:dyDescent="0.25">
      <c r="A20" s="197">
        <v>2</v>
      </c>
      <c r="B20" s="198">
        <v>1</v>
      </c>
      <c r="C20" s="192">
        <v>2009</v>
      </c>
      <c r="D20" s="199" t="s">
        <v>645</v>
      </c>
      <c r="E20" s="194">
        <v>16.100000000000001</v>
      </c>
      <c r="F20" s="200" t="s">
        <v>755</v>
      </c>
    </row>
    <row r="21" spans="1:6" x14ac:dyDescent="0.25">
      <c r="A21" s="197">
        <v>2</v>
      </c>
      <c r="B21" s="198">
        <v>1</v>
      </c>
      <c r="C21" s="192">
        <v>2009</v>
      </c>
      <c r="D21" s="199" t="s">
        <v>651</v>
      </c>
      <c r="E21" s="194">
        <v>14.9</v>
      </c>
      <c r="F21" s="200" t="s">
        <v>753</v>
      </c>
    </row>
    <row r="22" spans="1:6" x14ac:dyDescent="0.25">
      <c r="A22" s="197">
        <v>2</v>
      </c>
      <c r="B22" s="198">
        <v>1</v>
      </c>
      <c r="C22" s="192">
        <v>2011</v>
      </c>
      <c r="D22" s="199" t="s">
        <v>644</v>
      </c>
      <c r="E22" s="194">
        <v>6.1</v>
      </c>
      <c r="F22" s="200" t="s">
        <v>755</v>
      </c>
    </row>
    <row r="23" spans="1:6" x14ac:dyDescent="0.25">
      <c r="A23" s="201">
        <v>2</v>
      </c>
      <c r="B23" s="202">
        <v>1</v>
      </c>
      <c r="C23" s="206">
        <v>2011</v>
      </c>
      <c r="D23" s="203" t="s">
        <v>645</v>
      </c>
      <c r="E23" s="204">
        <v>2.5</v>
      </c>
      <c r="F23" s="205" t="s">
        <v>755</v>
      </c>
    </row>
    <row r="24" spans="1:6" x14ac:dyDescent="0.25">
      <c r="A24" s="197">
        <v>2</v>
      </c>
      <c r="B24" s="198">
        <v>1</v>
      </c>
      <c r="C24" s="192">
        <v>2011</v>
      </c>
      <c r="D24" s="199" t="s">
        <v>652</v>
      </c>
      <c r="E24" s="194">
        <v>19.5</v>
      </c>
      <c r="F24" s="200" t="s">
        <v>757</v>
      </c>
    </row>
    <row r="25" spans="1:6" x14ac:dyDescent="0.25">
      <c r="A25" s="197">
        <v>2</v>
      </c>
      <c r="B25" s="198">
        <v>1</v>
      </c>
      <c r="C25" s="192">
        <v>2011</v>
      </c>
      <c r="D25" s="199" t="s">
        <v>648</v>
      </c>
      <c r="E25" s="194">
        <v>3.1</v>
      </c>
      <c r="F25" s="200" t="s">
        <v>753</v>
      </c>
    </row>
    <row r="26" spans="1:6" x14ac:dyDescent="0.25">
      <c r="A26" s="201">
        <v>2</v>
      </c>
      <c r="B26" s="202">
        <v>1</v>
      </c>
      <c r="C26" s="206">
        <v>2014</v>
      </c>
      <c r="D26" s="203" t="s">
        <v>637</v>
      </c>
      <c r="E26" s="204">
        <v>51.5</v>
      </c>
      <c r="F26" s="205" t="s">
        <v>755</v>
      </c>
    </row>
    <row r="27" spans="1:6" x14ac:dyDescent="0.25">
      <c r="A27" s="197">
        <v>2</v>
      </c>
      <c r="B27" s="198">
        <v>1</v>
      </c>
      <c r="C27" s="192">
        <v>2014</v>
      </c>
      <c r="D27" s="199" t="s">
        <v>638</v>
      </c>
      <c r="E27" s="194">
        <v>84.2</v>
      </c>
      <c r="F27" s="200" t="s">
        <v>757</v>
      </c>
    </row>
    <row r="28" spans="1:6" x14ac:dyDescent="0.25">
      <c r="A28" s="201">
        <v>2</v>
      </c>
      <c r="B28" s="202">
        <v>1</v>
      </c>
      <c r="C28" s="206">
        <v>2014</v>
      </c>
      <c r="D28" s="203" t="s">
        <v>640</v>
      </c>
      <c r="E28" s="204">
        <v>92.2</v>
      </c>
      <c r="F28" s="286" t="s">
        <v>760</v>
      </c>
    </row>
    <row r="29" spans="1:6" x14ac:dyDescent="0.25">
      <c r="A29" s="197">
        <v>2</v>
      </c>
      <c r="B29" s="198">
        <v>1</v>
      </c>
      <c r="C29" s="192">
        <v>2015</v>
      </c>
      <c r="D29" s="199" t="s">
        <v>637</v>
      </c>
      <c r="E29" s="194">
        <v>79.599999999999994</v>
      </c>
      <c r="F29" s="200" t="s">
        <v>755</v>
      </c>
    </row>
    <row r="30" spans="1:6" x14ac:dyDescent="0.25">
      <c r="A30" s="197">
        <v>2</v>
      </c>
      <c r="B30" s="198">
        <v>1</v>
      </c>
      <c r="C30" s="192">
        <v>2015</v>
      </c>
      <c r="D30" s="199" t="s">
        <v>638</v>
      </c>
      <c r="E30" s="194">
        <v>164.4</v>
      </c>
      <c r="F30" s="200" t="s">
        <v>757</v>
      </c>
    </row>
    <row r="31" spans="1:6" x14ac:dyDescent="0.25">
      <c r="A31" s="201">
        <v>2</v>
      </c>
      <c r="B31" s="202">
        <v>1</v>
      </c>
      <c r="C31" s="206">
        <v>2015</v>
      </c>
      <c r="D31" s="203" t="s">
        <v>640</v>
      </c>
      <c r="E31" s="204">
        <v>45.8</v>
      </c>
      <c r="F31" s="286" t="s">
        <v>760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F31"/>
  <sheetViews>
    <sheetView workbookViewId="0"/>
  </sheetViews>
  <sheetFormatPr defaultRowHeight="13.2" x14ac:dyDescent="0.25"/>
  <cols>
    <col min="1" max="1" width="7" style="195" customWidth="1"/>
    <col min="2" max="2" width="8.6640625" style="195" customWidth="1"/>
    <col min="3" max="3" width="7.6640625" style="195" customWidth="1"/>
    <col min="4" max="4" width="7.88671875" style="195" customWidth="1"/>
    <col min="5" max="5" width="10.21875" style="195" customWidth="1"/>
    <col min="6" max="6" width="47.5546875" style="196" customWidth="1"/>
    <col min="7" max="16384" width="8.88671875" style="196"/>
  </cols>
  <sheetData>
    <row r="1" spans="1:6" ht="39.6" x14ac:dyDescent="0.25">
      <c r="A1" s="177" t="s">
        <v>252</v>
      </c>
      <c r="B1" s="178" t="s">
        <v>251</v>
      </c>
      <c r="C1" s="179" t="s">
        <v>724</v>
      </c>
      <c r="D1" s="176" t="s">
        <v>634</v>
      </c>
      <c r="E1" s="176" t="s">
        <v>635</v>
      </c>
      <c r="F1" s="153" t="s">
        <v>636</v>
      </c>
    </row>
    <row r="2" spans="1:6" x14ac:dyDescent="0.25">
      <c r="A2" s="197">
        <v>2</v>
      </c>
      <c r="B2" s="198">
        <v>3</v>
      </c>
      <c r="C2" s="208">
        <v>2034</v>
      </c>
      <c r="D2" s="199" t="s">
        <v>637</v>
      </c>
      <c r="E2" s="194">
        <v>15.6</v>
      </c>
      <c r="F2" s="200" t="s">
        <v>755</v>
      </c>
    </row>
    <row r="3" spans="1:6" x14ac:dyDescent="0.25">
      <c r="A3" s="201">
        <v>2</v>
      </c>
      <c r="B3" s="202">
        <v>3</v>
      </c>
      <c r="C3" s="209">
        <v>2034</v>
      </c>
      <c r="D3" s="203" t="s">
        <v>638</v>
      </c>
      <c r="E3" s="204">
        <v>95.5</v>
      </c>
      <c r="F3" s="205" t="s">
        <v>757</v>
      </c>
    </row>
    <row r="4" spans="1:6" x14ac:dyDescent="0.25">
      <c r="A4" s="197">
        <v>2</v>
      </c>
      <c r="B4" s="198">
        <v>3</v>
      </c>
      <c r="C4" s="208">
        <v>2034</v>
      </c>
      <c r="D4" s="199" t="s">
        <v>640</v>
      </c>
      <c r="E4" s="194">
        <v>8.3000000000000007</v>
      </c>
      <c r="F4" s="286" t="s">
        <v>760</v>
      </c>
    </row>
    <row r="5" spans="1:6" x14ac:dyDescent="0.25">
      <c r="A5" s="197">
        <v>2</v>
      </c>
      <c r="B5" s="198">
        <v>3</v>
      </c>
      <c r="C5" s="208">
        <v>2035</v>
      </c>
      <c r="D5" s="199" t="s">
        <v>637</v>
      </c>
      <c r="E5" s="194">
        <v>20.3</v>
      </c>
      <c r="F5" s="200" t="s">
        <v>755</v>
      </c>
    </row>
    <row r="6" spans="1:6" x14ac:dyDescent="0.25">
      <c r="A6" s="197">
        <v>2</v>
      </c>
      <c r="B6" s="198">
        <v>3</v>
      </c>
      <c r="C6" s="208">
        <v>2035</v>
      </c>
      <c r="D6" s="199" t="s">
        <v>638</v>
      </c>
      <c r="E6" s="194">
        <v>42.6</v>
      </c>
      <c r="F6" s="200" t="s">
        <v>757</v>
      </c>
    </row>
    <row r="7" spans="1:6" x14ac:dyDescent="0.25">
      <c r="A7" s="201">
        <v>2</v>
      </c>
      <c r="B7" s="202">
        <v>3</v>
      </c>
      <c r="C7" s="209">
        <v>2035</v>
      </c>
      <c r="D7" s="203" t="s">
        <v>640</v>
      </c>
      <c r="E7" s="204">
        <v>1.4</v>
      </c>
      <c r="F7" s="286" t="s">
        <v>760</v>
      </c>
    </row>
    <row r="8" spans="1:6" x14ac:dyDescent="0.25">
      <c r="A8" s="197">
        <v>2</v>
      </c>
      <c r="B8" s="198">
        <v>3</v>
      </c>
      <c r="C8" s="208">
        <v>2042</v>
      </c>
      <c r="D8" s="199" t="s">
        <v>657</v>
      </c>
      <c r="E8" s="194">
        <v>22.7</v>
      </c>
      <c r="F8" s="200" t="s">
        <v>758</v>
      </c>
    </row>
    <row r="9" spans="1:6" x14ac:dyDescent="0.25">
      <c r="A9" s="197">
        <v>2</v>
      </c>
      <c r="B9" s="198">
        <v>3</v>
      </c>
      <c r="C9" s="208">
        <v>2042</v>
      </c>
      <c r="D9" s="199" t="s">
        <v>642</v>
      </c>
      <c r="E9" s="194">
        <v>1.9</v>
      </c>
      <c r="F9" s="200" t="s">
        <v>753</v>
      </c>
    </row>
    <row r="10" spans="1:6" x14ac:dyDescent="0.25">
      <c r="A10" s="201">
        <v>2</v>
      </c>
      <c r="B10" s="202">
        <v>3</v>
      </c>
      <c r="C10" s="209">
        <v>2042</v>
      </c>
      <c r="D10" s="203" t="s">
        <v>651</v>
      </c>
      <c r="E10" s="204">
        <v>10.7</v>
      </c>
      <c r="F10" s="205" t="s">
        <v>753</v>
      </c>
    </row>
    <row r="11" spans="1:6" x14ac:dyDescent="0.25">
      <c r="A11" s="197">
        <v>2</v>
      </c>
      <c r="B11" s="198">
        <v>3</v>
      </c>
      <c r="C11" s="208">
        <v>2043</v>
      </c>
      <c r="D11" s="199" t="s">
        <v>638</v>
      </c>
      <c r="E11" s="194">
        <v>17.8</v>
      </c>
      <c r="F11" s="200" t="s">
        <v>757</v>
      </c>
    </row>
    <row r="12" spans="1:6" x14ac:dyDescent="0.25">
      <c r="A12" s="197">
        <v>2</v>
      </c>
      <c r="B12" s="198">
        <v>3</v>
      </c>
      <c r="C12" s="208">
        <v>2043</v>
      </c>
      <c r="D12" s="199" t="s">
        <v>648</v>
      </c>
      <c r="E12" s="194">
        <v>9.3000000000000007</v>
      </c>
      <c r="F12" s="200" t="s">
        <v>753</v>
      </c>
    </row>
    <row r="13" spans="1:6" x14ac:dyDescent="0.25">
      <c r="A13" s="197">
        <v>2</v>
      </c>
      <c r="B13" s="198">
        <v>3</v>
      </c>
      <c r="C13" s="208">
        <v>2045</v>
      </c>
      <c r="D13" s="199" t="s">
        <v>645</v>
      </c>
      <c r="E13" s="194">
        <v>8.9</v>
      </c>
      <c r="F13" s="200" t="s">
        <v>755</v>
      </c>
    </row>
    <row r="14" spans="1:6" x14ac:dyDescent="0.25">
      <c r="A14" s="201">
        <v>2</v>
      </c>
      <c r="B14" s="202">
        <v>3</v>
      </c>
      <c r="C14" s="209">
        <v>2045</v>
      </c>
      <c r="D14" s="203" t="s">
        <v>652</v>
      </c>
      <c r="E14" s="204">
        <v>4.3</v>
      </c>
      <c r="F14" s="205" t="s">
        <v>757</v>
      </c>
    </row>
    <row r="15" spans="1:6" ht="26.4" x14ac:dyDescent="0.25">
      <c r="A15" s="197">
        <v>2</v>
      </c>
      <c r="B15" s="198">
        <v>3</v>
      </c>
      <c r="C15" s="208">
        <v>2045</v>
      </c>
      <c r="D15" s="199" t="s">
        <v>658</v>
      </c>
      <c r="E15" s="194">
        <v>1.2</v>
      </c>
      <c r="F15" s="200" t="s">
        <v>759</v>
      </c>
    </row>
    <row r="16" spans="1:6" x14ac:dyDescent="0.25">
      <c r="A16" s="197">
        <v>2</v>
      </c>
      <c r="B16" s="198">
        <v>3</v>
      </c>
      <c r="C16" s="208">
        <v>2046</v>
      </c>
      <c r="D16" s="199" t="s">
        <v>637</v>
      </c>
      <c r="E16" s="194">
        <v>5.7</v>
      </c>
      <c r="F16" s="200" t="s">
        <v>755</v>
      </c>
    </row>
    <row r="17" spans="1:6" x14ac:dyDescent="0.25">
      <c r="A17" s="197">
        <v>2</v>
      </c>
      <c r="B17" s="198">
        <v>3</v>
      </c>
      <c r="C17" s="208">
        <v>2046</v>
      </c>
      <c r="D17" s="199" t="s">
        <v>638</v>
      </c>
      <c r="E17" s="194">
        <v>14.7</v>
      </c>
      <c r="F17" s="200" t="s">
        <v>757</v>
      </c>
    </row>
    <row r="18" spans="1:6" x14ac:dyDescent="0.25">
      <c r="A18" s="197">
        <v>2</v>
      </c>
      <c r="B18" s="198">
        <v>3</v>
      </c>
      <c r="C18" s="208">
        <v>2046</v>
      </c>
      <c r="D18" s="199" t="s">
        <v>642</v>
      </c>
      <c r="E18" s="194">
        <v>22.9</v>
      </c>
      <c r="F18" s="287" t="s">
        <v>753</v>
      </c>
    </row>
    <row r="19" spans="1:6" x14ac:dyDescent="0.25">
      <c r="A19" s="201">
        <v>2</v>
      </c>
      <c r="B19" s="202">
        <v>3</v>
      </c>
      <c r="C19" s="209">
        <v>2047</v>
      </c>
      <c r="D19" s="203" t="s">
        <v>638</v>
      </c>
      <c r="E19" s="204">
        <v>75.599999999999994</v>
      </c>
      <c r="F19" s="205" t="s">
        <v>757</v>
      </c>
    </row>
    <row r="20" spans="1:6" x14ac:dyDescent="0.25">
      <c r="A20" s="197">
        <v>2</v>
      </c>
      <c r="B20" s="198">
        <v>3</v>
      </c>
      <c r="C20" s="208">
        <v>2048</v>
      </c>
      <c r="D20" s="199" t="s">
        <v>652</v>
      </c>
      <c r="E20" s="194">
        <v>3.1</v>
      </c>
      <c r="F20" s="200" t="s">
        <v>757</v>
      </c>
    </row>
    <row r="21" spans="1:6" x14ac:dyDescent="0.25">
      <c r="A21" s="197">
        <v>2</v>
      </c>
      <c r="B21" s="198">
        <v>3</v>
      </c>
      <c r="C21" s="208">
        <v>2048</v>
      </c>
      <c r="D21" s="199" t="s">
        <v>648</v>
      </c>
      <c r="E21" s="194">
        <v>11</v>
      </c>
      <c r="F21" s="200" t="s">
        <v>753</v>
      </c>
    </row>
    <row r="22" spans="1:6" x14ac:dyDescent="0.25">
      <c r="A22" s="201">
        <v>2</v>
      </c>
      <c r="B22" s="202">
        <v>3</v>
      </c>
      <c r="C22" s="209">
        <v>2049</v>
      </c>
      <c r="D22" s="203" t="s">
        <v>645</v>
      </c>
      <c r="E22" s="204">
        <v>10.4</v>
      </c>
      <c r="F22" s="205" t="s">
        <v>755</v>
      </c>
    </row>
    <row r="23" spans="1:6" x14ac:dyDescent="0.25">
      <c r="A23" s="197">
        <v>2</v>
      </c>
      <c r="B23" s="198">
        <v>3</v>
      </c>
      <c r="C23" s="208">
        <v>2049</v>
      </c>
      <c r="D23" s="199" t="s">
        <v>638</v>
      </c>
      <c r="E23" s="194">
        <v>5.2</v>
      </c>
      <c r="F23" s="200" t="s">
        <v>757</v>
      </c>
    </row>
    <row r="24" spans="1:6" x14ac:dyDescent="0.25">
      <c r="A24" s="197">
        <v>2</v>
      </c>
      <c r="B24" s="198">
        <v>3</v>
      </c>
      <c r="C24" s="208">
        <v>2049</v>
      </c>
      <c r="D24" s="199" t="s">
        <v>642</v>
      </c>
      <c r="E24" s="194">
        <v>1.9</v>
      </c>
      <c r="F24" s="200" t="s">
        <v>753</v>
      </c>
    </row>
    <row r="25" spans="1:6" x14ac:dyDescent="0.25">
      <c r="A25" s="197">
        <v>2</v>
      </c>
      <c r="B25" s="198">
        <v>3</v>
      </c>
      <c r="C25" s="208">
        <v>2049</v>
      </c>
      <c r="D25" s="199" t="s">
        <v>648</v>
      </c>
      <c r="E25" s="194">
        <v>8.1</v>
      </c>
      <c r="F25" s="200" t="s">
        <v>753</v>
      </c>
    </row>
    <row r="26" spans="1:6" x14ac:dyDescent="0.25">
      <c r="A26" s="201">
        <v>2</v>
      </c>
      <c r="B26" s="202">
        <v>3</v>
      </c>
      <c r="C26" s="209" t="s">
        <v>664</v>
      </c>
      <c r="D26" s="203" t="s">
        <v>637</v>
      </c>
      <c r="E26" s="204">
        <v>30.2</v>
      </c>
      <c r="F26" s="205" t="s">
        <v>755</v>
      </c>
    </row>
    <row r="27" spans="1:6" x14ac:dyDescent="0.25">
      <c r="A27" s="197">
        <v>2</v>
      </c>
      <c r="B27" s="198">
        <v>3</v>
      </c>
      <c r="C27" s="208" t="s">
        <v>664</v>
      </c>
      <c r="D27" s="199" t="s">
        <v>638</v>
      </c>
      <c r="E27" s="194">
        <v>189.4</v>
      </c>
      <c r="F27" s="200" t="s">
        <v>757</v>
      </c>
    </row>
    <row r="28" spans="1:6" x14ac:dyDescent="0.25">
      <c r="A28" s="197">
        <v>2</v>
      </c>
      <c r="B28" s="198">
        <v>3</v>
      </c>
      <c r="C28" s="208" t="s">
        <v>664</v>
      </c>
      <c r="D28" s="199" t="s">
        <v>640</v>
      </c>
      <c r="E28" s="194">
        <v>29.8</v>
      </c>
      <c r="F28" s="286" t="s">
        <v>760</v>
      </c>
    </row>
    <row r="29" spans="1:6" x14ac:dyDescent="0.25">
      <c r="A29" s="201">
        <v>2</v>
      </c>
      <c r="B29" s="202">
        <v>3</v>
      </c>
      <c r="C29" s="209" t="s">
        <v>665</v>
      </c>
      <c r="D29" s="203" t="s">
        <v>637</v>
      </c>
      <c r="E29" s="204">
        <v>14.6</v>
      </c>
      <c r="F29" s="205" t="s">
        <v>755</v>
      </c>
    </row>
    <row r="30" spans="1:6" x14ac:dyDescent="0.25">
      <c r="A30" s="197">
        <v>2</v>
      </c>
      <c r="B30" s="198">
        <v>3</v>
      </c>
      <c r="C30" s="208" t="s">
        <v>665</v>
      </c>
      <c r="D30" s="199" t="s">
        <v>638</v>
      </c>
      <c r="E30" s="194">
        <v>42.6</v>
      </c>
      <c r="F30" s="200" t="s">
        <v>757</v>
      </c>
    </row>
    <row r="31" spans="1:6" x14ac:dyDescent="0.25">
      <c r="A31" s="201">
        <v>2</v>
      </c>
      <c r="B31" s="202">
        <v>3</v>
      </c>
      <c r="C31" s="209" t="s">
        <v>665</v>
      </c>
      <c r="D31" s="203" t="s">
        <v>640</v>
      </c>
      <c r="E31" s="204">
        <v>53.7</v>
      </c>
      <c r="F31" s="286" t="s">
        <v>760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F9"/>
  <sheetViews>
    <sheetView workbookViewId="0"/>
  </sheetViews>
  <sheetFormatPr defaultRowHeight="13.2" x14ac:dyDescent="0.25"/>
  <cols>
    <col min="1" max="1" width="7" style="195" customWidth="1"/>
    <col min="2" max="2" width="8.6640625" style="195" customWidth="1"/>
    <col min="3" max="3" width="7.6640625" style="195" customWidth="1"/>
    <col min="4" max="4" width="7.88671875" style="195" customWidth="1"/>
    <col min="5" max="5" width="10.21875" style="195" customWidth="1"/>
    <col min="6" max="6" width="47.5546875" style="196" customWidth="1"/>
    <col min="7" max="16384" width="8.88671875" style="196"/>
  </cols>
  <sheetData>
    <row r="1" spans="1:6" ht="39.6" x14ac:dyDescent="0.25">
      <c r="A1" s="177" t="s">
        <v>252</v>
      </c>
      <c r="B1" s="178" t="s">
        <v>251</v>
      </c>
      <c r="C1" s="179" t="s">
        <v>724</v>
      </c>
      <c r="D1" s="176" t="s">
        <v>634</v>
      </c>
      <c r="E1" s="176" t="s">
        <v>635</v>
      </c>
      <c r="F1" s="153" t="s">
        <v>636</v>
      </c>
    </row>
    <row r="2" spans="1:6" x14ac:dyDescent="0.25">
      <c r="A2" s="201">
        <v>3</v>
      </c>
      <c r="B2" s="202">
        <v>1</v>
      </c>
      <c r="C2" s="206">
        <v>3011</v>
      </c>
      <c r="D2" s="203" t="s">
        <v>645</v>
      </c>
      <c r="E2" s="204">
        <v>16.100000000000001</v>
      </c>
      <c r="F2" s="205" t="s">
        <v>755</v>
      </c>
    </row>
    <row r="3" spans="1:6" x14ac:dyDescent="0.25">
      <c r="A3" s="197">
        <v>3</v>
      </c>
      <c r="B3" s="198">
        <v>1</v>
      </c>
      <c r="C3" s="192">
        <v>3011</v>
      </c>
      <c r="D3" s="199" t="s">
        <v>651</v>
      </c>
      <c r="E3" s="194">
        <v>14.9</v>
      </c>
      <c r="F3" s="286" t="s">
        <v>753</v>
      </c>
    </row>
    <row r="4" spans="1:6" x14ac:dyDescent="0.25">
      <c r="A4" s="197">
        <v>3</v>
      </c>
      <c r="B4" s="198">
        <v>1</v>
      </c>
      <c r="C4" s="192">
        <v>3016</v>
      </c>
      <c r="D4" s="199" t="s">
        <v>637</v>
      </c>
      <c r="E4" s="194">
        <v>54.6</v>
      </c>
      <c r="F4" s="200" t="s">
        <v>755</v>
      </c>
    </row>
    <row r="5" spans="1:6" x14ac:dyDescent="0.25">
      <c r="A5" s="201">
        <v>3</v>
      </c>
      <c r="B5" s="202">
        <v>1</v>
      </c>
      <c r="C5" s="206">
        <v>3016</v>
      </c>
      <c r="D5" s="203" t="s">
        <v>638</v>
      </c>
      <c r="E5" s="204">
        <v>25.8</v>
      </c>
      <c r="F5" s="205" t="s">
        <v>757</v>
      </c>
    </row>
    <row r="6" spans="1:6" x14ac:dyDescent="0.25">
      <c r="A6" s="201">
        <v>3</v>
      </c>
      <c r="B6" s="202">
        <v>1</v>
      </c>
      <c r="C6" s="206">
        <v>3016</v>
      </c>
      <c r="D6" s="203" t="s">
        <v>640</v>
      </c>
      <c r="E6" s="204">
        <v>97</v>
      </c>
      <c r="F6" s="286" t="s">
        <v>760</v>
      </c>
    </row>
    <row r="7" spans="1:6" x14ac:dyDescent="0.25">
      <c r="A7" s="197">
        <v>3</v>
      </c>
      <c r="B7" s="198">
        <v>1</v>
      </c>
      <c r="C7" s="192">
        <v>3017</v>
      </c>
      <c r="D7" s="199" t="s">
        <v>637</v>
      </c>
      <c r="E7" s="194">
        <v>99</v>
      </c>
      <c r="F7" s="200" t="s">
        <v>755</v>
      </c>
    </row>
    <row r="8" spans="1:6" x14ac:dyDescent="0.25">
      <c r="A8" s="197">
        <v>3</v>
      </c>
      <c r="B8" s="198">
        <v>1</v>
      </c>
      <c r="C8" s="192">
        <v>3017</v>
      </c>
      <c r="D8" s="199" t="s">
        <v>638</v>
      </c>
      <c r="E8" s="194">
        <v>67</v>
      </c>
      <c r="F8" s="200" t="s">
        <v>757</v>
      </c>
    </row>
    <row r="9" spans="1:6" x14ac:dyDescent="0.25">
      <c r="A9" s="201">
        <v>3</v>
      </c>
      <c r="B9" s="202">
        <v>1</v>
      </c>
      <c r="C9" s="206">
        <v>3017</v>
      </c>
      <c r="D9" s="203" t="s">
        <v>640</v>
      </c>
      <c r="E9" s="204">
        <v>46.2</v>
      </c>
      <c r="F9" s="286" t="s">
        <v>760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F25"/>
  <sheetViews>
    <sheetView workbookViewId="0"/>
  </sheetViews>
  <sheetFormatPr defaultRowHeight="13.2" x14ac:dyDescent="0.25"/>
  <cols>
    <col min="1" max="1" width="7" style="195" customWidth="1"/>
    <col min="2" max="2" width="8.6640625" style="195" customWidth="1"/>
    <col min="3" max="3" width="7.6640625" style="195" customWidth="1"/>
    <col min="4" max="4" width="7.88671875" style="195" customWidth="1"/>
    <col min="5" max="5" width="10.21875" style="195" customWidth="1"/>
    <col min="6" max="6" width="47.5546875" style="196" customWidth="1"/>
    <col min="7" max="16384" width="8.88671875" style="196"/>
  </cols>
  <sheetData>
    <row r="1" spans="1:6" ht="39.6" x14ac:dyDescent="0.25">
      <c r="A1" s="177" t="s">
        <v>252</v>
      </c>
      <c r="B1" s="178" t="s">
        <v>251</v>
      </c>
      <c r="C1" s="207" t="s">
        <v>724</v>
      </c>
      <c r="D1" s="176" t="s">
        <v>634</v>
      </c>
      <c r="E1" s="176" t="s">
        <v>635</v>
      </c>
      <c r="F1" s="153" t="s">
        <v>636</v>
      </c>
    </row>
    <row r="2" spans="1:6" x14ac:dyDescent="0.25">
      <c r="A2" s="197">
        <v>3</v>
      </c>
      <c r="B2" s="198">
        <v>3</v>
      </c>
      <c r="C2" s="208">
        <v>3040</v>
      </c>
      <c r="D2" s="199" t="s">
        <v>637</v>
      </c>
      <c r="E2" s="194">
        <v>19.899999999999999</v>
      </c>
      <c r="F2" s="200" t="s">
        <v>762</v>
      </c>
    </row>
    <row r="3" spans="1:6" x14ac:dyDescent="0.25">
      <c r="A3" s="201">
        <v>3</v>
      </c>
      <c r="B3" s="202">
        <v>3</v>
      </c>
      <c r="C3" s="209">
        <v>3040</v>
      </c>
      <c r="D3" s="203" t="s">
        <v>638</v>
      </c>
      <c r="E3" s="204">
        <v>82.3</v>
      </c>
      <c r="F3" s="205" t="s">
        <v>761</v>
      </c>
    </row>
    <row r="4" spans="1:6" x14ac:dyDescent="0.25">
      <c r="A4" s="197">
        <v>3</v>
      </c>
      <c r="B4" s="198">
        <v>3</v>
      </c>
      <c r="C4" s="208">
        <v>3040</v>
      </c>
      <c r="D4" s="199" t="s">
        <v>640</v>
      </c>
      <c r="E4" s="194">
        <v>4.5</v>
      </c>
      <c r="F4" s="287" t="s">
        <v>760</v>
      </c>
    </row>
    <row r="5" spans="1:6" x14ac:dyDescent="0.25">
      <c r="A5" s="197">
        <v>3</v>
      </c>
      <c r="B5" s="198">
        <v>3</v>
      </c>
      <c r="C5" s="208">
        <v>3041</v>
      </c>
      <c r="D5" s="199" t="s">
        <v>637</v>
      </c>
      <c r="E5" s="194">
        <v>25.1</v>
      </c>
      <c r="F5" s="200" t="s">
        <v>762</v>
      </c>
    </row>
    <row r="6" spans="1:6" x14ac:dyDescent="0.25">
      <c r="A6" s="197">
        <v>3</v>
      </c>
      <c r="B6" s="198">
        <v>3</v>
      </c>
      <c r="C6" s="208">
        <v>3041</v>
      </c>
      <c r="D6" s="199" t="s">
        <v>638</v>
      </c>
      <c r="E6" s="194">
        <v>36</v>
      </c>
      <c r="F6" s="205" t="s">
        <v>761</v>
      </c>
    </row>
    <row r="7" spans="1:6" x14ac:dyDescent="0.25">
      <c r="A7" s="201">
        <v>3</v>
      </c>
      <c r="B7" s="202">
        <v>3</v>
      </c>
      <c r="C7" s="209">
        <v>3041</v>
      </c>
      <c r="D7" s="203" t="s">
        <v>640</v>
      </c>
      <c r="E7" s="204">
        <v>1.5</v>
      </c>
      <c r="F7" s="205" t="s">
        <v>760</v>
      </c>
    </row>
    <row r="8" spans="1:6" x14ac:dyDescent="0.25">
      <c r="A8" s="197">
        <v>3</v>
      </c>
      <c r="B8" s="198">
        <v>3</v>
      </c>
      <c r="C8" s="208">
        <v>3046</v>
      </c>
      <c r="D8" s="199" t="s">
        <v>637</v>
      </c>
      <c r="E8" s="194">
        <v>21.8</v>
      </c>
      <c r="F8" s="200" t="s">
        <v>762</v>
      </c>
    </row>
    <row r="9" spans="1:6" x14ac:dyDescent="0.25">
      <c r="A9" s="197">
        <v>3</v>
      </c>
      <c r="B9" s="198">
        <v>3</v>
      </c>
      <c r="C9" s="208">
        <v>3046</v>
      </c>
      <c r="D9" s="199" t="s">
        <v>638</v>
      </c>
      <c r="E9" s="194">
        <v>91.8</v>
      </c>
      <c r="F9" s="205" t="s">
        <v>761</v>
      </c>
    </row>
    <row r="10" spans="1:6" x14ac:dyDescent="0.25">
      <c r="A10" s="197">
        <v>3</v>
      </c>
      <c r="B10" s="198">
        <v>3</v>
      </c>
      <c r="C10" s="208">
        <v>3046</v>
      </c>
      <c r="D10" s="199" t="s">
        <v>640</v>
      </c>
      <c r="E10" s="194">
        <v>10.7</v>
      </c>
      <c r="F10" s="200" t="s">
        <v>760</v>
      </c>
    </row>
    <row r="11" spans="1:6" x14ac:dyDescent="0.25">
      <c r="A11" s="201">
        <v>3</v>
      </c>
      <c r="B11" s="202">
        <v>3</v>
      </c>
      <c r="C11" s="209">
        <v>3047</v>
      </c>
      <c r="D11" s="203" t="s">
        <v>637</v>
      </c>
      <c r="E11" s="204">
        <v>16.5</v>
      </c>
      <c r="F11" s="200" t="s">
        <v>762</v>
      </c>
    </row>
    <row r="12" spans="1:6" x14ac:dyDescent="0.25">
      <c r="A12" s="197">
        <v>3</v>
      </c>
      <c r="B12" s="198">
        <v>3</v>
      </c>
      <c r="C12" s="208">
        <v>3047</v>
      </c>
      <c r="D12" s="199" t="s">
        <v>638</v>
      </c>
      <c r="E12" s="194">
        <v>105.1</v>
      </c>
      <c r="F12" s="205" t="s">
        <v>761</v>
      </c>
    </row>
    <row r="13" spans="1:6" x14ac:dyDescent="0.25">
      <c r="A13" s="197">
        <v>3</v>
      </c>
      <c r="B13" s="198">
        <v>3</v>
      </c>
      <c r="C13" s="208">
        <v>3047</v>
      </c>
      <c r="D13" s="199" t="s">
        <v>640</v>
      </c>
      <c r="E13" s="194">
        <v>43.3</v>
      </c>
      <c r="F13" s="200" t="s">
        <v>760</v>
      </c>
    </row>
    <row r="14" spans="1:6" x14ac:dyDescent="0.25">
      <c r="A14" s="201">
        <v>3</v>
      </c>
      <c r="B14" s="202">
        <v>3</v>
      </c>
      <c r="C14" s="209">
        <v>3052</v>
      </c>
      <c r="D14" s="203" t="s">
        <v>645</v>
      </c>
      <c r="E14" s="204">
        <v>10</v>
      </c>
      <c r="F14" s="205" t="s">
        <v>755</v>
      </c>
    </row>
    <row r="15" spans="1:6" x14ac:dyDescent="0.25">
      <c r="A15" s="197">
        <v>3</v>
      </c>
      <c r="B15" s="198">
        <v>3</v>
      </c>
      <c r="C15" s="208">
        <v>3052</v>
      </c>
      <c r="D15" s="199" t="s">
        <v>652</v>
      </c>
      <c r="E15" s="194">
        <v>3.7</v>
      </c>
      <c r="F15" s="200" t="s">
        <v>757</v>
      </c>
    </row>
    <row r="16" spans="1:6" x14ac:dyDescent="0.25">
      <c r="A16" s="197">
        <v>3</v>
      </c>
      <c r="B16" s="198">
        <v>3</v>
      </c>
      <c r="C16" s="208">
        <v>3052</v>
      </c>
      <c r="D16" s="199" t="s">
        <v>642</v>
      </c>
      <c r="E16" s="194">
        <v>1.8</v>
      </c>
      <c r="F16" s="200" t="s">
        <v>754</v>
      </c>
    </row>
    <row r="17" spans="1:6" x14ac:dyDescent="0.25">
      <c r="A17" s="201">
        <v>3</v>
      </c>
      <c r="B17" s="202">
        <v>3</v>
      </c>
      <c r="C17" s="209">
        <v>3052</v>
      </c>
      <c r="D17" s="203" t="s">
        <v>648</v>
      </c>
      <c r="E17" s="204">
        <v>9.9</v>
      </c>
      <c r="F17" s="205" t="s">
        <v>754</v>
      </c>
    </row>
    <row r="18" spans="1:6" x14ac:dyDescent="0.25">
      <c r="A18" s="197">
        <v>3</v>
      </c>
      <c r="B18" s="198">
        <v>3</v>
      </c>
      <c r="C18" s="208">
        <v>3053</v>
      </c>
      <c r="D18" s="199" t="s">
        <v>645</v>
      </c>
      <c r="E18" s="194">
        <v>8.9</v>
      </c>
      <c r="F18" s="205" t="s">
        <v>755</v>
      </c>
    </row>
    <row r="19" spans="1:6" x14ac:dyDescent="0.25">
      <c r="A19" s="197">
        <v>3</v>
      </c>
      <c r="B19" s="198">
        <v>3</v>
      </c>
      <c r="C19" s="208">
        <v>3053</v>
      </c>
      <c r="D19" s="199" t="s">
        <v>652</v>
      </c>
      <c r="E19" s="194">
        <v>4.3</v>
      </c>
      <c r="F19" s="200" t="s">
        <v>757</v>
      </c>
    </row>
    <row r="20" spans="1:6" x14ac:dyDescent="0.25">
      <c r="A20" s="201">
        <v>3</v>
      </c>
      <c r="B20" s="202">
        <v>3</v>
      </c>
      <c r="C20" s="209" t="s">
        <v>667</v>
      </c>
      <c r="D20" s="203" t="s">
        <v>637</v>
      </c>
      <c r="E20" s="204">
        <v>34.200000000000003</v>
      </c>
      <c r="F20" s="200" t="s">
        <v>762</v>
      </c>
    </row>
    <row r="21" spans="1:6" x14ac:dyDescent="0.25">
      <c r="A21" s="197">
        <v>3</v>
      </c>
      <c r="B21" s="198">
        <v>3</v>
      </c>
      <c r="C21" s="208" t="s">
        <v>667</v>
      </c>
      <c r="D21" s="199" t="s">
        <v>638</v>
      </c>
      <c r="E21" s="194">
        <v>11.6</v>
      </c>
      <c r="F21" s="205" t="s">
        <v>761</v>
      </c>
    </row>
    <row r="22" spans="1:6" x14ac:dyDescent="0.25">
      <c r="A22" s="197">
        <v>3</v>
      </c>
      <c r="B22" s="198">
        <v>3</v>
      </c>
      <c r="C22" s="208" t="s">
        <v>667</v>
      </c>
      <c r="D22" s="199" t="s">
        <v>640</v>
      </c>
      <c r="E22" s="194">
        <v>40</v>
      </c>
      <c r="F22" s="200" t="s">
        <v>760</v>
      </c>
    </row>
    <row r="23" spans="1:6" x14ac:dyDescent="0.25">
      <c r="A23" s="201">
        <v>3</v>
      </c>
      <c r="B23" s="202">
        <v>3</v>
      </c>
      <c r="C23" s="209" t="s">
        <v>668</v>
      </c>
      <c r="D23" s="203" t="s">
        <v>637</v>
      </c>
      <c r="E23" s="204">
        <v>14.6</v>
      </c>
      <c r="F23" s="200" t="s">
        <v>762</v>
      </c>
    </row>
    <row r="24" spans="1:6" x14ac:dyDescent="0.25">
      <c r="A24" s="197">
        <v>3</v>
      </c>
      <c r="B24" s="198">
        <v>3</v>
      </c>
      <c r="C24" s="208" t="s">
        <v>668</v>
      </c>
      <c r="D24" s="199" t="s">
        <v>638</v>
      </c>
      <c r="E24" s="194">
        <v>17.2</v>
      </c>
      <c r="F24" s="205" t="s">
        <v>761</v>
      </c>
    </row>
    <row r="25" spans="1:6" x14ac:dyDescent="0.25">
      <c r="A25" s="197">
        <v>3</v>
      </c>
      <c r="B25" s="198">
        <v>3</v>
      </c>
      <c r="C25" s="208" t="s">
        <v>668</v>
      </c>
      <c r="D25" s="199" t="s">
        <v>640</v>
      </c>
      <c r="E25" s="194">
        <v>55.8</v>
      </c>
      <c r="F25" s="200" t="s">
        <v>760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3.2" x14ac:dyDescent="0.25"/>
  <cols>
    <col min="1" max="1" width="7" style="195" customWidth="1"/>
    <col min="2" max="2" width="8.6640625" style="195" customWidth="1"/>
    <col min="3" max="3" width="7.6640625" style="195" customWidth="1"/>
    <col min="4" max="4" width="7.88671875" style="195" customWidth="1"/>
    <col min="5" max="5" width="10.21875" style="195" customWidth="1"/>
    <col min="6" max="6" width="47.5546875" style="196" customWidth="1"/>
    <col min="7" max="16384" width="8.88671875" style="196"/>
  </cols>
  <sheetData>
    <row r="1" spans="1:6" ht="39.6" x14ac:dyDescent="0.25">
      <c r="A1" s="177" t="s">
        <v>252</v>
      </c>
      <c r="B1" s="178" t="s">
        <v>251</v>
      </c>
      <c r="C1" s="179" t="s">
        <v>724</v>
      </c>
      <c r="D1" s="176" t="s">
        <v>634</v>
      </c>
      <c r="E1" s="176" t="s">
        <v>635</v>
      </c>
      <c r="F1" s="153" t="s">
        <v>636</v>
      </c>
    </row>
    <row r="2" spans="1:6" x14ac:dyDescent="0.25">
      <c r="A2" s="190">
        <v>4</v>
      </c>
      <c r="B2" s="191">
        <v>3</v>
      </c>
      <c r="C2" s="192">
        <v>4010</v>
      </c>
      <c r="D2" s="193" t="s">
        <v>637</v>
      </c>
      <c r="E2" s="194">
        <v>31</v>
      </c>
      <c r="F2" s="284" t="s">
        <v>762</v>
      </c>
    </row>
    <row r="3" spans="1:6" x14ac:dyDescent="0.25">
      <c r="A3" s="190">
        <v>4</v>
      </c>
      <c r="B3" s="191">
        <v>3</v>
      </c>
      <c r="C3" s="192">
        <v>4010</v>
      </c>
      <c r="D3" s="193" t="s">
        <v>638</v>
      </c>
      <c r="E3" s="194">
        <v>107</v>
      </c>
      <c r="F3" s="167" t="s">
        <v>761</v>
      </c>
    </row>
    <row r="4" spans="1:6" x14ac:dyDescent="0.25">
      <c r="A4" s="190">
        <v>4</v>
      </c>
      <c r="B4" s="191">
        <v>3</v>
      </c>
      <c r="C4" s="192">
        <v>4010</v>
      </c>
      <c r="D4" s="193" t="s">
        <v>640</v>
      </c>
      <c r="E4" s="194">
        <v>117.4</v>
      </c>
      <c r="F4" s="284" t="s">
        <v>760</v>
      </c>
    </row>
    <row r="5" spans="1:6" x14ac:dyDescent="0.25">
      <c r="A5" s="190">
        <v>4</v>
      </c>
      <c r="B5" s="191">
        <v>3</v>
      </c>
      <c r="C5" s="192">
        <v>4011</v>
      </c>
      <c r="D5" s="193" t="s">
        <v>646</v>
      </c>
      <c r="E5" s="194">
        <v>2.1</v>
      </c>
      <c r="F5" s="167" t="s">
        <v>758</v>
      </c>
    </row>
    <row r="6" spans="1:6" x14ac:dyDescent="0.25">
      <c r="A6" s="190">
        <v>4</v>
      </c>
      <c r="B6" s="191">
        <v>3</v>
      </c>
      <c r="C6" s="192">
        <v>4011</v>
      </c>
      <c r="D6" s="193" t="s">
        <v>652</v>
      </c>
      <c r="E6" s="194">
        <v>3.1</v>
      </c>
      <c r="F6" s="167" t="s">
        <v>757</v>
      </c>
    </row>
    <row r="7" spans="1:6" x14ac:dyDescent="0.25">
      <c r="A7" s="190">
        <v>4</v>
      </c>
      <c r="B7" s="191">
        <v>3</v>
      </c>
      <c r="C7" s="192">
        <v>4011</v>
      </c>
      <c r="D7" s="193" t="s">
        <v>648</v>
      </c>
      <c r="E7" s="194">
        <v>26.8</v>
      </c>
      <c r="F7" s="284" t="s">
        <v>754</v>
      </c>
    </row>
    <row r="8" spans="1:6" x14ac:dyDescent="0.25">
      <c r="A8" s="190">
        <v>4</v>
      </c>
      <c r="B8" s="191">
        <v>3</v>
      </c>
      <c r="C8" s="192">
        <v>4012</v>
      </c>
      <c r="D8" s="193" t="s">
        <v>645</v>
      </c>
      <c r="E8" s="194">
        <v>10</v>
      </c>
      <c r="F8" s="167" t="s">
        <v>755</v>
      </c>
    </row>
    <row r="9" spans="1:6" x14ac:dyDescent="0.25">
      <c r="A9" s="190">
        <v>4</v>
      </c>
      <c r="B9" s="191">
        <v>3</v>
      </c>
      <c r="C9" s="192">
        <v>4012</v>
      </c>
      <c r="D9" s="193" t="s">
        <v>653</v>
      </c>
      <c r="E9" s="194">
        <v>1.8</v>
      </c>
      <c r="F9" s="284" t="s">
        <v>756</v>
      </c>
    </row>
    <row r="10" spans="1:6" x14ac:dyDescent="0.25">
      <c r="A10" s="190">
        <v>4</v>
      </c>
      <c r="B10" s="191">
        <v>3</v>
      </c>
      <c r="C10" s="192">
        <v>4012</v>
      </c>
      <c r="D10" s="193" t="s">
        <v>646</v>
      </c>
      <c r="E10" s="194">
        <v>0.9</v>
      </c>
      <c r="F10" s="167" t="s">
        <v>758</v>
      </c>
    </row>
    <row r="11" spans="1:6" x14ac:dyDescent="0.25">
      <c r="A11" s="190">
        <v>4</v>
      </c>
      <c r="B11" s="191">
        <v>3</v>
      </c>
      <c r="C11" s="192">
        <v>4012</v>
      </c>
      <c r="D11" s="193" t="s">
        <v>652</v>
      </c>
      <c r="E11" s="194">
        <v>2.4</v>
      </c>
      <c r="F11" s="167" t="s">
        <v>757</v>
      </c>
    </row>
    <row r="12" spans="1:6" ht="26.4" x14ac:dyDescent="0.25">
      <c r="A12" s="190">
        <v>4</v>
      </c>
      <c r="B12" s="191">
        <v>3</v>
      </c>
      <c r="C12" s="192">
        <v>4012</v>
      </c>
      <c r="D12" s="193" t="s">
        <v>658</v>
      </c>
      <c r="E12" s="194">
        <v>0.9</v>
      </c>
      <c r="F12" s="167" t="s">
        <v>759</v>
      </c>
    </row>
    <row r="13" spans="1:6" x14ac:dyDescent="0.25">
      <c r="A13" s="190">
        <v>4</v>
      </c>
      <c r="B13" s="191">
        <v>3</v>
      </c>
      <c r="C13" s="192">
        <v>4012</v>
      </c>
      <c r="D13" s="193" t="s">
        <v>642</v>
      </c>
      <c r="E13" s="194">
        <v>1.8</v>
      </c>
      <c r="F13" s="284" t="s">
        <v>754</v>
      </c>
    </row>
    <row r="14" spans="1:6" x14ac:dyDescent="0.25">
      <c r="A14" s="190">
        <v>4</v>
      </c>
      <c r="B14" s="191">
        <v>3</v>
      </c>
      <c r="C14" s="192">
        <v>4012</v>
      </c>
      <c r="D14" s="193" t="s">
        <v>648</v>
      </c>
      <c r="E14" s="194">
        <v>9.9</v>
      </c>
      <c r="F14" s="284" t="s">
        <v>754</v>
      </c>
    </row>
    <row r="15" spans="1:6" x14ac:dyDescent="0.25">
      <c r="A15" s="190">
        <v>4</v>
      </c>
      <c r="B15" s="191">
        <v>3</v>
      </c>
      <c r="C15" s="192">
        <v>4013</v>
      </c>
      <c r="D15" s="193" t="s">
        <v>645</v>
      </c>
      <c r="E15" s="194">
        <v>10</v>
      </c>
      <c r="F15" s="167" t="s">
        <v>755</v>
      </c>
    </row>
    <row r="16" spans="1:6" x14ac:dyDescent="0.25">
      <c r="A16" s="190">
        <v>4</v>
      </c>
      <c r="B16" s="191">
        <v>3</v>
      </c>
      <c r="C16" s="192">
        <v>4013</v>
      </c>
      <c r="D16" s="193" t="s">
        <v>653</v>
      </c>
      <c r="E16" s="194">
        <v>1.8</v>
      </c>
      <c r="F16" s="167" t="s">
        <v>756</v>
      </c>
    </row>
    <row r="17" spans="1:6" x14ac:dyDescent="0.25">
      <c r="A17" s="190">
        <v>4</v>
      </c>
      <c r="B17" s="191">
        <v>3</v>
      </c>
      <c r="C17" s="192">
        <v>4013</v>
      </c>
      <c r="D17" s="193" t="s">
        <v>646</v>
      </c>
      <c r="E17" s="194">
        <v>3.1</v>
      </c>
      <c r="F17" s="167" t="s">
        <v>758</v>
      </c>
    </row>
    <row r="18" spans="1:6" x14ac:dyDescent="0.25">
      <c r="A18" s="190">
        <v>4</v>
      </c>
      <c r="B18" s="191">
        <v>3</v>
      </c>
      <c r="C18" s="192">
        <v>4013</v>
      </c>
      <c r="D18" s="193" t="s">
        <v>652</v>
      </c>
      <c r="E18" s="194">
        <v>5</v>
      </c>
      <c r="F18" s="167" t="s">
        <v>757</v>
      </c>
    </row>
    <row r="19" spans="1:6" ht="26.4" x14ac:dyDescent="0.25">
      <c r="A19" s="190">
        <v>4</v>
      </c>
      <c r="B19" s="191">
        <v>3</v>
      </c>
      <c r="C19" s="192">
        <v>4013</v>
      </c>
      <c r="D19" s="193" t="s">
        <v>658</v>
      </c>
      <c r="E19" s="194">
        <v>1.3</v>
      </c>
      <c r="F19" s="167" t="s">
        <v>759</v>
      </c>
    </row>
    <row r="20" spans="1:6" x14ac:dyDescent="0.25">
      <c r="A20" s="190">
        <v>4</v>
      </c>
      <c r="B20" s="191">
        <v>3</v>
      </c>
      <c r="C20" s="192">
        <v>4014</v>
      </c>
      <c r="D20" s="193" t="s">
        <v>637</v>
      </c>
      <c r="E20" s="194">
        <v>12.3</v>
      </c>
      <c r="F20" s="167" t="s">
        <v>762</v>
      </c>
    </row>
    <row r="21" spans="1:6" x14ac:dyDescent="0.25">
      <c r="A21" s="190">
        <v>4</v>
      </c>
      <c r="B21" s="191">
        <v>3</v>
      </c>
      <c r="C21" s="192">
        <v>4014</v>
      </c>
      <c r="D21" s="193" t="s">
        <v>638</v>
      </c>
      <c r="E21" s="194">
        <v>27.9</v>
      </c>
      <c r="F21" s="167" t="s">
        <v>761</v>
      </c>
    </row>
    <row r="22" spans="1:6" x14ac:dyDescent="0.25">
      <c r="A22" s="190">
        <v>4</v>
      </c>
      <c r="B22" s="191">
        <v>3</v>
      </c>
      <c r="C22" s="192">
        <v>4014</v>
      </c>
      <c r="D22" s="193" t="s">
        <v>640</v>
      </c>
      <c r="E22" s="194">
        <v>56.4</v>
      </c>
      <c r="F22" s="167" t="s">
        <v>760</v>
      </c>
    </row>
    <row r="23" spans="1:6" x14ac:dyDescent="0.25">
      <c r="A23" s="190">
        <v>4</v>
      </c>
      <c r="B23" s="191">
        <v>3</v>
      </c>
      <c r="C23" s="192">
        <v>4015</v>
      </c>
      <c r="D23" s="193" t="s">
        <v>652</v>
      </c>
      <c r="E23" s="194">
        <v>22.8</v>
      </c>
      <c r="F23" s="167" t="s">
        <v>757</v>
      </c>
    </row>
    <row r="24" spans="1:6" x14ac:dyDescent="0.25">
      <c r="A24" s="190">
        <v>4</v>
      </c>
      <c r="B24" s="191">
        <v>3</v>
      </c>
      <c r="C24" s="192">
        <v>4015</v>
      </c>
      <c r="D24" s="193" t="s">
        <v>642</v>
      </c>
      <c r="E24" s="194">
        <v>2.1</v>
      </c>
      <c r="F24" s="284" t="s">
        <v>754</v>
      </c>
    </row>
    <row r="25" spans="1:6" x14ac:dyDescent="0.25">
      <c r="A25" s="190">
        <v>4</v>
      </c>
      <c r="B25" s="191">
        <v>3</v>
      </c>
      <c r="C25" s="192">
        <v>4015</v>
      </c>
      <c r="D25" s="193" t="s">
        <v>651</v>
      </c>
      <c r="E25" s="194">
        <v>11.7</v>
      </c>
      <c r="F25" s="284" t="s">
        <v>754</v>
      </c>
    </row>
    <row r="26" spans="1:6" x14ac:dyDescent="0.25">
      <c r="A26" s="190">
        <v>4</v>
      </c>
      <c r="B26" s="191">
        <v>3</v>
      </c>
      <c r="C26" s="192">
        <v>4016</v>
      </c>
      <c r="D26" s="193" t="s">
        <v>652</v>
      </c>
      <c r="E26" s="194">
        <v>3.9</v>
      </c>
      <c r="F26" s="284" t="s">
        <v>757</v>
      </c>
    </row>
    <row r="27" spans="1:6" x14ac:dyDescent="0.25">
      <c r="A27" s="190">
        <v>4</v>
      </c>
      <c r="B27" s="191">
        <v>3</v>
      </c>
      <c r="C27" s="192">
        <v>4016</v>
      </c>
      <c r="D27" s="193" t="s">
        <v>648</v>
      </c>
      <c r="E27" s="194">
        <v>12.3</v>
      </c>
      <c r="F27" s="284" t="s">
        <v>754</v>
      </c>
    </row>
    <row r="28" spans="1:6" x14ac:dyDescent="0.25">
      <c r="A28" s="190">
        <v>4</v>
      </c>
      <c r="B28" s="191">
        <v>3</v>
      </c>
      <c r="C28" s="192">
        <v>4017</v>
      </c>
      <c r="D28" s="193" t="s">
        <v>645</v>
      </c>
      <c r="E28" s="194">
        <v>10.4</v>
      </c>
      <c r="F28" s="167" t="s">
        <v>755</v>
      </c>
    </row>
    <row r="29" spans="1:6" x14ac:dyDescent="0.25">
      <c r="A29" s="190">
        <v>4</v>
      </c>
      <c r="B29" s="191">
        <v>3</v>
      </c>
      <c r="C29" s="192">
        <v>4017</v>
      </c>
      <c r="D29" s="193" t="s">
        <v>653</v>
      </c>
      <c r="E29" s="194">
        <v>1.9</v>
      </c>
      <c r="F29" s="167" t="s">
        <v>756</v>
      </c>
    </row>
    <row r="30" spans="1:6" x14ac:dyDescent="0.25">
      <c r="A30" s="190">
        <v>4</v>
      </c>
      <c r="B30" s="191">
        <v>3</v>
      </c>
      <c r="C30" s="192">
        <v>4017</v>
      </c>
      <c r="D30" s="193" t="s">
        <v>646</v>
      </c>
      <c r="E30" s="194">
        <v>0.9</v>
      </c>
      <c r="F30" s="167" t="s">
        <v>758</v>
      </c>
    </row>
    <row r="31" spans="1:6" x14ac:dyDescent="0.25">
      <c r="A31" s="190">
        <v>4</v>
      </c>
      <c r="B31" s="191">
        <v>3</v>
      </c>
      <c r="C31" s="192">
        <v>4017</v>
      </c>
      <c r="D31" s="193" t="s">
        <v>642</v>
      </c>
      <c r="E31" s="194">
        <v>2.8</v>
      </c>
      <c r="F31" s="284" t="s">
        <v>754</v>
      </c>
    </row>
    <row r="32" spans="1:6" x14ac:dyDescent="0.25">
      <c r="A32" s="190">
        <v>4</v>
      </c>
      <c r="B32" s="191">
        <v>3</v>
      </c>
      <c r="C32" s="192">
        <v>4017</v>
      </c>
      <c r="D32" s="193" t="s">
        <v>648</v>
      </c>
      <c r="E32" s="194">
        <v>13.2</v>
      </c>
      <c r="F32" s="284" t="s">
        <v>754</v>
      </c>
    </row>
    <row r="33" spans="1:6" x14ac:dyDescent="0.25">
      <c r="A33" s="190">
        <v>4</v>
      </c>
      <c r="B33" s="191">
        <v>3</v>
      </c>
      <c r="C33" s="193" t="s">
        <v>669</v>
      </c>
      <c r="D33" s="193" t="s">
        <v>637</v>
      </c>
      <c r="E33" s="194">
        <v>10.9</v>
      </c>
      <c r="F33" s="167" t="s">
        <v>762</v>
      </c>
    </row>
    <row r="34" spans="1:6" x14ac:dyDescent="0.25">
      <c r="A34" s="190">
        <v>4</v>
      </c>
      <c r="B34" s="191">
        <v>3</v>
      </c>
      <c r="C34" s="193" t="s">
        <v>669</v>
      </c>
      <c r="D34" s="193" t="s">
        <v>638</v>
      </c>
      <c r="E34" s="194">
        <v>17.399999999999999</v>
      </c>
      <c r="F34" s="167" t="s">
        <v>761</v>
      </c>
    </row>
    <row r="35" spans="1:6" x14ac:dyDescent="0.25">
      <c r="A35" s="190">
        <v>4</v>
      </c>
      <c r="B35" s="191">
        <v>3</v>
      </c>
      <c r="C35" s="193" t="s">
        <v>669</v>
      </c>
      <c r="D35" s="193" t="s">
        <v>640</v>
      </c>
      <c r="E35" s="194">
        <v>51.3</v>
      </c>
      <c r="F35" s="284" t="s">
        <v>760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35</vt:i4>
      </vt:variant>
    </vt:vector>
  </HeadingPairs>
  <TitlesOfParts>
    <vt:vector size="35" baseType="lpstr">
      <vt:lpstr>4.1ЧНП25</vt:lpstr>
      <vt:lpstr>КП</vt:lpstr>
      <vt:lpstr>3.2Шт3в</vt:lpstr>
      <vt:lpstr>3.2.1Шт</vt:lpstr>
      <vt:lpstr>1.9КирпКровля3вып</vt:lpstr>
      <vt:lpstr>1.8КирпПодвал3вып</vt:lpstr>
      <vt:lpstr>1.7Кирп3вып</vt:lpstr>
      <vt:lpstr>1.6Блок3вып</vt:lpstr>
      <vt:lpstr>1.5-ПГП 3 вып</vt:lpstr>
      <vt:lpstr>2.7-Фар 3 вып</vt:lpstr>
      <vt:lpstr>2.6-Пер 3 вып</vt:lpstr>
      <vt:lpstr>1.1-Ст</vt:lpstr>
      <vt:lpstr>1.2-Ст</vt:lpstr>
      <vt:lpstr>1.3-Кирп</vt:lpstr>
      <vt:lpstr>1.4-Бл</vt:lpstr>
      <vt:lpstr>2.1-Ст</vt:lpstr>
      <vt:lpstr>2.3-Ст</vt:lpstr>
      <vt:lpstr>2.4-Ст</vt:lpstr>
      <vt:lpstr>Лист2</vt:lpstr>
      <vt:lpstr>2.2-Пер</vt:lpstr>
      <vt:lpstr>2.2-Пер2</vt:lpstr>
      <vt:lpstr>3-Ст</vt:lpstr>
      <vt:lpstr>Ведомость</vt:lpstr>
      <vt:lpstr>2.6-Пер -1</vt:lpstr>
      <vt:lpstr>3.1-Шт</vt:lpstr>
      <vt:lpstr>3.1.1</vt:lpstr>
      <vt:lpstr>3.2-Шт Оста</vt:lpstr>
      <vt:lpstr>3.2.1 Ост</vt:lpstr>
      <vt:lpstr>3.1.2-Шт1э1с</vt:lpstr>
      <vt:lpstr>3.1.3-Шт1э3с</vt:lpstr>
      <vt:lpstr>3.1.4-Шт2э1с</vt:lpstr>
      <vt:lpstr>3.1.5-Шт2э3с</vt:lpstr>
      <vt:lpstr>3.1.6-Шт3э1с</vt:lpstr>
      <vt:lpstr>3.1.7-Шт3э3с</vt:lpstr>
      <vt:lpstr>3.1.8-Шт4э3с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2026-04-24T14:19:04Z</dcterms:modified>
</cp:coreProperties>
</file>