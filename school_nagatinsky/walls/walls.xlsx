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4"/>
  </bookViews>
  <sheets>
    <sheet name="Общий" sheetId="1" r:id="rId1"/>
    <sheet name="Лист1" sheetId="7" r:id="rId2"/>
    <sheet name="1.1-Ст" sheetId="3" r:id="rId3"/>
    <sheet name="1.2-Ст" sheetId="6" r:id="rId4"/>
    <sheet name="2.1-Ст" sheetId="8" r:id="rId5"/>
    <sheet name="2.2-Ст" sheetId="10" r:id="rId6"/>
    <sheet name="2.2-Ст2" sheetId="12" r:id="rId7"/>
    <sheet name="3-Ст" sheetId="4" r:id="rId8"/>
  </sheets>
  <calcPr calcId="152511"/>
  <fileRecoveryPr autoRecover="0"/>
</workbook>
</file>

<file path=xl/calcChain.xml><?xml version="1.0" encoding="utf-8"?>
<calcChain xmlns="http://schemas.openxmlformats.org/spreadsheetml/2006/main">
  <c r="F11" i="8" l="1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<sst xmlns="http://schemas.openxmlformats.org/spreadsheetml/2006/main" count="519" uniqueCount="270">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</sst>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164" fontId="7" fillId="0" borderId="5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 wrapText="1"/>
    </xf>
    <xf numFmtId="164" fontId="9" fillId="0" borderId="5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0" borderId="5" xfId="0" applyFont="1" applyFill="1" applyBorder="1" applyAlignment="1">
      <alignment horizontal="left" vertical="center" wrapText="1"/>
    </xf>
    <xf numFmtId="164" fontId="10" fillId="0" borderId="5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5" xfId="0" applyFont="1" applyFill="1" applyBorder="1" applyAlignment="1">
      <alignment horizontal="left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5" xfId="0" applyNumberFormat="1" applyFont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3" fontId="11" fillId="0" borderId="5" xfId="0" applyNumberFormat="1" applyFont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6" xfId="0" applyFont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6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topLeftCell="A38" zoomScale="55" zoomScaleNormal="55" workbookViewId="0">
      <selection activeCell="I78" sqref="I78"/>
    </sheetView>
  </sheetViews>
  <sheetFormatPr defaultRowHeight="14.4" x14ac:dyDescent="0.3"/>
  <cols>
    <col min="1" max="1" width="15.88671875" style="4" customWidth="1"/>
    <col min="2" max="2" width="15.33203125" style="4" customWidth="1"/>
    <col min="3" max="3" width="55.6640625" style="4" customWidth="1"/>
    <col min="4" max="4" width="20.44140625" style="4" customWidth="1"/>
    <col min="5" max="5" width="40.33203125" style="4" customWidth="1"/>
    <col min="6" max="6" width="13.44140625" style="4" customWidth="1"/>
    <col min="7" max="7" width="15.21875" style="4" customWidth="1"/>
    <col min="8" max="8" width="16.77734375" style="4" customWidth="1"/>
    <col min="9" max="16384" width="8.88671875" style="4"/>
  </cols>
  <sheetData>
    <row r="1" spans="1:8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</row>
    <row r="2" spans="1:8" ht="30.75" customHeight="1" x14ac:dyDescent="0.3">
      <c r="A2" s="43" t="s">
        <v>6</v>
      </c>
      <c r="B2" s="43"/>
      <c r="C2" s="43"/>
      <c r="D2" s="43"/>
      <c r="E2" s="43"/>
      <c r="F2" s="43"/>
      <c r="G2" s="43"/>
      <c r="H2" s="43"/>
    </row>
    <row r="3" spans="1:8" ht="15" customHeight="1" x14ac:dyDescent="0.3">
      <c r="A3" s="44" t="s">
        <v>7</v>
      </c>
      <c r="B3" s="44"/>
      <c r="C3" s="44"/>
      <c r="D3" s="44"/>
      <c r="E3" s="44"/>
      <c r="F3" s="44"/>
      <c r="G3" s="44"/>
      <c r="H3" s="44"/>
    </row>
    <row r="4" spans="1:8" ht="15" customHeight="1" x14ac:dyDescent="0.3">
      <c r="A4" s="45" t="s">
        <v>8</v>
      </c>
      <c r="B4" s="45"/>
      <c r="C4" s="45"/>
      <c r="D4" s="45"/>
      <c r="E4" s="45"/>
      <c r="F4" s="45"/>
      <c r="G4" s="45"/>
      <c r="H4" s="45"/>
    </row>
    <row r="5" spans="1:8" ht="40.799999999999997" customHeight="1" x14ac:dyDescent="0.3">
      <c r="A5" s="5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5" t="s">
        <v>16</v>
      </c>
    </row>
    <row r="6" spans="1:8" ht="16.95" hidden="1" customHeight="1" x14ac:dyDescent="0.3">
      <c r="A6" s="6" t="s">
        <v>17</v>
      </c>
      <c r="B6" s="6" t="s">
        <v>18</v>
      </c>
      <c r="C6" s="40" t="s">
        <v>19</v>
      </c>
      <c r="D6" s="41"/>
      <c r="E6" s="41"/>
      <c r="F6" s="41"/>
      <c r="G6" s="41"/>
      <c r="H6" s="42"/>
    </row>
    <row r="7" spans="1:8" ht="18" hidden="1" x14ac:dyDescent="0.3">
      <c r="A7" s="6" t="s">
        <v>20</v>
      </c>
      <c r="B7" s="6" t="s">
        <v>21</v>
      </c>
      <c r="C7" s="7" t="s">
        <v>22</v>
      </c>
      <c r="D7" s="8"/>
      <c r="E7" s="8"/>
      <c r="F7" s="8" t="s">
        <v>23</v>
      </c>
      <c r="G7" s="9">
        <v>1</v>
      </c>
      <c r="H7" s="9">
        <v>189.3</v>
      </c>
    </row>
    <row r="8" spans="1:8" ht="16.95" hidden="1" customHeight="1" x14ac:dyDescent="0.3">
      <c r="A8" s="6" t="s">
        <v>24</v>
      </c>
      <c r="B8" s="6" t="s">
        <v>25</v>
      </c>
      <c r="C8" s="40" t="s">
        <v>26</v>
      </c>
      <c r="D8" s="41"/>
      <c r="E8" s="41"/>
      <c r="F8" s="41"/>
      <c r="G8" s="41"/>
      <c r="H8" s="42"/>
    </row>
    <row r="9" spans="1:8" ht="16.95" hidden="1" customHeight="1" x14ac:dyDescent="0.3">
      <c r="A9" s="6" t="s">
        <v>27</v>
      </c>
      <c r="B9" s="6" t="s">
        <v>28</v>
      </c>
      <c r="C9" s="40" t="s">
        <v>29</v>
      </c>
      <c r="D9" s="41"/>
      <c r="E9" s="41"/>
      <c r="F9" s="41"/>
      <c r="G9" s="41"/>
      <c r="H9" s="42"/>
    </row>
    <row r="10" spans="1:8" ht="54" hidden="1" x14ac:dyDescent="0.3">
      <c r="A10" s="6" t="s">
        <v>30</v>
      </c>
      <c r="B10" s="6" t="s">
        <v>31</v>
      </c>
      <c r="C10" s="7" t="s">
        <v>32</v>
      </c>
      <c r="D10" s="8"/>
      <c r="E10" s="8" t="s">
        <v>33</v>
      </c>
      <c r="F10" s="8" t="s">
        <v>34</v>
      </c>
      <c r="G10" s="9">
        <v>1</v>
      </c>
      <c r="H10" s="9">
        <v>9.2200000000000006</v>
      </c>
    </row>
    <row r="11" spans="1:8" ht="36" hidden="1" x14ac:dyDescent="0.3">
      <c r="A11" s="6" t="s">
        <v>35</v>
      </c>
      <c r="B11" s="6"/>
      <c r="C11" s="10" t="s">
        <v>36</v>
      </c>
      <c r="D11" s="8"/>
      <c r="E11" s="8"/>
      <c r="F11" s="11" t="s">
        <v>37</v>
      </c>
      <c r="G11" s="12">
        <v>1</v>
      </c>
      <c r="H11" s="12">
        <v>9.2200000000000006</v>
      </c>
    </row>
    <row r="12" spans="1:8" ht="36" hidden="1" x14ac:dyDescent="0.3">
      <c r="A12" s="6" t="s">
        <v>38</v>
      </c>
      <c r="B12" s="6"/>
      <c r="C12" s="10" t="s">
        <v>39</v>
      </c>
      <c r="D12" s="8"/>
      <c r="E12" s="8"/>
      <c r="F12" s="11" t="s">
        <v>37</v>
      </c>
      <c r="G12" s="12">
        <v>1</v>
      </c>
      <c r="H12" s="12">
        <v>9.2200000000000006</v>
      </c>
    </row>
    <row r="13" spans="1:8" ht="18" hidden="1" x14ac:dyDescent="0.3">
      <c r="A13" s="6" t="s">
        <v>40</v>
      </c>
      <c r="B13" s="6"/>
      <c r="C13" s="10" t="s">
        <v>41</v>
      </c>
      <c r="D13" s="8"/>
      <c r="E13" s="8"/>
      <c r="F13" s="11" t="s">
        <v>42</v>
      </c>
      <c r="G13" s="12">
        <v>25</v>
      </c>
      <c r="H13" s="12">
        <v>230.5</v>
      </c>
    </row>
    <row r="14" spans="1:8" ht="18" hidden="1" x14ac:dyDescent="0.3">
      <c r="A14" s="6" t="s">
        <v>43</v>
      </c>
      <c r="B14" s="6"/>
      <c r="C14" s="13" t="s">
        <v>44</v>
      </c>
      <c r="D14" s="8"/>
      <c r="E14" s="8"/>
      <c r="F14" s="11" t="s">
        <v>34</v>
      </c>
      <c r="G14" s="12">
        <v>1.05</v>
      </c>
      <c r="H14" s="14">
        <v>9.6809999999999992</v>
      </c>
    </row>
    <row r="15" spans="1:8" ht="16.95" hidden="1" customHeight="1" x14ac:dyDescent="0.3">
      <c r="A15" s="6" t="s">
        <v>45</v>
      </c>
      <c r="B15" s="6" t="s">
        <v>46</v>
      </c>
      <c r="C15" s="40" t="s">
        <v>47</v>
      </c>
      <c r="D15" s="41"/>
      <c r="E15" s="41"/>
      <c r="F15" s="41"/>
      <c r="G15" s="41"/>
      <c r="H15" s="42"/>
    </row>
    <row r="16" spans="1:8" ht="72" hidden="1" x14ac:dyDescent="0.3">
      <c r="A16" s="6" t="s">
        <v>48</v>
      </c>
      <c r="B16" s="6" t="s">
        <v>49</v>
      </c>
      <c r="C16" s="7" t="s">
        <v>50</v>
      </c>
      <c r="D16" s="8"/>
      <c r="E16" s="8" t="s">
        <v>51</v>
      </c>
      <c r="F16" s="8" t="s">
        <v>23</v>
      </c>
      <c r="G16" s="9">
        <v>1</v>
      </c>
      <c r="H16" s="9">
        <v>627.20000000000005</v>
      </c>
    </row>
    <row r="17" spans="1:8" ht="18" hidden="1" x14ac:dyDescent="0.3">
      <c r="A17" s="6" t="s">
        <v>52</v>
      </c>
      <c r="B17" s="6"/>
      <c r="C17" s="10" t="s">
        <v>53</v>
      </c>
      <c r="D17" s="8"/>
      <c r="E17" s="8"/>
      <c r="F17" s="11" t="s">
        <v>42</v>
      </c>
      <c r="G17" s="12">
        <v>44.85</v>
      </c>
      <c r="H17" s="12">
        <v>28129.919999999998</v>
      </c>
    </row>
    <row r="18" spans="1:8" ht="36" hidden="1" x14ac:dyDescent="0.3">
      <c r="A18" s="6" t="s">
        <v>54</v>
      </c>
      <c r="B18" s="6"/>
      <c r="C18" s="10" t="s">
        <v>55</v>
      </c>
      <c r="D18" s="8"/>
      <c r="E18" s="8"/>
      <c r="F18" s="11" t="s">
        <v>37</v>
      </c>
      <c r="G18" s="12">
        <v>1</v>
      </c>
      <c r="H18" s="12">
        <v>627.20000000000005</v>
      </c>
    </row>
    <row r="19" spans="1:8" ht="36" hidden="1" x14ac:dyDescent="0.3">
      <c r="A19" s="6" t="s">
        <v>56</v>
      </c>
      <c r="B19" s="6"/>
      <c r="C19" s="10" t="s">
        <v>57</v>
      </c>
      <c r="D19" s="8"/>
      <c r="E19" s="8"/>
      <c r="F19" s="11" t="s">
        <v>37</v>
      </c>
      <c r="G19" s="12">
        <v>1</v>
      </c>
      <c r="H19" s="12">
        <v>627.20000000000005</v>
      </c>
    </row>
    <row r="20" spans="1:8" ht="18" hidden="1" x14ac:dyDescent="0.3">
      <c r="A20" s="6" t="s">
        <v>58</v>
      </c>
      <c r="B20" s="6"/>
      <c r="C20" s="10" t="s">
        <v>59</v>
      </c>
      <c r="D20" s="8"/>
      <c r="E20" s="8"/>
      <c r="F20" s="11" t="s">
        <v>23</v>
      </c>
      <c r="G20" s="12">
        <v>0.504</v>
      </c>
      <c r="H20" s="12">
        <v>316.10899999999998</v>
      </c>
    </row>
    <row r="21" spans="1:8" ht="18" hidden="1" x14ac:dyDescent="0.3">
      <c r="A21" s="6" t="s">
        <v>60</v>
      </c>
      <c r="B21" s="6"/>
      <c r="C21" s="10" t="s">
        <v>61</v>
      </c>
      <c r="D21" s="8"/>
      <c r="E21" s="8"/>
      <c r="F21" s="11" t="s">
        <v>62</v>
      </c>
      <c r="G21" s="12">
        <v>50.4</v>
      </c>
      <c r="H21" s="12">
        <v>31610.880000000001</v>
      </c>
    </row>
    <row r="22" spans="1:8" ht="16.95" hidden="1" customHeight="1" x14ac:dyDescent="0.3">
      <c r="A22" s="6" t="s">
        <v>63</v>
      </c>
      <c r="B22" s="6" t="s">
        <v>64</v>
      </c>
      <c r="C22" s="40" t="s">
        <v>65</v>
      </c>
      <c r="D22" s="41"/>
      <c r="E22" s="41"/>
      <c r="F22" s="41"/>
      <c r="G22" s="41"/>
      <c r="H22" s="42"/>
    </row>
    <row r="23" spans="1:8" ht="16.95" hidden="1" customHeight="1" x14ac:dyDescent="0.3">
      <c r="A23" s="6" t="s">
        <v>66</v>
      </c>
      <c r="B23" s="6" t="s">
        <v>67</v>
      </c>
      <c r="C23" s="40" t="s">
        <v>68</v>
      </c>
      <c r="D23" s="41"/>
      <c r="E23" s="41"/>
      <c r="F23" s="41"/>
      <c r="G23" s="41"/>
      <c r="H23" s="42"/>
    </row>
    <row r="24" spans="1:8" ht="16.95" hidden="1" customHeight="1" x14ac:dyDescent="0.3">
      <c r="A24" s="6" t="s">
        <v>69</v>
      </c>
      <c r="B24" s="6" t="s">
        <v>70</v>
      </c>
      <c r="C24" s="40" t="s">
        <v>71</v>
      </c>
      <c r="D24" s="41"/>
      <c r="E24" s="41"/>
      <c r="F24" s="41"/>
      <c r="G24" s="41"/>
      <c r="H24" s="42"/>
    </row>
    <row r="25" spans="1:8" ht="54" x14ac:dyDescent="0.3">
      <c r="A25" s="6" t="s">
        <v>72</v>
      </c>
      <c r="B25" s="6" t="s">
        <v>73</v>
      </c>
      <c r="C25" s="15" t="s">
        <v>32</v>
      </c>
      <c r="D25" s="8">
        <v>123</v>
      </c>
      <c r="E25" s="8" t="s">
        <v>74</v>
      </c>
      <c r="F25" s="8" t="s">
        <v>34</v>
      </c>
      <c r="G25" s="9">
        <v>1</v>
      </c>
      <c r="H25" s="9">
        <v>261.11</v>
      </c>
    </row>
    <row r="26" spans="1:8" ht="36" hidden="1" x14ac:dyDescent="0.3">
      <c r="A26" s="6" t="s">
        <v>75</v>
      </c>
      <c r="B26" s="6"/>
      <c r="C26" s="10" t="s">
        <v>36</v>
      </c>
      <c r="D26" s="8"/>
      <c r="E26" s="8"/>
      <c r="F26" s="11" t="s">
        <v>37</v>
      </c>
      <c r="G26" s="12">
        <v>1</v>
      </c>
      <c r="H26" s="12">
        <v>261.11</v>
      </c>
    </row>
    <row r="27" spans="1:8" ht="36" hidden="1" x14ac:dyDescent="0.3">
      <c r="A27" s="6" t="s">
        <v>76</v>
      </c>
      <c r="B27" s="6"/>
      <c r="C27" s="10" t="s">
        <v>39</v>
      </c>
      <c r="D27" s="8"/>
      <c r="E27" s="8"/>
      <c r="F27" s="11" t="s">
        <v>37</v>
      </c>
      <c r="G27" s="12">
        <v>1</v>
      </c>
      <c r="H27" s="12">
        <v>261.11</v>
      </c>
    </row>
    <row r="28" spans="1:8" ht="18" hidden="1" x14ac:dyDescent="0.3">
      <c r="A28" s="6" t="s">
        <v>77</v>
      </c>
      <c r="B28" s="6"/>
      <c r="C28" s="10" t="s">
        <v>41</v>
      </c>
      <c r="D28" s="8"/>
      <c r="E28" s="8"/>
      <c r="F28" s="11" t="s">
        <v>42</v>
      </c>
      <c r="G28" s="12">
        <v>25</v>
      </c>
      <c r="H28" s="12">
        <v>6527.75</v>
      </c>
    </row>
    <row r="29" spans="1:8" ht="18" hidden="1" x14ac:dyDescent="0.3">
      <c r="A29" s="6" t="s">
        <v>78</v>
      </c>
      <c r="B29" s="6"/>
      <c r="C29" s="13" t="s">
        <v>44</v>
      </c>
      <c r="D29" s="8"/>
      <c r="E29" s="8"/>
      <c r="F29" s="11" t="s">
        <v>34</v>
      </c>
      <c r="G29" s="12">
        <v>1.05</v>
      </c>
      <c r="H29" s="14">
        <v>274.166</v>
      </c>
    </row>
    <row r="30" spans="1:8" ht="36" hidden="1" x14ac:dyDescent="0.3">
      <c r="A30" s="6" t="s">
        <v>79</v>
      </c>
      <c r="B30" s="6" t="s">
        <v>80</v>
      </c>
      <c r="C30" s="7" t="s">
        <v>81</v>
      </c>
      <c r="D30" s="8"/>
      <c r="E30" s="8"/>
      <c r="F30" s="8" t="s">
        <v>34</v>
      </c>
      <c r="G30" s="9">
        <v>1</v>
      </c>
      <c r="H30" s="9">
        <v>5</v>
      </c>
    </row>
    <row r="31" spans="1:8" ht="18" hidden="1" x14ac:dyDescent="0.3">
      <c r="A31" s="6" t="s">
        <v>82</v>
      </c>
      <c r="B31" s="6"/>
      <c r="C31" s="10" t="s">
        <v>53</v>
      </c>
      <c r="D31" s="8"/>
      <c r="E31" s="8"/>
      <c r="F31" s="11" t="s">
        <v>42</v>
      </c>
      <c r="G31" s="12">
        <v>456</v>
      </c>
      <c r="H31" s="12">
        <v>2280</v>
      </c>
    </row>
    <row r="32" spans="1:8" ht="36" hidden="1" x14ac:dyDescent="0.3">
      <c r="A32" s="6" t="s">
        <v>83</v>
      </c>
      <c r="B32" s="6"/>
      <c r="C32" s="10" t="s">
        <v>84</v>
      </c>
      <c r="D32" s="8"/>
      <c r="E32" s="8"/>
      <c r="F32" s="11" t="s">
        <v>62</v>
      </c>
      <c r="G32" s="12">
        <v>395</v>
      </c>
      <c r="H32" s="12">
        <v>1975</v>
      </c>
    </row>
    <row r="33" spans="1:8" ht="16.95" hidden="1" customHeight="1" x14ac:dyDescent="0.3">
      <c r="A33" s="6" t="s">
        <v>85</v>
      </c>
      <c r="B33" s="6" t="s">
        <v>86</v>
      </c>
      <c r="C33" s="40" t="s">
        <v>87</v>
      </c>
      <c r="D33" s="41"/>
      <c r="E33" s="41"/>
      <c r="F33" s="41"/>
      <c r="G33" s="41"/>
      <c r="H33" s="42"/>
    </row>
    <row r="34" spans="1:8" ht="16.95" hidden="1" customHeight="1" x14ac:dyDescent="0.3">
      <c r="A34" s="6" t="s">
        <v>88</v>
      </c>
      <c r="B34" s="6" t="s">
        <v>89</v>
      </c>
      <c r="C34" s="40" t="s">
        <v>90</v>
      </c>
      <c r="D34" s="41"/>
      <c r="E34" s="41"/>
      <c r="F34" s="41"/>
      <c r="G34" s="41"/>
      <c r="H34" s="42"/>
    </row>
    <row r="35" spans="1:8" ht="72" x14ac:dyDescent="0.3">
      <c r="A35" s="6" t="s">
        <v>91</v>
      </c>
      <c r="B35" s="6" t="s">
        <v>92</v>
      </c>
      <c r="C35" s="16" t="s">
        <v>50</v>
      </c>
      <c r="D35" s="8">
        <v>723</v>
      </c>
      <c r="E35" s="8" t="s">
        <v>93</v>
      </c>
      <c r="F35" s="8" t="s">
        <v>23</v>
      </c>
      <c r="G35" s="9">
        <v>1</v>
      </c>
      <c r="H35" s="9">
        <v>1964.75</v>
      </c>
    </row>
    <row r="36" spans="1:8" ht="18" x14ac:dyDescent="0.3">
      <c r="A36" s="6" t="s">
        <v>94</v>
      </c>
      <c r="B36" s="6"/>
      <c r="C36" s="10" t="s">
        <v>53</v>
      </c>
      <c r="D36" s="8"/>
      <c r="E36" s="8">
        <v>227.92</v>
      </c>
      <c r="F36" s="11" t="s">
        <v>42</v>
      </c>
      <c r="G36" s="12">
        <v>44.85</v>
      </c>
      <c r="H36" s="12">
        <v>88119.038</v>
      </c>
    </row>
    <row r="37" spans="1:8" ht="36" x14ac:dyDescent="0.3">
      <c r="A37" s="6" t="s">
        <v>95</v>
      </c>
      <c r="B37" s="6"/>
      <c r="C37" s="10" t="s">
        <v>55</v>
      </c>
      <c r="D37" s="8"/>
      <c r="E37" s="8"/>
      <c r="F37" s="11" t="s">
        <v>37</v>
      </c>
      <c r="G37" s="12">
        <v>1</v>
      </c>
      <c r="H37" s="12">
        <v>1964.75</v>
      </c>
    </row>
    <row r="38" spans="1:8" ht="36" x14ac:dyDescent="0.3">
      <c r="A38" s="6" t="s">
        <v>96</v>
      </c>
      <c r="B38" s="6"/>
      <c r="C38" s="10" t="s">
        <v>57</v>
      </c>
      <c r="D38" s="8"/>
      <c r="E38" s="8"/>
      <c r="F38" s="11" t="s">
        <v>37</v>
      </c>
      <c r="G38" s="12">
        <v>1</v>
      </c>
      <c r="H38" s="12">
        <v>1964.75</v>
      </c>
    </row>
    <row r="39" spans="1:8" ht="18" x14ac:dyDescent="0.3">
      <c r="A39" s="6" t="s">
        <v>97</v>
      </c>
      <c r="B39" s="6"/>
      <c r="C39" s="10" t="s">
        <v>59</v>
      </c>
      <c r="D39" s="8"/>
      <c r="E39" s="8"/>
      <c r="F39" s="11" t="s">
        <v>23</v>
      </c>
      <c r="G39" s="12">
        <v>0.504</v>
      </c>
      <c r="H39" s="12">
        <v>990.23400000000004</v>
      </c>
    </row>
    <row r="40" spans="1:8" ht="18" x14ac:dyDescent="0.3">
      <c r="A40" s="6" t="s">
        <v>98</v>
      </c>
      <c r="B40" s="6"/>
      <c r="C40" s="10" t="s">
        <v>61</v>
      </c>
      <c r="D40" s="8"/>
      <c r="E40" s="8"/>
      <c r="F40" s="11" t="s">
        <v>62</v>
      </c>
      <c r="G40" s="12">
        <v>50.4</v>
      </c>
      <c r="H40" s="12">
        <v>99023.4</v>
      </c>
    </row>
    <row r="41" spans="1:8" ht="16.95" customHeight="1" x14ac:dyDescent="0.3">
      <c r="A41" s="6" t="s">
        <v>99</v>
      </c>
      <c r="B41" s="6" t="s">
        <v>100</v>
      </c>
      <c r="C41" s="40" t="s">
        <v>101</v>
      </c>
      <c r="D41" s="41"/>
      <c r="E41" s="41"/>
      <c r="F41" s="41"/>
      <c r="G41" s="41"/>
      <c r="H41" s="42"/>
    </row>
    <row r="42" spans="1:8" ht="72" x14ac:dyDescent="0.3">
      <c r="A42" s="6" t="s">
        <v>102</v>
      </c>
      <c r="B42" s="6" t="s">
        <v>103</v>
      </c>
      <c r="C42" s="17" t="s">
        <v>104</v>
      </c>
      <c r="D42" s="8"/>
      <c r="E42" s="8" t="s">
        <v>105</v>
      </c>
      <c r="F42" s="8" t="s">
        <v>23</v>
      </c>
      <c r="G42" s="9">
        <v>1</v>
      </c>
      <c r="H42" s="9">
        <v>1519</v>
      </c>
    </row>
    <row r="43" spans="1:8" ht="36" x14ac:dyDescent="0.3">
      <c r="A43" s="6" t="s">
        <v>106</v>
      </c>
      <c r="B43" s="6"/>
      <c r="C43" s="10" t="s">
        <v>107</v>
      </c>
      <c r="D43" s="8"/>
      <c r="E43" s="8"/>
      <c r="F43" s="11" t="s">
        <v>37</v>
      </c>
      <c r="G43" s="12">
        <v>1</v>
      </c>
      <c r="H43" s="12">
        <v>1519</v>
      </c>
    </row>
    <row r="44" spans="1:8" ht="36" x14ac:dyDescent="0.3">
      <c r="A44" s="6" t="s">
        <v>108</v>
      </c>
      <c r="B44" s="6"/>
      <c r="C44" s="13" t="s">
        <v>109</v>
      </c>
      <c r="D44" s="8"/>
      <c r="E44" s="8"/>
      <c r="F44" s="11" t="s">
        <v>23</v>
      </c>
      <c r="G44" s="12">
        <v>1.02</v>
      </c>
      <c r="H44" s="12">
        <v>1549.38</v>
      </c>
    </row>
    <row r="45" spans="1:8" ht="36" x14ac:dyDescent="0.3">
      <c r="A45" s="6" t="s">
        <v>110</v>
      </c>
      <c r="B45" s="6"/>
      <c r="C45" s="10" t="s">
        <v>111</v>
      </c>
      <c r="D45" s="8"/>
      <c r="E45" s="8"/>
      <c r="F45" s="11" t="s">
        <v>37</v>
      </c>
      <c r="G45" s="12">
        <v>1</v>
      </c>
      <c r="H45" s="12">
        <v>1519</v>
      </c>
    </row>
    <row r="46" spans="1:8" ht="18" x14ac:dyDescent="0.3">
      <c r="A46" s="6" t="s">
        <v>112</v>
      </c>
      <c r="B46" s="6"/>
      <c r="C46" s="13" t="s">
        <v>113</v>
      </c>
      <c r="D46" s="8"/>
      <c r="E46" s="8">
        <v>12.6</v>
      </c>
      <c r="F46" s="11" t="s">
        <v>42</v>
      </c>
      <c r="G46" s="12">
        <v>2</v>
      </c>
      <c r="H46" s="12">
        <v>3038</v>
      </c>
    </row>
    <row r="47" spans="1:8" ht="16.95" customHeight="1" x14ac:dyDescent="0.3">
      <c r="A47" s="6" t="s">
        <v>114</v>
      </c>
      <c r="B47" s="6" t="s">
        <v>115</v>
      </c>
      <c r="C47" s="40" t="s">
        <v>116</v>
      </c>
      <c r="D47" s="41"/>
      <c r="E47" s="41"/>
      <c r="F47" s="41"/>
      <c r="G47" s="41"/>
      <c r="H47" s="42"/>
    </row>
    <row r="48" spans="1:8" ht="126" x14ac:dyDescent="0.3">
      <c r="A48" s="6" t="s">
        <v>117</v>
      </c>
      <c r="B48" s="6" t="s">
        <v>118</v>
      </c>
      <c r="C48" s="7" t="s">
        <v>119</v>
      </c>
      <c r="D48" s="8"/>
      <c r="E48" s="8" t="s">
        <v>120</v>
      </c>
      <c r="F48" s="8" t="s">
        <v>23</v>
      </c>
      <c r="G48" s="9">
        <v>1</v>
      </c>
      <c r="H48" s="9">
        <v>601</v>
      </c>
    </row>
    <row r="49" spans="1:8" ht="72" x14ac:dyDescent="0.3">
      <c r="A49" s="6" t="s">
        <v>121</v>
      </c>
      <c r="B49" s="6"/>
      <c r="C49" s="10" t="s">
        <v>122</v>
      </c>
      <c r="D49" s="8"/>
      <c r="E49" s="8"/>
      <c r="F49" s="11" t="s">
        <v>37</v>
      </c>
      <c r="G49" s="12">
        <v>1</v>
      </c>
      <c r="H49" s="12">
        <v>601</v>
      </c>
    </row>
    <row r="50" spans="1:8" ht="18" x14ac:dyDescent="0.3">
      <c r="A50" s="6" t="s">
        <v>123</v>
      </c>
      <c r="B50" s="6"/>
      <c r="C50" s="13" t="s">
        <v>124</v>
      </c>
      <c r="D50" s="8"/>
      <c r="E50" s="8"/>
      <c r="F50" s="11" t="s">
        <v>34</v>
      </c>
      <c r="G50" s="12">
        <v>5.1999999999999998E-2</v>
      </c>
      <c r="H50" s="12">
        <v>31.251999999999999</v>
      </c>
    </row>
    <row r="51" spans="1:8" ht="18" x14ac:dyDescent="0.3">
      <c r="A51" s="6" t="s">
        <v>125</v>
      </c>
      <c r="B51" s="6"/>
      <c r="C51" s="13" t="s">
        <v>126</v>
      </c>
      <c r="D51" s="8"/>
      <c r="E51" s="8" t="s">
        <v>127</v>
      </c>
      <c r="F51" s="11" t="s">
        <v>128</v>
      </c>
      <c r="G51" s="12">
        <v>0.86</v>
      </c>
      <c r="H51" s="14">
        <v>516.86</v>
      </c>
    </row>
    <row r="52" spans="1:8" ht="18" x14ac:dyDescent="0.3">
      <c r="A52" s="6" t="s">
        <v>129</v>
      </c>
      <c r="B52" s="6"/>
      <c r="C52" s="13" t="s">
        <v>130</v>
      </c>
      <c r="D52" s="8"/>
      <c r="E52" s="8" t="s">
        <v>131</v>
      </c>
      <c r="F52" s="11" t="s">
        <v>128</v>
      </c>
      <c r="G52" s="12">
        <v>2.1</v>
      </c>
      <c r="H52" s="14">
        <v>1262.0999999999999</v>
      </c>
    </row>
    <row r="53" spans="1:8" ht="36" x14ac:dyDescent="0.3">
      <c r="A53" s="6" t="s">
        <v>132</v>
      </c>
      <c r="B53" s="6"/>
      <c r="C53" s="13" t="s">
        <v>133</v>
      </c>
      <c r="D53" s="8"/>
      <c r="E53" s="8"/>
      <c r="F53" s="11" t="s">
        <v>23</v>
      </c>
      <c r="G53" s="12">
        <v>2.2000000000000002</v>
      </c>
      <c r="H53" s="12">
        <v>1322.2</v>
      </c>
    </row>
    <row r="54" spans="1:8" ht="108" x14ac:dyDescent="0.3">
      <c r="A54" s="6" t="s">
        <v>134</v>
      </c>
      <c r="B54" s="6" t="s">
        <v>135</v>
      </c>
      <c r="C54" s="7" t="s">
        <v>136</v>
      </c>
      <c r="D54" s="8"/>
      <c r="E54" s="8" t="s">
        <v>137</v>
      </c>
      <c r="F54" s="8" t="s">
        <v>23</v>
      </c>
      <c r="G54" s="9">
        <v>1</v>
      </c>
      <c r="H54" s="9">
        <v>79.099999999999994</v>
      </c>
    </row>
    <row r="55" spans="1:8" ht="72" x14ac:dyDescent="0.3">
      <c r="A55" s="6" t="s">
        <v>138</v>
      </c>
      <c r="B55" s="6"/>
      <c r="C55" s="10" t="s">
        <v>122</v>
      </c>
      <c r="D55" s="8"/>
      <c r="E55" s="8"/>
      <c r="F55" s="11" t="s">
        <v>37</v>
      </c>
      <c r="G55" s="12">
        <v>1</v>
      </c>
      <c r="H55" s="12">
        <v>79.099999999999994</v>
      </c>
    </row>
    <row r="56" spans="1:8" ht="18" x14ac:dyDescent="0.3">
      <c r="A56" s="6" t="s">
        <v>139</v>
      </c>
      <c r="B56" s="6"/>
      <c r="C56" s="13" t="s">
        <v>140</v>
      </c>
      <c r="D56" s="8"/>
      <c r="E56" s="8"/>
      <c r="F56" s="11" t="s">
        <v>128</v>
      </c>
      <c r="G56" s="18">
        <v>2.1</v>
      </c>
      <c r="H56" s="12">
        <v>166.11</v>
      </c>
    </row>
    <row r="57" spans="1:8" ht="18" x14ac:dyDescent="0.3">
      <c r="A57" s="6" t="s">
        <v>141</v>
      </c>
      <c r="B57" s="6"/>
      <c r="C57" s="13" t="s">
        <v>142</v>
      </c>
      <c r="D57" s="8"/>
      <c r="E57" s="8"/>
      <c r="F57" s="11" t="s">
        <v>128</v>
      </c>
      <c r="G57" s="18">
        <v>0.8</v>
      </c>
      <c r="H57" s="12">
        <v>63.28</v>
      </c>
    </row>
    <row r="58" spans="1:8" ht="36" x14ac:dyDescent="0.3">
      <c r="A58" s="6" t="s">
        <v>143</v>
      </c>
      <c r="B58" s="6"/>
      <c r="C58" s="13" t="s">
        <v>133</v>
      </c>
      <c r="D58" s="8"/>
      <c r="E58" s="8"/>
      <c r="F58" s="11" t="s">
        <v>23</v>
      </c>
      <c r="G58" s="12">
        <v>2.2000000000000002</v>
      </c>
      <c r="H58" s="12">
        <v>174.02</v>
      </c>
    </row>
    <row r="59" spans="1:8" ht="108" x14ac:dyDescent="0.3">
      <c r="A59" s="6" t="s">
        <v>144</v>
      </c>
      <c r="B59" s="6" t="s">
        <v>135</v>
      </c>
      <c r="C59" s="7" t="s">
        <v>136</v>
      </c>
      <c r="D59" s="8"/>
      <c r="E59" s="8" t="s">
        <v>145</v>
      </c>
      <c r="F59" s="8" t="s">
        <v>23</v>
      </c>
      <c r="G59" s="9">
        <v>1</v>
      </c>
      <c r="H59" s="9">
        <v>369.1</v>
      </c>
    </row>
    <row r="60" spans="1:8" ht="36" x14ac:dyDescent="0.3">
      <c r="A60" s="6" t="s">
        <v>146</v>
      </c>
      <c r="B60" s="6"/>
      <c r="C60" s="13" t="s">
        <v>147</v>
      </c>
      <c r="D60" s="8"/>
      <c r="E60" s="8"/>
      <c r="F60" s="11" t="s">
        <v>23</v>
      </c>
      <c r="G60" s="12">
        <v>2.2000000000000002</v>
      </c>
      <c r="H60" s="12">
        <v>812.02</v>
      </c>
    </row>
    <row r="61" spans="1:8" ht="18" x14ac:dyDescent="0.3">
      <c r="A61" s="6" t="s">
        <v>148</v>
      </c>
      <c r="B61" s="6"/>
      <c r="C61" s="13" t="s">
        <v>140</v>
      </c>
      <c r="D61" s="8"/>
      <c r="E61" s="8"/>
      <c r="F61" s="11" t="s">
        <v>128</v>
      </c>
      <c r="G61" s="18">
        <v>2.1</v>
      </c>
      <c r="H61" s="12">
        <v>775.11</v>
      </c>
    </row>
    <row r="62" spans="1:8" ht="18" x14ac:dyDescent="0.3">
      <c r="A62" s="6" t="s">
        <v>149</v>
      </c>
      <c r="B62" s="6"/>
      <c r="C62" s="13" t="s">
        <v>142</v>
      </c>
      <c r="D62" s="8"/>
      <c r="E62" s="8"/>
      <c r="F62" s="11" t="s">
        <v>128</v>
      </c>
      <c r="G62" s="18">
        <v>0.8</v>
      </c>
      <c r="H62" s="12">
        <v>295.27999999999997</v>
      </c>
    </row>
    <row r="63" spans="1:8" ht="72" x14ac:dyDescent="0.3">
      <c r="A63" s="6" t="s">
        <v>150</v>
      </c>
      <c r="B63" s="6"/>
      <c r="C63" s="10" t="s">
        <v>122</v>
      </c>
      <c r="D63" s="8"/>
      <c r="E63" s="8"/>
      <c r="F63" s="11" t="s">
        <v>37</v>
      </c>
      <c r="G63" s="12">
        <v>1</v>
      </c>
      <c r="H63" s="12">
        <v>369.1</v>
      </c>
    </row>
    <row r="64" spans="1:8" ht="16.95" customHeight="1" x14ac:dyDescent="0.3">
      <c r="A64" s="6" t="s">
        <v>151</v>
      </c>
      <c r="B64" s="6" t="s">
        <v>152</v>
      </c>
      <c r="C64" s="40" t="s">
        <v>153</v>
      </c>
      <c r="D64" s="41"/>
      <c r="E64" s="41"/>
      <c r="F64" s="41"/>
      <c r="G64" s="41"/>
      <c r="H64" s="42"/>
    </row>
    <row r="65" spans="1:8" ht="36" x14ac:dyDescent="0.3">
      <c r="A65" s="6" t="s">
        <v>154</v>
      </c>
      <c r="B65" s="6" t="s">
        <v>155</v>
      </c>
      <c r="C65" s="7" t="s">
        <v>156</v>
      </c>
      <c r="D65" s="8"/>
      <c r="E65" s="8" t="s">
        <v>157</v>
      </c>
      <c r="F65" s="8" t="s">
        <v>158</v>
      </c>
      <c r="G65" s="9">
        <v>1</v>
      </c>
      <c r="H65" s="9">
        <v>2.5000000000000001E-2</v>
      </c>
    </row>
    <row r="66" spans="1:8" ht="36" x14ac:dyDescent="0.3">
      <c r="A66" s="6" t="s">
        <v>159</v>
      </c>
      <c r="B66" s="6"/>
      <c r="C66" s="10" t="s">
        <v>160</v>
      </c>
      <c r="D66" s="8"/>
      <c r="E66" s="8"/>
      <c r="F66" s="11" t="s">
        <v>37</v>
      </c>
      <c r="G66" s="12">
        <v>1</v>
      </c>
      <c r="H66" s="12">
        <v>2.5000000000000001E-2</v>
      </c>
    </row>
    <row r="67" spans="1:8" ht="18" x14ac:dyDescent="0.3">
      <c r="A67" s="6" t="s">
        <v>161</v>
      </c>
      <c r="B67" s="6"/>
      <c r="C67" s="13" t="s">
        <v>162</v>
      </c>
      <c r="D67" s="8"/>
      <c r="E67" s="8"/>
      <c r="F67" s="11" t="s">
        <v>158</v>
      </c>
      <c r="G67" s="12">
        <v>1</v>
      </c>
      <c r="H67" s="14">
        <v>2.5000000000000001E-2</v>
      </c>
    </row>
    <row r="68" spans="1:8" ht="118.2" customHeight="1" x14ac:dyDescent="0.3">
      <c r="A68" s="6" t="s">
        <v>163</v>
      </c>
      <c r="B68" s="6" t="s">
        <v>164</v>
      </c>
      <c r="C68" s="7" t="s">
        <v>165</v>
      </c>
      <c r="D68" s="8" t="s">
        <v>227</v>
      </c>
      <c r="E68" s="8" t="s">
        <v>166</v>
      </c>
      <c r="F68" s="8" t="s">
        <v>158</v>
      </c>
      <c r="G68" s="9">
        <v>1</v>
      </c>
      <c r="H68" s="9">
        <v>0.33400000000000002</v>
      </c>
    </row>
    <row r="69" spans="1:8" ht="18" x14ac:dyDescent="0.3">
      <c r="A69" s="6" t="s">
        <v>167</v>
      </c>
      <c r="B69" s="6"/>
      <c r="C69" s="10" t="s">
        <v>168</v>
      </c>
      <c r="D69" s="8"/>
      <c r="E69" s="8" t="s">
        <v>169</v>
      </c>
      <c r="F69" s="11" t="s">
        <v>158</v>
      </c>
      <c r="G69" s="12">
        <v>1.03</v>
      </c>
      <c r="H69" s="14">
        <v>4.4999999999999998E-2</v>
      </c>
    </row>
    <row r="70" spans="1:8" ht="102.6" customHeight="1" x14ac:dyDescent="0.3">
      <c r="A70" s="6" t="s">
        <v>170</v>
      </c>
      <c r="B70" s="6"/>
      <c r="C70" s="10" t="s">
        <v>171</v>
      </c>
      <c r="D70" s="8"/>
      <c r="E70" s="8" t="s">
        <v>172</v>
      </c>
      <c r="F70" s="11" t="s">
        <v>158</v>
      </c>
      <c r="G70" s="12">
        <v>1.03</v>
      </c>
      <c r="H70" s="14">
        <v>0.29899999999999999</v>
      </c>
    </row>
    <row r="71" spans="1:8" ht="36" x14ac:dyDescent="0.3">
      <c r="A71" s="6" t="s">
        <v>173</v>
      </c>
      <c r="B71" s="6"/>
      <c r="C71" s="10" t="s">
        <v>174</v>
      </c>
      <c r="D71" s="8"/>
      <c r="E71" s="8"/>
      <c r="F71" s="11" t="s">
        <v>37</v>
      </c>
      <c r="G71" s="12">
        <v>1</v>
      </c>
      <c r="H71" s="12">
        <v>0.33400000000000002</v>
      </c>
    </row>
    <row r="72" spans="1:8" ht="124.2" customHeight="1" x14ac:dyDescent="0.3">
      <c r="A72" s="6" t="s">
        <v>175</v>
      </c>
      <c r="B72" s="6" t="s">
        <v>164</v>
      </c>
      <c r="C72" s="7" t="s">
        <v>165</v>
      </c>
      <c r="D72" s="8" t="s">
        <v>227</v>
      </c>
      <c r="E72" s="8" t="s">
        <v>176</v>
      </c>
      <c r="F72" s="8" t="s">
        <v>158</v>
      </c>
      <c r="G72" s="9">
        <v>1</v>
      </c>
      <c r="H72" s="9">
        <v>0.36499999999999999</v>
      </c>
    </row>
    <row r="73" spans="1:8" ht="36" x14ac:dyDescent="0.3">
      <c r="A73" s="6" t="s">
        <v>177</v>
      </c>
      <c r="B73" s="6"/>
      <c r="C73" s="10" t="s">
        <v>174</v>
      </c>
      <c r="D73" s="8"/>
      <c r="E73" s="8"/>
      <c r="F73" s="11" t="s">
        <v>37</v>
      </c>
      <c r="G73" s="12">
        <v>1</v>
      </c>
      <c r="H73" s="12">
        <v>0.36499999999999999</v>
      </c>
    </row>
    <row r="74" spans="1:8" ht="18" x14ac:dyDescent="0.3">
      <c r="A74" s="6" t="s">
        <v>178</v>
      </c>
      <c r="B74" s="6"/>
      <c r="C74" s="10" t="s">
        <v>171</v>
      </c>
      <c r="D74" s="8"/>
      <c r="E74" s="8"/>
      <c r="F74" s="11" t="s">
        <v>158</v>
      </c>
      <c r="G74" s="12">
        <v>1.03</v>
      </c>
      <c r="H74" s="14">
        <v>0.28000000000000003</v>
      </c>
    </row>
    <row r="75" spans="1:8" ht="18" x14ac:dyDescent="0.3">
      <c r="A75" s="6" t="s">
        <v>179</v>
      </c>
      <c r="B75" s="6"/>
      <c r="C75" s="10" t="s">
        <v>168</v>
      </c>
      <c r="D75" s="8"/>
      <c r="E75" s="8"/>
      <c r="F75" s="11" t="s">
        <v>158</v>
      </c>
      <c r="G75" s="12">
        <v>1.03</v>
      </c>
      <c r="H75" s="14">
        <v>9.6000000000000002E-2</v>
      </c>
    </row>
    <row r="76" spans="1:8" ht="141.6" customHeight="1" x14ac:dyDescent="0.3">
      <c r="A76" s="6" t="s">
        <v>180</v>
      </c>
      <c r="B76" s="6" t="s">
        <v>164</v>
      </c>
      <c r="C76" s="7" t="s">
        <v>165</v>
      </c>
      <c r="D76" s="8" t="s">
        <v>227</v>
      </c>
      <c r="E76" s="8" t="s">
        <v>181</v>
      </c>
      <c r="F76" s="8" t="s">
        <v>158</v>
      </c>
      <c r="G76" s="9">
        <v>1</v>
      </c>
      <c r="H76" s="9">
        <v>2.0030000000000001</v>
      </c>
    </row>
    <row r="77" spans="1:8" ht="18" x14ac:dyDescent="0.3">
      <c r="A77" s="6" t="s">
        <v>182</v>
      </c>
      <c r="B77" s="6"/>
      <c r="C77" s="10" t="s">
        <v>168</v>
      </c>
      <c r="D77" s="8"/>
      <c r="E77" s="8"/>
      <c r="F77" s="11" t="s">
        <v>158</v>
      </c>
      <c r="G77" s="12">
        <v>1.03</v>
      </c>
      <c r="H77" s="14">
        <v>0.496</v>
      </c>
    </row>
    <row r="78" spans="1:8" ht="18" x14ac:dyDescent="0.3">
      <c r="A78" s="6" t="s">
        <v>183</v>
      </c>
      <c r="B78" s="6"/>
      <c r="C78" s="10" t="s">
        <v>171</v>
      </c>
      <c r="D78" s="8"/>
      <c r="E78" s="8"/>
      <c r="F78" s="11" t="s">
        <v>158</v>
      </c>
      <c r="G78" s="12">
        <v>1.03</v>
      </c>
      <c r="H78" s="14">
        <v>1.569</v>
      </c>
    </row>
    <row r="79" spans="1:8" ht="36" x14ac:dyDescent="0.3">
      <c r="A79" s="6" t="s">
        <v>184</v>
      </c>
      <c r="B79" s="6"/>
      <c r="C79" s="10" t="s">
        <v>174</v>
      </c>
      <c r="D79" s="8"/>
      <c r="E79" s="8"/>
      <c r="F79" s="11" t="s">
        <v>37</v>
      </c>
      <c r="G79" s="12">
        <v>1</v>
      </c>
      <c r="H79" s="12">
        <v>2.0030000000000001</v>
      </c>
    </row>
    <row r="80" spans="1:8" ht="231.6" customHeight="1" x14ac:dyDescent="0.3">
      <c r="A80" s="6" t="s">
        <v>185</v>
      </c>
      <c r="B80" s="6" t="s">
        <v>186</v>
      </c>
      <c r="C80" s="7" t="s">
        <v>187</v>
      </c>
      <c r="D80" s="8" t="s">
        <v>188</v>
      </c>
      <c r="E80" s="8" t="s">
        <v>226</v>
      </c>
      <c r="F80" s="8" t="s">
        <v>158</v>
      </c>
      <c r="G80" s="9">
        <v>1</v>
      </c>
      <c r="H80" s="9">
        <v>7.7649999999999997</v>
      </c>
    </row>
    <row r="81" spans="1:8" ht="54" x14ac:dyDescent="0.3">
      <c r="A81" s="6" t="s">
        <v>189</v>
      </c>
      <c r="B81" s="6"/>
      <c r="C81" s="10" t="s">
        <v>190</v>
      </c>
      <c r="D81" s="8"/>
      <c r="E81" s="8"/>
      <c r="F81" s="11" t="s">
        <v>158</v>
      </c>
      <c r="G81" s="12">
        <v>1</v>
      </c>
      <c r="H81" s="12">
        <v>7.7649999999999997</v>
      </c>
    </row>
    <row r="82" spans="1:8" ht="108" x14ac:dyDescent="0.3">
      <c r="A82" s="6" t="s">
        <v>191</v>
      </c>
      <c r="B82" s="6"/>
      <c r="C82" s="10" t="s">
        <v>192</v>
      </c>
      <c r="D82" s="8"/>
      <c r="E82" s="8" t="s">
        <v>193</v>
      </c>
      <c r="F82" s="11" t="s">
        <v>62</v>
      </c>
      <c r="G82" s="12">
        <v>1</v>
      </c>
      <c r="H82" s="14">
        <v>2266</v>
      </c>
    </row>
    <row r="83" spans="1:8" ht="18" x14ac:dyDescent="0.3">
      <c r="A83" s="6" t="s">
        <v>194</v>
      </c>
      <c r="B83" s="6" t="s">
        <v>195</v>
      </c>
      <c r="C83" s="7" t="s">
        <v>196</v>
      </c>
      <c r="D83" s="8"/>
      <c r="E83" s="8" t="s">
        <v>197</v>
      </c>
      <c r="F83" s="8" t="s">
        <v>158</v>
      </c>
      <c r="G83" s="9">
        <v>1</v>
      </c>
      <c r="H83" s="9">
        <v>1.59</v>
      </c>
    </row>
    <row r="84" spans="1:8" ht="36" x14ac:dyDescent="0.3">
      <c r="A84" s="6" t="s">
        <v>198</v>
      </c>
      <c r="B84" s="6"/>
      <c r="C84" s="10" t="s">
        <v>199</v>
      </c>
      <c r="D84" s="8"/>
      <c r="E84" s="8"/>
      <c r="F84" s="11" t="s">
        <v>158</v>
      </c>
      <c r="G84" s="12">
        <v>1</v>
      </c>
      <c r="H84" s="12">
        <v>1.59</v>
      </c>
    </row>
    <row r="85" spans="1:8" ht="36" x14ac:dyDescent="0.3">
      <c r="A85" s="6" t="s">
        <v>200</v>
      </c>
      <c r="B85" s="6" t="s">
        <v>195</v>
      </c>
      <c r="C85" s="7" t="s">
        <v>196</v>
      </c>
      <c r="D85" s="8"/>
      <c r="E85" s="8" t="s">
        <v>201</v>
      </c>
      <c r="F85" s="8" t="s">
        <v>158</v>
      </c>
      <c r="G85" s="9">
        <v>1</v>
      </c>
      <c r="H85" s="9">
        <v>1.113</v>
      </c>
    </row>
    <row r="86" spans="1:8" ht="36" x14ac:dyDescent="0.3">
      <c r="A86" s="6" t="s">
        <v>202</v>
      </c>
      <c r="B86" s="6"/>
      <c r="C86" s="10" t="s">
        <v>199</v>
      </c>
      <c r="D86" s="8"/>
      <c r="E86" s="8"/>
      <c r="F86" s="11" t="s">
        <v>158</v>
      </c>
      <c r="G86" s="12">
        <v>1</v>
      </c>
      <c r="H86" s="12">
        <v>1.113</v>
      </c>
    </row>
    <row r="87" spans="1:8" ht="18" x14ac:dyDescent="0.3">
      <c r="A87" s="6" t="s">
        <v>203</v>
      </c>
      <c r="B87" s="6" t="s">
        <v>195</v>
      </c>
      <c r="C87" s="7" t="s">
        <v>196</v>
      </c>
      <c r="D87" s="8"/>
      <c r="E87" s="8" t="s">
        <v>204</v>
      </c>
      <c r="F87" s="8" t="s">
        <v>158</v>
      </c>
      <c r="G87" s="9">
        <v>1</v>
      </c>
      <c r="H87" s="9">
        <v>0.36699999999999999</v>
      </c>
    </row>
    <row r="88" spans="1:8" ht="36" x14ac:dyDescent="0.3">
      <c r="A88" s="6" t="s">
        <v>205</v>
      </c>
      <c r="B88" s="6"/>
      <c r="C88" s="10" t="s">
        <v>199</v>
      </c>
      <c r="D88" s="8"/>
      <c r="E88" s="8"/>
      <c r="F88" s="11" t="s">
        <v>158</v>
      </c>
      <c r="G88" s="12">
        <v>1</v>
      </c>
      <c r="H88" s="12">
        <v>0.36699999999999999</v>
      </c>
    </row>
    <row r="89" spans="1:8" ht="16.95" customHeight="1" x14ac:dyDescent="0.3">
      <c r="A89" s="6" t="s">
        <v>206</v>
      </c>
      <c r="B89" s="6" t="s">
        <v>207</v>
      </c>
      <c r="C89" s="40" t="s">
        <v>208</v>
      </c>
      <c r="D89" s="41"/>
      <c r="E89" s="41"/>
      <c r="F89" s="41"/>
      <c r="G89" s="41"/>
      <c r="H89" s="42"/>
    </row>
    <row r="90" spans="1:8" ht="90" x14ac:dyDescent="0.3">
      <c r="A90" s="6" t="s">
        <v>209</v>
      </c>
      <c r="B90" s="6" t="s">
        <v>210</v>
      </c>
      <c r="C90" s="7" t="s">
        <v>211</v>
      </c>
      <c r="D90" s="8"/>
      <c r="E90" s="8" t="s">
        <v>212</v>
      </c>
      <c r="F90" s="8" t="s">
        <v>128</v>
      </c>
      <c r="G90" s="9">
        <v>1</v>
      </c>
      <c r="H90" s="9">
        <v>58.552</v>
      </c>
    </row>
    <row r="91" spans="1:8" ht="16.95" customHeight="1" x14ac:dyDescent="0.3">
      <c r="A91" s="6" t="s">
        <v>213</v>
      </c>
      <c r="B91" s="6" t="s">
        <v>214</v>
      </c>
      <c r="C91" s="40" t="s">
        <v>215</v>
      </c>
      <c r="D91" s="41"/>
      <c r="E91" s="41"/>
      <c r="F91" s="41"/>
      <c r="G91" s="41"/>
      <c r="H91" s="42"/>
    </row>
    <row r="92" spans="1:8" ht="16.95" customHeight="1" x14ac:dyDescent="0.3">
      <c r="A92" s="6" t="s">
        <v>216</v>
      </c>
      <c r="B92" s="6" t="s">
        <v>217</v>
      </c>
      <c r="C92" s="40" t="s">
        <v>208</v>
      </c>
      <c r="D92" s="41"/>
      <c r="E92" s="41"/>
      <c r="F92" s="41"/>
      <c r="G92" s="41"/>
      <c r="H92" s="42"/>
    </row>
    <row r="93" spans="1:8" ht="72" x14ac:dyDescent="0.3">
      <c r="A93" s="6" t="s">
        <v>218</v>
      </c>
      <c r="B93" s="6" t="s">
        <v>219</v>
      </c>
      <c r="C93" s="7" t="s">
        <v>220</v>
      </c>
      <c r="D93" s="8"/>
      <c r="E93" s="8" t="s">
        <v>221</v>
      </c>
      <c r="F93" s="8" t="s">
        <v>34</v>
      </c>
      <c r="G93" s="9">
        <v>1</v>
      </c>
      <c r="H93" s="9">
        <v>92.86</v>
      </c>
    </row>
    <row r="94" spans="1:8" ht="18" x14ac:dyDescent="0.3">
      <c r="A94" s="6" t="s">
        <v>222</v>
      </c>
      <c r="B94" s="6"/>
      <c r="C94" s="10" t="s">
        <v>59</v>
      </c>
      <c r="D94" s="8"/>
      <c r="E94" s="8"/>
      <c r="F94" s="11" t="s">
        <v>23</v>
      </c>
      <c r="G94" s="12">
        <v>4.2</v>
      </c>
      <c r="H94" s="12">
        <v>390.012</v>
      </c>
    </row>
    <row r="95" spans="1:8" ht="18" x14ac:dyDescent="0.3">
      <c r="A95" s="6" t="s">
        <v>223</v>
      </c>
      <c r="B95" s="6"/>
      <c r="C95" s="10" t="s">
        <v>224</v>
      </c>
      <c r="D95" s="8"/>
      <c r="E95" s="8"/>
      <c r="F95" s="11" t="s">
        <v>42</v>
      </c>
      <c r="G95" s="12">
        <v>445</v>
      </c>
      <c r="H95" s="12">
        <v>41322.699999999997</v>
      </c>
    </row>
    <row r="96" spans="1:8" ht="18" x14ac:dyDescent="0.3">
      <c r="A96" s="6" t="s">
        <v>225</v>
      </c>
      <c r="B96" s="6"/>
      <c r="C96" s="10" t="s">
        <v>61</v>
      </c>
      <c r="D96" s="8"/>
      <c r="E96" s="8"/>
      <c r="F96" s="11" t="s">
        <v>62</v>
      </c>
      <c r="G96" s="12">
        <v>395</v>
      </c>
      <c r="H96" s="12">
        <v>36679.699999999997</v>
      </c>
    </row>
  </sheetData>
  <mergeCells count="18">
    <mergeCell ref="C24:H24"/>
    <mergeCell ref="C6:H6"/>
    <mergeCell ref="A2:H2"/>
    <mergeCell ref="A3:H3"/>
    <mergeCell ref="A4:H4"/>
    <mergeCell ref="C8:H8"/>
    <mergeCell ref="C9:H9"/>
    <mergeCell ref="C15:H15"/>
    <mergeCell ref="C22:H22"/>
    <mergeCell ref="C23:H23"/>
    <mergeCell ref="C91:H91"/>
    <mergeCell ref="C92:H92"/>
    <mergeCell ref="C33:H33"/>
    <mergeCell ref="C34:H34"/>
    <mergeCell ref="C41:H41"/>
    <mergeCell ref="C47:H47"/>
    <mergeCell ref="C64:H64"/>
    <mergeCell ref="C89:H8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zoomScale="85" zoomScaleNormal="85" workbookViewId="0">
      <selection activeCell="A3" sqref="A3:A5"/>
    </sheetView>
  </sheetViews>
  <sheetFormatPr defaultRowHeight="18" x14ac:dyDescent="0.35"/>
  <cols>
    <col min="1" max="1" width="11.5546875" style="19" customWidth="1"/>
    <col min="2" max="2" width="28.77734375" style="19" customWidth="1"/>
    <col min="3" max="3" width="11.88671875" style="19" customWidth="1"/>
    <col min="4" max="4" width="16.77734375" style="19" customWidth="1"/>
    <col min="5" max="16384" width="8.88671875" style="19"/>
  </cols>
  <sheetData>
    <row r="1" spans="1:4" ht="81" customHeight="1" x14ac:dyDescent="0.35">
      <c r="A1" s="46" t="s">
        <v>232</v>
      </c>
      <c r="B1" s="46"/>
      <c r="C1" s="46"/>
      <c r="D1" s="46"/>
    </row>
    <row r="2" spans="1:4" s="23" customFormat="1" ht="36" x14ac:dyDescent="0.35">
      <c r="A2" s="26" t="s">
        <v>9</v>
      </c>
      <c r="B2" s="26" t="s">
        <v>228</v>
      </c>
      <c r="C2" s="26" t="s">
        <v>14</v>
      </c>
      <c r="D2" s="26" t="s">
        <v>16</v>
      </c>
    </row>
    <row r="3" spans="1:4" ht="36" x14ac:dyDescent="0.35">
      <c r="A3" s="25">
        <v>1</v>
      </c>
      <c r="B3" s="21" t="s">
        <v>234</v>
      </c>
      <c r="C3" s="21" t="s">
        <v>23</v>
      </c>
      <c r="D3" s="24">
        <v>128.9</v>
      </c>
    </row>
    <row r="4" spans="1:4" ht="36" x14ac:dyDescent="0.35">
      <c r="A4" s="25">
        <v>2</v>
      </c>
      <c r="B4" s="21" t="s">
        <v>237</v>
      </c>
      <c r="C4" s="21" t="s">
        <v>23</v>
      </c>
      <c r="D4" s="24">
        <v>571.25</v>
      </c>
    </row>
    <row r="5" spans="1:4" ht="36" x14ac:dyDescent="0.35">
      <c r="A5" s="25">
        <v>3</v>
      </c>
      <c r="B5" s="21" t="s">
        <v>238</v>
      </c>
      <c r="C5" s="21" t="s">
        <v>23</v>
      </c>
      <c r="D5" s="24">
        <v>28</v>
      </c>
    </row>
    <row r="6" spans="1:4" x14ac:dyDescent="0.35">
      <c r="A6" s="25"/>
      <c r="B6" s="21" t="s">
        <v>231</v>
      </c>
      <c r="C6" s="21" t="s">
        <v>23</v>
      </c>
      <c r="D6" s="24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7" sqref="A1:XFD7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7" t="s">
        <v>233</v>
      </c>
      <c r="B1" s="47"/>
      <c r="C1" s="47"/>
      <c r="D1" s="47"/>
    </row>
    <row r="2" spans="1:4" ht="36" x14ac:dyDescent="0.3">
      <c r="A2" s="26" t="s">
        <v>9</v>
      </c>
      <c r="B2" s="26" t="s">
        <v>228</v>
      </c>
      <c r="C2" s="26" t="s">
        <v>14</v>
      </c>
      <c r="D2" s="26" t="s">
        <v>16</v>
      </c>
    </row>
    <row r="3" spans="1:4" ht="36" x14ac:dyDescent="0.3">
      <c r="A3" s="25">
        <v>1</v>
      </c>
      <c r="B3" s="21" t="s">
        <v>234</v>
      </c>
      <c r="C3" s="21" t="s">
        <v>34</v>
      </c>
      <c r="D3" s="24">
        <v>33.86</v>
      </c>
    </row>
    <row r="4" spans="1:4" ht="36" x14ac:dyDescent="0.3">
      <c r="A4" s="25">
        <v>2</v>
      </c>
      <c r="B4" s="21" t="s">
        <v>235</v>
      </c>
      <c r="C4" s="21" t="s">
        <v>34</v>
      </c>
      <c r="D4" s="24">
        <v>26.36</v>
      </c>
    </row>
    <row r="5" spans="1:4" ht="36" x14ac:dyDescent="0.3">
      <c r="A5" s="25">
        <v>3</v>
      </c>
      <c r="B5" s="21" t="s">
        <v>236</v>
      </c>
      <c r="C5" s="21" t="s">
        <v>34</v>
      </c>
      <c r="D5" s="24">
        <v>25.2</v>
      </c>
    </row>
    <row r="6" spans="1:4" ht="36" x14ac:dyDescent="0.3">
      <c r="A6" s="25">
        <v>4</v>
      </c>
      <c r="B6" s="21" t="s">
        <v>238</v>
      </c>
      <c r="C6" s="21" t="s">
        <v>34</v>
      </c>
      <c r="D6" s="24">
        <v>38.299999999999997</v>
      </c>
    </row>
    <row r="7" spans="1:4" ht="18" x14ac:dyDescent="0.3">
      <c r="A7" s="25"/>
      <c r="B7" s="21" t="s">
        <v>231</v>
      </c>
      <c r="C7" s="21" t="s">
        <v>34</v>
      </c>
      <c r="D7" s="24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tabSelected="1" zoomScale="70" zoomScaleNormal="70" workbookViewId="0">
      <selection activeCell="C10" sqref="C10:C12"/>
    </sheetView>
  </sheetViews>
  <sheetFormatPr defaultRowHeight="14.4" x14ac:dyDescent="0.3"/>
  <cols>
    <col min="1" max="1" width="11.5546875" customWidth="1"/>
    <col min="2" max="2" width="8.44140625" style="27" customWidth="1"/>
    <col min="3" max="3" width="11.44140625" style="27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7" t="s">
        <v>187</v>
      </c>
      <c r="B1" s="47"/>
      <c r="C1" s="47"/>
      <c r="D1" s="47"/>
      <c r="E1" s="47"/>
      <c r="F1" s="47"/>
      <c r="G1" s="47"/>
      <c r="H1" s="47"/>
    </row>
    <row r="2" spans="1:8" ht="36" x14ac:dyDescent="0.3">
      <c r="A2" s="26" t="s">
        <v>9</v>
      </c>
      <c r="B2" s="26" t="s">
        <v>252</v>
      </c>
      <c r="C2" s="26" t="s">
        <v>251</v>
      </c>
      <c r="D2" s="26" t="s">
        <v>242</v>
      </c>
      <c r="E2" s="26" t="s">
        <v>241</v>
      </c>
      <c r="F2" s="26" t="s">
        <v>246</v>
      </c>
      <c r="G2" s="26" t="s">
        <v>14</v>
      </c>
      <c r="H2" s="26" t="s">
        <v>16</v>
      </c>
    </row>
    <row r="3" spans="1:8" ht="18" x14ac:dyDescent="0.3">
      <c r="A3" s="25">
        <v>1</v>
      </c>
      <c r="B3" s="29">
        <v>1</v>
      </c>
      <c r="C3" s="29">
        <v>1</v>
      </c>
      <c r="D3" s="21" t="s">
        <v>243</v>
      </c>
      <c r="E3" s="21">
        <v>19</v>
      </c>
      <c r="F3" s="21">
        <f>35.8+2+3.1</f>
        <v>40.9</v>
      </c>
      <c r="G3" s="21" t="s">
        <v>158</v>
      </c>
      <c r="H3" s="28">
        <f t="shared" ref="H3:H21" si="0">E3*F3/1000</f>
        <v>0.77710000000000001</v>
      </c>
    </row>
    <row r="4" spans="1:8" ht="18" x14ac:dyDescent="0.3">
      <c r="A4" s="25">
        <v>2</v>
      </c>
      <c r="B4" s="29">
        <v>1</v>
      </c>
      <c r="C4" s="29">
        <v>1</v>
      </c>
      <c r="D4" s="21" t="s">
        <v>245</v>
      </c>
      <c r="E4" s="21">
        <v>4</v>
      </c>
      <c r="F4" s="21">
        <f>35.8+3.1+2.15</f>
        <v>41.05</v>
      </c>
      <c r="G4" s="21" t="s">
        <v>158</v>
      </c>
      <c r="H4" s="28">
        <f t="shared" si="0"/>
        <v>0.16419999999999998</v>
      </c>
    </row>
    <row r="5" spans="1:8" ht="18" x14ac:dyDescent="0.3">
      <c r="A5" s="25">
        <v>3</v>
      </c>
      <c r="B5" s="29">
        <v>1</v>
      </c>
      <c r="C5" s="29">
        <v>2</v>
      </c>
      <c r="D5" s="21" t="s">
        <v>247</v>
      </c>
      <c r="E5" s="21">
        <f>23-9</f>
        <v>14</v>
      </c>
      <c r="F5" s="21">
        <f>30.36+2.1+1.05</f>
        <v>33.51</v>
      </c>
      <c r="G5" s="21" t="s">
        <v>158</v>
      </c>
      <c r="H5" s="28">
        <f t="shared" ref="H5" si="1">E5*F5/1000</f>
        <v>0.46914</v>
      </c>
    </row>
    <row r="6" spans="1:8" ht="18" x14ac:dyDescent="0.3">
      <c r="A6" s="25">
        <v>4</v>
      </c>
      <c r="B6" s="29">
        <v>1</v>
      </c>
      <c r="C6" s="29">
        <v>2</v>
      </c>
      <c r="D6" s="21" t="s">
        <v>248</v>
      </c>
      <c r="E6" s="21">
        <v>4</v>
      </c>
      <c r="F6" s="21">
        <f>49.2+9.8</f>
        <v>59</v>
      </c>
      <c r="G6" s="21" t="s">
        <v>158</v>
      </c>
      <c r="H6" s="28">
        <f t="shared" ref="H6:H8" si="2">E6*F6/1000</f>
        <v>0.23599999999999999</v>
      </c>
    </row>
    <row r="7" spans="1:8" ht="18" x14ac:dyDescent="0.3">
      <c r="A7" s="25">
        <v>5</v>
      </c>
      <c r="B7" s="29">
        <v>1</v>
      </c>
      <c r="C7" s="29">
        <v>2</v>
      </c>
      <c r="D7" s="21" t="s">
        <v>244</v>
      </c>
      <c r="E7" s="21">
        <v>15</v>
      </c>
      <c r="F7" s="21">
        <f>30.36+2.1+1.47</f>
        <v>33.93</v>
      </c>
      <c r="G7" s="21" t="s">
        <v>158</v>
      </c>
      <c r="H7" s="28">
        <f t="shared" ref="H7" si="3">E7*F7/1000</f>
        <v>0.50895000000000001</v>
      </c>
    </row>
    <row r="8" spans="1:8" ht="18" x14ac:dyDescent="0.3">
      <c r="A8" s="25">
        <v>6</v>
      </c>
      <c r="B8" s="29">
        <v>1</v>
      </c>
      <c r="C8" s="29">
        <v>2</v>
      </c>
      <c r="D8" s="21" t="s">
        <v>250</v>
      </c>
      <c r="E8" s="21">
        <v>2</v>
      </c>
      <c r="F8" s="21">
        <f>29.07+2.1+1.47</f>
        <v>32.64</v>
      </c>
      <c r="G8" s="21" t="s">
        <v>158</v>
      </c>
      <c r="H8" s="28">
        <f t="shared" si="2"/>
        <v>6.5280000000000005E-2</v>
      </c>
    </row>
    <row r="9" spans="1:8" ht="18" x14ac:dyDescent="0.3">
      <c r="A9" s="25">
        <v>7</v>
      </c>
      <c r="B9" s="29">
        <v>1</v>
      </c>
      <c r="C9" s="29">
        <v>3</v>
      </c>
      <c r="D9" s="21" t="s">
        <v>243</v>
      </c>
      <c r="E9" s="21">
        <v>8</v>
      </c>
      <c r="F9" s="21">
        <f>35.8+2+3.1</f>
        <v>40.9</v>
      </c>
      <c r="G9" s="21" t="s">
        <v>158</v>
      </c>
      <c r="H9" s="28">
        <f t="shared" ref="H9:H12" si="4">E9*F9/1000</f>
        <v>0.32719999999999999</v>
      </c>
    </row>
    <row r="10" spans="1:8" ht="18" x14ac:dyDescent="0.3">
      <c r="A10" s="25">
        <v>8</v>
      </c>
      <c r="B10" s="29">
        <v>1</v>
      </c>
      <c r="C10" s="29">
        <v>3</v>
      </c>
      <c r="D10" s="21" t="s">
        <v>248</v>
      </c>
      <c r="E10" s="21">
        <v>4</v>
      </c>
      <c r="F10" s="21">
        <f>49.2+9.8</f>
        <v>59</v>
      </c>
      <c r="G10" s="21" t="s">
        <v>158</v>
      </c>
      <c r="H10" s="28">
        <f t="shared" si="4"/>
        <v>0.23599999999999999</v>
      </c>
    </row>
    <row r="11" spans="1:8" ht="18" x14ac:dyDescent="0.3">
      <c r="A11" s="25">
        <v>9</v>
      </c>
      <c r="B11" s="29">
        <v>1</v>
      </c>
      <c r="C11" s="29">
        <v>3</v>
      </c>
      <c r="D11" s="21" t="s">
        <v>249</v>
      </c>
      <c r="E11" s="21">
        <v>1</v>
      </c>
      <c r="F11" s="21">
        <f>29.07+2.1+1.05</f>
        <v>32.22</v>
      </c>
      <c r="G11" s="21" t="s">
        <v>158</v>
      </c>
      <c r="H11" s="28">
        <f t="shared" si="4"/>
        <v>3.2219999999999999E-2</v>
      </c>
    </row>
    <row r="12" spans="1:8" ht="18" x14ac:dyDescent="0.3">
      <c r="A12" s="25">
        <v>10</v>
      </c>
      <c r="B12" s="29">
        <v>1</v>
      </c>
      <c r="C12" s="29">
        <v>3</v>
      </c>
      <c r="D12" s="21" t="s">
        <v>250</v>
      </c>
      <c r="E12" s="21">
        <v>2</v>
      </c>
      <c r="F12" s="21">
        <f>29.07+2.1+1.47</f>
        <v>32.64</v>
      </c>
      <c r="G12" s="21" t="s">
        <v>158</v>
      </c>
      <c r="H12" s="28">
        <f t="shared" si="4"/>
        <v>6.5280000000000005E-2</v>
      </c>
    </row>
    <row r="13" spans="1:8" ht="18" x14ac:dyDescent="0.3">
      <c r="A13" s="25">
        <v>11</v>
      </c>
      <c r="B13" s="30">
        <v>2</v>
      </c>
      <c r="C13" s="30">
        <v>1</v>
      </c>
      <c r="D13" s="21" t="s">
        <v>239</v>
      </c>
      <c r="E13" s="21">
        <v>8</v>
      </c>
      <c r="F13" s="21">
        <f>35.4+1.7+3.1</f>
        <v>40.200000000000003</v>
      </c>
      <c r="G13" s="21" t="s">
        <v>158</v>
      </c>
      <c r="H13" s="28">
        <f>E13*F13/1000</f>
        <v>0.3216</v>
      </c>
    </row>
    <row r="14" spans="1:8" ht="18" x14ac:dyDescent="0.3">
      <c r="A14" s="25">
        <v>12</v>
      </c>
      <c r="B14" s="30">
        <v>2</v>
      </c>
      <c r="C14" s="30">
        <v>1</v>
      </c>
      <c r="D14" s="21" t="s">
        <v>240</v>
      </c>
      <c r="E14" s="21">
        <v>12</v>
      </c>
      <c r="F14" s="21">
        <f>35.4+2.15+3.1</f>
        <v>40.65</v>
      </c>
      <c r="G14" s="21" t="s">
        <v>158</v>
      </c>
      <c r="H14" s="28">
        <f t="shared" si="0"/>
        <v>0.48779999999999996</v>
      </c>
    </row>
    <row r="15" spans="1:8" ht="18" x14ac:dyDescent="0.3">
      <c r="A15" s="25">
        <v>13</v>
      </c>
      <c r="B15" s="30">
        <v>2</v>
      </c>
      <c r="C15" s="30">
        <v>3</v>
      </c>
      <c r="D15" s="21" t="s">
        <v>239</v>
      </c>
      <c r="E15" s="21">
        <v>16</v>
      </c>
      <c r="F15" s="21">
        <f>35.4+1.7+3.1</f>
        <v>40.200000000000003</v>
      </c>
      <c r="G15" s="21" t="s">
        <v>158</v>
      </c>
      <c r="H15" s="28">
        <f>E15*F15/1000</f>
        <v>0.64319999999999999</v>
      </c>
    </row>
    <row r="16" spans="1:8" ht="18" x14ac:dyDescent="0.3">
      <c r="A16" s="25">
        <v>14</v>
      </c>
      <c r="B16" s="30">
        <v>2</v>
      </c>
      <c r="C16" s="30">
        <v>3</v>
      </c>
      <c r="D16" s="21" t="s">
        <v>240</v>
      </c>
      <c r="E16" s="21">
        <v>21</v>
      </c>
      <c r="F16" s="21">
        <f>35.4+2.15+3.1</f>
        <v>40.65</v>
      </c>
      <c r="G16" s="21" t="s">
        <v>158</v>
      </c>
      <c r="H16" s="28">
        <f t="shared" ref="H16:H20" si="5">E16*F16/1000</f>
        <v>0.85365000000000002</v>
      </c>
    </row>
    <row r="17" spans="1:8" ht="18" x14ac:dyDescent="0.3">
      <c r="A17" s="25">
        <v>15</v>
      </c>
      <c r="B17" s="31">
        <v>3</v>
      </c>
      <c r="C17" s="31">
        <v>1</v>
      </c>
      <c r="D17" s="21" t="s">
        <v>239</v>
      </c>
      <c r="E17" s="21">
        <v>4</v>
      </c>
      <c r="F17" s="21">
        <f>35.4+1.7+3.1</f>
        <v>40.200000000000003</v>
      </c>
      <c r="G17" s="21" t="s">
        <v>158</v>
      </c>
      <c r="H17" s="28">
        <f>E17*F17/1000</f>
        <v>0.1608</v>
      </c>
    </row>
    <row r="18" spans="1:8" ht="18" x14ac:dyDescent="0.3">
      <c r="A18" s="25">
        <v>16</v>
      </c>
      <c r="B18" s="31">
        <v>3</v>
      </c>
      <c r="C18" s="31">
        <v>1</v>
      </c>
      <c r="D18" s="21" t="s">
        <v>240</v>
      </c>
      <c r="E18" s="21">
        <v>6</v>
      </c>
      <c r="F18" s="21">
        <f>35.4+2.15+3.1</f>
        <v>40.65</v>
      </c>
      <c r="G18" s="21" t="s">
        <v>158</v>
      </c>
      <c r="H18" s="28">
        <f t="shared" si="5"/>
        <v>0.24389999999999998</v>
      </c>
    </row>
    <row r="19" spans="1:8" ht="18" x14ac:dyDescent="0.3">
      <c r="A19" s="25">
        <v>17</v>
      </c>
      <c r="B19" s="31">
        <v>3</v>
      </c>
      <c r="C19" s="31">
        <v>3</v>
      </c>
      <c r="D19" s="21" t="s">
        <v>239</v>
      </c>
      <c r="E19" s="21">
        <v>12</v>
      </c>
      <c r="F19" s="21">
        <f>35.4+1.7+3.1</f>
        <v>40.200000000000003</v>
      </c>
      <c r="G19" s="21" t="s">
        <v>158</v>
      </c>
      <c r="H19" s="28">
        <f t="shared" si="5"/>
        <v>0.48240000000000005</v>
      </c>
    </row>
    <row r="20" spans="1:8" ht="18" x14ac:dyDescent="0.3">
      <c r="A20" s="25">
        <v>18</v>
      </c>
      <c r="B20" s="31">
        <v>3</v>
      </c>
      <c r="C20" s="31">
        <v>3</v>
      </c>
      <c r="D20" s="21" t="s">
        <v>240</v>
      </c>
      <c r="E20" s="21">
        <v>24</v>
      </c>
      <c r="F20" s="21">
        <f>35.4+2.15+3.1</f>
        <v>40.65</v>
      </c>
      <c r="G20" s="21" t="s">
        <v>158</v>
      </c>
      <c r="H20" s="28">
        <f t="shared" si="5"/>
        <v>0.97559999999999991</v>
      </c>
    </row>
    <row r="21" spans="1:8" ht="18" x14ac:dyDescent="0.3">
      <c r="A21" s="25">
        <v>19</v>
      </c>
      <c r="B21" s="32">
        <v>4</v>
      </c>
      <c r="C21" s="32">
        <v>3</v>
      </c>
      <c r="D21" s="21" t="s">
        <v>239</v>
      </c>
      <c r="E21" s="21">
        <v>8</v>
      </c>
      <c r="F21" s="21">
        <f>35.4+1.7+3.1</f>
        <v>40.200000000000003</v>
      </c>
      <c r="G21" s="21" t="s">
        <v>158</v>
      </c>
      <c r="H21" s="28">
        <f t="shared" si="0"/>
        <v>0.3216</v>
      </c>
    </row>
    <row r="22" spans="1:8" ht="18" x14ac:dyDescent="0.3">
      <c r="A22" s="25">
        <v>20</v>
      </c>
      <c r="B22" s="32">
        <v>4</v>
      </c>
      <c r="C22" s="32">
        <v>3</v>
      </c>
      <c r="D22" s="21" t="s">
        <v>240</v>
      </c>
      <c r="E22" s="21">
        <v>19</v>
      </c>
      <c r="F22" s="21">
        <f>35.4+2.15+3.1</f>
        <v>40.65</v>
      </c>
      <c r="G22" s="21" t="s">
        <v>158</v>
      </c>
      <c r="H22" s="28">
        <f t="shared" ref="H22" si="6">E22*F22/1000</f>
        <v>0.77234999999999998</v>
      </c>
    </row>
    <row r="23" spans="1:8" ht="18" x14ac:dyDescent="0.3">
      <c r="A23" s="25"/>
      <c r="B23" s="21"/>
      <c r="C23" s="21"/>
      <c r="D23" s="21"/>
      <c r="E23" s="21"/>
      <c r="F23" s="21" t="s">
        <v>231</v>
      </c>
      <c r="G23" s="21" t="s">
        <v>158</v>
      </c>
      <c r="H23" s="28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zoomScale="85" zoomScaleNormal="85" workbookViewId="0">
      <selection sqref="A1:H1"/>
    </sheetView>
  </sheetViews>
  <sheetFormatPr defaultRowHeight="14.4" x14ac:dyDescent="0.3"/>
  <cols>
    <col min="1" max="1" width="11.5546875" customWidth="1"/>
    <col min="2" max="2" width="8.44140625" style="27" customWidth="1"/>
    <col min="3" max="3" width="11.44140625" style="27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7" t="s">
        <v>253</v>
      </c>
      <c r="B1" s="47"/>
      <c r="C1" s="47"/>
      <c r="D1" s="47"/>
      <c r="E1" s="47"/>
      <c r="F1" s="47"/>
      <c r="G1" s="47"/>
      <c r="H1" s="47"/>
    </row>
    <row r="2" spans="1:8" ht="36" x14ac:dyDescent="0.3">
      <c r="A2" s="26" t="s">
        <v>9</v>
      </c>
      <c r="B2" s="26" t="s">
        <v>252</v>
      </c>
      <c r="C2" s="26" t="s">
        <v>251</v>
      </c>
      <c r="D2" s="26" t="s">
        <v>242</v>
      </c>
      <c r="E2" s="26" t="s">
        <v>241</v>
      </c>
      <c r="F2" s="26" t="s">
        <v>246</v>
      </c>
      <c r="G2" s="26" t="s">
        <v>14</v>
      </c>
      <c r="H2" s="26" t="s">
        <v>16</v>
      </c>
    </row>
    <row r="3" spans="1:8" ht="18" x14ac:dyDescent="0.3">
      <c r="A3" s="25">
        <v>1</v>
      </c>
      <c r="B3" s="29">
        <v>1</v>
      </c>
      <c r="C3" s="29">
        <v>1</v>
      </c>
      <c r="D3" s="21" t="s">
        <v>256</v>
      </c>
      <c r="E3" s="21">
        <v>5</v>
      </c>
      <c r="F3" s="21">
        <f>VLOOKUP(D3,'2.2-Ст2'!$A$2:$C$13,3)</f>
        <v>46.84</v>
      </c>
      <c r="G3" s="21" t="s">
        <v>158</v>
      </c>
      <c r="H3" s="28">
        <f t="shared" ref="H3:H22" si="0">E3*F3/1000</f>
        <v>0.23420000000000002</v>
      </c>
    </row>
    <row r="4" spans="1:8" ht="18" x14ac:dyDescent="0.3">
      <c r="A4" s="25">
        <v>2</v>
      </c>
      <c r="B4" s="29">
        <v>1</v>
      </c>
      <c r="C4" s="29">
        <v>1</v>
      </c>
      <c r="D4" s="21" t="s">
        <v>264</v>
      </c>
      <c r="E4" s="21">
        <v>1</v>
      </c>
      <c r="F4" s="21">
        <f>VLOOKUP(D4,'2.2-Ст2'!$A$2:$C$13,3)</f>
        <v>22.4</v>
      </c>
      <c r="G4" s="21" t="s">
        <v>158</v>
      </c>
      <c r="H4" s="28">
        <f t="shared" ref="H4" si="1">E4*F4/1000</f>
        <v>2.24E-2</v>
      </c>
    </row>
    <row r="5" spans="1:8" ht="18" x14ac:dyDescent="0.3">
      <c r="A5" s="25">
        <v>3</v>
      </c>
      <c r="B5" s="29">
        <v>1</v>
      </c>
      <c r="C5" s="29">
        <v>1</v>
      </c>
      <c r="D5" s="21" t="s">
        <v>257</v>
      </c>
      <c r="E5" s="21">
        <v>1</v>
      </c>
      <c r="F5" s="21">
        <f>VLOOKUP(D5,'2.2-Ст2'!$A$2:$C$13,3)</f>
        <v>21.307692307692303</v>
      </c>
      <c r="G5" s="21" t="s">
        <v>158</v>
      </c>
      <c r="H5" s="28">
        <f t="shared" ref="H5" si="2">E5*F5/1000</f>
        <v>2.1307692307692302E-2</v>
      </c>
    </row>
    <row r="6" spans="1:8" ht="18" x14ac:dyDescent="0.3">
      <c r="A6" s="25">
        <v>4</v>
      </c>
      <c r="B6" s="29">
        <v>1</v>
      </c>
      <c r="C6" s="29">
        <v>1</v>
      </c>
      <c r="D6" s="21" t="s">
        <v>265</v>
      </c>
      <c r="E6" s="21">
        <v>1</v>
      </c>
      <c r="F6" s="21">
        <f>VLOOKUP(D6,'2.2-Ст2'!$A$2:$C$13,3)</f>
        <v>18.690000000000001</v>
      </c>
      <c r="G6" s="21" t="s">
        <v>158</v>
      </c>
      <c r="H6" s="28">
        <f>E6*F6/1000</f>
        <v>1.8690000000000002E-2</v>
      </c>
    </row>
    <row r="7" spans="1:8" ht="18" x14ac:dyDescent="0.3">
      <c r="A7" s="25">
        <v>5</v>
      </c>
      <c r="B7" s="29">
        <v>1</v>
      </c>
      <c r="C7" s="29">
        <v>1</v>
      </c>
      <c r="D7" s="21" t="s">
        <v>259</v>
      </c>
      <c r="E7" s="21">
        <v>1</v>
      </c>
      <c r="F7" s="21">
        <f>VLOOKUP(D7,'2.2-Ст2'!$A$2:$C$13,3)</f>
        <v>6.93</v>
      </c>
      <c r="G7" s="21" t="s">
        <v>158</v>
      </c>
      <c r="H7" s="28">
        <f t="shared" ref="H7:H8" si="3">E7*F7/1000</f>
        <v>6.9299999999999995E-3</v>
      </c>
    </row>
    <row r="8" spans="1:8" ht="18" x14ac:dyDescent="0.3">
      <c r="A8" s="25">
        <v>6</v>
      </c>
      <c r="B8" s="29">
        <v>1</v>
      </c>
      <c r="C8" s="29">
        <v>1</v>
      </c>
      <c r="D8" s="21" t="s">
        <v>260</v>
      </c>
      <c r="E8" s="21">
        <v>3</v>
      </c>
      <c r="F8" s="21">
        <f>VLOOKUP(D8,'2.2-Ст2'!$A$2:$C$13,3)</f>
        <v>8.81</v>
      </c>
      <c r="G8" s="21" t="s">
        <v>158</v>
      </c>
      <c r="H8" s="28">
        <f t="shared" si="3"/>
        <v>2.6429999999999999E-2</v>
      </c>
    </row>
    <row r="9" spans="1:8" ht="18" x14ac:dyDescent="0.3">
      <c r="A9" s="25"/>
      <c r="B9" s="29"/>
      <c r="C9" s="29"/>
      <c r="D9" s="21"/>
      <c r="E9" s="21"/>
      <c r="F9" s="21"/>
      <c r="G9" s="21"/>
      <c r="H9" s="28"/>
    </row>
    <row r="10" spans="1:8" ht="18" x14ac:dyDescent="0.3">
      <c r="A10" s="25">
        <v>7</v>
      </c>
      <c r="B10" s="29">
        <v>1</v>
      </c>
      <c r="C10" s="29">
        <v>2</v>
      </c>
      <c r="D10" s="21" t="s">
        <v>257</v>
      </c>
      <c r="E10" s="21">
        <v>1</v>
      </c>
      <c r="F10" s="21">
        <f>VLOOKUP(D10,'2.2-Ст2'!$A$2:$C$13,3)</f>
        <v>21.307692307692303</v>
      </c>
      <c r="G10" s="21" t="s">
        <v>158</v>
      </c>
      <c r="H10" s="28">
        <f t="shared" si="0"/>
        <v>2.1307692307692302E-2</v>
      </c>
    </row>
    <row r="11" spans="1:8" ht="18" x14ac:dyDescent="0.3">
      <c r="A11" s="25">
        <v>8</v>
      </c>
      <c r="B11" s="29">
        <v>1</v>
      </c>
      <c r="C11" s="29">
        <v>2</v>
      </c>
      <c r="D11" s="21" t="s">
        <v>258</v>
      </c>
      <c r="E11" s="21">
        <v>9</v>
      </c>
      <c r="F11" s="21">
        <f>VLOOKUP(D11,'2.2-Ст2'!$A$2:$C$13,3)</f>
        <v>12.170909090909092</v>
      </c>
      <c r="G11" s="21" t="s">
        <v>158</v>
      </c>
      <c r="H11" s="28">
        <f t="shared" si="0"/>
        <v>0.10953818181818183</v>
      </c>
    </row>
    <row r="12" spans="1:8" ht="18" x14ac:dyDescent="0.3">
      <c r="A12" s="25">
        <v>9</v>
      </c>
      <c r="B12" s="29">
        <v>1</v>
      </c>
      <c r="C12" s="29">
        <v>2</v>
      </c>
      <c r="D12" s="21" t="s">
        <v>259</v>
      </c>
      <c r="E12" s="21">
        <v>6</v>
      </c>
      <c r="F12" s="21">
        <f>VLOOKUP(D12,'2.2-Ст2'!$A$2:$C$13,3)</f>
        <v>6.93</v>
      </c>
      <c r="G12" s="21" t="s">
        <v>158</v>
      </c>
      <c r="H12" s="28">
        <f t="shared" si="0"/>
        <v>4.1579999999999999E-2</v>
      </c>
    </row>
    <row r="13" spans="1:8" ht="18" x14ac:dyDescent="0.3">
      <c r="A13" s="25">
        <v>10</v>
      </c>
      <c r="B13" s="29">
        <v>1</v>
      </c>
      <c r="C13" s="29">
        <v>2</v>
      </c>
      <c r="D13" s="21" t="s">
        <v>260</v>
      </c>
      <c r="E13" s="21">
        <v>8</v>
      </c>
      <c r="F13" s="21">
        <f>VLOOKUP(D13,'2.2-Ст2'!$A$2:$C$13,3)</f>
        <v>8.81</v>
      </c>
      <c r="G13" s="21" t="s">
        <v>158</v>
      </c>
      <c r="H13" s="28">
        <f t="shared" si="0"/>
        <v>7.0480000000000001E-2</v>
      </c>
    </row>
    <row r="14" spans="1:8" ht="18" x14ac:dyDescent="0.3">
      <c r="A14" s="25">
        <v>11</v>
      </c>
      <c r="B14" s="29">
        <v>1</v>
      </c>
      <c r="C14" s="29">
        <v>2</v>
      </c>
      <c r="D14" s="21" t="s">
        <v>261</v>
      </c>
      <c r="E14" s="21">
        <v>1</v>
      </c>
      <c r="F14" s="21">
        <f>VLOOKUP(D14,'2.2-Ст2'!$A$2:$C$13,3)</f>
        <v>27.95</v>
      </c>
      <c r="G14" s="21" t="s">
        <v>158</v>
      </c>
      <c r="H14" s="28">
        <f t="shared" si="0"/>
        <v>2.7949999999999999E-2</v>
      </c>
    </row>
    <row r="15" spans="1:8" ht="18" x14ac:dyDescent="0.3">
      <c r="A15" s="25">
        <v>12</v>
      </c>
      <c r="B15" s="29">
        <v>1</v>
      </c>
      <c r="C15" s="29">
        <v>2</v>
      </c>
      <c r="D15" s="21" t="s">
        <v>262</v>
      </c>
      <c r="E15" s="21">
        <v>3</v>
      </c>
      <c r="F15" s="21">
        <f>VLOOKUP(D15,'2.2-Ст2'!$A$2:$C$13,3)</f>
        <v>5.8500000000000005</v>
      </c>
      <c r="G15" s="21" t="s">
        <v>158</v>
      </c>
      <c r="H15" s="28">
        <f t="shared" si="0"/>
        <v>1.755E-2</v>
      </c>
    </row>
    <row r="16" spans="1:8" ht="18" x14ac:dyDescent="0.3">
      <c r="A16" s="25"/>
      <c r="B16" s="29"/>
      <c r="C16" s="29"/>
      <c r="D16" s="21"/>
      <c r="E16" s="21"/>
      <c r="F16" s="21"/>
      <c r="G16" s="21"/>
      <c r="H16" s="28"/>
    </row>
    <row r="17" spans="1:8" ht="18" x14ac:dyDescent="0.3">
      <c r="A17" s="25">
        <v>13</v>
      </c>
      <c r="B17" s="29">
        <v>1</v>
      </c>
      <c r="C17" s="29">
        <v>3</v>
      </c>
      <c r="D17" s="21" t="s">
        <v>256</v>
      </c>
      <c r="E17" s="21">
        <v>1</v>
      </c>
      <c r="F17" s="21">
        <f>VLOOKUP(D17,'2.2-Ст2'!$A$2:$C$13,3)</f>
        <v>46.84</v>
      </c>
      <c r="G17" s="21" t="s">
        <v>158</v>
      </c>
      <c r="H17" s="28">
        <f t="shared" si="0"/>
        <v>4.6840000000000007E-2</v>
      </c>
    </row>
    <row r="18" spans="1:8" ht="18" x14ac:dyDescent="0.3">
      <c r="A18" s="25"/>
      <c r="B18" s="29"/>
      <c r="C18" s="29"/>
      <c r="D18" s="21"/>
      <c r="E18" s="21"/>
      <c r="F18" s="21"/>
      <c r="G18" s="21"/>
      <c r="H18" s="28"/>
    </row>
    <row r="19" spans="1:8" ht="18" x14ac:dyDescent="0.3">
      <c r="A19" s="25">
        <v>14</v>
      </c>
      <c r="B19" s="30">
        <v>2</v>
      </c>
      <c r="C19" s="30">
        <v>1</v>
      </c>
      <c r="D19" s="21" t="s">
        <v>263</v>
      </c>
      <c r="E19" s="21">
        <v>1</v>
      </c>
      <c r="F19" s="21">
        <f>VLOOKUP(D19,'2.2-Ст2'!$A$2:$C$13,3)</f>
        <v>56.629999999999995</v>
      </c>
      <c r="G19" s="21" t="s">
        <v>158</v>
      </c>
      <c r="H19" s="28">
        <f>E19*F19/1000</f>
        <v>5.6629999999999993E-2</v>
      </c>
    </row>
    <row r="20" spans="1:8" ht="18" x14ac:dyDescent="0.3">
      <c r="A20" s="25">
        <v>15</v>
      </c>
      <c r="B20" s="30">
        <v>2</v>
      </c>
      <c r="C20" s="30">
        <v>1</v>
      </c>
      <c r="D20" s="21" t="s">
        <v>264</v>
      </c>
      <c r="E20" s="21">
        <v>1</v>
      </c>
      <c r="F20" s="21">
        <f>VLOOKUP(D20,'2.2-Ст2'!$A$2:$C$13,3)</f>
        <v>22.4</v>
      </c>
      <c r="G20" s="21" t="s">
        <v>158</v>
      </c>
      <c r="H20" s="28">
        <f t="shared" ref="H20" si="4">E20*F20/1000</f>
        <v>2.24E-2</v>
      </c>
    </row>
    <row r="21" spans="1:8" ht="18" x14ac:dyDescent="0.3">
      <c r="A21" s="25">
        <v>16</v>
      </c>
      <c r="B21" s="30">
        <v>2</v>
      </c>
      <c r="C21" s="30">
        <v>1</v>
      </c>
      <c r="D21" s="21" t="s">
        <v>260</v>
      </c>
      <c r="E21" s="21">
        <v>2</v>
      </c>
      <c r="F21" s="21">
        <f>VLOOKUP(D21,'2.2-Ст2'!$A$2:$C$13,3)</f>
        <v>8.81</v>
      </c>
      <c r="G21" s="21" t="s">
        <v>158</v>
      </c>
      <c r="H21" s="28">
        <f>E21*F21/1000</f>
        <v>1.762E-2</v>
      </c>
    </row>
    <row r="22" spans="1:8" ht="18" x14ac:dyDescent="0.3">
      <c r="A22" s="25">
        <v>17</v>
      </c>
      <c r="B22" s="30">
        <v>2</v>
      </c>
      <c r="C22" s="30">
        <v>1</v>
      </c>
      <c r="D22" s="21" t="s">
        <v>256</v>
      </c>
      <c r="E22" s="21">
        <v>4</v>
      </c>
      <c r="F22" s="21">
        <f>VLOOKUP(D22,'2.2-Ст2'!$A$2:$C$13,3)</f>
        <v>46.84</v>
      </c>
      <c r="G22" s="21" t="s">
        <v>158</v>
      </c>
      <c r="H22" s="28">
        <f t="shared" si="0"/>
        <v>0.18736000000000003</v>
      </c>
    </row>
    <row r="23" spans="1:8" ht="18" x14ac:dyDescent="0.3">
      <c r="A23" s="25"/>
      <c r="B23" s="30"/>
      <c r="C23" s="30"/>
      <c r="D23" s="21"/>
      <c r="E23" s="21"/>
      <c r="F23" s="21"/>
      <c r="G23" s="21"/>
      <c r="H23" s="28"/>
    </row>
    <row r="24" spans="1:8" ht="18" x14ac:dyDescent="0.3">
      <c r="A24" s="25">
        <v>18</v>
      </c>
      <c r="B24" s="30">
        <v>2</v>
      </c>
      <c r="C24" s="30">
        <v>3</v>
      </c>
      <c r="D24" s="21" t="s">
        <v>256</v>
      </c>
      <c r="E24" s="21">
        <v>5</v>
      </c>
      <c r="F24" s="21">
        <f>VLOOKUP(D24,'2.2-Ст2'!$A$2:$C$13,3)</f>
        <v>46.84</v>
      </c>
      <c r="G24" s="21" t="s">
        <v>158</v>
      </c>
      <c r="H24" s="28">
        <f>E24*F24/1000</f>
        <v>0.23420000000000002</v>
      </c>
    </row>
    <row r="25" spans="1:8" ht="18" x14ac:dyDescent="0.3">
      <c r="A25" s="25">
        <v>19</v>
      </c>
      <c r="B25" s="30">
        <v>2</v>
      </c>
      <c r="C25" s="30">
        <v>3</v>
      </c>
      <c r="D25" s="21" t="s">
        <v>264</v>
      </c>
      <c r="E25" s="21">
        <v>6</v>
      </c>
      <c r="F25" s="21">
        <f>VLOOKUP(D25,'2.2-Ст2'!$A$2:$C$13,3)</f>
        <v>22.4</v>
      </c>
      <c r="G25" s="21" t="s">
        <v>158</v>
      </c>
      <c r="H25" s="28">
        <f t="shared" ref="H25:H35" si="5">E25*F25/1000</f>
        <v>0.13439999999999996</v>
      </c>
    </row>
    <row r="26" spans="1:8" ht="18" x14ac:dyDescent="0.3">
      <c r="A26" s="25">
        <v>20</v>
      </c>
      <c r="B26" s="30">
        <v>2</v>
      </c>
      <c r="C26" s="30">
        <v>3</v>
      </c>
      <c r="D26" s="21" t="s">
        <v>257</v>
      </c>
      <c r="E26" s="21">
        <v>1</v>
      </c>
      <c r="F26" s="21">
        <f>VLOOKUP(D26,'2.2-Ст2'!$A$2:$C$13,3)</f>
        <v>21.307692307692303</v>
      </c>
      <c r="G26" s="21" t="s">
        <v>158</v>
      </c>
      <c r="H26" s="28">
        <f>E26*F26/1000</f>
        <v>2.1307692307692302E-2</v>
      </c>
    </row>
    <row r="27" spans="1:8" ht="18" x14ac:dyDescent="0.3">
      <c r="A27" s="25">
        <v>21</v>
      </c>
      <c r="B27" s="30">
        <v>2</v>
      </c>
      <c r="C27" s="30">
        <v>3</v>
      </c>
      <c r="D27" s="21" t="s">
        <v>265</v>
      </c>
      <c r="E27" s="21">
        <v>2</v>
      </c>
      <c r="F27" s="21">
        <f>VLOOKUP(D27,'2.2-Ст2'!$A$2:$C$13,3)</f>
        <v>18.690000000000001</v>
      </c>
      <c r="G27" s="21" t="s">
        <v>158</v>
      </c>
      <c r="H27" s="28">
        <f t="shared" ref="H27" si="6">E27*F27/1000</f>
        <v>3.7380000000000004E-2</v>
      </c>
    </row>
    <row r="28" spans="1:8" ht="18" x14ac:dyDescent="0.3">
      <c r="A28" s="25"/>
      <c r="B28" s="30"/>
      <c r="C28" s="30"/>
      <c r="D28" s="21"/>
      <c r="E28" s="21"/>
      <c r="F28" s="21"/>
      <c r="G28" s="21"/>
      <c r="H28" s="28"/>
    </row>
    <row r="29" spans="1:8" ht="18" x14ac:dyDescent="0.3">
      <c r="A29" s="25">
        <v>22</v>
      </c>
      <c r="B29" s="31">
        <v>3</v>
      </c>
      <c r="C29" s="31">
        <v>1</v>
      </c>
      <c r="D29" s="21" t="s">
        <v>256</v>
      </c>
      <c r="E29" s="21">
        <v>1</v>
      </c>
      <c r="F29" s="21">
        <f>VLOOKUP(D29,'2.2-Ст2'!$A$2:$C$13,3)</f>
        <v>46.84</v>
      </c>
      <c r="G29" s="21" t="s">
        <v>158</v>
      </c>
      <c r="H29" s="28">
        <f>E29*F29/1000</f>
        <v>4.6840000000000007E-2</v>
      </c>
    </row>
    <row r="30" spans="1:8" ht="18" x14ac:dyDescent="0.3">
      <c r="A30" s="25">
        <v>23</v>
      </c>
      <c r="B30" s="31">
        <v>3</v>
      </c>
      <c r="C30" s="31">
        <v>1</v>
      </c>
      <c r="D30" s="21" t="s">
        <v>264</v>
      </c>
      <c r="E30" s="21">
        <v>1</v>
      </c>
      <c r="F30" s="21">
        <f>VLOOKUP(D30,'2.2-Ст2'!$A$2:$C$13,3)</f>
        <v>22.4</v>
      </c>
      <c r="G30" s="21" t="s">
        <v>158</v>
      </c>
      <c r="H30" s="28">
        <f t="shared" si="5"/>
        <v>2.24E-2</v>
      </c>
    </row>
    <row r="31" spans="1:8" ht="18" x14ac:dyDescent="0.3">
      <c r="A31" s="25">
        <v>24</v>
      </c>
      <c r="B31" s="31">
        <v>3</v>
      </c>
      <c r="C31" s="31">
        <v>1</v>
      </c>
      <c r="D31" s="21" t="s">
        <v>263</v>
      </c>
      <c r="E31" s="21">
        <v>1</v>
      </c>
      <c r="F31" s="21">
        <f>VLOOKUP(D31,'2.2-Ст2'!$A$2:$C$13,3)</f>
        <v>56.629999999999995</v>
      </c>
      <c r="G31" s="21" t="s">
        <v>158</v>
      </c>
      <c r="H31" s="28">
        <f>E31*F31/1000</f>
        <v>5.6629999999999993E-2</v>
      </c>
    </row>
    <row r="32" spans="1:8" ht="18" x14ac:dyDescent="0.3">
      <c r="A32" s="25">
        <v>25</v>
      </c>
      <c r="B32" s="31">
        <v>3</v>
      </c>
      <c r="C32" s="31">
        <v>1</v>
      </c>
      <c r="D32" s="21" t="s">
        <v>260</v>
      </c>
      <c r="E32" s="21">
        <v>2</v>
      </c>
      <c r="F32" s="21">
        <f>VLOOKUP(D32,'2.2-Ст2'!$A$2:$C$13,3)</f>
        <v>8.81</v>
      </c>
      <c r="G32" s="21" t="s">
        <v>158</v>
      </c>
      <c r="H32" s="28">
        <f t="shared" ref="H32" si="7">E32*F32/1000</f>
        <v>1.762E-2</v>
      </c>
    </row>
    <row r="33" spans="1:8" ht="18" x14ac:dyDescent="0.3">
      <c r="A33" s="25"/>
      <c r="B33" s="31"/>
      <c r="C33" s="31"/>
      <c r="D33" s="21"/>
      <c r="E33" s="21"/>
      <c r="F33" s="21"/>
      <c r="G33" s="21"/>
      <c r="H33" s="28"/>
    </row>
    <row r="34" spans="1:8" ht="18" x14ac:dyDescent="0.3">
      <c r="A34" s="25">
        <v>26</v>
      </c>
      <c r="B34" s="31">
        <v>3</v>
      </c>
      <c r="C34" s="31">
        <v>3</v>
      </c>
      <c r="D34" s="21" t="s">
        <v>256</v>
      </c>
      <c r="E34" s="21">
        <v>7</v>
      </c>
      <c r="F34" s="21">
        <f>VLOOKUP(D34,'2.2-Ст2'!$A$2:$C$13,3)</f>
        <v>46.84</v>
      </c>
      <c r="G34" s="21" t="s">
        <v>158</v>
      </c>
      <c r="H34" s="28">
        <f t="shared" si="5"/>
        <v>0.32788</v>
      </c>
    </row>
    <row r="35" spans="1:8" ht="18" x14ac:dyDescent="0.3">
      <c r="A35" s="25">
        <v>27</v>
      </c>
      <c r="B35" s="31">
        <v>3</v>
      </c>
      <c r="C35" s="31">
        <v>3</v>
      </c>
      <c r="D35" s="21" t="s">
        <v>264</v>
      </c>
      <c r="E35" s="21">
        <v>5</v>
      </c>
      <c r="F35" s="21">
        <f>VLOOKUP(D35,'2.2-Ст2'!$A$2:$C$13,3)</f>
        <v>22.4</v>
      </c>
      <c r="G35" s="21" t="s">
        <v>158</v>
      </c>
      <c r="H35" s="28">
        <f t="shared" si="5"/>
        <v>0.112</v>
      </c>
    </row>
    <row r="36" spans="1:8" ht="18" x14ac:dyDescent="0.3">
      <c r="A36" s="25">
        <v>28</v>
      </c>
      <c r="B36" s="31">
        <v>3</v>
      </c>
      <c r="C36" s="31">
        <v>3</v>
      </c>
      <c r="D36" s="21" t="s">
        <v>265</v>
      </c>
      <c r="E36" s="21">
        <v>5</v>
      </c>
      <c r="F36" s="21">
        <f>VLOOKUP(D36,'2.2-Ст2'!$A$2:$C$13,3)</f>
        <v>18.690000000000001</v>
      </c>
      <c r="G36" s="21" t="s">
        <v>158</v>
      </c>
      <c r="H36" s="28">
        <f t="shared" ref="H36:H37" si="8">E36*F36/1000</f>
        <v>9.3450000000000005E-2</v>
      </c>
    </row>
    <row r="37" spans="1:8" ht="18" x14ac:dyDescent="0.3">
      <c r="A37" s="25">
        <v>29</v>
      </c>
      <c r="B37" s="31">
        <v>3</v>
      </c>
      <c r="C37" s="31">
        <v>3</v>
      </c>
      <c r="D37" s="21" t="s">
        <v>266</v>
      </c>
      <c r="E37" s="21">
        <v>1</v>
      </c>
      <c r="F37" s="21">
        <f>VLOOKUP(D37,'2.2-Ст2'!$A$2:$C$13,3)</f>
        <v>18.690000000000001</v>
      </c>
      <c r="G37" s="21" t="s">
        <v>158</v>
      </c>
      <c r="H37" s="28">
        <f t="shared" si="8"/>
        <v>1.8690000000000002E-2</v>
      </c>
    </row>
    <row r="38" spans="1:8" ht="18" x14ac:dyDescent="0.3">
      <c r="A38" s="25"/>
      <c r="B38" s="31"/>
      <c r="C38" s="31"/>
      <c r="D38" s="21"/>
      <c r="E38" s="21"/>
      <c r="F38" s="21"/>
      <c r="G38" s="21"/>
      <c r="H38" s="28"/>
    </row>
    <row r="39" spans="1:8" ht="18" x14ac:dyDescent="0.3">
      <c r="A39" s="25">
        <v>30</v>
      </c>
      <c r="B39" s="32">
        <v>4</v>
      </c>
      <c r="C39" s="32">
        <v>3</v>
      </c>
      <c r="D39" s="21" t="s">
        <v>256</v>
      </c>
      <c r="E39" s="21">
        <v>7</v>
      </c>
      <c r="F39" s="21">
        <f>VLOOKUP(D39,'2.2-Ст2'!$A$2:$C$13,3)</f>
        <v>46.84</v>
      </c>
      <c r="G39" s="21" t="s">
        <v>158</v>
      </c>
      <c r="H39" s="28">
        <f t="shared" ref="H39" si="9">E39*F39/1000</f>
        <v>0.32788</v>
      </c>
    </row>
    <row r="40" spans="1:8" ht="18" x14ac:dyDescent="0.3">
      <c r="A40" s="25">
        <v>31</v>
      </c>
      <c r="B40" s="32">
        <v>4</v>
      </c>
      <c r="C40" s="32">
        <v>3</v>
      </c>
      <c r="D40" s="21" t="s">
        <v>264</v>
      </c>
      <c r="E40" s="21">
        <v>2</v>
      </c>
      <c r="F40" s="21">
        <f>VLOOKUP(D40,'2.2-Ст2'!$A$2:$C$13,3)</f>
        <v>22.4</v>
      </c>
      <c r="G40" s="21" t="s">
        <v>158</v>
      </c>
      <c r="H40" s="28">
        <f>E40*F40/1000</f>
        <v>4.48E-2</v>
      </c>
    </row>
    <row r="41" spans="1:8" ht="18" x14ac:dyDescent="0.3">
      <c r="A41" s="25">
        <v>32</v>
      </c>
      <c r="B41" s="32">
        <v>4</v>
      </c>
      <c r="C41" s="32">
        <v>3</v>
      </c>
      <c r="D41" s="21" t="s">
        <v>267</v>
      </c>
      <c r="E41" s="21">
        <v>1</v>
      </c>
      <c r="F41" s="21">
        <f>VLOOKUP(D41,'2.2-Ст2'!$A$2:$C$13,3)</f>
        <v>5.44</v>
      </c>
      <c r="G41" s="21" t="s">
        <v>158</v>
      </c>
      <c r="H41" s="28">
        <f>E41*F41/1000</f>
        <v>5.4400000000000004E-3</v>
      </c>
    </row>
    <row r="42" spans="1:8" ht="18" x14ac:dyDescent="0.3">
      <c r="A42" s="25"/>
      <c r="B42" s="21"/>
      <c r="C42" s="21"/>
      <c r="D42" s="21"/>
      <c r="E42" s="33">
        <f>SUM(E3:E41)</f>
        <v>96</v>
      </c>
      <c r="F42" s="21" t="s">
        <v>231</v>
      </c>
      <c r="G42" s="21" t="s">
        <v>158</v>
      </c>
      <c r="H42" s="28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zoomScale="70" zoomScaleNormal="70" workbookViewId="0">
      <selection activeCell="A15" sqref="A15:XFD20"/>
    </sheetView>
  </sheetViews>
  <sheetFormatPr defaultRowHeight="15.6" x14ac:dyDescent="0.3"/>
  <cols>
    <col min="1" max="1" width="14.109375" style="38" customWidth="1"/>
    <col min="2" max="2" width="14.21875" style="38" customWidth="1"/>
    <col min="3" max="4" width="8.88671875" style="37"/>
    <col min="5" max="16384" width="8.88671875" style="38"/>
  </cols>
  <sheetData>
    <row r="1" spans="1:4" x14ac:dyDescent="0.3">
      <c r="A1" s="34" t="s">
        <v>255</v>
      </c>
      <c r="B1" s="34" t="s">
        <v>254</v>
      </c>
      <c r="C1" s="36" t="s">
        <v>268</v>
      </c>
      <c r="D1" s="36" t="s">
        <v>231</v>
      </c>
    </row>
    <row r="2" spans="1:4" x14ac:dyDescent="0.3">
      <c r="A2" s="35" t="s">
        <v>256</v>
      </c>
      <c r="B2" s="34">
        <v>30</v>
      </c>
      <c r="C2" s="36">
        <v>46.84</v>
      </c>
      <c r="D2" s="36">
        <f>B2*C2</f>
        <v>1405.2</v>
      </c>
    </row>
    <row r="3" spans="1:4" x14ac:dyDescent="0.3">
      <c r="A3" s="35" t="s">
        <v>264</v>
      </c>
      <c r="B3" s="34">
        <v>16</v>
      </c>
      <c r="C3" s="36">
        <v>22.4</v>
      </c>
      <c r="D3" s="36">
        <f t="shared" ref="D3:D13" si="0">B3*C3</f>
        <v>358.4</v>
      </c>
    </row>
    <row r="4" spans="1:4" x14ac:dyDescent="0.3">
      <c r="A4" s="35" t="s">
        <v>257</v>
      </c>
      <c r="B4" s="34">
        <v>3</v>
      </c>
      <c r="C4" s="36">
        <v>21.307692307692303</v>
      </c>
      <c r="D4" s="36">
        <f t="shared" si="0"/>
        <v>63.923076923076906</v>
      </c>
    </row>
    <row r="5" spans="1:4" x14ac:dyDescent="0.3">
      <c r="A5" s="35" t="s">
        <v>263</v>
      </c>
      <c r="B5" s="34">
        <v>2</v>
      </c>
      <c r="C5" s="36">
        <v>56.629999999999995</v>
      </c>
      <c r="D5" s="36">
        <f t="shared" si="0"/>
        <v>113.25999999999999</v>
      </c>
    </row>
    <row r="6" spans="1:4" x14ac:dyDescent="0.3">
      <c r="A6" s="35" t="s">
        <v>265</v>
      </c>
      <c r="B6" s="34">
        <v>8</v>
      </c>
      <c r="C6" s="36">
        <v>18.690000000000001</v>
      </c>
      <c r="D6" s="36">
        <f t="shared" si="0"/>
        <v>149.52000000000001</v>
      </c>
    </row>
    <row r="7" spans="1:4" x14ac:dyDescent="0.3">
      <c r="A7" s="35" t="s">
        <v>266</v>
      </c>
      <c r="B7" s="34">
        <v>1</v>
      </c>
      <c r="C7" s="36">
        <v>18.690000000000001</v>
      </c>
      <c r="D7" s="36">
        <f t="shared" si="0"/>
        <v>18.690000000000001</v>
      </c>
    </row>
    <row r="8" spans="1:4" x14ac:dyDescent="0.3">
      <c r="A8" s="35" t="s">
        <v>258</v>
      </c>
      <c r="B8" s="34">
        <v>9</v>
      </c>
      <c r="C8" s="36">
        <v>12.170909090909092</v>
      </c>
      <c r="D8" s="36">
        <f t="shared" si="0"/>
        <v>109.53818181818183</v>
      </c>
    </row>
    <row r="9" spans="1:4" x14ac:dyDescent="0.3">
      <c r="A9" s="35" t="s">
        <v>267</v>
      </c>
      <c r="B9" s="34">
        <v>1</v>
      </c>
      <c r="C9" s="36">
        <v>5.44</v>
      </c>
      <c r="D9" s="36">
        <f t="shared" si="0"/>
        <v>5.44</v>
      </c>
    </row>
    <row r="10" spans="1:4" x14ac:dyDescent="0.3">
      <c r="A10" s="35" t="s">
        <v>259</v>
      </c>
      <c r="B10" s="34">
        <v>7</v>
      </c>
      <c r="C10" s="36">
        <v>6.93</v>
      </c>
      <c r="D10" s="36">
        <f t="shared" si="0"/>
        <v>48.51</v>
      </c>
    </row>
    <row r="11" spans="1:4" x14ac:dyDescent="0.3">
      <c r="A11" s="35" t="s">
        <v>260</v>
      </c>
      <c r="B11" s="34">
        <v>15</v>
      </c>
      <c r="C11" s="36">
        <v>8.81</v>
      </c>
      <c r="D11" s="36">
        <f t="shared" si="0"/>
        <v>132.15</v>
      </c>
    </row>
    <row r="12" spans="1:4" x14ac:dyDescent="0.3">
      <c r="A12" s="35" t="s">
        <v>261</v>
      </c>
      <c r="B12" s="34">
        <v>1</v>
      </c>
      <c r="C12" s="36">
        <v>27.95</v>
      </c>
      <c r="D12" s="36">
        <f t="shared" si="0"/>
        <v>27.95</v>
      </c>
    </row>
    <row r="13" spans="1:4" x14ac:dyDescent="0.3">
      <c r="A13" s="35" t="s">
        <v>262</v>
      </c>
      <c r="B13" s="34">
        <v>3</v>
      </c>
      <c r="C13" s="36">
        <v>5.8500000000000005</v>
      </c>
      <c r="D13" s="36">
        <f t="shared" si="0"/>
        <v>17.55</v>
      </c>
    </row>
    <row r="14" spans="1:4" x14ac:dyDescent="0.3">
      <c r="A14" s="39"/>
      <c r="B14" s="36">
        <f>SUM(B2:B13)</f>
        <v>96</v>
      </c>
      <c r="C14" s="36" t="s">
        <v>269</v>
      </c>
      <c r="D14" s="36">
        <f>SUM(D2:D13)</f>
        <v>2450.131258741259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B4" sqref="B4"/>
    </sheetView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23" customFormat="1" ht="36" x14ac:dyDescent="0.35">
      <c r="A1" s="22" t="s">
        <v>9</v>
      </c>
      <c r="B1" s="22" t="s">
        <v>11</v>
      </c>
      <c r="C1" s="22" t="s">
        <v>228</v>
      </c>
      <c r="D1" s="22" t="s">
        <v>14</v>
      </c>
      <c r="E1" s="22" t="s">
        <v>16</v>
      </c>
    </row>
    <row r="2" spans="1:5" s="19" customFormat="1" ht="72" x14ac:dyDescent="0.35">
      <c r="A2" s="25">
        <v>1</v>
      </c>
      <c r="B2" s="20" t="s">
        <v>32</v>
      </c>
      <c r="C2" s="21" t="s">
        <v>229</v>
      </c>
      <c r="D2" s="21" t="s">
        <v>34</v>
      </c>
      <c r="E2" s="24">
        <v>26.36</v>
      </c>
    </row>
    <row r="3" spans="1:5" s="19" customFormat="1" ht="72" x14ac:dyDescent="0.35">
      <c r="A3" s="25">
        <v>2</v>
      </c>
      <c r="B3" s="20" t="s">
        <v>32</v>
      </c>
      <c r="C3" s="21" t="s">
        <v>230</v>
      </c>
      <c r="D3" s="21" t="s">
        <v>34</v>
      </c>
      <c r="E3" s="24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Общий</vt:lpstr>
      <vt:lpstr>Лист1</vt:lpstr>
      <vt:lpstr>1.1-Ст</vt:lpstr>
      <vt:lpstr>1.2-Ст</vt:lpstr>
      <vt:lpstr>2.1-Ст</vt:lpstr>
      <vt:lpstr>2.2-Ст</vt:lpstr>
      <vt:lpstr>2.2-Ст2</vt:lpstr>
      <vt:lpstr>3-Ст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2026-03-06T07:04:06Z</dcterms:modified>
</cp:coreProperties>
</file>