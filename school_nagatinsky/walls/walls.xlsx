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1928" tabRatio="898"/>
  </bookViews>
  <sheets>
    <sheet name="КП" sheetId="1" r:id="rId1"/>
    <sheet name="1.1-Ст" sheetId="3" r:id="rId2"/>
    <sheet name="1.2-Ст" sheetId="6" r:id="rId3"/>
    <sheet name="1.3-Кирп" sheetId="17" r:id="rId4"/>
    <sheet name="1.4-Бл" sheetId="18" r:id="rId5"/>
    <sheet name="2.1-Ст" sheetId="8" state="hidden" r:id="rId6"/>
    <sheet name="2.3-Ст" sheetId="14" state="hidden" r:id="rId7"/>
    <sheet name="2.4-Ст" sheetId="13" state="hidden" r:id="rId8"/>
    <sheet name="Лист2" sheetId="15" state="hidden" r:id="rId9"/>
    <sheet name="2.2-Пер" sheetId="10" state="hidden" r:id="rId10"/>
    <sheet name="2.2-Пер2" sheetId="12" state="hidden" r:id="rId11"/>
    <sheet name="2.5-Пер" sheetId="16" state="hidden" r:id="rId12"/>
    <sheet name="3-Ст" sheetId="4" state="hidden" r:id="rId13"/>
    <sheet name="Ведомость" sheetId="21" r:id="rId14"/>
    <sheet name="3.1-Шт" sheetId="26" r:id="rId15"/>
    <sheet name="3.1.1" sheetId="34" r:id="rId16"/>
    <sheet name="3.1.2-Шт1э1с" sheetId="25" r:id="rId17"/>
    <sheet name="3.1.3-Шт1э3с" sheetId="27" r:id="rId18"/>
    <sheet name="3.1.4-Шт2э1с" sheetId="28" r:id="rId19"/>
    <sheet name="3.1.5-Шт2э3с" sheetId="29" r:id="rId20"/>
    <sheet name="3.1.6-Шт3э1с" sheetId="31" r:id="rId21"/>
    <sheet name="3.1.7-Шт3э3с" sheetId="32" r:id="rId22"/>
    <sheet name="3.1.8-Шт4э3с" sheetId="33" r:id="rId23"/>
  </sheets>
  <calcPr calcId="152511"/>
  <fileRecoveryPr autoRecover="0"/>
</workbook>
</file>

<file path=xl/calcChain.xml><?xml version="1.0" encoding="utf-8"?>
<calcChain xmlns="http://schemas.openxmlformats.org/spreadsheetml/2006/main">
  <c r="H4" i="34" l="1"/>
  <c r="H5" i="34"/>
  <c r="H6" i="34"/>
  <c r="H7" i="34"/>
  <c r="H8" i="34"/>
  <c r="H9" i="34"/>
  <c r="H10" i="34"/>
  <c r="H11" i="34"/>
  <c r="H12" i="34"/>
  <c r="H13" i="34"/>
  <c r="H14" i="34"/>
  <c r="H15" i="34"/>
  <c r="H16" i="34"/>
  <c r="H17" i="34"/>
  <c r="H18" i="34"/>
  <c r="H19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17" i="34"/>
  <c r="F18" i="34"/>
  <c r="F19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3" i="34"/>
  <c r="B19" i="34"/>
  <c r="B18" i="34"/>
  <c r="B17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19" i="34" l="1"/>
  <c r="I15" i="34"/>
  <c r="I7" i="34"/>
  <c r="I14" i="34"/>
  <c r="I16" i="34"/>
  <c r="I5" i="34"/>
  <c r="I6" i="34"/>
  <c r="E8" i="26" s="1"/>
  <c r="I8" i="34"/>
  <c r="I18" i="34"/>
  <c r="I3" i="34"/>
  <c r="I4" i="34"/>
  <c r="I17" i="34"/>
  <c r="I11" i="34"/>
  <c r="I12" i="34"/>
  <c r="I10" i="34"/>
  <c r="I13" i="34"/>
  <c r="I9" i="34"/>
  <c r="E6" i="26" s="1"/>
  <c r="I10" i="1"/>
  <c r="I16" i="1"/>
  <c r="I25" i="1"/>
  <c r="I35" i="1"/>
  <c r="E7" i="26" l="1"/>
  <c r="I20" i="34"/>
  <c r="E3" i="26"/>
  <c r="E4" i="26"/>
  <c r="E5" i="26"/>
  <c r="F12" i="16"/>
  <c r="H12" i="16" s="1"/>
  <c r="E2" i="26" l="1"/>
  <c r="E9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<sst xmlns="http://schemas.openxmlformats.org/spreadsheetml/2006/main" count="4836" uniqueCount="759">
  <si>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</si>
  <si>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</si>
  <si>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</si>
  <si>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</si>
  <si>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</si>
  <si>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</si>
  <si>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</si>
  <si>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</si>
  <si>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</si>
  <si>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</si>
  <si>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</si>
  <si>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</si>
  <si>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</si>
  <si>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</si>
  <si>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</si>
  <si>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</si>
  <si>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</si>
  <si>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</si>
  <si>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</si>
  <si>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</si>
  <si>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</si>
  <si>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</si>
  <si>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</si>
  <si>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</si>
  <si>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</si>
  <si>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</si>
  <si>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</si>
  <si>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</si>
  <si>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</si>
  <si>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</si>
  <si>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</si>
  <si>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</si>
  <si>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</si>
  <si>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</si>
  <si>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</si>
  <si>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</si>
  <si>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</si>
  <si>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</si>
  <si>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</si>
  <si>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</si>
  <si>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</si>
  <si>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</si>
  <si>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</si>
  <si>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</si>
  <si>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</si>
  <si>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</si>
  <si>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</si>
  <si>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</si>
  <si>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</si>
  <si>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</si>
  <si>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</si>
  <si>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</si>
  <si>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</si>
  <si>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</si>
  <si>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</si>
  <si>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</si>
  <si>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</si>
  <si>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</si>
  <si>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</si>
  <si>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</si>
  <si>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</si>
  <si>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</si>
  <si>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</si>
  <si>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</si>
  <si>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</si>
  <si>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</si>
  <si>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</si>
  <si>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</si>
  <si>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</si>
  <si>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</si>
  <si>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</si>
  <si>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</si>
  <si>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</si>
  <si>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</si>
  <si>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</si>
  <si>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</si>
  <si>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</si>
  <si>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</si>
  <si>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</si>
  <si>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</si>
  <si>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</si>
  <si>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</si>
  <si>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</si>
  <si>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</si>
  <si>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</si>
  <si>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</si>
  <si>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</si>
  <si>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</si>
  <si>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</si>
  <si>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</si>
  <si>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</si>
  <si>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</si>
  <si>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</si>
  <si>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</si>
  <si>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</si>
  <si>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</si>
  <si>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</si>
  <si>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</si>
  <si>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</si>
  <si>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</si>
  <si>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</si>
  <si>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</si>
  <si>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</si>
  <si>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</si>
  <si>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</si>
  <si>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</si>
  <si>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</si>
  <si>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</si>
  <si>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</si>
  <si>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</si>
  <si>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</si>
  <si>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</si>
  <si>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</si>
  <si>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</si>
  <si>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</si>
  <si>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</si>
  <si>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</si>
  <si>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</si>
  <si>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</si>
  <si>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</si>
  <si>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</si>
  <si>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</si>
  <si>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</si>
  <si>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</si>
  <si>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</si>
  <si>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</si>
  <si>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</si>
  <si>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</si>
  <si>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</si>
  <si>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</si>
  <si>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</si>
  <si>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</si>
  <si>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</si>
  <si>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</si>
  <si>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</si>
  <si>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</si>
  <si>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</si>
  <si>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</si>
  <si>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</si>
  <si>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</si>
  <si>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</si>
  <si>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</si>
  <si>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</si>
  <si>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</si>
  <si>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</si>
  <si>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</si>
  <si>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</si>
  <si>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</si>
  <si>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</si>
  <si>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</si>
  <si>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</si>
  <si>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</si>
  <si>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</si>
  <si>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</si>
  <si>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</si>
  <si>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</si>
  <si>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</si>
  <si>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</si>
  <si>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</si>
  <si>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</si>
  <si>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</si>
  <si>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</si>
  <si>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</si>
  <si>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</si>
  <si>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</si>
  <si>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</si>
  <si>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</si>
  <si>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</si>
  <si>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</si>
  <si>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</si>
  <si>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</si>
  <si>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</si>
  <si>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</si>
  <si>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</si>
  <si>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</si>
  <si>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</si>
  <si>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</si>
  <si>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</si>
  <si>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</si>
  <si>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</si>
  <si>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</si>
  <si>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</si>
  <si>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</si>
  <si>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</si>
  <si>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</si>
  <si>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</si>
  <si>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</si>
  <si>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</si>
  <si>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</si>
  <si>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</si>
  <si>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</si>
  <si>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</si>
  <si>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</si>
  <si>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</si>
  <si>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</si>
  <si>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</si>
  <si>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</si>
  <si>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</si>
  <si>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</si>
  <si>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</si>
  <si>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</si>
  <si>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</si>
  <si>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</si>
  <si>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</si>
  <si>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</si>
  <si>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</si>
  <si>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</si>
  <si>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</si>
  <si>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</si>
  <si>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</si>
  <si>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</si>
  <si>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</si>
  <si>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</si>
  <si>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</si>
  <si>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</si>
  <si>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</si>
  <si>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</si>
  <si>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</si>
  <si>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</si>
  <si>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</si>
  <si>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</si>
  <si>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</si>
  <si>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</si>
  <si>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</si>
  <si>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</si>
  <si>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</si>
  <si>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</si>
  <si>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</si>
  <si>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</si>
  <si>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</si>
  <si>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</si>
  <si>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</si>
  <si>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</si>
  <si>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</si>
  <si>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</si>
  <si>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</si>
  <si>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</si>
  <si>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</si>
  <si>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</si>
  <si>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</si>
  <si>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</si>
  <si>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</si>
  <si>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</si>
  <si>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</si>
  <si>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</si>
  <si>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</si>
  <si>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</si>
  <si>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</si>
  <si>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</si>
  <si>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</si>
  <si>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</si>
  <si>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</si>
  <si>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</si>
  <si>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</si>
  <si>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</si>
  <si>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</si>
  <si>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</si>
  <si>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</si>
  <si>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</si>
  <si>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</si>
  <si>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</si>
  <si>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</si>
  <si>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</si>
  <si>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</si>
  <si>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</si>
  <si>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</si>
  <si>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</si>
  <si>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</si>
  <si>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</si>
  <si>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</si>
  <si>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</si>
  <si>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</si>
  <si>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</si>
  <si>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</si>
  <si>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</si>
  <si>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</si>
  <si>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</si>
  <si>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</si>
  <si>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</si>
  <si>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</si>
  <si>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</si>
  <si>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</si>
  <si>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</si>
  <si>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</si>
  <si>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</si>
  <si>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</si>
  <si>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</si>
  <si>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</si>
  <si>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</si>
  <si>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</si>
  <si>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</si>
  <si>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</si>
  <si>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</si>
  <si>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</si>
  <si>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</si>
  <si>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</si>
  <si>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</si>
  <si>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</si>
  <si>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</si>
  <si>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</si>
  <si>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</si>
  <si>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</si>
  <si>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</si>
  <si>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</si>
  <si>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</si>
  <si>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</si>
  <si>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</si>
  <si>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</si>
  <si>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</si>
  <si>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</si>
  <si>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</si>
  <si>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</si>
  <si>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</si>
  <si>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</si>
  <si>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</si>
  <si>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</si>
  <si>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</si>
  <si>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</si>
  <si>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</si>
  <si>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</si>
  <si>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</si>
  <si>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</si>
  <si>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</si>
  <si>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</si>
  <si>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</si>
  <si>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</si>
  <si>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</si>
  <si>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</si>
  <si>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</si>
  <si>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</si>
  <si>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</si>
  <si>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</si>
  <si>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</si>
  <si>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</si>
  <si>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</si>
  <si>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</si>
  <si>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</si>
  <si>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</si>
  <si>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</si>
  <si>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</si>
  <si>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</si>
  <si>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</si>
  <si>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</si>
  <si>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</si>
  <si>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</si>
  <si>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</si>
  <si>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</si>
  <si>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</si>
  <si>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</si>
  <si>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</si>
  <si>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</si>
  <si>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</si>
  <si>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</si>
  <si>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</si>
  <si>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</si>
  <si>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</si>
  <si>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</si>
  <si>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</si>
  <si>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</si>
  <si>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</si>
  <si>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</si>
  <si>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</si>
  <si>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</si>
  <si>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</si>
  <si>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</si>
  <si>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</si>
  <si>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</si>
  <si>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</si>
  <si>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</si>
  <si>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</si>
  <si>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</si>
  <si>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</si>
  <si>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</si>
  <si>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</si>
  <si>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</si>
  <si>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</si>
  <si>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</si>
  <si>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</si>
  <si>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</si>
  <si>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</si>
  <si>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</si>
  <si>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</si>
  <si>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</si>
  <si>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</si>
  <si>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</si>
  <si>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</si>
  <si>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</si>
  <si>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</si>
  <si>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</si>
  <si>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</si>
  <si>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</si>
  <si>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</si>
  <si>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</si>
  <si>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</si>
  <si>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</si>
  <si>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</si>
  <si>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</si>
  <si>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</si>
  <si>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</si>
  <si>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</si>
  <si>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</si>
  <si>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</si>
  <si>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</si>
  <si>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</si>
  <si>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</si>
  <si>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</si>
  <si>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</si>
  <si>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</si>
  <si>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</si>
  <si>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</si>
  <si>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</si>
  <si>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</si>
  <si>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</si>
  <si>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</si>
  <si>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</si>
  <si>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</si>
  <si>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</si>
  <si>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</si>
  <si>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</si>
  <si>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</si>
  <si>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</si>
  <si>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</si>
  <si>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</si>
  <si>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</si>
  <si>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</si>
  <si>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</si>
  <si>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</si>
  <si>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</si>
  <si>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</si>
  <si>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</si>
  <si>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</si>
  <si>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</si>
  <si>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</si>
  <si>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</si>
  <si>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</si>
  <si>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</si>
  <si>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</si>
  <si>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</si>
  <si>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</si>
  <si>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</si>
  <si>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</si>
  <si>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</si>
  <si>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</si>
  <si>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</si>
  <si>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</si>
  <si>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</si>
  <si>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</si>
  <si>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</si>
  <si>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</si>
  <si>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</si>
  <si>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</si>
  <si>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</si>
  <si>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</si>
  <si>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</si>
  <si>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</si>
  <si>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</si>
  <si>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</si>
  <si>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</si>
  <si>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</si>
  <si>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</si>
  <si>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</si>
  <si>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</si>
  <si>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</si>
  <si>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</si>
  <si>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</si>
  <si>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</si>
  <si>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</si>
  <si>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</si>
  <si>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</si>
  <si>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</si>
  <si>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</si>
  <si>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</si>
  <si>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</si>
  <si>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</si>
  <si>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</si>
  <si>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</si>
  <si>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</si>
  <si>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</si>
  <si>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</si>
  <si>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</si>
  <si>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</si>
  <si>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</si>
  <si>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</si>
  <si>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</si>
  <si>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</si>
  <si>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</si>
  <si>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</si>
  <si>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</si>
  <si>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</si>
  <si>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</si>
  <si>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</si>
  <si>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</si>
  <si>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</si>
  <si>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</si>
  <si>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</si>
  <si>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</si>
  <si>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</si>
  <si>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</si>
  <si>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</si>
  <si>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</si>
  <si>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</si>
  <si>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</si>
  <si>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</si>
  <si>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</si>
  <si>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</si>
  <si>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</si>
  <si>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</si>
  <si>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</si>
  <si>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</si>
  <si>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</si>
  <si>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</si>
  <si>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</si>
  <si>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</si>
  <si>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</si>
  <si>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</si>
  <si>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</si>
  <si>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</si>
  <si>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</si>
  <si>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</si>
  <si>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</si>
  <si>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</si>
  <si>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</si>
  <si>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</si>
  <si>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</si>
  <si>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</si>
  <si>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</si>
  <si>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</si>
  <si>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</si>
  <si>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</si>
  <si>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</si>
  <si>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</si>
  <si>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</si>
  <si>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</si>
  <si>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</si>
  <si>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</si>
  <si>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</si>
  <si>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</si>
  <si>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</si>
  <si>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</si>
  <si>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</si>
  <si>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</si>
  <si>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</si>
  <si>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</si>
  <si>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</si>
  <si>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</si>
  <si>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</si>
  <si>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</si>
  <si>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</si>
  <si>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</si>
  <si>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</si>
  <si>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</si>
  <si>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</si>
  <si>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</si>
  <si>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</si>
  <si>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</si>
  <si>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</si>
  <si>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</si>
  <si>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</si>
  <si>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</si>
  <si>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</si>
  <si>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</si>
  <si>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</si>
  <si>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</si>
  <si>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</si>
  <si>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</si>
  <si>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</si>
  <si>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</si>
  <si>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</si>
  <si>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</si>
  <si>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</si>
  <si>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</si>
  <si>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</si>
  <si>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</si>
  <si>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</si>
  <si>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</si>
  <si>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</si>
  <si>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</si>
  <si>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</si>
  <si>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</si>
  <si>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</si>
  <si>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</si>
  <si>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</si>
  <si>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</si>
  <si>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</si>
  <si>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</si>
  <si>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</si>
  <si>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</si>
  <si>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</si>
  <si>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</si>
  <si>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</si>
  <si>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</si>
  <si>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</si>
  <si>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</si>
  <si>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</si>
  <si>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</si>
  <si>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</si>
  <si>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</si>
  <si>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</si>
  <si>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</si>
  <si>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</si>
  <si>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</si>
  <si>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</si>
  <si>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</si>
  <si>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</si>
  <si>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</si>
  <si>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</si>
  <si>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</si>
  <si>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</si>
  <si>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</si>
  <si>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</si>
  <si>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</si>
  <si>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</si>
  <si>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</si>
  <si>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</si>
  <si>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</si>
  <si>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</si>
  <si>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</si>
  <si>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</si>
  <si>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</si>
  <si>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</si>
  <si>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</si>
  <si>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</si>
  <si>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</si>
  <si>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</si>
  <si>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</si>
  <si>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</si>
  <si>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</si>
  <si>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</si>
  <si>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</si>
  <si>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</si>
  <si>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</si>
  <si>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</si>
  <si>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</si>
  <si>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</si>
  <si>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</si>
  <si>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</si>
  <si>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</si>
  <si>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</si>
  <si>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</si>
  <si>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</si>
  <si>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</si>
  <si>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</si>
  <si>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</si>
  <si>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</si>
  <si>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</si>
  <si>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</si>
  <si>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</si>
  <si>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</si>
  <si>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</si>
  <si>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</si>
  <si>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</si>
  <si>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</si>
  <si>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</si>
  <si>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</si>
  <si>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</si>
  <si>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</si>
  <si>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</si>
  <si>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</si>
  <si>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</si>
  <si>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</si>
  <si>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</si>
  <si>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</si>
  <si>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</si>
  <si>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</si>
  <si>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</si>
  <si>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</si>
  <si>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</si>
  <si>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</si>
  <si>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</si>
  <si>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</si>
  <si>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</si>
  <si>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t>ЧНП-4</t>
  </si>
  <si>
    <t>ЧНП-5</t>
  </si>
  <si>
    <t>ЧНП-2</t>
  </si>
  <si>
    <t>ЧНП-8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</si>
  <si>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</si>
  <si>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</si>
  <si>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</si>
  <si>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</si>
  <si>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</si>
  <si>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</si>
  <si>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</si>
  <si>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</si>
  <si>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</si>
  <si>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</si>
  <si>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</si>
  <si>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</si>
  <si>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</si>
  <si>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</si>
  <si>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</si>
  <si>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</si>
  <si>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</si>
  <si>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</si>
  <si>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</si>
  <si>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</si>
  <si>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</si>
  <si>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</si>
  <si>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</si>
  <si>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</si>
  <si>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</si>
  <si>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</si>
  <si>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</si>
  <si>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</si>
  <si>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</si>
  <si>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</si>
  <si>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</si>
  <si>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</si>
  <si>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</si>
  <si>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</si>
  <si>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</si>
  <si>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</si>
  <si>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</si>
  <si>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</si>
  <si>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</si>
  <si>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</si>
  <si>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</si>
  <si>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</si>
  <si>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</si>
  <si>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</si>
  <si>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</si>
  <si>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обеспыливание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</si>
  <si>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</si>
  <si>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</si>
  <si>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</si>
  <si>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</si>
  <si>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</si>
  <si>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</si>
  <si>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</si>
  <si>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</si>
  <si>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</si>
  <si>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</si>
  <si>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</si>
  <si>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</si>
  <si>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</si>
  <si>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</si>
  <si>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</si>
  <si>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</si>
  <si>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</si>
  <si>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</si>
  <si>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и стен из кирпича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</si>
  <si>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</t>
    </r>
  </si>
  <si>
    <r>
      <rPr>
        <sz val="10"/>
        <color theme="1"/>
        <rFont val="ГОСТ тип А"/>
        <family val="2"/>
        <charset val="204"/>
      </rPr>
      <t>Отделка стен из железобетона</t>
    </r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</si>
  <si>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</si>
  <si>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Газобетона, Кирпича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</si>
  <si>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Газобетона, Кирпича.
Мокрые помещения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</si>
  <si>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</si>
  <si>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</si>
  <si>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</si>
  <si>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</si>
  <si>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</si>
  <si>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</si>
  <si>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</si>
  <si>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и стен из кирпича</t>
    </r>
  </si>
  <si>
    <r>
      <rPr>
        <sz val="10"/>
        <rFont val="ГОСТ тип А"/>
        <family val="2"/>
        <charset val="204"/>
      </rPr>
      <t>Отделка перегородок и стен из газобетона</t>
    </r>
  </si>
  <si>
    <r>
      <rPr>
        <sz val="10"/>
        <rFont val="ГОСТ тип А"/>
        <family val="2"/>
        <charset val="204"/>
      </rPr>
      <t>Отделка стен из железобетона</t>
    </r>
  </si>
  <si>
    <r>
      <rPr>
        <sz val="10"/>
        <rFont val="ГОСТ тип А"/>
        <family val="2"/>
        <charset val="204"/>
      </rPr>
      <t>Отделка перегородок и стен из Газобетона, Кирпича</t>
    </r>
  </si>
  <si>
    <r>
      <rPr>
        <sz val="10"/>
        <rFont val="ГОСТ тип А"/>
        <family val="2"/>
        <charset val="204"/>
      </rPr>
      <t>Отделка перегородок ПГП</t>
    </r>
  </si>
  <si>
    <r>
      <rPr>
        <sz val="10"/>
        <rFont val="ГОСТ тип А"/>
        <family val="2"/>
        <charset val="204"/>
      </rPr>
      <t>Отделка перегородок и стен из кирпича. Выше уровня плитки</t>
    </r>
  </si>
  <si>
    <r>
      <rPr>
        <sz val="10"/>
        <rFont val="ГОСТ тип А"/>
        <family val="2"/>
        <charset val="204"/>
      </rPr>
      <t>Отделка перегородок и стен из Газобетона, Кирпича.
Мокрые помещения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</si>
</sst>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00"/>
    <numFmt numFmtId="166" formatCode="0.0"/>
  </numFmts>
  <fonts count="39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24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6" fillId="0" borderId="35" xfId="1" applyFont="1" applyFill="1" applyBorder="1" applyAlignment="1">
      <alignment horizontal="left" vertical="top"/>
    </xf>
    <xf numFmtId="0" fontId="6" fillId="0" borderId="36" xfId="1" applyFont="1" applyFill="1" applyBorder="1" applyAlignment="1">
      <alignment horizontal="left" vertical="top"/>
    </xf>
    <xf numFmtId="3" fontId="25" fillId="0" borderId="36" xfId="1" applyNumberFormat="1" applyFont="1" applyFill="1" applyBorder="1" applyAlignment="1">
      <alignment horizontal="left" vertical="top" shrinkToFit="1"/>
    </xf>
    <xf numFmtId="0" fontId="23" fillId="0" borderId="36" xfId="1" applyFont="1" applyFill="1" applyBorder="1" applyAlignment="1">
      <alignment horizontal="left" vertical="top" wrapText="1"/>
    </xf>
    <xf numFmtId="166" fontId="25" fillId="0" borderId="36" xfId="1" applyNumberFormat="1" applyFont="1" applyFill="1" applyBorder="1" applyAlignment="1">
      <alignment horizontal="left" vertical="top" shrinkToFit="1"/>
    </xf>
    <xf numFmtId="0" fontId="6" fillId="0" borderId="37" xfId="1" applyFont="1" applyFill="1" applyBorder="1" applyAlignment="1">
      <alignment horizontal="left" vertical="top" wrapText="1"/>
    </xf>
    <xf numFmtId="0" fontId="6" fillId="0" borderId="9" xfId="1" applyFont="1" applyFill="1" applyBorder="1" applyAlignment="1">
      <alignment horizontal="left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37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 wrapText="1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35" xfId="1" applyNumberFormat="1" applyFont="1" applyBorder="1" applyAlignment="1">
      <alignment horizontal="center" vertical="center"/>
    </xf>
    <xf numFmtId="0" fontId="34" fillId="0" borderId="36" xfId="1" applyNumberFormat="1" applyFont="1" applyBorder="1" applyAlignment="1">
      <alignment horizontal="center" vertical="center"/>
    </xf>
    <xf numFmtId="3" fontId="35" fillId="0" borderId="36" xfId="1" applyNumberFormat="1" applyFont="1" applyBorder="1" applyAlignment="1">
      <alignment horizontal="center" vertical="center" shrinkToFit="1"/>
    </xf>
    <xf numFmtId="0" fontId="31" fillId="0" borderId="36" xfId="1" applyNumberFormat="1" applyFont="1" applyBorder="1" applyAlignment="1">
      <alignment horizontal="center" vertical="center" wrapText="1"/>
    </xf>
    <xf numFmtId="166" fontId="35" fillId="0" borderId="36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5:S282" totalsRowShown="0" headerRowDxfId="134" dataDxfId="133" tableBorderDxfId="132">
  <autoFilter ref="A5:S282">
    <filterColumn colId="1">
      <customFilters>
        <customFilter operator="notEqual" val=" "/>
      </customFilters>
    </filterColumn>
  </autoFilter>
  <tableColumns count="19">
    <tableColumn id="1" name="Номер п/п" dataDxfId="131"/>
    <tableColumn id="2" name="Код узла ИСР" dataDxfId="130"/>
    <tableColumn id="3" name="Наименование затрат" dataDxfId="129"/>
    <tableColumn id="4" name="Комментарий по ИСР" dataDxfId="128"/>
    <tableColumn id="5" name="Комментарий подрядчика" dataDxfId="127"/>
    <tableColumn id="6" name="Ед. изм." dataDxfId="126"/>
    <tableColumn id="7" name="Коэф.расхода" dataDxfId="125"/>
    <tableColumn id="8" name="Общее кол-во" dataDxfId="124"/>
    <tableColumn id="19" name="Сумма" dataDxfId="123"/>
    <tableColumn id="9" name="1.1-Ст" dataDxfId="122"/>
    <tableColumn id="10" name="1.2-Ст" dataDxfId="121"/>
    <tableColumn id="11" name="1.3-Ст" dataDxfId="120"/>
    <tableColumn id="12" name="1.4-Ст" dataDxfId="119"/>
    <tableColumn id="13" name="1.5-Ст" dataDxfId="118"/>
    <tableColumn id="14" name="2.1-Ст2" dataDxfId="117"/>
    <tableColumn id="15" name="2.2-Ст" dataDxfId="116"/>
    <tableColumn id="16" name="2.3-Ст" dataDxfId="115"/>
    <tableColumn id="17" name="2.4-Ст" dataDxfId="114"/>
    <tableColumn id="18" name="2.5-Ст" dataDxfId="113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2:H25" totalsRowShown="0" headerRowDxfId="112" dataDxfId="110" headerRowBorderDxfId="111" tableBorderDxfId="109">
  <autoFilter ref="A2:H25"/>
  <sortState ref="A3:H25">
    <sortCondition ref="B2:B25"/>
  </sortState>
  <tableColumns count="8">
    <tableColumn id="1" name="Номер п/п" dataDxfId="108"/>
    <tableColumn id="3" name="Секция" dataDxfId="107"/>
    <tableColumn id="2" name="Этаж" dataDxfId="106"/>
    <tableColumn id="4" name="Тип" dataDxfId="105"/>
    <tableColumn id="5" name="шт." dataDxfId="104"/>
    <tableColumn id="6" name="кг/1шт" dataDxfId="103"/>
    <tableColumn id="7" name="Ед. изм." dataDxfId="102"/>
    <tableColumn id="8" name="Общее кол-во" dataDxfId="101">
      <calculatedColumnFormula>E3*F3/1000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G918" totalsRowShown="0" headerRowDxfId="100" dataDxfId="98" headerRowBorderDxfId="99" tableBorderDxfId="97" totalsRowBorderDxfId="96">
  <autoFilter ref="A1:G918">
    <filterColumn colId="3">
      <filters>
        <filter val="ЧН-1"/>
        <filter val="ЧН-10"/>
        <filter val="ЧН-11"/>
        <filter val="ЧН-12"/>
        <filter val="ЧН-13"/>
        <filter val="ЧН-14"/>
        <filter val="ЧН-15"/>
        <filter val="ЧН-16"/>
        <filter val="ЧН-20"/>
        <filter val="ЧН-21"/>
        <filter val="ЧН-23"/>
        <filter val="ЧН-4"/>
        <filter val="ЧН-5"/>
        <filter val="ЧН-6"/>
        <filter val="ЧН-7"/>
        <filter val="ЧН-8"/>
      </filters>
    </filterColumn>
  </autoFilter>
  <tableColumns count="7">
    <tableColumn id="1" name="Этаж" dataDxfId="95" dataCellStyle="Обычный 2"/>
    <tableColumn id="2" name="Секция" dataDxfId="94" dataCellStyle="Обычный 2"/>
    <tableColumn id="3" name="№ помеще_x000a_ния" dataDxfId="93" dataCellStyle="Обычный 2"/>
    <tableColumn id="4" name="Марка" dataDxfId="92" dataCellStyle="Обычный 2"/>
    <tableColumn id="5" name="Площадь" dataDxfId="91" dataCellStyle="Обычный 2"/>
    <tableColumn id="6" name="Примечание" dataDxfId="90" dataCellStyle="Обычный 2"/>
    <tableColumn id="7" name="Состав  отделки" dataDxfId="89" dataCellStyle="Обычный 2"/>
  </tableColumns>
  <tableStyleInfo name="TableStyleLight4" showFirstColumn="0" showLastColumn="0" showRowStripes="1" showColumnStripes="0"/>
</table>
</file>

<file path=xl/tables/table4.xml><?xml version="1.0" encoding="utf-8"?>
<table xmlns="http://schemas.openxmlformats.org/spreadsheetml/2006/main" id="11" name="Таблица11" displayName="Таблица11" ref="A2:I19" totalsRowShown="0" headerRowDxfId="88" dataDxfId="87" tableBorderDxfId="86">
  <autoFilter ref="A2:I19"/>
  <tableColumns count="9">
    <tableColumn id="1" name="Секция" dataDxfId="85"/>
    <tableColumn id="2" name="1" dataDxfId="84">
      <calculatedColumnFormula>SUMIF(Таблица4[Марка],A3,Таблица4[Площадь])</calculatedColumnFormula>
    </tableColumn>
    <tableColumn id="3" name="3" dataDxfId="83">
      <calculatedColumnFormula>SUMIF(Таблица46[Марка],A3,Таблица46[Площадь])</calculatedColumnFormula>
    </tableColumn>
    <tableColumn id="4" name="12" dataDxfId="82">
      <calculatedColumnFormula>SUMIF(Таблица467[Марка],A3,Таблица467[Площадь])</calculatedColumnFormula>
    </tableColumn>
    <tableColumn id="5" name="33" dataDxfId="81">
      <calculatedColumnFormula>SUMIF(Таблица4678[Марка],A3,Таблица4678[Площадь])</calculatedColumnFormula>
    </tableColumn>
    <tableColumn id="6" name="14" dataDxfId="80">
      <calculatedColumnFormula>SUMIF(Таблица46789[Марка],A3,Таблица46789[Площадь])</calculatedColumnFormula>
    </tableColumn>
    <tableColumn id="7" name="35" dataDxfId="79">
      <calculatedColumnFormula>SUMIF(Таблица4678910[Марка],A3,Таблица4678910[Площадь])</calculatedColumnFormula>
    </tableColumn>
    <tableColumn id="8" name="36" dataDxfId="78">
      <calculatedColumnFormula>SUMIF(Таблица467891011[Марка],A3,Таблица467891011[Площадь])</calculatedColumnFormula>
    </tableColumn>
    <tableColumn id="9" name="Итог:" dataDxfId="77">
      <calculatedColumnFormula>SUM(B3:H3)</calculatedColumnFormula>
    </tableColumn>
  </tableColumns>
  <tableStyleInfo name="TableStyleLight6" showFirstColumn="0" showLastColumn="0" showRowStripes="1" showColumnStripes="0"/>
</table>
</file>

<file path=xl/tables/table5.xml><?xml version="1.0" encoding="utf-8"?>
<table xmlns="http://schemas.openxmlformats.org/spreadsheetml/2006/main" id="4" name="Таблица4" displayName="Таблица4" ref="A1:F46" totalsRowShown="0" headerRowDxfId="76" dataDxfId="74" headerRowBorderDxfId="75" tableBorderDxfId="73" totalsRowBorderDxfId="72">
  <autoFilter ref="A1:F46"/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467" displayName="Таблица467" ref="A1:F39" totalsRowShown="0" headerRowDxfId="54" dataDxfId="52" headerRowBorderDxfId="53" tableBorderDxfId="51" totalsRowBorderDxfId="50">
  <autoFilter ref="A1:F39"/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4678" displayName="Таблица4678" ref="A1:F38" totalsRowShown="0" headerRowDxfId="43" dataDxfId="41" headerRowBorderDxfId="42" tableBorderDxfId="40" totalsRowBorderDxfId="39">
  <autoFilter ref="A1:F38"/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8" name="Таблица46789" displayName="Таблица46789" ref="A1:F10" totalsRowShown="0" headerRowDxfId="32" dataDxfId="30" headerRowBorderDxfId="31" tableBorderDxfId="29" totalsRowBorderDxfId="28">
  <autoFilter ref="A1:F10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4678910" displayName="Таблица4678910" ref="A1:F29" totalsRowShown="0" headerRowDxfId="21" dataDxfId="19" headerRowBorderDxfId="20" tableBorderDxfId="18" totalsRowBorderDxfId="17">
  <autoFilter ref="A1:F29"/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0" name="Таблица467891011" displayName="Таблица467891011" ref="A1:F52" totalsRowShown="0" headerRowDxfId="10" dataDxfId="8" headerRowBorderDxfId="9" tableBorderDxfId="7" totalsRowBorderDxfId="6">
  <autoFilter ref="A1:F52"/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tabSelected="1" topLeftCell="B1" zoomScale="70" zoomScaleNormal="70" workbookViewId="0">
      <selection activeCell="I8" sqref="I8"/>
    </sheetView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6.554687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234" t="s">
        <v>6</v>
      </c>
      <c r="B2" s="234"/>
      <c r="C2" s="234"/>
      <c r="D2" s="234"/>
      <c r="E2" s="234"/>
      <c r="F2" s="234"/>
      <c r="G2" s="234"/>
      <c r="H2" s="234"/>
      <c r="I2" s="47"/>
    </row>
    <row r="3" spans="1:19" ht="15" customHeight="1" x14ac:dyDescent="0.3">
      <c r="A3" s="235" t="s">
        <v>7</v>
      </c>
      <c r="B3" s="235"/>
      <c r="C3" s="235"/>
      <c r="D3" s="235"/>
      <c r="E3" s="235"/>
      <c r="F3" s="235"/>
      <c r="G3" s="235"/>
      <c r="H3" s="235"/>
      <c r="I3" s="48"/>
    </row>
    <row r="4" spans="1:19" ht="15" customHeight="1" thickBot="1" x14ac:dyDescent="0.35">
      <c r="A4" s="236" t="s">
        <v>8</v>
      </c>
      <c r="B4" s="236"/>
      <c r="C4" s="236"/>
      <c r="D4" s="236"/>
      <c r="E4" s="236"/>
      <c r="F4" s="236"/>
      <c r="G4" s="236"/>
      <c r="H4" s="236"/>
      <c r="I4" s="49"/>
    </row>
    <row r="5" spans="1:19" ht="18.600000000000001" customHeight="1" x14ac:dyDescent="0.3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735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65"/>
      <c r="I6" s="72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68">
        <v>189.3</v>
      </c>
      <c r="I7" s="73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65"/>
      <c r="I8" s="73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65"/>
      <c r="I9" s="73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68">
        <v>9.2200000000000006</v>
      </c>
      <c r="I10" s="73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.6" hidden="1" thickBot="1" x14ac:dyDescent="0.35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.6" hidden="1" thickBot="1" x14ac:dyDescent="0.35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ht="21.6" hidden="1" thickBot="1" x14ac:dyDescent="0.35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hidden="1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65"/>
      <c r="I15" s="73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68">
        <v>627.20000000000005</v>
      </c>
      <c r="I16" s="73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ht="21.6" hidden="1" thickBot="1" x14ac:dyDescent="0.35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.6" hidden="1" thickBot="1" x14ac:dyDescent="0.35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.6" hidden="1" thickBot="1" x14ac:dyDescent="0.35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ht="21.6" hidden="1" thickBot="1" x14ac:dyDescent="0.35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hidden="1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65"/>
      <c r="I22" s="73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65"/>
      <c r="I23" s="73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65"/>
      <c r="I24" s="73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68">
        <v>261.11</v>
      </c>
      <c r="I25" s="73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.6" hidden="1" thickBot="1" x14ac:dyDescent="0.35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.6" hidden="1" thickBot="1" x14ac:dyDescent="0.35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ht="21.6" hidden="1" thickBot="1" x14ac:dyDescent="0.35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hidden="1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68">
        <v>5</v>
      </c>
      <c r="I30" s="73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ht="21.6" hidden="1" thickBot="1" x14ac:dyDescent="0.35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hidden="1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65"/>
      <c r="I33" s="73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65"/>
      <c r="I34" s="73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68">
        <v>1964.75</v>
      </c>
      <c r="I35" s="73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ht="21.6" hidden="1" thickBot="1" x14ac:dyDescent="0.35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.6" hidden="1" thickBot="1" x14ac:dyDescent="0.35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.6" hidden="1" thickBot="1" x14ac:dyDescent="0.35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ht="21.6" hidden="1" thickBot="1" x14ac:dyDescent="0.35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hidden="1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65"/>
      <c r="I41" s="72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68">
        <v>1519</v>
      </c>
      <c r="I42" s="73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.6" hidden="1" thickBot="1" x14ac:dyDescent="0.35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.6" hidden="1" thickBot="1" x14ac:dyDescent="0.35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.6" hidden="1" thickBot="1" x14ac:dyDescent="0.35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hidden="1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.6" hidden="1" thickBot="1" x14ac:dyDescent="0.35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ht="21.6" hidden="1" thickBot="1" x14ac:dyDescent="0.35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ht="21.6" hidden="1" thickBot="1" x14ac:dyDescent="0.35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ht="21.6" hidden="1" thickBot="1" x14ac:dyDescent="0.35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hidden="1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.6" hidden="1" thickBot="1" x14ac:dyDescent="0.35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ht="21.6" hidden="1" thickBot="1" x14ac:dyDescent="0.35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ht="21.6" hidden="1" thickBot="1" x14ac:dyDescent="0.35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hidden="1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21.6" hidden="1" thickBot="1" x14ac:dyDescent="0.35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ht="21.6" hidden="1" thickBot="1" x14ac:dyDescent="0.35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ht="21.6" hidden="1" thickBot="1" x14ac:dyDescent="0.35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hidden="1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.6" hidden="1" thickBot="1" x14ac:dyDescent="0.35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hidden="1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ht="21.6" hidden="1" thickBot="1" x14ac:dyDescent="0.35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hidden="1" customHeight="1" x14ac:dyDescent="0.35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hidden="1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'2.5-Пер'!H29</f>
        <v>0.33792519999999993</v>
      </c>
    </row>
    <row r="73" spans="1:19" ht="36.6" hidden="1" thickBot="1" x14ac:dyDescent="0.35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ht="21.6" hidden="1" thickBot="1" x14ac:dyDescent="0.35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hidden="1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ht="21.6" hidden="1" thickBot="1" x14ac:dyDescent="0.35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ht="21.6" hidden="1" thickBot="1" x14ac:dyDescent="0.35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hidden="1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.6" hidden="1" thickBot="1" x14ac:dyDescent="0.35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hidden="1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hidden="1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hidden="1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hidden="1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54.6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hidden="1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hidden="1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hidden="1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117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hidden="1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hidden="1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116" t="s">
        <v>323</v>
      </c>
      <c r="D102" s="117"/>
      <c r="E102" s="117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hidden="1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hidden="1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hidden="1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hidden="1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hidden="1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hidden="1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hidden="1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hidden="1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hidden="1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hidden="1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hidden="1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hidden="1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hidden="1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hidden="1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hidden="1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hidden="1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hidden="1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hidden="1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hidden="1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hidden="1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hidden="1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hidden="1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hidden="1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hidden="1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hidden="1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hidden="1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hidden="1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hidden="1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hidden="1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116" t="s">
        <v>396</v>
      </c>
      <c r="D142" s="117"/>
      <c r="E142" s="11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hidden="1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hidden="1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hidden="1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117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hidden="1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hidden="1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hidden="1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117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hidden="1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hidden="1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hidden="1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116" t="s">
        <v>406</v>
      </c>
      <c r="D154" s="117"/>
      <c r="E154" s="11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hidden="1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hidden="1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hidden="1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hidden="1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hidden="1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hidden="1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72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hidden="1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hidden="1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hidden="1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72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hidden="1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hidden="1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hidden="1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116" t="s">
        <v>445</v>
      </c>
      <c r="D170" s="117"/>
      <c r="E170" s="117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hidden="1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hidden="1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hidden="1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117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hidden="1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hidden="1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hidden="1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116" t="s">
        <v>453</v>
      </c>
      <c r="D178" s="117"/>
      <c r="E178" s="117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hidden="1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hidden="1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hidden="1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hidden="1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hidden="1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hidden="1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hidden="1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hidden="1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hidden="1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hidden="1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hidden="1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hidden="1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hidden="1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hidden="1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hidden="1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hidden="1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hidden="1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hidden="1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hidden="1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hidden="1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hidden="1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hidden="1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hidden="1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hidden="1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hidden="1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hidden="1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hidden="1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hidden="1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hidden="1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hidden="1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hidden="1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hidden="1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hidden="1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hidden="1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hidden="1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hidden="1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hidden="1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hidden="1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hidden="1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hidden="1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hidden="1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hidden="1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hidden="1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hidden="1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hidden="1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hidden="1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hidden="1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hidden="1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hidden="1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hidden="1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hidden="1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hidden="1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hidden="1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hidden="1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hidden="1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hidden="1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hidden="1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hidden="1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hidden="1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hidden="1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hidden="1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hidden="1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hidden="1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hidden="1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hidden="1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hidden="1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hidden="1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hidden="1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hidden="1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hidden="1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hidden="1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hidden="1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hidden="1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hidden="1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hidden="1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37" t="s">
        <v>232</v>
      </c>
      <c r="B1" s="237"/>
      <c r="C1" s="237"/>
      <c r="D1" s="23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38" t="s">
        <v>233</v>
      </c>
      <c r="B1" s="238"/>
      <c r="C1" s="238"/>
      <c r="D1" s="238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zoomScale="80" zoomScaleNormal="80"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37" t="s">
        <v>232</v>
      </c>
      <c r="B1" s="237"/>
      <c r="C1" s="237"/>
      <c r="D1" s="237"/>
    </row>
    <row r="2" spans="1:4" ht="42" customHeight="1" x14ac:dyDescent="0.35">
      <c r="A2" s="239" t="s">
        <v>301</v>
      </c>
      <c r="B2" s="239"/>
      <c r="C2" s="239"/>
      <c r="D2" s="239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240" t="s">
        <v>302</v>
      </c>
      <c r="B9" s="241"/>
      <c r="C9" s="241"/>
      <c r="D9" s="242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38" t="s">
        <v>233</v>
      </c>
      <c r="B1" s="238"/>
      <c r="C1" s="238"/>
      <c r="D1" s="238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240" t="s">
        <v>302</v>
      </c>
      <c r="B8" s="241"/>
      <c r="C8" s="241"/>
      <c r="D8" s="242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13"/>
  <sheetViews>
    <sheetView workbookViewId="0">
      <selection sqref="A1:D1"/>
    </sheetView>
  </sheetViews>
  <sheetFormatPr defaultRowHeight="14.4" x14ac:dyDescent="0.3"/>
  <sheetData>
    <row r="1" spans="1:8" ht="58.8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26"/>
  <sheetViews>
    <sheetView workbookViewId="0">
      <selection sqref="A1:D1"/>
    </sheetView>
  </sheetViews>
  <sheetFormatPr defaultRowHeight="14.4" x14ac:dyDescent="0.3"/>
  <sheetData>
    <row r="1" spans="1:8" ht="58.8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D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243" t="s">
        <v>187</v>
      </c>
      <c r="B1" s="244"/>
      <c r="C1" s="244"/>
      <c r="D1" s="244"/>
      <c r="E1" s="244"/>
      <c r="F1" s="244"/>
      <c r="G1" s="244"/>
      <c r="H1" s="245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253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sqref="A1:D1"/>
    </sheetView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29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274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918"/>
  <sheetViews>
    <sheetView topLeftCell="A189" zoomScaleNormal="100" workbookViewId="0">
      <selection activeCell="F300" sqref="F300"/>
    </sheetView>
  </sheetViews>
  <sheetFormatPr defaultRowHeight="13.2" x14ac:dyDescent="0.3"/>
  <cols>
    <col min="1" max="1" width="8.88671875" style="169"/>
    <col min="2" max="2" width="8.77734375" style="169" customWidth="1"/>
    <col min="3" max="3" width="10.33203125" style="169" customWidth="1"/>
    <col min="4" max="4" width="10.5546875" style="169" customWidth="1"/>
    <col min="5" max="5" width="11.6640625" style="169" customWidth="1"/>
    <col min="6" max="6" width="47.5546875" style="169" customWidth="1"/>
    <col min="7" max="7" width="60.21875" style="150" hidden="1" customWidth="1"/>
    <col min="8" max="16384" width="8.88671875" style="136"/>
  </cols>
  <sheetData>
    <row r="1" spans="1:7" ht="26.4" x14ac:dyDescent="0.3">
      <c r="A1" s="157" t="s">
        <v>252</v>
      </c>
      <c r="B1" s="158" t="s">
        <v>251</v>
      </c>
      <c r="C1" s="159" t="s">
        <v>724</v>
      </c>
      <c r="D1" s="160" t="s">
        <v>634</v>
      </c>
      <c r="E1" s="161" t="s">
        <v>635</v>
      </c>
      <c r="F1" s="162" t="s">
        <v>636</v>
      </c>
      <c r="G1" s="151" t="s">
        <v>687</v>
      </c>
    </row>
    <row r="2" spans="1:7" x14ac:dyDescent="0.3">
      <c r="A2" s="163">
        <v>1</v>
      </c>
      <c r="B2" s="164">
        <v>1</v>
      </c>
      <c r="C2" s="165">
        <v>1001</v>
      </c>
      <c r="D2" s="166" t="s">
        <v>637</v>
      </c>
      <c r="E2" s="167">
        <v>12.6</v>
      </c>
      <c r="F2" s="168" t="s">
        <v>725</v>
      </c>
      <c r="G2" s="152" t="s">
        <v>688</v>
      </c>
    </row>
    <row r="3" spans="1:7" x14ac:dyDescent="0.3">
      <c r="A3" s="163">
        <v>1</v>
      </c>
      <c r="B3" s="164">
        <v>1</v>
      </c>
      <c r="C3" s="165">
        <v>1001</v>
      </c>
      <c r="D3" s="166" t="s">
        <v>638</v>
      </c>
      <c r="E3" s="167">
        <v>55.1</v>
      </c>
      <c r="F3" s="168" t="s">
        <v>726</v>
      </c>
      <c r="G3" s="152" t="s">
        <v>689</v>
      </c>
    </row>
    <row r="4" spans="1:7" x14ac:dyDescent="0.3">
      <c r="A4" s="163">
        <v>1</v>
      </c>
      <c r="B4" s="164">
        <v>1</v>
      </c>
      <c r="C4" s="165">
        <v>1001</v>
      </c>
      <c r="D4" s="166" t="s">
        <v>639</v>
      </c>
      <c r="E4" s="167">
        <v>5.7</v>
      </c>
      <c r="F4" s="168" t="s">
        <v>727</v>
      </c>
      <c r="G4" s="152" t="s">
        <v>690</v>
      </c>
    </row>
    <row r="5" spans="1:7" x14ac:dyDescent="0.3">
      <c r="A5" s="163">
        <v>1</v>
      </c>
      <c r="B5" s="164">
        <v>1</v>
      </c>
      <c r="C5" s="165">
        <v>1001</v>
      </c>
      <c r="D5" s="166" t="s">
        <v>640</v>
      </c>
      <c r="E5" s="167">
        <v>40.4</v>
      </c>
      <c r="F5" s="168" t="s">
        <v>728</v>
      </c>
      <c r="G5" s="152" t="s">
        <v>691</v>
      </c>
    </row>
    <row r="6" spans="1:7" x14ac:dyDescent="0.3">
      <c r="A6" s="163">
        <v>1</v>
      </c>
      <c r="B6" s="164">
        <v>1</v>
      </c>
      <c r="C6" s="165">
        <v>1001</v>
      </c>
      <c r="D6" s="166" t="s">
        <v>641</v>
      </c>
      <c r="E6" s="167">
        <v>15</v>
      </c>
      <c r="F6" s="168" t="s">
        <v>729</v>
      </c>
      <c r="G6" s="152" t="s">
        <v>692</v>
      </c>
    </row>
    <row r="7" spans="1:7" x14ac:dyDescent="0.3">
      <c r="A7" s="163">
        <v>1</v>
      </c>
      <c r="B7" s="164">
        <v>1</v>
      </c>
      <c r="C7" s="165">
        <v>1002</v>
      </c>
      <c r="D7" s="166" t="s">
        <v>637</v>
      </c>
      <c r="E7" s="167">
        <v>6.2</v>
      </c>
      <c r="F7" s="168" t="s">
        <v>725</v>
      </c>
      <c r="G7" s="152" t="s">
        <v>688</v>
      </c>
    </row>
    <row r="8" spans="1:7" x14ac:dyDescent="0.3">
      <c r="A8" s="163">
        <v>1</v>
      </c>
      <c r="B8" s="164">
        <v>1</v>
      </c>
      <c r="C8" s="165">
        <v>1002</v>
      </c>
      <c r="D8" s="166" t="s">
        <v>638</v>
      </c>
      <c r="E8" s="167">
        <v>81.3</v>
      </c>
      <c r="F8" s="168" t="s">
        <v>726</v>
      </c>
      <c r="G8" s="152" t="s">
        <v>689</v>
      </c>
    </row>
    <row r="9" spans="1:7" x14ac:dyDescent="0.3">
      <c r="A9" s="163">
        <v>1</v>
      </c>
      <c r="B9" s="164">
        <v>1</v>
      </c>
      <c r="C9" s="165">
        <v>1002</v>
      </c>
      <c r="D9" s="166" t="s">
        <v>639</v>
      </c>
      <c r="E9" s="167">
        <v>2.9</v>
      </c>
      <c r="F9" s="168" t="s">
        <v>727</v>
      </c>
      <c r="G9" s="152" t="s">
        <v>690</v>
      </c>
    </row>
    <row r="10" spans="1:7" x14ac:dyDescent="0.3">
      <c r="A10" s="163">
        <v>1</v>
      </c>
      <c r="B10" s="164">
        <v>1</v>
      </c>
      <c r="C10" s="165">
        <v>1002</v>
      </c>
      <c r="D10" s="166" t="s">
        <v>640</v>
      </c>
      <c r="E10" s="167">
        <v>10</v>
      </c>
      <c r="F10" s="168" t="s">
        <v>728</v>
      </c>
      <c r="G10" s="152" t="s">
        <v>691</v>
      </c>
    </row>
    <row r="11" spans="1:7" x14ac:dyDescent="0.3">
      <c r="A11" s="163">
        <v>1</v>
      </c>
      <c r="B11" s="164">
        <v>1</v>
      </c>
      <c r="C11" s="165">
        <v>1002</v>
      </c>
      <c r="D11" s="166" t="s">
        <v>641</v>
      </c>
      <c r="E11" s="167">
        <v>3.8</v>
      </c>
      <c r="F11" s="168" t="s">
        <v>729</v>
      </c>
      <c r="G11" s="152" t="s">
        <v>692</v>
      </c>
    </row>
    <row r="12" spans="1:7" x14ac:dyDescent="0.3">
      <c r="A12" s="163">
        <v>1</v>
      </c>
      <c r="B12" s="164">
        <v>1</v>
      </c>
      <c r="C12" s="165">
        <v>1003</v>
      </c>
      <c r="D12" s="166" t="s">
        <v>637</v>
      </c>
      <c r="E12" s="167">
        <v>7.8</v>
      </c>
      <c r="F12" s="168" t="s">
        <v>725</v>
      </c>
      <c r="G12" s="152" t="s">
        <v>688</v>
      </c>
    </row>
    <row r="13" spans="1:7" x14ac:dyDescent="0.3">
      <c r="A13" s="163">
        <v>1</v>
      </c>
      <c r="B13" s="164">
        <v>1</v>
      </c>
      <c r="C13" s="165">
        <v>1003</v>
      </c>
      <c r="D13" s="166" t="s">
        <v>638</v>
      </c>
      <c r="E13" s="167">
        <v>59.9</v>
      </c>
      <c r="F13" s="168" t="s">
        <v>726</v>
      </c>
      <c r="G13" s="152" t="s">
        <v>689</v>
      </c>
    </row>
    <row r="14" spans="1:7" x14ac:dyDescent="0.3">
      <c r="A14" s="163">
        <v>1</v>
      </c>
      <c r="B14" s="164">
        <v>1</v>
      </c>
      <c r="C14" s="165">
        <v>1003</v>
      </c>
      <c r="D14" s="166" t="s">
        <v>639</v>
      </c>
      <c r="E14" s="167">
        <v>5</v>
      </c>
      <c r="F14" s="168" t="s">
        <v>727</v>
      </c>
      <c r="G14" s="152" t="s">
        <v>690</v>
      </c>
    </row>
    <row r="15" spans="1:7" x14ac:dyDescent="0.3">
      <c r="A15" s="163">
        <v>1</v>
      </c>
      <c r="B15" s="164">
        <v>1</v>
      </c>
      <c r="C15" s="165">
        <v>1003</v>
      </c>
      <c r="D15" s="166" t="s">
        <v>640</v>
      </c>
      <c r="E15" s="167">
        <v>31.7</v>
      </c>
      <c r="F15" s="168" t="s">
        <v>728</v>
      </c>
      <c r="G15" s="152" t="s">
        <v>691</v>
      </c>
    </row>
    <row r="16" spans="1:7" x14ac:dyDescent="0.3">
      <c r="A16" s="163">
        <v>1</v>
      </c>
      <c r="B16" s="164">
        <v>1</v>
      </c>
      <c r="C16" s="165">
        <v>1003</v>
      </c>
      <c r="D16" s="166" t="s">
        <v>641</v>
      </c>
      <c r="E16" s="167">
        <v>3.8</v>
      </c>
      <c r="F16" s="168" t="s">
        <v>729</v>
      </c>
      <c r="G16" s="152" t="s">
        <v>692</v>
      </c>
    </row>
    <row r="17" spans="1:7" x14ac:dyDescent="0.3">
      <c r="A17" s="163">
        <v>1</v>
      </c>
      <c r="B17" s="164">
        <v>1</v>
      </c>
      <c r="C17" s="165">
        <v>1004</v>
      </c>
      <c r="D17" s="166" t="s">
        <v>637</v>
      </c>
      <c r="E17" s="167">
        <v>6.4</v>
      </c>
      <c r="F17" s="168" t="s">
        <v>725</v>
      </c>
      <c r="G17" s="152" t="s">
        <v>688</v>
      </c>
    </row>
    <row r="18" spans="1:7" x14ac:dyDescent="0.3">
      <c r="A18" s="163">
        <v>1</v>
      </c>
      <c r="B18" s="164">
        <v>1</v>
      </c>
      <c r="C18" s="165">
        <v>1004</v>
      </c>
      <c r="D18" s="166" t="s">
        <v>638</v>
      </c>
      <c r="E18" s="167">
        <v>58.3</v>
      </c>
      <c r="F18" s="168" t="s">
        <v>726</v>
      </c>
      <c r="G18" s="152" t="s">
        <v>689</v>
      </c>
    </row>
    <row r="19" spans="1:7" x14ac:dyDescent="0.3">
      <c r="A19" s="163">
        <v>1</v>
      </c>
      <c r="B19" s="164">
        <v>1</v>
      </c>
      <c r="C19" s="165">
        <v>1004</v>
      </c>
      <c r="D19" s="166" t="s">
        <v>639</v>
      </c>
      <c r="E19" s="167">
        <v>5.0999999999999996</v>
      </c>
      <c r="F19" s="168" t="s">
        <v>727</v>
      </c>
      <c r="G19" s="152" t="s">
        <v>690</v>
      </c>
    </row>
    <row r="20" spans="1:7" x14ac:dyDescent="0.3">
      <c r="A20" s="163">
        <v>1</v>
      </c>
      <c r="B20" s="164">
        <v>1</v>
      </c>
      <c r="C20" s="165">
        <v>1004</v>
      </c>
      <c r="D20" s="166" t="s">
        <v>640</v>
      </c>
      <c r="E20" s="167">
        <v>32.799999999999997</v>
      </c>
      <c r="F20" s="168" t="s">
        <v>728</v>
      </c>
      <c r="G20" s="152" t="s">
        <v>691</v>
      </c>
    </row>
    <row r="21" spans="1:7" x14ac:dyDescent="0.3">
      <c r="A21" s="163">
        <v>1</v>
      </c>
      <c r="B21" s="164">
        <v>1</v>
      </c>
      <c r="C21" s="165">
        <v>1004</v>
      </c>
      <c r="D21" s="166" t="s">
        <v>641</v>
      </c>
      <c r="E21" s="167">
        <v>3.9</v>
      </c>
      <c r="F21" s="168" t="s">
        <v>729</v>
      </c>
      <c r="G21" s="152" t="s">
        <v>692</v>
      </c>
    </row>
    <row r="22" spans="1:7" x14ac:dyDescent="0.3">
      <c r="A22" s="163">
        <v>1</v>
      </c>
      <c r="B22" s="164">
        <v>1</v>
      </c>
      <c r="C22" s="165">
        <v>1005</v>
      </c>
      <c r="D22" s="166" t="s">
        <v>637</v>
      </c>
      <c r="E22" s="167">
        <v>3.4</v>
      </c>
      <c r="F22" s="168" t="s">
        <v>725</v>
      </c>
      <c r="G22" s="152" t="s">
        <v>688</v>
      </c>
    </row>
    <row r="23" spans="1:7" x14ac:dyDescent="0.3">
      <c r="A23" s="163">
        <v>1</v>
      </c>
      <c r="B23" s="164">
        <v>1</v>
      </c>
      <c r="C23" s="165">
        <v>1005</v>
      </c>
      <c r="D23" s="166" t="s">
        <v>638</v>
      </c>
      <c r="E23" s="167">
        <v>73</v>
      </c>
      <c r="F23" s="168" t="s">
        <v>726</v>
      </c>
      <c r="G23" s="152" t="s">
        <v>689</v>
      </c>
    </row>
    <row r="24" spans="1:7" x14ac:dyDescent="0.3">
      <c r="A24" s="163">
        <v>1</v>
      </c>
      <c r="B24" s="164">
        <v>1</v>
      </c>
      <c r="C24" s="165">
        <v>1005</v>
      </c>
      <c r="D24" s="166" t="s">
        <v>639</v>
      </c>
      <c r="E24" s="167">
        <v>2.2000000000000002</v>
      </c>
      <c r="F24" s="168" t="s">
        <v>727</v>
      </c>
      <c r="G24" s="152" t="s">
        <v>690</v>
      </c>
    </row>
    <row r="25" spans="1:7" x14ac:dyDescent="0.3">
      <c r="A25" s="163">
        <v>1</v>
      </c>
      <c r="B25" s="164">
        <v>1</v>
      </c>
      <c r="C25" s="165">
        <v>1005</v>
      </c>
      <c r="D25" s="166" t="s">
        <v>640</v>
      </c>
      <c r="E25" s="167">
        <v>8.5</v>
      </c>
      <c r="F25" s="168" t="s">
        <v>728</v>
      </c>
      <c r="G25" s="152" t="s">
        <v>691</v>
      </c>
    </row>
    <row r="26" spans="1:7" x14ac:dyDescent="0.3">
      <c r="A26" s="163">
        <v>1</v>
      </c>
      <c r="B26" s="164">
        <v>1</v>
      </c>
      <c r="C26" s="165">
        <v>1005</v>
      </c>
      <c r="D26" s="166" t="s">
        <v>641</v>
      </c>
      <c r="E26" s="167">
        <v>3.6</v>
      </c>
      <c r="F26" s="168" t="s">
        <v>729</v>
      </c>
      <c r="G26" s="152" t="s">
        <v>692</v>
      </c>
    </row>
    <row r="27" spans="1:7" x14ac:dyDescent="0.3">
      <c r="A27" s="163">
        <v>1</v>
      </c>
      <c r="B27" s="164">
        <v>1</v>
      </c>
      <c r="C27" s="165">
        <v>1006</v>
      </c>
      <c r="D27" s="166" t="s">
        <v>637</v>
      </c>
      <c r="E27" s="167">
        <v>3</v>
      </c>
      <c r="F27" s="168" t="s">
        <v>725</v>
      </c>
      <c r="G27" s="152" t="s">
        <v>688</v>
      </c>
    </row>
    <row r="28" spans="1:7" x14ac:dyDescent="0.3">
      <c r="A28" s="163">
        <v>1</v>
      </c>
      <c r="B28" s="164">
        <v>1</v>
      </c>
      <c r="C28" s="165">
        <v>1006</v>
      </c>
      <c r="D28" s="166" t="s">
        <v>638</v>
      </c>
      <c r="E28" s="167">
        <v>42</v>
      </c>
      <c r="F28" s="168" t="s">
        <v>726</v>
      </c>
      <c r="G28" s="152" t="s">
        <v>689</v>
      </c>
    </row>
    <row r="29" spans="1:7" x14ac:dyDescent="0.3">
      <c r="A29" s="163">
        <v>1</v>
      </c>
      <c r="B29" s="164">
        <v>1</v>
      </c>
      <c r="C29" s="165">
        <v>1006</v>
      </c>
      <c r="D29" s="166" t="s">
        <v>639</v>
      </c>
      <c r="E29" s="167">
        <v>2.9</v>
      </c>
      <c r="F29" s="168" t="s">
        <v>727</v>
      </c>
      <c r="G29" s="152" t="s">
        <v>690</v>
      </c>
    </row>
    <row r="30" spans="1:7" x14ac:dyDescent="0.3">
      <c r="A30" s="163">
        <v>1</v>
      </c>
      <c r="B30" s="164">
        <v>1</v>
      </c>
      <c r="C30" s="165">
        <v>1006</v>
      </c>
      <c r="D30" s="166" t="s">
        <v>640</v>
      </c>
      <c r="E30" s="167">
        <v>29.8</v>
      </c>
      <c r="F30" s="168" t="s">
        <v>728</v>
      </c>
      <c r="G30" s="152" t="s">
        <v>691</v>
      </c>
    </row>
    <row r="31" spans="1:7" x14ac:dyDescent="0.3">
      <c r="A31" s="163">
        <v>1</v>
      </c>
      <c r="B31" s="164">
        <v>1</v>
      </c>
      <c r="C31" s="165">
        <v>1007</v>
      </c>
      <c r="D31" s="166" t="s">
        <v>637</v>
      </c>
      <c r="E31" s="167">
        <v>7.8</v>
      </c>
      <c r="F31" s="168" t="s">
        <v>725</v>
      </c>
      <c r="G31" s="152" t="s">
        <v>688</v>
      </c>
    </row>
    <row r="32" spans="1:7" x14ac:dyDescent="0.3">
      <c r="A32" s="163">
        <v>1</v>
      </c>
      <c r="B32" s="164">
        <v>1</v>
      </c>
      <c r="C32" s="165">
        <v>1007</v>
      </c>
      <c r="D32" s="166" t="s">
        <v>638</v>
      </c>
      <c r="E32" s="167">
        <v>74</v>
      </c>
      <c r="F32" s="168" t="s">
        <v>726</v>
      </c>
      <c r="G32" s="152" t="s">
        <v>689</v>
      </c>
    </row>
    <row r="33" spans="1:7" x14ac:dyDescent="0.3">
      <c r="A33" s="163">
        <v>1</v>
      </c>
      <c r="B33" s="164">
        <v>1</v>
      </c>
      <c r="C33" s="165">
        <v>1007</v>
      </c>
      <c r="D33" s="166" t="s">
        <v>639</v>
      </c>
      <c r="E33" s="167">
        <v>7.5</v>
      </c>
      <c r="F33" s="168" t="s">
        <v>727</v>
      </c>
      <c r="G33" s="152" t="s">
        <v>690</v>
      </c>
    </row>
    <row r="34" spans="1:7" x14ac:dyDescent="0.3">
      <c r="A34" s="163">
        <v>1</v>
      </c>
      <c r="B34" s="164">
        <v>1</v>
      </c>
      <c r="C34" s="165">
        <v>1007</v>
      </c>
      <c r="D34" s="166" t="s">
        <v>640</v>
      </c>
      <c r="E34" s="167">
        <v>56</v>
      </c>
      <c r="F34" s="168" t="s">
        <v>728</v>
      </c>
      <c r="G34" s="152" t="s">
        <v>691</v>
      </c>
    </row>
    <row r="35" spans="1:7" x14ac:dyDescent="0.3">
      <c r="A35" s="163">
        <v>1</v>
      </c>
      <c r="B35" s="164">
        <v>1</v>
      </c>
      <c r="C35" s="165">
        <v>1007</v>
      </c>
      <c r="D35" s="166" t="s">
        <v>641</v>
      </c>
      <c r="E35" s="167">
        <v>7.3</v>
      </c>
      <c r="F35" s="168" t="s">
        <v>729</v>
      </c>
      <c r="G35" s="152" t="s">
        <v>692</v>
      </c>
    </row>
    <row r="36" spans="1:7" x14ac:dyDescent="0.3">
      <c r="A36" s="163">
        <v>1</v>
      </c>
      <c r="B36" s="164">
        <v>1</v>
      </c>
      <c r="C36" s="165">
        <v>1008</v>
      </c>
      <c r="D36" s="166" t="s">
        <v>639</v>
      </c>
      <c r="E36" s="167">
        <v>2.8</v>
      </c>
      <c r="F36" s="168" t="s">
        <v>727</v>
      </c>
      <c r="G36" s="152" t="s">
        <v>690</v>
      </c>
    </row>
    <row r="37" spans="1:7" x14ac:dyDescent="0.3">
      <c r="A37" s="163">
        <v>1</v>
      </c>
      <c r="B37" s="164">
        <v>1</v>
      </c>
      <c r="C37" s="165">
        <v>1008</v>
      </c>
      <c r="D37" s="166" t="s">
        <v>642</v>
      </c>
      <c r="E37" s="167">
        <v>55.6</v>
      </c>
      <c r="F37" s="168" t="s">
        <v>728</v>
      </c>
      <c r="G37" s="152" t="s">
        <v>693</v>
      </c>
    </row>
    <row r="38" spans="1:7" x14ac:dyDescent="0.3">
      <c r="A38" s="163">
        <v>1</v>
      </c>
      <c r="B38" s="164">
        <v>1</v>
      </c>
      <c r="C38" s="165">
        <v>1008</v>
      </c>
      <c r="D38" s="166" t="s">
        <v>643</v>
      </c>
      <c r="E38" s="167">
        <v>19.899999999999999</v>
      </c>
      <c r="F38" s="168" t="s">
        <v>725</v>
      </c>
      <c r="G38" s="152" t="s">
        <v>693</v>
      </c>
    </row>
    <row r="39" spans="1:7" x14ac:dyDescent="0.3">
      <c r="A39" s="163">
        <v>1</v>
      </c>
      <c r="B39" s="164">
        <v>1</v>
      </c>
      <c r="C39" s="165">
        <v>1009</v>
      </c>
      <c r="D39" s="166" t="s">
        <v>644</v>
      </c>
      <c r="E39" s="167">
        <v>3.4</v>
      </c>
      <c r="F39" s="168" t="s">
        <v>725</v>
      </c>
      <c r="G39" s="152" t="s">
        <v>694</v>
      </c>
    </row>
    <row r="40" spans="1:7" x14ac:dyDescent="0.3">
      <c r="A40" s="163">
        <v>1</v>
      </c>
      <c r="B40" s="164">
        <v>1</v>
      </c>
      <c r="C40" s="165">
        <v>1009</v>
      </c>
      <c r="D40" s="166" t="s">
        <v>645</v>
      </c>
      <c r="E40" s="167">
        <v>2.4</v>
      </c>
      <c r="F40" s="168" t="s">
        <v>725</v>
      </c>
      <c r="G40" s="152" t="s">
        <v>695</v>
      </c>
    </row>
    <row r="41" spans="1:7" ht="26.4" x14ac:dyDescent="0.3">
      <c r="A41" s="163">
        <v>1</v>
      </c>
      <c r="B41" s="164">
        <v>1</v>
      </c>
      <c r="C41" s="165">
        <v>1009</v>
      </c>
      <c r="D41" s="166" t="s">
        <v>646</v>
      </c>
      <c r="E41" s="167">
        <v>1.3</v>
      </c>
      <c r="F41" s="168" t="s">
        <v>730</v>
      </c>
      <c r="G41" s="152" t="s">
        <v>696</v>
      </c>
    </row>
    <row r="42" spans="1:7" hidden="1" x14ac:dyDescent="0.3">
      <c r="A42" s="163">
        <v>1</v>
      </c>
      <c r="B42" s="164">
        <v>1</v>
      </c>
      <c r="C42" s="165">
        <v>1009</v>
      </c>
      <c r="D42" s="166" t="s">
        <v>647</v>
      </c>
      <c r="E42" s="167">
        <v>2.1</v>
      </c>
      <c r="F42" s="168" t="s">
        <v>732</v>
      </c>
      <c r="G42" s="152" t="s">
        <v>697</v>
      </c>
    </row>
    <row r="43" spans="1:7" x14ac:dyDescent="0.3">
      <c r="A43" s="163">
        <v>1</v>
      </c>
      <c r="B43" s="164">
        <v>1</v>
      </c>
      <c r="C43" s="165">
        <v>1009</v>
      </c>
      <c r="D43" s="166" t="s">
        <v>648</v>
      </c>
      <c r="E43" s="167">
        <v>19.600000000000001</v>
      </c>
      <c r="F43" s="168" t="s">
        <v>728</v>
      </c>
      <c r="G43" s="152" t="s">
        <v>698</v>
      </c>
    </row>
    <row r="44" spans="1:7" hidden="1" x14ac:dyDescent="0.3">
      <c r="A44" s="163">
        <v>1</v>
      </c>
      <c r="B44" s="164">
        <v>1</v>
      </c>
      <c r="C44" s="165">
        <v>1009</v>
      </c>
      <c r="D44" s="166" t="s">
        <v>649</v>
      </c>
      <c r="E44" s="167">
        <v>42.3</v>
      </c>
      <c r="F44" s="168" t="s">
        <v>729</v>
      </c>
      <c r="G44" s="152" t="s">
        <v>699</v>
      </c>
    </row>
    <row r="45" spans="1:7" x14ac:dyDescent="0.3">
      <c r="A45" s="163">
        <v>1</v>
      </c>
      <c r="B45" s="164">
        <v>1</v>
      </c>
      <c r="C45" s="165">
        <v>1010</v>
      </c>
      <c r="D45" s="166" t="s">
        <v>645</v>
      </c>
      <c r="E45" s="167">
        <v>14.4</v>
      </c>
      <c r="F45" s="168" t="s">
        <v>725</v>
      </c>
      <c r="G45" s="152" t="s">
        <v>695</v>
      </c>
    </row>
    <row r="46" spans="1:7" hidden="1" x14ac:dyDescent="0.3">
      <c r="A46" s="163">
        <v>1</v>
      </c>
      <c r="B46" s="164">
        <v>1</v>
      </c>
      <c r="C46" s="165">
        <v>1010</v>
      </c>
      <c r="D46" s="166" t="s">
        <v>650</v>
      </c>
      <c r="E46" s="167">
        <v>2.2999999999999998</v>
      </c>
      <c r="F46" s="168" t="s">
        <v>727</v>
      </c>
      <c r="G46" s="152" t="s">
        <v>700</v>
      </c>
    </row>
    <row r="47" spans="1:7" x14ac:dyDescent="0.3">
      <c r="A47" s="163">
        <v>1</v>
      </c>
      <c r="B47" s="164">
        <v>1</v>
      </c>
      <c r="C47" s="165">
        <v>1010</v>
      </c>
      <c r="D47" s="166" t="s">
        <v>651</v>
      </c>
      <c r="E47" s="167">
        <v>15</v>
      </c>
      <c r="F47" s="168" t="s">
        <v>728</v>
      </c>
      <c r="G47" s="152" t="s">
        <v>694</v>
      </c>
    </row>
    <row r="48" spans="1:7" hidden="1" x14ac:dyDescent="0.3">
      <c r="A48" s="163">
        <v>1</v>
      </c>
      <c r="B48" s="164">
        <v>1</v>
      </c>
      <c r="C48" s="165">
        <v>1010</v>
      </c>
      <c r="D48" s="166" t="s">
        <v>649</v>
      </c>
      <c r="E48" s="167">
        <v>7.9</v>
      </c>
      <c r="F48" s="168" t="s">
        <v>729</v>
      </c>
      <c r="G48" s="152" t="s">
        <v>699</v>
      </c>
    </row>
    <row r="49" spans="1:7" x14ac:dyDescent="0.3">
      <c r="A49" s="163">
        <v>1</v>
      </c>
      <c r="B49" s="164">
        <v>1</v>
      </c>
      <c r="C49" s="165">
        <v>1011</v>
      </c>
      <c r="D49" s="166" t="s">
        <v>639</v>
      </c>
      <c r="E49" s="167">
        <v>2.2000000000000002</v>
      </c>
      <c r="F49" s="168" t="s">
        <v>727</v>
      </c>
      <c r="G49" s="152" t="s">
        <v>690</v>
      </c>
    </row>
    <row r="50" spans="1:7" x14ac:dyDescent="0.3">
      <c r="A50" s="163">
        <v>1</v>
      </c>
      <c r="B50" s="164">
        <v>1</v>
      </c>
      <c r="C50" s="165">
        <v>1011</v>
      </c>
      <c r="D50" s="166" t="s">
        <v>642</v>
      </c>
      <c r="E50" s="167">
        <v>46.7</v>
      </c>
      <c r="F50" s="168" t="s">
        <v>728</v>
      </c>
      <c r="G50" s="152" t="s">
        <v>693</v>
      </c>
    </row>
    <row r="51" spans="1:7" x14ac:dyDescent="0.3">
      <c r="A51" s="163">
        <v>1</v>
      </c>
      <c r="B51" s="164">
        <v>1</v>
      </c>
      <c r="C51" s="165">
        <v>1012</v>
      </c>
      <c r="D51" s="166" t="s">
        <v>644</v>
      </c>
      <c r="E51" s="167">
        <v>6.1</v>
      </c>
      <c r="F51" s="168" t="s">
        <v>725</v>
      </c>
      <c r="G51" s="152" t="s">
        <v>694</v>
      </c>
    </row>
    <row r="52" spans="1:7" x14ac:dyDescent="0.3">
      <c r="A52" s="163">
        <v>1</v>
      </c>
      <c r="B52" s="164">
        <v>1</v>
      </c>
      <c r="C52" s="165">
        <v>1012</v>
      </c>
      <c r="D52" s="166" t="s">
        <v>645</v>
      </c>
      <c r="E52" s="167">
        <v>2.5</v>
      </c>
      <c r="F52" s="168" t="s">
        <v>725</v>
      </c>
      <c r="G52" s="152" t="s">
        <v>695</v>
      </c>
    </row>
    <row r="53" spans="1:7" ht="26.4" x14ac:dyDescent="0.3">
      <c r="A53" s="163">
        <v>1</v>
      </c>
      <c r="B53" s="164">
        <v>1</v>
      </c>
      <c r="C53" s="165">
        <v>1012</v>
      </c>
      <c r="D53" s="166" t="s">
        <v>646</v>
      </c>
      <c r="E53" s="167">
        <v>1.3</v>
      </c>
      <c r="F53" s="168" t="s">
        <v>730</v>
      </c>
      <c r="G53" s="152" t="s">
        <v>696</v>
      </c>
    </row>
    <row r="54" spans="1:7" x14ac:dyDescent="0.3">
      <c r="A54" s="163">
        <v>1</v>
      </c>
      <c r="B54" s="164">
        <v>1</v>
      </c>
      <c r="C54" s="165">
        <v>1012</v>
      </c>
      <c r="D54" s="166" t="s">
        <v>652</v>
      </c>
      <c r="E54" s="167">
        <v>19.5</v>
      </c>
      <c r="F54" s="168" t="s">
        <v>726</v>
      </c>
      <c r="G54" s="152" t="s">
        <v>695</v>
      </c>
    </row>
    <row r="55" spans="1:7" hidden="1" x14ac:dyDescent="0.3">
      <c r="A55" s="163">
        <v>1</v>
      </c>
      <c r="B55" s="164">
        <v>1</v>
      </c>
      <c r="C55" s="165">
        <v>1012</v>
      </c>
      <c r="D55" s="166" t="s">
        <v>650</v>
      </c>
      <c r="E55" s="167">
        <v>2.1</v>
      </c>
      <c r="F55" s="168" t="s">
        <v>727</v>
      </c>
      <c r="G55" s="152" t="s">
        <v>700</v>
      </c>
    </row>
    <row r="56" spans="1:7" x14ac:dyDescent="0.3">
      <c r="A56" s="163">
        <v>1</v>
      </c>
      <c r="B56" s="164">
        <v>1</v>
      </c>
      <c r="C56" s="165">
        <v>1012</v>
      </c>
      <c r="D56" s="166" t="s">
        <v>648</v>
      </c>
      <c r="E56" s="167">
        <v>3.1</v>
      </c>
      <c r="F56" s="168" t="s">
        <v>728</v>
      </c>
      <c r="G56" s="152" t="s">
        <v>698</v>
      </c>
    </row>
    <row r="57" spans="1:7" hidden="1" x14ac:dyDescent="0.3">
      <c r="A57" s="163">
        <v>1</v>
      </c>
      <c r="B57" s="164">
        <v>1</v>
      </c>
      <c r="C57" s="165">
        <v>1012</v>
      </c>
      <c r="D57" s="166" t="s">
        <v>649</v>
      </c>
      <c r="E57" s="167">
        <v>39.799999999999997</v>
      </c>
      <c r="F57" s="168" t="s">
        <v>729</v>
      </c>
      <c r="G57" s="152" t="s">
        <v>699</v>
      </c>
    </row>
    <row r="58" spans="1:7" x14ac:dyDescent="0.3">
      <c r="A58" s="163">
        <v>1</v>
      </c>
      <c r="B58" s="164">
        <v>1</v>
      </c>
      <c r="C58" s="165">
        <v>1013</v>
      </c>
      <c r="D58" s="166" t="s">
        <v>645</v>
      </c>
      <c r="E58" s="167">
        <v>22.8</v>
      </c>
      <c r="F58" s="168" t="s">
        <v>725</v>
      </c>
      <c r="G58" s="152" t="s">
        <v>695</v>
      </c>
    </row>
    <row r="59" spans="1:7" ht="26.4" x14ac:dyDescent="0.3">
      <c r="A59" s="163">
        <v>1</v>
      </c>
      <c r="B59" s="164">
        <v>1</v>
      </c>
      <c r="C59" s="165">
        <v>1013</v>
      </c>
      <c r="D59" s="166" t="s">
        <v>653</v>
      </c>
      <c r="E59" s="167">
        <v>4.5999999999999996</v>
      </c>
      <c r="F59" s="168" t="s">
        <v>731</v>
      </c>
      <c r="G59" s="152" t="s">
        <v>693</v>
      </c>
    </row>
    <row r="60" spans="1:7" ht="26.4" x14ac:dyDescent="0.3">
      <c r="A60" s="163">
        <v>1</v>
      </c>
      <c r="B60" s="164">
        <v>1</v>
      </c>
      <c r="C60" s="165">
        <v>1013</v>
      </c>
      <c r="D60" s="166" t="s">
        <v>646</v>
      </c>
      <c r="E60" s="167">
        <v>1.1000000000000001</v>
      </c>
      <c r="F60" s="168" t="s">
        <v>730</v>
      </c>
      <c r="G60" s="152" t="s">
        <v>696</v>
      </c>
    </row>
    <row r="61" spans="1:7" hidden="1" x14ac:dyDescent="0.3">
      <c r="A61" s="163">
        <v>1</v>
      </c>
      <c r="B61" s="164">
        <v>1</v>
      </c>
      <c r="C61" s="165">
        <v>1013</v>
      </c>
      <c r="D61" s="166" t="s">
        <v>647</v>
      </c>
      <c r="E61" s="167">
        <v>1.6</v>
      </c>
      <c r="F61" s="168" t="s">
        <v>732</v>
      </c>
      <c r="G61" s="152" t="s">
        <v>697</v>
      </c>
    </row>
    <row r="62" spans="1:7" hidden="1" x14ac:dyDescent="0.3">
      <c r="A62" s="163">
        <v>1</v>
      </c>
      <c r="B62" s="164">
        <v>1</v>
      </c>
      <c r="C62" s="165">
        <v>1013</v>
      </c>
      <c r="D62" s="166" t="s">
        <v>654</v>
      </c>
      <c r="E62" s="167">
        <v>0.3</v>
      </c>
      <c r="F62" s="168" t="s">
        <v>733</v>
      </c>
      <c r="G62" s="152" t="s">
        <v>690</v>
      </c>
    </row>
    <row r="63" spans="1:7" hidden="1" x14ac:dyDescent="0.3">
      <c r="A63" s="163">
        <v>1</v>
      </c>
      <c r="B63" s="164">
        <v>1</v>
      </c>
      <c r="C63" s="165">
        <v>1013</v>
      </c>
      <c r="D63" s="166" t="s">
        <v>655</v>
      </c>
      <c r="E63" s="167">
        <v>5.9</v>
      </c>
      <c r="F63" s="168" t="s">
        <v>729</v>
      </c>
      <c r="G63" s="152" t="s">
        <v>701</v>
      </c>
    </row>
    <row r="64" spans="1:7" x14ac:dyDescent="0.3">
      <c r="A64" s="163">
        <v>1</v>
      </c>
      <c r="B64" s="164">
        <v>1</v>
      </c>
      <c r="C64" s="165">
        <v>1014</v>
      </c>
      <c r="D64" s="166" t="s">
        <v>645</v>
      </c>
      <c r="E64" s="167">
        <v>14</v>
      </c>
      <c r="F64" s="168" t="s">
        <v>725</v>
      </c>
      <c r="G64" s="152" t="s">
        <v>695</v>
      </c>
    </row>
    <row r="65" spans="1:7" ht="26.4" x14ac:dyDescent="0.3">
      <c r="A65" s="163">
        <v>1</v>
      </c>
      <c r="B65" s="164">
        <v>1</v>
      </c>
      <c r="C65" s="165">
        <v>1014</v>
      </c>
      <c r="D65" s="166" t="s">
        <v>653</v>
      </c>
      <c r="E65" s="167">
        <v>3</v>
      </c>
      <c r="F65" s="168" t="s">
        <v>731</v>
      </c>
      <c r="G65" s="152" t="s">
        <v>693</v>
      </c>
    </row>
    <row r="66" spans="1:7" ht="26.4" x14ac:dyDescent="0.3">
      <c r="A66" s="163">
        <v>1</v>
      </c>
      <c r="B66" s="164">
        <v>1</v>
      </c>
      <c r="C66" s="165">
        <v>1014</v>
      </c>
      <c r="D66" s="166" t="s">
        <v>646</v>
      </c>
      <c r="E66" s="167">
        <v>3.3</v>
      </c>
      <c r="F66" s="168" t="s">
        <v>730</v>
      </c>
      <c r="G66" s="152" t="s">
        <v>696</v>
      </c>
    </row>
    <row r="67" spans="1:7" hidden="1" x14ac:dyDescent="0.3">
      <c r="A67" s="163">
        <v>1</v>
      </c>
      <c r="B67" s="164">
        <v>1</v>
      </c>
      <c r="C67" s="165">
        <v>1014</v>
      </c>
      <c r="D67" s="166" t="s">
        <v>647</v>
      </c>
      <c r="E67" s="167">
        <v>1.6</v>
      </c>
      <c r="F67" s="168" t="s">
        <v>732</v>
      </c>
      <c r="G67" s="152" t="s">
        <v>697</v>
      </c>
    </row>
    <row r="68" spans="1:7" hidden="1" x14ac:dyDescent="0.3">
      <c r="A68" s="163">
        <v>1</v>
      </c>
      <c r="B68" s="164">
        <v>1</v>
      </c>
      <c r="C68" s="165">
        <v>1014</v>
      </c>
      <c r="D68" s="166" t="s">
        <v>654</v>
      </c>
      <c r="E68" s="167">
        <v>0.3</v>
      </c>
      <c r="F68" s="168" t="s">
        <v>733</v>
      </c>
      <c r="G68" s="152" t="s">
        <v>690</v>
      </c>
    </row>
    <row r="69" spans="1:7" hidden="1" x14ac:dyDescent="0.3">
      <c r="A69" s="163">
        <v>1</v>
      </c>
      <c r="B69" s="164">
        <v>1</v>
      </c>
      <c r="C69" s="165">
        <v>1014</v>
      </c>
      <c r="D69" s="166" t="s">
        <v>649</v>
      </c>
      <c r="E69" s="167">
        <v>18</v>
      </c>
      <c r="F69" s="168" t="s">
        <v>729</v>
      </c>
      <c r="G69" s="152" t="s">
        <v>699</v>
      </c>
    </row>
    <row r="70" spans="1:7" x14ac:dyDescent="0.3">
      <c r="A70" s="163">
        <v>1</v>
      </c>
      <c r="B70" s="164">
        <v>1</v>
      </c>
      <c r="C70" s="165">
        <v>1015</v>
      </c>
      <c r="D70" s="166" t="s">
        <v>637</v>
      </c>
      <c r="E70" s="167">
        <v>51.4</v>
      </c>
      <c r="F70" s="168" t="s">
        <v>725</v>
      </c>
      <c r="G70" s="152" t="s">
        <v>688</v>
      </c>
    </row>
    <row r="71" spans="1:7" x14ac:dyDescent="0.3">
      <c r="A71" s="163">
        <v>1</v>
      </c>
      <c r="B71" s="164">
        <v>1</v>
      </c>
      <c r="C71" s="165">
        <v>1015</v>
      </c>
      <c r="D71" s="166" t="s">
        <v>638</v>
      </c>
      <c r="E71" s="167">
        <v>115.8</v>
      </c>
      <c r="F71" s="168" t="s">
        <v>726</v>
      </c>
      <c r="G71" s="152" t="s">
        <v>689</v>
      </c>
    </row>
    <row r="72" spans="1:7" x14ac:dyDescent="0.3">
      <c r="A72" s="163">
        <v>1</v>
      </c>
      <c r="B72" s="164">
        <v>1</v>
      </c>
      <c r="C72" s="165">
        <v>1015</v>
      </c>
      <c r="D72" s="166" t="s">
        <v>639</v>
      </c>
      <c r="E72" s="167">
        <v>10.8</v>
      </c>
      <c r="F72" s="168" t="s">
        <v>727</v>
      </c>
      <c r="G72" s="152" t="s">
        <v>690</v>
      </c>
    </row>
    <row r="73" spans="1:7" x14ac:dyDescent="0.3">
      <c r="A73" s="163">
        <v>1</v>
      </c>
      <c r="B73" s="164">
        <v>1</v>
      </c>
      <c r="C73" s="165">
        <v>1015</v>
      </c>
      <c r="D73" s="166" t="s">
        <v>640</v>
      </c>
      <c r="E73" s="167">
        <v>69.2</v>
      </c>
      <c r="F73" s="168" t="s">
        <v>728</v>
      </c>
      <c r="G73" s="152" t="s">
        <v>691</v>
      </c>
    </row>
    <row r="74" spans="1:7" x14ac:dyDescent="0.3">
      <c r="A74" s="163">
        <v>1</v>
      </c>
      <c r="B74" s="164">
        <v>1</v>
      </c>
      <c r="C74" s="165">
        <v>1016</v>
      </c>
      <c r="D74" s="166" t="s">
        <v>637</v>
      </c>
      <c r="E74" s="167">
        <v>100.7</v>
      </c>
      <c r="F74" s="168" t="s">
        <v>725</v>
      </c>
      <c r="G74" s="152" t="s">
        <v>688</v>
      </c>
    </row>
    <row r="75" spans="1:7" x14ac:dyDescent="0.3">
      <c r="A75" s="163">
        <v>1</v>
      </c>
      <c r="B75" s="164">
        <v>1</v>
      </c>
      <c r="C75" s="165">
        <v>1016</v>
      </c>
      <c r="D75" s="166" t="s">
        <v>638</v>
      </c>
      <c r="E75" s="167">
        <v>163.30000000000001</v>
      </c>
      <c r="F75" s="168" t="s">
        <v>726</v>
      </c>
      <c r="G75" s="152" t="s">
        <v>689</v>
      </c>
    </row>
    <row r="76" spans="1:7" x14ac:dyDescent="0.3">
      <c r="A76" s="163">
        <v>1</v>
      </c>
      <c r="B76" s="164">
        <v>1</v>
      </c>
      <c r="C76" s="165">
        <v>1016</v>
      </c>
      <c r="D76" s="166" t="s">
        <v>639</v>
      </c>
      <c r="E76" s="167">
        <v>17.100000000000001</v>
      </c>
      <c r="F76" s="168" t="s">
        <v>727</v>
      </c>
      <c r="G76" s="152" t="s">
        <v>690</v>
      </c>
    </row>
    <row r="77" spans="1:7" x14ac:dyDescent="0.3">
      <c r="A77" s="163">
        <v>1</v>
      </c>
      <c r="B77" s="164">
        <v>1</v>
      </c>
      <c r="C77" s="165">
        <v>1016</v>
      </c>
      <c r="D77" s="166" t="s">
        <v>640</v>
      </c>
      <c r="E77" s="167">
        <v>45.5</v>
      </c>
      <c r="F77" s="168" t="s">
        <v>728</v>
      </c>
      <c r="G77" s="152" t="s">
        <v>691</v>
      </c>
    </row>
    <row r="78" spans="1:7" ht="15.6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676</v>
      </c>
      <c r="G78" s="152" t="s">
        <v>689</v>
      </c>
    </row>
    <row r="79" spans="1:7" ht="15.6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677</v>
      </c>
      <c r="G79" s="152" t="s">
        <v>690</v>
      </c>
    </row>
    <row r="80" spans="1:7" ht="15.6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678</v>
      </c>
      <c r="G80" s="152" t="s">
        <v>691</v>
      </c>
    </row>
    <row r="81" spans="1:7" ht="15.6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678</v>
      </c>
      <c r="G81" s="152" t="s">
        <v>693</v>
      </c>
    </row>
    <row r="82" spans="1:7" ht="15.6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675</v>
      </c>
      <c r="G82" s="152" t="s">
        <v>693</v>
      </c>
    </row>
    <row r="83" spans="1:7" ht="15.6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676</v>
      </c>
      <c r="G83" s="152" t="s">
        <v>689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677</v>
      </c>
      <c r="G84" s="152" t="s">
        <v>702</v>
      </c>
    </row>
    <row r="85" spans="1:7" ht="15.6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678</v>
      </c>
      <c r="G85" s="152" t="s">
        <v>691</v>
      </c>
    </row>
    <row r="86" spans="1:7" ht="15.6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675</v>
      </c>
      <c r="G86" s="152" t="s">
        <v>688</v>
      </c>
    </row>
    <row r="87" spans="1:7" ht="15.6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676</v>
      </c>
      <c r="G87" s="152" t="s">
        <v>689</v>
      </c>
    </row>
    <row r="88" spans="1:7" ht="15.6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677</v>
      </c>
      <c r="G88" s="152" t="s">
        <v>690</v>
      </c>
    </row>
    <row r="89" spans="1:7" ht="15.6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678</v>
      </c>
      <c r="G89" s="152" t="s">
        <v>691</v>
      </c>
    </row>
    <row r="90" spans="1:7" ht="15.6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675</v>
      </c>
      <c r="G90" s="152" t="s">
        <v>688</v>
      </c>
    </row>
    <row r="91" spans="1:7" ht="15.6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676</v>
      </c>
      <c r="G91" s="152" t="s">
        <v>689</v>
      </c>
    </row>
    <row r="92" spans="1:7" ht="15.6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677</v>
      </c>
      <c r="G92" s="152" t="s">
        <v>690</v>
      </c>
    </row>
    <row r="93" spans="1:7" ht="15.6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676</v>
      </c>
      <c r="G93" s="152" t="s">
        <v>689</v>
      </c>
    </row>
    <row r="94" spans="1:7" ht="15.6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677</v>
      </c>
      <c r="G94" s="152" t="s">
        <v>690</v>
      </c>
    </row>
    <row r="95" spans="1:7" ht="15.6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678</v>
      </c>
      <c r="G95" s="152" t="s">
        <v>691</v>
      </c>
    </row>
    <row r="96" spans="1:7" ht="15.6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675</v>
      </c>
      <c r="G96" s="152" t="s">
        <v>695</v>
      </c>
    </row>
    <row r="97" spans="1:7" ht="15.6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676</v>
      </c>
      <c r="G97" s="152" t="s">
        <v>695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679</v>
      </c>
      <c r="G98" s="152" t="s">
        <v>699</v>
      </c>
    </row>
    <row r="99" spans="1:7" ht="15.6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677</v>
      </c>
      <c r="G99" s="152" t="s">
        <v>690</v>
      </c>
    </row>
    <row r="100" spans="1:7" ht="15.6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678</v>
      </c>
      <c r="G100" s="152" t="s">
        <v>693</v>
      </c>
    </row>
    <row r="101" spans="1:7" ht="15.6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675</v>
      </c>
      <c r="G101" s="152" t="s">
        <v>693</v>
      </c>
    </row>
    <row r="102" spans="1:7" ht="15.6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678</v>
      </c>
      <c r="G102" s="152" t="s">
        <v>693</v>
      </c>
    </row>
    <row r="103" spans="1:7" ht="15.6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676</v>
      </c>
      <c r="G103" s="152" t="s">
        <v>689</v>
      </c>
    </row>
    <row r="104" spans="1:7" ht="15.6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677</v>
      </c>
      <c r="G104" s="152" t="s">
        <v>690</v>
      </c>
    </row>
    <row r="105" spans="1:7" ht="15.6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678</v>
      </c>
      <c r="G105" s="152" t="s">
        <v>703</v>
      </c>
    </row>
    <row r="106" spans="1:7" ht="15.6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675</v>
      </c>
      <c r="G106" s="152" t="s">
        <v>704</v>
      </c>
    </row>
    <row r="107" spans="1:7" ht="15.6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676</v>
      </c>
      <c r="G107" s="152" t="s">
        <v>705</v>
      </c>
    </row>
    <row r="108" spans="1:7" ht="15.6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677</v>
      </c>
      <c r="G108" s="152" t="s">
        <v>690</v>
      </c>
    </row>
    <row r="109" spans="1:7" ht="15.6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678</v>
      </c>
      <c r="G109" s="152" t="s">
        <v>703</v>
      </c>
    </row>
    <row r="110" spans="1:7" ht="15.6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675</v>
      </c>
      <c r="G110" s="152" t="s">
        <v>695</v>
      </c>
    </row>
    <row r="111" spans="1:7" ht="15.6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676</v>
      </c>
      <c r="G111" s="152" t="s">
        <v>695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679</v>
      </c>
      <c r="G112" s="152" t="s">
        <v>701</v>
      </c>
    </row>
    <row r="113" spans="1:7" ht="15.6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675</v>
      </c>
      <c r="G113" s="152" t="s">
        <v>704</v>
      </c>
    </row>
    <row r="114" spans="1:7" ht="15.6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675</v>
      </c>
      <c r="G114" s="152" t="s">
        <v>695</v>
      </c>
    </row>
    <row r="115" spans="1:7" ht="31.2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682</v>
      </c>
      <c r="G115" s="152" t="s">
        <v>693</v>
      </c>
    </row>
    <row r="116" spans="1:7" ht="31.2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680</v>
      </c>
      <c r="G116" s="152" t="s">
        <v>696</v>
      </c>
    </row>
    <row r="117" spans="1:7" ht="31.2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680</v>
      </c>
      <c r="G117" s="152" t="s">
        <v>694</v>
      </c>
    </row>
    <row r="118" spans="1:7" ht="46.8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684</v>
      </c>
      <c r="G118" s="152" t="s">
        <v>706</v>
      </c>
    </row>
    <row r="119" spans="1:7" ht="15.6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678</v>
      </c>
      <c r="G119" s="152" t="s">
        <v>693</v>
      </c>
    </row>
    <row r="120" spans="1:7" ht="15.6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678</v>
      </c>
      <c r="G120" s="152" t="s">
        <v>694</v>
      </c>
    </row>
    <row r="121" spans="1:7" ht="15.6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679</v>
      </c>
      <c r="G121" s="152" t="s">
        <v>707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679</v>
      </c>
      <c r="G122" s="152" t="s">
        <v>699</v>
      </c>
    </row>
    <row r="123" spans="1:7" ht="15.6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677</v>
      </c>
      <c r="G123" s="152" t="s">
        <v>690</v>
      </c>
    </row>
    <row r="124" spans="1:7" ht="15.6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678</v>
      </c>
      <c r="G124" s="152" t="s">
        <v>693</v>
      </c>
    </row>
    <row r="125" spans="1:7" ht="15.6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675</v>
      </c>
      <c r="G125" s="152" t="s">
        <v>693</v>
      </c>
    </row>
    <row r="126" spans="1:7" ht="15.6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675</v>
      </c>
      <c r="G126" s="152" t="s">
        <v>704</v>
      </c>
    </row>
    <row r="127" spans="1:7" ht="15.6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676</v>
      </c>
      <c r="G127" s="152" t="s">
        <v>705</v>
      </c>
    </row>
    <row r="128" spans="1:7" ht="15.6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678</v>
      </c>
      <c r="G128" s="152" t="s">
        <v>703</v>
      </c>
    </row>
    <row r="129" spans="1:7" ht="15.6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675</v>
      </c>
      <c r="G129" s="152" t="s">
        <v>694</v>
      </c>
    </row>
    <row r="130" spans="1:7" ht="31.2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682</v>
      </c>
      <c r="G130" s="152" t="s">
        <v>693</v>
      </c>
    </row>
    <row r="131" spans="1:7" ht="15.6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676</v>
      </c>
      <c r="G131" s="152" t="s">
        <v>695</v>
      </c>
    </row>
    <row r="132" spans="1:7" ht="46.8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684</v>
      </c>
      <c r="G132" s="152" t="s">
        <v>708</v>
      </c>
    </row>
    <row r="133" spans="1:7" ht="15.6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675</v>
      </c>
      <c r="G133" s="152" t="s">
        <v>695</v>
      </c>
    </row>
    <row r="134" spans="1:7" ht="31.2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682</v>
      </c>
      <c r="G134" s="152" t="s">
        <v>693</v>
      </c>
    </row>
    <row r="135" spans="1:7" ht="15.6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675</v>
      </c>
      <c r="G135" s="152" t="s">
        <v>695</v>
      </c>
    </row>
    <row r="136" spans="1:7" ht="31.2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682</v>
      </c>
      <c r="G136" s="152" t="s">
        <v>693</v>
      </c>
    </row>
    <row r="137" spans="1:7" ht="15.6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675</v>
      </c>
      <c r="G137" s="152" t="s">
        <v>694</v>
      </c>
    </row>
    <row r="138" spans="1:7" ht="31.2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682</v>
      </c>
      <c r="G138" s="152" t="s">
        <v>693</v>
      </c>
    </row>
    <row r="139" spans="1:7" ht="31.2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680</v>
      </c>
      <c r="G139" s="152" t="s">
        <v>694</v>
      </c>
    </row>
    <row r="140" spans="1:7" ht="15.6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675</v>
      </c>
      <c r="G140" s="152" t="s">
        <v>694</v>
      </c>
    </row>
    <row r="141" spans="1:7" ht="31.2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682</v>
      </c>
      <c r="G141" s="152" t="s">
        <v>693</v>
      </c>
    </row>
    <row r="142" spans="1:7" ht="15.6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675</v>
      </c>
      <c r="G142" s="152" t="s">
        <v>704</v>
      </c>
    </row>
    <row r="143" spans="1:7" ht="15.6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676</v>
      </c>
      <c r="G143" s="152" t="s">
        <v>705</v>
      </c>
    </row>
    <row r="144" spans="1:7" ht="15.6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677</v>
      </c>
      <c r="G144" s="152" t="s">
        <v>690</v>
      </c>
    </row>
    <row r="145" spans="1:7" ht="15.6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678</v>
      </c>
      <c r="G145" s="152" t="s">
        <v>703</v>
      </c>
    </row>
    <row r="146" spans="1:7" ht="15.6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675</v>
      </c>
      <c r="G146" s="152" t="s">
        <v>688</v>
      </c>
    </row>
    <row r="147" spans="1:7" ht="15.6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675</v>
      </c>
      <c r="G147" s="152" t="s">
        <v>688</v>
      </c>
    </row>
    <row r="148" spans="1:7" ht="15.6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676</v>
      </c>
      <c r="G148" s="152" t="s">
        <v>705</v>
      </c>
    </row>
    <row r="149" spans="1:7" ht="15.6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677</v>
      </c>
      <c r="G149" s="152" t="s">
        <v>690</v>
      </c>
    </row>
    <row r="150" spans="1:7" ht="15.6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678</v>
      </c>
      <c r="G150" s="152" t="s">
        <v>703</v>
      </c>
    </row>
    <row r="151" spans="1:7" ht="15.6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675</v>
      </c>
      <c r="G151" s="152" t="s">
        <v>688</v>
      </c>
    </row>
    <row r="152" spans="1:7" ht="15.6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675</v>
      </c>
      <c r="G152" s="152" t="s">
        <v>695</v>
      </c>
    </row>
    <row r="153" spans="1:7" ht="15.6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676</v>
      </c>
      <c r="G153" s="152" t="s">
        <v>705</v>
      </c>
    </row>
    <row r="154" spans="1:7" ht="15.6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676</v>
      </c>
      <c r="G154" s="152" t="s">
        <v>695</v>
      </c>
    </row>
    <row r="155" spans="1:7" ht="15.6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678</v>
      </c>
      <c r="G155" s="152" t="s">
        <v>691</v>
      </c>
    </row>
    <row r="156" spans="1:7" ht="15.6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678</v>
      </c>
      <c r="G156" s="152" t="s">
        <v>698</v>
      </c>
    </row>
    <row r="157" spans="1:7" ht="15.6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676</v>
      </c>
      <c r="G157" s="152" t="s">
        <v>689</v>
      </c>
    </row>
    <row r="158" spans="1:7" ht="15.6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678</v>
      </c>
      <c r="G158" s="152" t="s">
        <v>691</v>
      </c>
    </row>
    <row r="159" spans="1:7" ht="15.6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678</v>
      </c>
      <c r="G159" s="152" t="s">
        <v>698</v>
      </c>
    </row>
    <row r="160" spans="1:7" ht="15.6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679</v>
      </c>
      <c r="G160" s="152" t="s">
        <v>692</v>
      </c>
    </row>
    <row r="161" spans="1:7" ht="15.6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675</v>
      </c>
      <c r="G161" s="152" t="s">
        <v>688</v>
      </c>
    </row>
    <row r="162" spans="1:7" ht="15.6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676</v>
      </c>
      <c r="G162" s="152" t="s">
        <v>689</v>
      </c>
    </row>
    <row r="163" spans="1:7" ht="15.6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678</v>
      </c>
      <c r="G163" s="152" t="s">
        <v>691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679</v>
      </c>
      <c r="G164" s="152" t="s">
        <v>699</v>
      </c>
    </row>
    <row r="165" spans="1:7" ht="15.6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676</v>
      </c>
      <c r="G165" s="152" t="s">
        <v>695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679</v>
      </c>
      <c r="G166" s="152" t="s">
        <v>701</v>
      </c>
    </row>
    <row r="167" spans="1:7" ht="15.6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675</v>
      </c>
      <c r="G167" s="152" t="s">
        <v>695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681</v>
      </c>
      <c r="G168" s="152" t="s">
        <v>697</v>
      </c>
    </row>
    <row r="169" spans="1:7" ht="15.6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678</v>
      </c>
      <c r="G169" s="152" t="s">
        <v>698</v>
      </c>
    </row>
    <row r="170" spans="1:7" ht="15.6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675</v>
      </c>
      <c r="G170" s="152" t="s">
        <v>695</v>
      </c>
    </row>
    <row r="171" spans="1:7" ht="15.6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676</v>
      </c>
      <c r="G171" s="152" t="s">
        <v>695</v>
      </c>
    </row>
    <row r="172" spans="1:7" ht="15.6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675</v>
      </c>
      <c r="G172" s="152" t="s">
        <v>695</v>
      </c>
    </row>
    <row r="173" spans="1:7" ht="15.6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676</v>
      </c>
      <c r="G173" s="152" t="s">
        <v>695</v>
      </c>
    </row>
    <row r="174" spans="1:7" ht="15.6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678</v>
      </c>
      <c r="G174" s="152" t="s">
        <v>698</v>
      </c>
    </row>
    <row r="175" spans="1:7" ht="15.6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675</v>
      </c>
      <c r="G175" s="152" t="s">
        <v>695</v>
      </c>
    </row>
    <row r="176" spans="1:7" ht="15.6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676</v>
      </c>
      <c r="G176" s="152" t="s">
        <v>695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681</v>
      </c>
      <c r="G177" s="152" t="s">
        <v>697</v>
      </c>
    </row>
    <row r="178" spans="1:7" ht="15.6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678</v>
      </c>
      <c r="G178" s="152" t="s">
        <v>698</v>
      </c>
    </row>
    <row r="179" spans="1:7" ht="15.6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675</v>
      </c>
      <c r="G179" s="152" t="s">
        <v>695</v>
      </c>
    </row>
    <row r="180" spans="1:7" ht="15.6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676</v>
      </c>
      <c r="G180" s="152" t="s">
        <v>695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681</v>
      </c>
      <c r="G181" s="152" t="s">
        <v>697</v>
      </c>
    </row>
    <row r="182" spans="1:7" ht="15.6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675</v>
      </c>
      <c r="G182" s="152" t="s">
        <v>695</v>
      </c>
    </row>
    <row r="183" spans="1:7" ht="15.6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676</v>
      </c>
      <c r="G183" s="152" t="s">
        <v>695</v>
      </c>
    </row>
    <row r="184" spans="1:7" ht="15.6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675</v>
      </c>
      <c r="G184" s="152" t="s">
        <v>695</v>
      </c>
    </row>
    <row r="185" spans="1:7" ht="15.6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675</v>
      </c>
      <c r="G185" s="152" t="s">
        <v>695</v>
      </c>
    </row>
    <row r="186" spans="1:7" ht="15.6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676</v>
      </c>
      <c r="G186" s="152" t="s">
        <v>695</v>
      </c>
    </row>
    <row r="187" spans="1:7" ht="15.6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678</v>
      </c>
      <c r="G187" s="152" t="s">
        <v>698</v>
      </c>
    </row>
    <row r="188" spans="1:7" ht="15.6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675</v>
      </c>
      <c r="G188" s="152" t="s">
        <v>695</v>
      </c>
    </row>
    <row r="189" spans="1:7" ht="15.6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676</v>
      </c>
      <c r="G189" s="152" t="s">
        <v>695</v>
      </c>
    </row>
    <row r="190" spans="1:7" ht="15.6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678</v>
      </c>
      <c r="G190" s="152" t="s">
        <v>698</v>
      </c>
    </row>
    <row r="191" spans="1:7" ht="15.6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675</v>
      </c>
      <c r="G191" s="152" t="s">
        <v>695</v>
      </c>
    </row>
    <row r="192" spans="1:7" ht="15.6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676</v>
      </c>
      <c r="G192" s="152" t="s">
        <v>695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681</v>
      </c>
      <c r="G193" s="152" t="s">
        <v>697</v>
      </c>
    </row>
    <row r="194" spans="1:7" ht="15.6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678</v>
      </c>
      <c r="G194" s="152" t="s">
        <v>698</v>
      </c>
    </row>
    <row r="195" spans="1:7" ht="15.6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675</v>
      </c>
      <c r="G195" s="152" t="s">
        <v>695</v>
      </c>
    </row>
    <row r="196" spans="1:7" ht="15.6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676</v>
      </c>
      <c r="G196" s="152" t="s">
        <v>695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681</v>
      </c>
      <c r="G197" s="152" t="s">
        <v>697</v>
      </c>
    </row>
    <row r="198" spans="1:7" ht="15.6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678</v>
      </c>
      <c r="G198" s="152" t="s">
        <v>698</v>
      </c>
    </row>
    <row r="199" spans="1:7" ht="15.6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675</v>
      </c>
      <c r="G199" s="152" t="s">
        <v>695</v>
      </c>
    </row>
    <row r="200" spans="1:7" ht="15.6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675</v>
      </c>
      <c r="G200" s="152" t="s">
        <v>695</v>
      </c>
    </row>
    <row r="201" spans="1:7" ht="15.6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676</v>
      </c>
      <c r="G201" s="152" t="s">
        <v>695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679</v>
      </c>
      <c r="G202" s="152" t="s">
        <v>701</v>
      </c>
    </row>
    <row r="203" spans="1:7" ht="15.6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675</v>
      </c>
      <c r="G203" s="152" t="s">
        <v>695</v>
      </c>
    </row>
    <row r="204" spans="1:7" ht="15.6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678</v>
      </c>
      <c r="G204" s="152" t="s">
        <v>698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679</v>
      </c>
      <c r="G205" s="152" t="s">
        <v>701</v>
      </c>
    </row>
    <row r="206" spans="1:7" ht="15.6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675</v>
      </c>
      <c r="G206" s="152" t="s">
        <v>695</v>
      </c>
    </row>
    <row r="207" spans="1:7" ht="15.6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676</v>
      </c>
      <c r="G207" s="152" t="s">
        <v>695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679</v>
      </c>
      <c r="G208" s="152" t="s">
        <v>701</v>
      </c>
    </row>
    <row r="209" spans="1:7" ht="15.6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675</v>
      </c>
      <c r="G209" s="152" t="s">
        <v>695</v>
      </c>
    </row>
    <row r="210" spans="1:7" ht="15.6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676</v>
      </c>
      <c r="G210" s="152" t="s">
        <v>695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681</v>
      </c>
      <c r="G211" s="152" t="s">
        <v>697</v>
      </c>
    </row>
    <row r="212" spans="1:7" ht="15.6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678</v>
      </c>
      <c r="G212" s="152" t="s">
        <v>698</v>
      </c>
    </row>
    <row r="213" spans="1:7" ht="15.6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675</v>
      </c>
      <c r="G213" s="152" t="s">
        <v>688</v>
      </c>
    </row>
    <row r="214" spans="1:7" ht="15.6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676</v>
      </c>
      <c r="G214" s="152" t="s">
        <v>689</v>
      </c>
    </row>
    <row r="215" spans="1:7" ht="15.6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678</v>
      </c>
      <c r="G215" s="152" t="s">
        <v>691</v>
      </c>
    </row>
    <row r="216" spans="1:7" ht="15.6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675</v>
      </c>
      <c r="G216" s="152" t="s">
        <v>688</v>
      </c>
    </row>
    <row r="217" spans="1:7" ht="15.6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676</v>
      </c>
      <c r="G217" s="152" t="s">
        <v>689</v>
      </c>
    </row>
    <row r="218" spans="1:7" ht="15.6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675</v>
      </c>
      <c r="G218" s="152" t="s">
        <v>688</v>
      </c>
    </row>
    <row r="219" spans="1:7" ht="15.6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676</v>
      </c>
      <c r="G219" s="152" t="s">
        <v>689</v>
      </c>
    </row>
    <row r="220" spans="1:7" ht="15.6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678</v>
      </c>
      <c r="G220" s="152" t="s">
        <v>691</v>
      </c>
    </row>
    <row r="221" spans="1:7" ht="15.6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679</v>
      </c>
      <c r="G221" s="152" t="s">
        <v>692</v>
      </c>
    </row>
    <row r="222" spans="1:7" ht="15.6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675</v>
      </c>
      <c r="G222" s="152" t="s">
        <v>695</v>
      </c>
    </row>
    <row r="223" spans="1:7" ht="15.6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676</v>
      </c>
      <c r="G223" s="152" t="s">
        <v>695</v>
      </c>
    </row>
    <row r="224" spans="1:7" ht="15.6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678</v>
      </c>
      <c r="G224" s="152" t="s">
        <v>698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679</v>
      </c>
      <c r="G225" s="152" t="s">
        <v>701</v>
      </c>
    </row>
    <row r="226" spans="1:7" ht="15.6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675</v>
      </c>
      <c r="G226" s="152" t="s">
        <v>695</v>
      </c>
    </row>
    <row r="227" spans="1:7" ht="15.6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676</v>
      </c>
      <c r="G227" s="152" t="s">
        <v>695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679</v>
      </c>
      <c r="G228" s="152" t="s">
        <v>701</v>
      </c>
    </row>
    <row r="229" spans="1:7" ht="15.6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675</v>
      </c>
      <c r="G229" s="152" t="s">
        <v>695</v>
      </c>
    </row>
    <row r="230" spans="1:7" ht="15.6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678</v>
      </c>
      <c r="G230" s="152" t="s">
        <v>698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679</v>
      </c>
      <c r="G231" s="152" t="s">
        <v>701</v>
      </c>
    </row>
    <row r="232" spans="1:7" ht="15.6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675</v>
      </c>
      <c r="G232" s="152" t="s">
        <v>694</v>
      </c>
    </row>
    <row r="233" spans="1:7" ht="31.2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680</v>
      </c>
      <c r="G233" s="152" t="s">
        <v>694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679</v>
      </c>
      <c r="G234" s="152" t="s">
        <v>699</v>
      </c>
    </row>
    <row r="235" spans="1:7" ht="15.6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675</v>
      </c>
      <c r="G235" s="152" t="s">
        <v>695</v>
      </c>
    </row>
    <row r="236" spans="1:7" ht="31.2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682</v>
      </c>
      <c r="G236" s="152" t="s">
        <v>693</v>
      </c>
    </row>
    <row r="237" spans="1:7" ht="31.2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680</v>
      </c>
      <c r="G237" s="152" t="s">
        <v>696</v>
      </c>
    </row>
    <row r="238" spans="1:7" ht="15.6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676</v>
      </c>
      <c r="G238" s="152" t="s">
        <v>695</v>
      </c>
    </row>
    <row r="239" spans="1:7" ht="46.8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684</v>
      </c>
      <c r="G239" s="152" t="s">
        <v>708</v>
      </c>
    </row>
    <row r="240" spans="1:7" ht="15.6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678</v>
      </c>
      <c r="G240" s="152" t="s">
        <v>693</v>
      </c>
    </row>
    <row r="241" spans="1:7" ht="15.6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678</v>
      </c>
      <c r="G241" s="152" t="s">
        <v>698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679</v>
      </c>
      <c r="G242" s="152" t="s">
        <v>701</v>
      </c>
    </row>
    <row r="243" spans="1:7" ht="15.6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675</v>
      </c>
      <c r="G243" s="152" t="s">
        <v>688</v>
      </c>
    </row>
    <row r="244" spans="1:7" ht="15.6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676</v>
      </c>
      <c r="G244" s="152" t="s">
        <v>689</v>
      </c>
    </row>
    <row r="245" spans="1:7" ht="15.6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678</v>
      </c>
      <c r="G245" s="152" t="s">
        <v>691</v>
      </c>
    </row>
    <row r="246" spans="1:7" ht="15.6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678</v>
      </c>
      <c r="G246" s="152" t="s">
        <v>691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685</v>
      </c>
      <c r="G247" s="152" t="s">
        <v>709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685</v>
      </c>
      <c r="G248" s="152" t="s">
        <v>710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685</v>
      </c>
      <c r="G249" s="152" t="s">
        <v>710</v>
      </c>
    </row>
    <row r="250" spans="1:7" ht="15.6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675</v>
      </c>
      <c r="G250" s="152" t="s">
        <v>695</v>
      </c>
    </row>
    <row r="251" spans="1:7" ht="15.6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676</v>
      </c>
      <c r="G251" s="152" t="s">
        <v>689</v>
      </c>
    </row>
    <row r="252" spans="1:7" ht="15.6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675</v>
      </c>
      <c r="G252" s="152" t="s">
        <v>688</v>
      </c>
    </row>
    <row r="253" spans="1:7" ht="15.6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676</v>
      </c>
      <c r="G253" s="152" t="s">
        <v>689</v>
      </c>
    </row>
    <row r="254" spans="1:7" ht="15.6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678</v>
      </c>
      <c r="G254" s="152" t="s">
        <v>691</v>
      </c>
    </row>
    <row r="255" spans="1:7" ht="15.6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675</v>
      </c>
      <c r="G255" s="152" t="s">
        <v>688</v>
      </c>
    </row>
    <row r="256" spans="1:7" ht="15.6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676</v>
      </c>
      <c r="G256" s="152" t="s">
        <v>689</v>
      </c>
    </row>
    <row r="257" spans="1:7" ht="15.6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678</v>
      </c>
      <c r="G257" s="152" t="s">
        <v>691</v>
      </c>
    </row>
    <row r="258" spans="1:7" ht="15.6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679</v>
      </c>
      <c r="G258" s="152" t="s">
        <v>692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677</v>
      </c>
      <c r="G259" s="152" t="s">
        <v>702</v>
      </c>
    </row>
    <row r="260" spans="1:7" ht="15.6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676</v>
      </c>
      <c r="G260" s="152" t="s">
        <v>689</v>
      </c>
    </row>
    <row r="261" spans="1:7" ht="15.6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678</v>
      </c>
      <c r="G261" s="152" t="s">
        <v>691</v>
      </c>
    </row>
    <row r="262" spans="1:7" ht="15.6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676</v>
      </c>
      <c r="G262" s="152" t="s">
        <v>689</v>
      </c>
    </row>
    <row r="263" spans="1:7" ht="15.6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678</v>
      </c>
      <c r="G263" s="152" t="s">
        <v>691</v>
      </c>
    </row>
    <row r="264" spans="1:7" ht="15.6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678</v>
      </c>
      <c r="G264" s="152" t="s">
        <v>698</v>
      </c>
    </row>
    <row r="265" spans="1:7" ht="15.6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676</v>
      </c>
      <c r="G265" s="152" t="s">
        <v>689</v>
      </c>
    </row>
    <row r="266" spans="1:7" ht="15.6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677</v>
      </c>
      <c r="G266" s="152" t="s">
        <v>690</v>
      </c>
    </row>
    <row r="267" spans="1:7" ht="15.6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678</v>
      </c>
      <c r="G267" s="152" t="s">
        <v>691</v>
      </c>
    </row>
    <row r="268" spans="1:7" ht="15.6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675</v>
      </c>
      <c r="G268" s="152" t="s">
        <v>688</v>
      </c>
    </row>
    <row r="269" spans="1:7" ht="15.6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676</v>
      </c>
      <c r="G269" s="152" t="s">
        <v>689</v>
      </c>
    </row>
    <row r="270" spans="1:7" ht="15.6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678</v>
      </c>
      <c r="G270" s="152" t="s">
        <v>691</v>
      </c>
    </row>
    <row r="271" spans="1:7" ht="15.6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675</v>
      </c>
      <c r="G271" s="152" t="s">
        <v>688</v>
      </c>
    </row>
    <row r="272" spans="1:7" ht="15.6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676</v>
      </c>
      <c r="G272" s="152" t="s">
        <v>689</v>
      </c>
    </row>
    <row r="273" spans="1:7" ht="15.6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678</v>
      </c>
      <c r="G273" s="152" t="s">
        <v>691</v>
      </c>
    </row>
    <row r="274" spans="1:7" ht="15.6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675</v>
      </c>
      <c r="G274" s="152" t="s">
        <v>688</v>
      </c>
    </row>
    <row r="275" spans="1:7" ht="15.6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676</v>
      </c>
      <c r="G275" s="152" t="s">
        <v>689</v>
      </c>
    </row>
    <row r="276" spans="1:7" ht="15.6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678</v>
      </c>
      <c r="G276" s="152" t="s">
        <v>691</v>
      </c>
    </row>
    <row r="277" spans="1:7" ht="15.6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679</v>
      </c>
      <c r="G277" s="152" t="s">
        <v>692</v>
      </c>
    </row>
    <row r="278" spans="1:7" ht="15.6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675</v>
      </c>
      <c r="G278" s="152" t="s">
        <v>688</v>
      </c>
    </row>
    <row r="279" spans="1:7" ht="15.6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676</v>
      </c>
      <c r="G279" s="152" t="s">
        <v>689</v>
      </c>
    </row>
    <row r="280" spans="1:7" ht="15.6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677</v>
      </c>
      <c r="G280" s="152" t="s">
        <v>690</v>
      </c>
    </row>
    <row r="281" spans="1:7" ht="15.6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678</v>
      </c>
      <c r="G281" s="152" t="s">
        <v>691</v>
      </c>
    </row>
    <row r="282" spans="1:7" ht="15.6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679</v>
      </c>
      <c r="G282" s="152" t="s">
        <v>692</v>
      </c>
    </row>
    <row r="283" spans="1:7" ht="15.6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675</v>
      </c>
      <c r="G283" s="152" t="s">
        <v>688</v>
      </c>
    </row>
    <row r="284" spans="1:7" ht="15.6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676</v>
      </c>
      <c r="G284" s="152" t="s">
        <v>689</v>
      </c>
    </row>
    <row r="285" spans="1:7" ht="15.6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677</v>
      </c>
      <c r="G285" s="152" t="s">
        <v>690</v>
      </c>
    </row>
    <row r="286" spans="1:7" ht="15.6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678</v>
      </c>
      <c r="G286" s="152" t="s">
        <v>691</v>
      </c>
    </row>
    <row r="287" spans="1:7" ht="15.6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679</v>
      </c>
      <c r="G287" s="152" t="s">
        <v>692</v>
      </c>
    </row>
    <row r="288" spans="1:7" ht="15.6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675</v>
      </c>
      <c r="G288" s="152" t="s">
        <v>688</v>
      </c>
    </row>
    <row r="289" spans="1:7" ht="15.6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676</v>
      </c>
      <c r="G289" s="152" t="s">
        <v>689</v>
      </c>
    </row>
    <row r="290" spans="1:7" ht="15.6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677</v>
      </c>
      <c r="G290" s="152" t="s">
        <v>690</v>
      </c>
    </row>
    <row r="291" spans="1:7" ht="15.6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678</v>
      </c>
      <c r="G291" s="152" t="s">
        <v>691</v>
      </c>
    </row>
    <row r="292" spans="1:7" ht="15.6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679</v>
      </c>
      <c r="G292" s="152" t="s">
        <v>692</v>
      </c>
    </row>
    <row r="293" spans="1:7" ht="15.6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675</v>
      </c>
      <c r="G293" s="152" t="s">
        <v>688</v>
      </c>
    </row>
    <row r="294" spans="1:7" ht="15.6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676</v>
      </c>
      <c r="G294" s="152" t="s">
        <v>689</v>
      </c>
    </row>
    <row r="295" spans="1:7" ht="15.6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677</v>
      </c>
      <c r="G295" s="152" t="s">
        <v>690</v>
      </c>
    </row>
    <row r="296" spans="1:7" ht="15.6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678</v>
      </c>
      <c r="G296" s="152" t="s">
        <v>691</v>
      </c>
    </row>
    <row r="297" spans="1:7" ht="15.6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679</v>
      </c>
      <c r="G297" s="152" t="s">
        <v>692</v>
      </c>
    </row>
    <row r="298" spans="1:7" ht="15.6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675</v>
      </c>
      <c r="G298" s="152" t="s">
        <v>688</v>
      </c>
    </row>
    <row r="299" spans="1:7" ht="15.6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676</v>
      </c>
      <c r="G299" s="152" t="s">
        <v>689</v>
      </c>
    </row>
    <row r="300" spans="1:7" ht="15.6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677</v>
      </c>
      <c r="G300" s="152" t="s">
        <v>690</v>
      </c>
    </row>
    <row r="301" spans="1:7" ht="15.6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678</v>
      </c>
      <c r="G301" s="152" t="s">
        <v>691</v>
      </c>
    </row>
    <row r="302" spans="1:7" ht="15.6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679</v>
      </c>
      <c r="G302" s="152" t="s">
        <v>692</v>
      </c>
    </row>
    <row r="303" spans="1:7" ht="15.6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675</v>
      </c>
      <c r="G303" s="152" t="s">
        <v>688</v>
      </c>
    </row>
    <row r="304" spans="1:7" ht="15.6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676</v>
      </c>
      <c r="G304" s="152" t="s">
        <v>689</v>
      </c>
    </row>
    <row r="305" spans="1:7" ht="15.6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677</v>
      </c>
      <c r="G305" s="152" t="s">
        <v>690</v>
      </c>
    </row>
    <row r="306" spans="1:7" ht="15.6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678</v>
      </c>
      <c r="G306" s="152" t="s">
        <v>691</v>
      </c>
    </row>
    <row r="307" spans="1:7" ht="15.6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679</v>
      </c>
      <c r="G307" s="152" t="s">
        <v>692</v>
      </c>
    </row>
    <row r="308" spans="1:7" ht="15.6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675</v>
      </c>
      <c r="G308" s="152" t="s">
        <v>688</v>
      </c>
    </row>
    <row r="309" spans="1:7" ht="15.6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676</v>
      </c>
      <c r="G309" s="152" t="s">
        <v>689</v>
      </c>
    </row>
    <row r="310" spans="1:7" ht="15.6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677</v>
      </c>
      <c r="G310" s="152" t="s">
        <v>690</v>
      </c>
    </row>
    <row r="311" spans="1:7" ht="15.6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678</v>
      </c>
      <c r="G311" s="152" t="s">
        <v>691</v>
      </c>
    </row>
    <row r="312" spans="1:7" ht="15.6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677</v>
      </c>
      <c r="G312" s="152" t="s">
        <v>690</v>
      </c>
    </row>
    <row r="313" spans="1:7" ht="15.6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678</v>
      </c>
      <c r="G313" s="152" t="s">
        <v>693</v>
      </c>
    </row>
    <row r="314" spans="1:7" ht="15.6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675</v>
      </c>
      <c r="G314" s="152" t="s">
        <v>693</v>
      </c>
    </row>
    <row r="315" spans="1:7" ht="31.2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680</v>
      </c>
      <c r="G315" s="152" t="s">
        <v>696</v>
      </c>
    </row>
    <row r="316" spans="1:7" ht="15.6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676</v>
      </c>
      <c r="G316" s="152" t="s">
        <v>695</v>
      </c>
    </row>
    <row r="317" spans="1:7" ht="31.2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680</v>
      </c>
      <c r="G317" s="152" t="s">
        <v>694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677</v>
      </c>
      <c r="G318" s="152" t="s">
        <v>700</v>
      </c>
    </row>
    <row r="319" spans="1:7" ht="15.6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678</v>
      </c>
      <c r="G319" s="152" t="s">
        <v>694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679</v>
      </c>
      <c r="G320" s="152" t="s">
        <v>699</v>
      </c>
    </row>
    <row r="321" spans="1:7" ht="15.6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676</v>
      </c>
      <c r="G321" s="152" t="s">
        <v>695</v>
      </c>
    </row>
    <row r="322" spans="1:7" ht="46.8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684</v>
      </c>
      <c r="G322" s="152" t="s">
        <v>708</v>
      </c>
    </row>
    <row r="323" spans="1:7" ht="15.6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678</v>
      </c>
      <c r="G323" s="152" t="s">
        <v>693</v>
      </c>
    </row>
    <row r="324" spans="1:7" ht="15.6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678</v>
      </c>
      <c r="G324" s="152" t="s">
        <v>698</v>
      </c>
    </row>
    <row r="325" spans="1:7" ht="15.6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675</v>
      </c>
      <c r="G325" s="152" t="s">
        <v>695</v>
      </c>
    </row>
    <row r="326" spans="1:7" ht="31.2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682</v>
      </c>
      <c r="G326" s="152" t="s">
        <v>693</v>
      </c>
    </row>
    <row r="327" spans="1:7" ht="31.2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680</v>
      </c>
      <c r="G327" s="152" t="s">
        <v>696</v>
      </c>
    </row>
    <row r="328" spans="1:7" ht="15.6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676</v>
      </c>
      <c r="G328" s="152" t="s">
        <v>695</v>
      </c>
    </row>
    <row r="329" spans="1:7" ht="46.8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684</v>
      </c>
      <c r="G329" s="152" t="s">
        <v>708</v>
      </c>
    </row>
    <row r="330" spans="1:7" ht="15.6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677</v>
      </c>
      <c r="G330" s="152" t="s">
        <v>690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677</v>
      </c>
      <c r="G331" s="152" t="s">
        <v>700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679</v>
      </c>
      <c r="G332" s="152" t="s">
        <v>701</v>
      </c>
    </row>
    <row r="333" spans="1:7" ht="15.6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676</v>
      </c>
      <c r="G333" s="152" t="s">
        <v>695</v>
      </c>
    </row>
    <row r="334" spans="1:7" ht="31.2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680</v>
      </c>
      <c r="G334" s="152" t="s">
        <v>694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677</v>
      </c>
      <c r="G335" s="152" t="s">
        <v>700</v>
      </c>
    </row>
    <row r="336" spans="1:7" ht="15.6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678</v>
      </c>
      <c r="G336" s="152" t="s">
        <v>693</v>
      </c>
    </row>
    <row r="337" spans="1:7" ht="15.6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678</v>
      </c>
      <c r="G337" s="152" t="s">
        <v>694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679</v>
      </c>
      <c r="G338" s="152" t="s">
        <v>699</v>
      </c>
    </row>
    <row r="339" spans="1:7" ht="15.6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675</v>
      </c>
      <c r="G339" s="152" t="s">
        <v>688</v>
      </c>
    </row>
    <row r="340" spans="1:7" ht="15.6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676</v>
      </c>
      <c r="G340" s="152" t="s">
        <v>689</v>
      </c>
    </row>
    <row r="341" spans="1:7" ht="15.6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676</v>
      </c>
      <c r="G341" s="152" t="s">
        <v>695</v>
      </c>
    </row>
    <row r="342" spans="1:7" ht="15.6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677</v>
      </c>
      <c r="G342" s="152" t="s">
        <v>690</v>
      </c>
    </row>
    <row r="343" spans="1:7" ht="15.6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678</v>
      </c>
      <c r="G343" s="152" t="s">
        <v>693</v>
      </c>
    </row>
    <row r="344" spans="1:7" ht="15.6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675</v>
      </c>
      <c r="G344" s="152" t="s">
        <v>695</v>
      </c>
    </row>
    <row r="345" spans="1:7" ht="31.2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682</v>
      </c>
      <c r="G345" s="152" t="s">
        <v>693</v>
      </c>
    </row>
    <row r="346" spans="1:7" ht="31.2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680</v>
      </c>
      <c r="G346" s="152" t="s">
        <v>696</v>
      </c>
    </row>
    <row r="347" spans="1:7" ht="31.2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680</v>
      </c>
      <c r="G347" s="152" t="s">
        <v>694</v>
      </c>
    </row>
    <row r="348" spans="1:7" ht="46.8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684</v>
      </c>
      <c r="G348" s="152" t="s">
        <v>708</v>
      </c>
    </row>
    <row r="349" spans="1:7" ht="15.6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678</v>
      </c>
      <c r="G349" s="152" t="s">
        <v>693</v>
      </c>
    </row>
    <row r="350" spans="1:7" ht="15.6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678</v>
      </c>
      <c r="G350" s="152" t="s">
        <v>698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679</v>
      </c>
      <c r="G351" s="152" t="s">
        <v>701</v>
      </c>
    </row>
    <row r="352" spans="1:7" ht="15.6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676</v>
      </c>
      <c r="G352" s="152" t="s">
        <v>695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681</v>
      </c>
      <c r="G353" s="152" t="s">
        <v>697</v>
      </c>
    </row>
    <row r="354" spans="1:7" ht="15.6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678</v>
      </c>
      <c r="G354" s="152" t="s">
        <v>698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679</v>
      </c>
      <c r="G355" s="152" t="s">
        <v>701</v>
      </c>
    </row>
    <row r="356" spans="1:7" ht="15.6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675</v>
      </c>
      <c r="G356" s="152" t="s">
        <v>688</v>
      </c>
    </row>
    <row r="357" spans="1:7" ht="15.6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676</v>
      </c>
      <c r="G357" s="152" t="s">
        <v>689</v>
      </c>
    </row>
    <row r="358" spans="1:7" ht="15.6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677</v>
      </c>
      <c r="G358" s="152" t="s">
        <v>690</v>
      </c>
    </row>
    <row r="359" spans="1:7" ht="15.6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678</v>
      </c>
      <c r="G359" s="152" t="s">
        <v>691</v>
      </c>
    </row>
    <row r="360" spans="1:7" ht="15.6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675</v>
      </c>
      <c r="G360" s="152" t="s">
        <v>688</v>
      </c>
    </row>
    <row r="361" spans="1:7" ht="15.6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676</v>
      </c>
      <c r="G361" s="152" t="s">
        <v>689</v>
      </c>
    </row>
    <row r="362" spans="1:7" ht="15.6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677</v>
      </c>
      <c r="G362" s="152" t="s">
        <v>690</v>
      </c>
    </row>
    <row r="363" spans="1:7" ht="15.6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678</v>
      </c>
      <c r="G363" s="152" t="s">
        <v>691</v>
      </c>
    </row>
    <row r="364" spans="1:7" ht="15.6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677</v>
      </c>
      <c r="G364" s="152" t="s">
        <v>690</v>
      </c>
    </row>
    <row r="365" spans="1:7" ht="15.6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678</v>
      </c>
      <c r="G365" s="152" t="s">
        <v>693</v>
      </c>
    </row>
    <row r="366" spans="1:7" ht="15.6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675</v>
      </c>
      <c r="G366" s="152" t="s">
        <v>693</v>
      </c>
    </row>
    <row r="367" spans="1:7" ht="15.6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675</v>
      </c>
      <c r="G367" s="152" t="s">
        <v>688</v>
      </c>
    </row>
    <row r="368" spans="1:7" ht="15.6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675</v>
      </c>
      <c r="G368" s="152" t="s">
        <v>695</v>
      </c>
    </row>
    <row r="369" spans="1:7" ht="31.2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680</v>
      </c>
      <c r="G369" s="152" t="s">
        <v>696</v>
      </c>
    </row>
    <row r="370" spans="1:7" ht="15.6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676</v>
      </c>
      <c r="G370" s="152" t="s">
        <v>689</v>
      </c>
    </row>
    <row r="371" spans="1:7" ht="31.2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680</v>
      </c>
      <c r="G371" s="152" t="s">
        <v>694</v>
      </c>
    </row>
    <row r="372" spans="1:7" ht="46.8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684</v>
      </c>
      <c r="G372" s="152" t="s">
        <v>708</v>
      </c>
    </row>
    <row r="373" spans="1:7" ht="15.6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679</v>
      </c>
      <c r="G373" s="152" t="s">
        <v>692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679</v>
      </c>
      <c r="G374" s="152" t="s">
        <v>699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679</v>
      </c>
      <c r="G375" s="152" t="s">
        <v>701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677</v>
      </c>
      <c r="G376" s="152" t="s">
        <v>711</v>
      </c>
    </row>
    <row r="377" spans="1:7" ht="15.6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675</v>
      </c>
      <c r="G377" s="152" t="s">
        <v>695</v>
      </c>
    </row>
    <row r="378" spans="1:7" ht="15.6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676</v>
      </c>
      <c r="G378" s="152" t="s">
        <v>695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679</v>
      </c>
      <c r="G379" s="152" t="s">
        <v>701</v>
      </c>
    </row>
    <row r="380" spans="1:7" ht="15.6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675</v>
      </c>
      <c r="G380" s="152" t="s">
        <v>712</v>
      </c>
    </row>
    <row r="381" spans="1:7" ht="15.6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676</v>
      </c>
      <c r="G381" s="152" t="s">
        <v>713</v>
      </c>
    </row>
    <row r="382" spans="1:7" ht="15.6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677</v>
      </c>
      <c r="G382" s="152" t="s">
        <v>714</v>
      </c>
    </row>
    <row r="383" spans="1:7" ht="15.6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678</v>
      </c>
      <c r="G383" s="152" t="s">
        <v>715</v>
      </c>
    </row>
    <row r="384" spans="1:7" ht="15.6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679</v>
      </c>
      <c r="G384" s="152" t="s">
        <v>716</v>
      </c>
    </row>
    <row r="385" spans="1:7" ht="15.6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675</v>
      </c>
      <c r="G385" s="152" t="s">
        <v>712</v>
      </c>
    </row>
    <row r="386" spans="1:7" ht="15.6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676</v>
      </c>
      <c r="G386" s="152" t="s">
        <v>713</v>
      </c>
    </row>
    <row r="387" spans="1:7" ht="15.6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677</v>
      </c>
      <c r="G387" s="152" t="s">
        <v>714</v>
      </c>
    </row>
    <row r="388" spans="1:7" ht="15.6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678</v>
      </c>
      <c r="G388" s="152" t="s">
        <v>715</v>
      </c>
    </row>
    <row r="389" spans="1:7" ht="15.6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679</v>
      </c>
      <c r="G389" s="152" t="s">
        <v>716</v>
      </c>
    </row>
    <row r="390" spans="1:7" ht="15.6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675</v>
      </c>
      <c r="G390" s="152" t="s">
        <v>712</v>
      </c>
    </row>
    <row r="391" spans="1:7" ht="15.6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676</v>
      </c>
      <c r="G391" s="152" t="s">
        <v>713</v>
      </c>
    </row>
    <row r="392" spans="1:7" ht="15.6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677</v>
      </c>
      <c r="G392" s="152" t="s">
        <v>714</v>
      </c>
    </row>
    <row r="393" spans="1:7" ht="15.6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678</v>
      </c>
      <c r="G393" s="152" t="s">
        <v>715</v>
      </c>
    </row>
    <row r="394" spans="1:7" ht="15.6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679</v>
      </c>
      <c r="G394" s="152" t="s">
        <v>716</v>
      </c>
    </row>
    <row r="395" spans="1:7" ht="15.6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675</v>
      </c>
      <c r="G395" s="152" t="s">
        <v>712</v>
      </c>
    </row>
    <row r="396" spans="1:7" ht="15.6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676</v>
      </c>
      <c r="G396" s="152" t="s">
        <v>713</v>
      </c>
    </row>
    <row r="397" spans="1:7" ht="15.6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677</v>
      </c>
      <c r="G397" s="152" t="s">
        <v>714</v>
      </c>
    </row>
    <row r="398" spans="1:7" ht="15.6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678</v>
      </c>
      <c r="G398" s="152" t="s">
        <v>715</v>
      </c>
    </row>
    <row r="399" spans="1:7" ht="15.6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679</v>
      </c>
      <c r="G399" s="152" t="s">
        <v>716</v>
      </c>
    </row>
    <row r="400" spans="1:7" ht="15.6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675</v>
      </c>
      <c r="G400" s="152" t="s">
        <v>712</v>
      </c>
    </row>
    <row r="401" spans="1:7" ht="15.6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676</v>
      </c>
      <c r="G401" s="152" t="s">
        <v>713</v>
      </c>
    </row>
    <row r="402" spans="1:7" ht="15.6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677</v>
      </c>
      <c r="G402" s="152" t="s">
        <v>714</v>
      </c>
    </row>
    <row r="403" spans="1:7" ht="15.6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678</v>
      </c>
      <c r="G403" s="152" t="s">
        <v>715</v>
      </c>
    </row>
    <row r="404" spans="1:7" ht="15.6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679</v>
      </c>
      <c r="G404" s="152" t="s">
        <v>716</v>
      </c>
    </row>
    <row r="405" spans="1:7" ht="15.6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675</v>
      </c>
      <c r="G405" s="152" t="s">
        <v>712</v>
      </c>
    </row>
    <row r="406" spans="1:7" ht="15.6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676</v>
      </c>
      <c r="G406" s="152" t="s">
        <v>713</v>
      </c>
    </row>
    <row r="407" spans="1:7" ht="15.6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677</v>
      </c>
      <c r="G407" s="152" t="s">
        <v>714</v>
      </c>
    </row>
    <row r="408" spans="1:7" ht="15.6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678</v>
      </c>
      <c r="G408" s="152" t="s">
        <v>715</v>
      </c>
    </row>
    <row r="409" spans="1:7" ht="15.6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679</v>
      </c>
      <c r="G409" s="152" t="s">
        <v>716</v>
      </c>
    </row>
    <row r="410" spans="1:7" ht="15.6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678</v>
      </c>
      <c r="G410" s="152" t="s">
        <v>715</v>
      </c>
    </row>
    <row r="411" spans="1:7" ht="15.6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675</v>
      </c>
      <c r="G411" s="152" t="s">
        <v>712</v>
      </c>
    </row>
    <row r="412" spans="1:7" ht="15.6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675</v>
      </c>
      <c r="G412" s="152" t="s">
        <v>712</v>
      </c>
    </row>
    <row r="413" spans="1:7" ht="31.2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680</v>
      </c>
      <c r="G413" s="152" t="s">
        <v>712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681</v>
      </c>
      <c r="G414" s="152" t="s">
        <v>717</v>
      </c>
    </row>
    <row r="415" spans="1:7" ht="15.6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678</v>
      </c>
      <c r="G415" s="152" t="s">
        <v>718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679</v>
      </c>
      <c r="G416" s="152" t="s">
        <v>717</v>
      </c>
    </row>
    <row r="417" spans="1:7" ht="15.6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675</v>
      </c>
      <c r="G417" s="152" t="s">
        <v>712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677</v>
      </c>
      <c r="G418" s="152" t="s">
        <v>717</v>
      </c>
    </row>
    <row r="419" spans="1:7" ht="15.6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678</v>
      </c>
      <c r="G419" s="152" t="s">
        <v>719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679</v>
      </c>
      <c r="G420" s="152" t="s">
        <v>717</v>
      </c>
    </row>
    <row r="421" spans="1:7" ht="15.6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677</v>
      </c>
      <c r="G421" s="152" t="s">
        <v>714</v>
      </c>
    </row>
    <row r="422" spans="1:7" ht="15.6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678</v>
      </c>
      <c r="G422" s="152" t="s">
        <v>715</v>
      </c>
    </row>
    <row r="423" spans="1:7" ht="15.6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675</v>
      </c>
      <c r="G423" s="152" t="s">
        <v>712</v>
      </c>
    </row>
    <row r="424" spans="1:7" ht="15.6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675</v>
      </c>
      <c r="G424" s="152" t="s">
        <v>712</v>
      </c>
    </row>
    <row r="425" spans="1:7" ht="15.6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676</v>
      </c>
      <c r="G425" s="152" t="s">
        <v>712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681</v>
      </c>
      <c r="G426" s="152" t="s">
        <v>717</v>
      </c>
    </row>
    <row r="427" spans="1:7" ht="15.6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678</v>
      </c>
      <c r="G427" s="152" t="s">
        <v>718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679</v>
      </c>
      <c r="G428" s="152" t="s">
        <v>717</v>
      </c>
    </row>
    <row r="429" spans="1:7" ht="15.6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675</v>
      </c>
      <c r="G429" s="152" t="s">
        <v>712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681</v>
      </c>
      <c r="G430" s="152" t="s">
        <v>717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679</v>
      </c>
      <c r="G431" s="152" t="s">
        <v>717</v>
      </c>
    </row>
    <row r="432" spans="1:7" ht="15.6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675</v>
      </c>
      <c r="G432" s="152" t="s">
        <v>712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681</v>
      </c>
      <c r="G433" s="152" t="s">
        <v>717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679</v>
      </c>
      <c r="G434" s="152" t="s">
        <v>717</v>
      </c>
    </row>
    <row r="435" spans="1:7" ht="15.6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675</v>
      </c>
      <c r="G435" s="152" t="s">
        <v>712</v>
      </c>
    </row>
    <row r="436" spans="1:7" ht="15.6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676</v>
      </c>
      <c r="G436" s="152" t="s">
        <v>713</v>
      </c>
    </row>
    <row r="437" spans="1:7" ht="15.6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677</v>
      </c>
      <c r="G437" s="152" t="s">
        <v>714</v>
      </c>
    </row>
    <row r="438" spans="1:7" ht="15.6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678</v>
      </c>
      <c r="G438" s="152" t="s">
        <v>715</v>
      </c>
    </row>
    <row r="439" spans="1:7" ht="15.6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675</v>
      </c>
      <c r="G439" s="152" t="s">
        <v>712</v>
      </c>
    </row>
    <row r="440" spans="1:7" ht="15.6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676</v>
      </c>
      <c r="G440" s="152" t="s">
        <v>713</v>
      </c>
    </row>
    <row r="441" spans="1:7" ht="15.6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677</v>
      </c>
      <c r="G441" s="152" t="s">
        <v>714</v>
      </c>
    </row>
    <row r="442" spans="1:7" ht="15.6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678</v>
      </c>
      <c r="G442" s="152" t="s">
        <v>715</v>
      </c>
    </row>
    <row r="443" spans="1:7" ht="15.6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676</v>
      </c>
      <c r="G443" s="152" t="s">
        <v>713</v>
      </c>
    </row>
    <row r="444" spans="1:7" ht="15.6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677</v>
      </c>
      <c r="G444" s="152" t="s">
        <v>714</v>
      </c>
    </row>
    <row r="445" spans="1:7" ht="15.6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678</v>
      </c>
      <c r="G445" s="152" t="s">
        <v>715</v>
      </c>
    </row>
    <row r="446" spans="1:7" ht="15.6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675</v>
      </c>
      <c r="G446" s="152" t="s">
        <v>712</v>
      </c>
    </row>
    <row r="447" spans="1:7" ht="15.6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676</v>
      </c>
      <c r="G447" s="152" t="s">
        <v>713</v>
      </c>
    </row>
    <row r="448" spans="1:7" ht="15.6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677</v>
      </c>
      <c r="G448" s="152" t="s">
        <v>714</v>
      </c>
    </row>
    <row r="449" spans="1:7" ht="15.6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678</v>
      </c>
      <c r="G449" s="152" t="s">
        <v>715</v>
      </c>
    </row>
    <row r="450" spans="1:7" ht="15.6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678</v>
      </c>
      <c r="G450" s="152" t="s">
        <v>715</v>
      </c>
    </row>
    <row r="451" spans="1:7" ht="15.6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678</v>
      </c>
      <c r="G451" s="152" t="s">
        <v>715</v>
      </c>
    </row>
    <row r="452" spans="1:7" ht="15.6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676</v>
      </c>
      <c r="G452" s="152" t="s">
        <v>713</v>
      </c>
    </row>
    <row r="453" spans="1:7" ht="15.6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678</v>
      </c>
      <c r="G453" s="152" t="s">
        <v>715</v>
      </c>
    </row>
    <row r="454" spans="1:7" ht="15.6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675</v>
      </c>
      <c r="G454" s="152" t="s">
        <v>712</v>
      </c>
    </row>
    <row r="455" spans="1:7" ht="15.6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676</v>
      </c>
      <c r="G455" s="152" t="s">
        <v>712</v>
      </c>
    </row>
    <row r="456" spans="1:7" ht="15.6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678</v>
      </c>
      <c r="G456" s="152" t="s">
        <v>718</v>
      </c>
    </row>
    <row r="457" spans="1:7" ht="15.6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675</v>
      </c>
      <c r="G457" s="152" t="s">
        <v>712</v>
      </c>
    </row>
    <row r="458" spans="1:7" ht="15.6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675</v>
      </c>
      <c r="G458" s="152" t="s">
        <v>712</v>
      </c>
    </row>
    <row r="459" spans="1:7" ht="15.6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676</v>
      </c>
      <c r="G459" s="152" t="s">
        <v>713</v>
      </c>
    </row>
    <row r="460" spans="1:7" ht="31.2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680</v>
      </c>
      <c r="G460" s="152" t="s">
        <v>712</v>
      </c>
    </row>
    <row r="461" spans="1:7" ht="46.8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684</v>
      </c>
      <c r="G461" s="152" t="s">
        <v>713</v>
      </c>
    </row>
    <row r="462" spans="1:7" ht="15.6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678</v>
      </c>
      <c r="G462" s="152" t="s">
        <v>715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679</v>
      </c>
      <c r="G463" s="152" t="s">
        <v>717</v>
      </c>
    </row>
    <row r="464" spans="1:7" ht="15.6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675</v>
      </c>
      <c r="G464" s="152" t="s">
        <v>712</v>
      </c>
    </row>
    <row r="465" spans="1:7" ht="15.6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676</v>
      </c>
      <c r="G465" s="152" t="s">
        <v>713</v>
      </c>
    </row>
    <row r="466" spans="1:7" ht="15.6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677</v>
      </c>
      <c r="G466" s="152" t="s">
        <v>714</v>
      </c>
    </row>
    <row r="467" spans="1:7" ht="15.6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678</v>
      </c>
      <c r="G467" s="152" t="s">
        <v>715</v>
      </c>
    </row>
    <row r="468" spans="1:7" ht="15.6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675</v>
      </c>
      <c r="G468" s="152" t="s">
        <v>712</v>
      </c>
    </row>
    <row r="469" spans="1:7" ht="15.6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676</v>
      </c>
      <c r="G469" s="152" t="s">
        <v>712</v>
      </c>
    </row>
    <row r="470" spans="1:7" ht="46.8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684</v>
      </c>
      <c r="G470" s="152" t="s">
        <v>713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681</v>
      </c>
      <c r="G471" s="152" t="s">
        <v>717</v>
      </c>
    </row>
    <row r="472" spans="1:7" ht="15.6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678</v>
      </c>
      <c r="G472" s="152" t="s">
        <v>715</v>
      </c>
    </row>
    <row r="473" spans="1:7" ht="15.6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678</v>
      </c>
      <c r="G473" s="152" t="s">
        <v>718</v>
      </c>
    </row>
    <row r="474" spans="1:7" ht="15.6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675</v>
      </c>
      <c r="G474" s="152" t="s">
        <v>712</v>
      </c>
    </row>
    <row r="475" spans="1:7" ht="31.2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680</v>
      </c>
      <c r="G475" s="152" t="s">
        <v>712</v>
      </c>
    </row>
    <row r="476" spans="1:7" ht="46.8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684</v>
      </c>
      <c r="G476" s="152" t="s">
        <v>713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679</v>
      </c>
      <c r="G477" s="152" t="s">
        <v>717</v>
      </c>
    </row>
    <row r="478" spans="1:7" ht="15.6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675</v>
      </c>
      <c r="G478" s="152" t="s">
        <v>712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679</v>
      </c>
      <c r="G479" s="152" t="s">
        <v>717</v>
      </c>
    </row>
    <row r="480" spans="1:7" ht="15.6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675</v>
      </c>
      <c r="G480" s="152" t="s">
        <v>712</v>
      </c>
    </row>
    <row r="481" spans="1:7" ht="15.6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676</v>
      </c>
      <c r="G481" s="152" t="s">
        <v>712</v>
      </c>
    </row>
    <row r="482" spans="1:7" ht="46.8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684</v>
      </c>
      <c r="G482" s="152" t="s">
        <v>713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681</v>
      </c>
      <c r="G483" s="152" t="s">
        <v>717</v>
      </c>
    </row>
    <row r="484" spans="1:7" ht="15.6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678</v>
      </c>
      <c r="G484" s="152" t="s">
        <v>715</v>
      </c>
    </row>
    <row r="485" spans="1:7" ht="15.6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678</v>
      </c>
      <c r="G485" s="152" t="s">
        <v>718</v>
      </c>
    </row>
    <row r="486" spans="1:7" ht="15.6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675</v>
      </c>
      <c r="G486" s="152" t="s">
        <v>712</v>
      </c>
    </row>
    <row r="487" spans="1:7" ht="31.2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680</v>
      </c>
      <c r="G487" s="152" t="s">
        <v>712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679</v>
      </c>
      <c r="G488" s="152" t="s">
        <v>717</v>
      </c>
    </row>
    <row r="489" spans="1:7" ht="15.6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675</v>
      </c>
      <c r="G489" s="152" t="s">
        <v>712</v>
      </c>
    </row>
    <row r="490" spans="1:7" ht="15.6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678</v>
      </c>
      <c r="G490" s="152" t="s">
        <v>718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679</v>
      </c>
      <c r="G491" s="152" t="s">
        <v>717</v>
      </c>
    </row>
    <row r="492" spans="1:7" ht="15.6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675</v>
      </c>
      <c r="G492" s="152" t="s">
        <v>712</v>
      </c>
    </row>
    <row r="493" spans="1:7" ht="15.6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676</v>
      </c>
      <c r="G493" s="152" t="s">
        <v>712</v>
      </c>
    </row>
    <row r="494" spans="1:7" ht="15.6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678</v>
      </c>
      <c r="G494" s="152" t="s">
        <v>718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679</v>
      </c>
      <c r="G495" s="152" t="s">
        <v>717</v>
      </c>
    </row>
    <row r="496" spans="1:7" ht="15.6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675</v>
      </c>
      <c r="G496" s="152" t="s">
        <v>712</v>
      </c>
    </row>
    <row r="497" spans="1:7" ht="31.2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682</v>
      </c>
      <c r="G497" s="152" t="s">
        <v>712</v>
      </c>
    </row>
    <row r="498" spans="1:7" ht="31.2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680</v>
      </c>
      <c r="G498" s="152" t="s">
        <v>712</v>
      </c>
    </row>
    <row r="499" spans="1:7" ht="46.8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684</v>
      </c>
      <c r="G499" s="152" t="s">
        <v>713</v>
      </c>
    </row>
    <row r="500" spans="1:7" ht="15.6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678</v>
      </c>
      <c r="G500" s="152" t="s">
        <v>719</v>
      </c>
    </row>
    <row r="501" spans="1:7" ht="15.6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677</v>
      </c>
      <c r="G501" s="152" t="s">
        <v>714</v>
      </c>
    </row>
    <row r="502" spans="1:7" ht="15.6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678</v>
      </c>
      <c r="G502" s="152" t="s">
        <v>715</v>
      </c>
    </row>
    <row r="503" spans="1:7" ht="15.6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675</v>
      </c>
      <c r="G503" s="152" t="s">
        <v>712</v>
      </c>
    </row>
    <row r="504" spans="1:7" ht="15.6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676</v>
      </c>
      <c r="G504" s="152" t="s">
        <v>713</v>
      </c>
    </row>
    <row r="505" spans="1:7" ht="15.6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677</v>
      </c>
      <c r="G505" s="152" t="s">
        <v>714</v>
      </c>
    </row>
    <row r="506" spans="1:7" ht="15.6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678</v>
      </c>
      <c r="G506" s="152" t="s">
        <v>715</v>
      </c>
    </row>
    <row r="507" spans="1:7" ht="15.6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679</v>
      </c>
      <c r="G507" s="152" t="s">
        <v>716</v>
      </c>
    </row>
    <row r="508" spans="1:7" ht="15.6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675</v>
      </c>
      <c r="G508" s="152" t="s">
        <v>712</v>
      </c>
    </row>
    <row r="509" spans="1:7" ht="15.6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676</v>
      </c>
      <c r="G509" s="152" t="s">
        <v>713</v>
      </c>
    </row>
    <row r="510" spans="1:7" ht="15.6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677</v>
      </c>
      <c r="G510" s="152" t="s">
        <v>714</v>
      </c>
    </row>
    <row r="511" spans="1:7" ht="15.6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678</v>
      </c>
      <c r="G511" s="152" t="s">
        <v>715</v>
      </c>
    </row>
    <row r="512" spans="1:7" ht="15.6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679</v>
      </c>
      <c r="G512" s="152" t="s">
        <v>716</v>
      </c>
    </row>
    <row r="513" spans="1:7" ht="15.6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675</v>
      </c>
      <c r="G513" s="152" t="s">
        <v>712</v>
      </c>
    </row>
    <row r="514" spans="1:7" ht="15.6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676</v>
      </c>
      <c r="G514" s="152" t="s">
        <v>713</v>
      </c>
    </row>
    <row r="515" spans="1:7" ht="15.6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677</v>
      </c>
      <c r="G515" s="152" t="s">
        <v>714</v>
      </c>
    </row>
    <row r="516" spans="1:7" ht="15.6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678</v>
      </c>
      <c r="G516" s="152" t="s">
        <v>715</v>
      </c>
    </row>
    <row r="517" spans="1:7" ht="15.6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679</v>
      </c>
      <c r="G517" s="152" t="s">
        <v>716</v>
      </c>
    </row>
    <row r="518" spans="1:7" ht="15.6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675</v>
      </c>
      <c r="G518" s="152" t="s">
        <v>712</v>
      </c>
    </row>
    <row r="519" spans="1:7" ht="15.6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676</v>
      </c>
      <c r="G519" s="152" t="s">
        <v>713</v>
      </c>
    </row>
    <row r="520" spans="1:7" ht="15.6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677</v>
      </c>
      <c r="G520" s="152" t="s">
        <v>714</v>
      </c>
    </row>
    <row r="521" spans="1:7" ht="15.6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678</v>
      </c>
      <c r="G521" s="152" t="s">
        <v>715</v>
      </c>
    </row>
    <row r="522" spans="1:7" ht="15.6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679</v>
      </c>
      <c r="G522" s="152" t="s">
        <v>716</v>
      </c>
    </row>
    <row r="523" spans="1:7" ht="15.6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675</v>
      </c>
      <c r="G523" s="152" t="s">
        <v>712</v>
      </c>
    </row>
    <row r="524" spans="1:7" ht="15.6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676</v>
      </c>
      <c r="G524" s="152" t="s">
        <v>713</v>
      </c>
    </row>
    <row r="525" spans="1:7" ht="15.6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677</v>
      </c>
      <c r="G525" s="152" t="s">
        <v>714</v>
      </c>
    </row>
    <row r="526" spans="1:7" ht="15.6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676</v>
      </c>
      <c r="G526" s="152" t="s">
        <v>713</v>
      </c>
    </row>
    <row r="527" spans="1:7" ht="15.6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678</v>
      </c>
      <c r="G527" s="152" t="s">
        <v>715</v>
      </c>
    </row>
    <row r="528" spans="1:7" ht="15.6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679</v>
      </c>
      <c r="G528" s="152" t="s">
        <v>716</v>
      </c>
    </row>
    <row r="529" spans="1:7" ht="15.6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675</v>
      </c>
      <c r="G529" s="152" t="s">
        <v>712</v>
      </c>
    </row>
    <row r="530" spans="1:7" ht="15.6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676</v>
      </c>
      <c r="G530" s="152" t="s">
        <v>713</v>
      </c>
    </row>
    <row r="531" spans="1:7" ht="15.6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677</v>
      </c>
      <c r="G531" s="152" t="s">
        <v>714</v>
      </c>
    </row>
    <row r="532" spans="1:7" ht="15.6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678</v>
      </c>
      <c r="G532" s="152" t="s">
        <v>715</v>
      </c>
    </row>
    <row r="533" spans="1:7" ht="15.6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679</v>
      </c>
      <c r="G533" s="152" t="s">
        <v>716</v>
      </c>
    </row>
    <row r="534" spans="1:7" ht="15.6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675</v>
      </c>
      <c r="G534" s="152" t="s">
        <v>712</v>
      </c>
    </row>
    <row r="535" spans="1:7" ht="15.6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676</v>
      </c>
      <c r="G535" s="152" t="s">
        <v>713</v>
      </c>
    </row>
    <row r="536" spans="1:7" ht="15.6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677</v>
      </c>
      <c r="G536" s="152" t="s">
        <v>714</v>
      </c>
    </row>
    <row r="537" spans="1:7" ht="15.6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678</v>
      </c>
      <c r="G537" s="152" t="s">
        <v>715</v>
      </c>
    </row>
    <row r="538" spans="1:7" ht="15.6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678</v>
      </c>
      <c r="G538" s="152" t="s">
        <v>715</v>
      </c>
    </row>
    <row r="539" spans="1:7" ht="31.2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680</v>
      </c>
      <c r="G539" s="152" t="s">
        <v>712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681</v>
      </c>
      <c r="G540" s="152" t="s">
        <v>717</v>
      </c>
    </row>
    <row r="541" spans="1:7" ht="15.6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678</v>
      </c>
      <c r="G541" s="152" t="s">
        <v>715</v>
      </c>
    </row>
    <row r="542" spans="1:7" ht="15.6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678</v>
      </c>
      <c r="G542" s="152" t="s">
        <v>719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679</v>
      </c>
      <c r="G543" s="152" t="s">
        <v>717</v>
      </c>
    </row>
    <row r="544" spans="1:7" ht="15.6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676</v>
      </c>
      <c r="G544" s="152" t="s">
        <v>713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681</v>
      </c>
      <c r="G545" s="152" t="s">
        <v>717</v>
      </c>
    </row>
    <row r="546" spans="1:7" ht="15.6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678</v>
      </c>
      <c r="G546" s="152" t="s">
        <v>718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679</v>
      </c>
      <c r="G547" s="152" t="s">
        <v>717</v>
      </c>
    </row>
    <row r="548" spans="1:7" ht="15.6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676</v>
      </c>
      <c r="G548" s="152" t="s">
        <v>713</v>
      </c>
    </row>
    <row r="549" spans="1:7" ht="15.6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678</v>
      </c>
      <c r="G549" s="152" t="s">
        <v>715</v>
      </c>
    </row>
    <row r="550" spans="1:7" ht="15.6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675</v>
      </c>
      <c r="G550" s="152" t="s">
        <v>712</v>
      </c>
    </row>
    <row r="551" spans="1:7" ht="15.6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676</v>
      </c>
      <c r="G551" s="152" t="s">
        <v>712</v>
      </c>
    </row>
    <row r="552" spans="1:7" ht="46.8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142" t="s">
        <v>684</v>
      </c>
      <c r="G552" s="152" t="s">
        <v>713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681</v>
      </c>
      <c r="G553" s="152" t="s">
        <v>717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683</v>
      </c>
      <c r="G554" s="152" t="s">
        <v>714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679</v>
      </c>
      <c r="G555" s="152" t="s">
        <v>717</v>
      </c>
    </row>
    <row r="556" spans="1:7" ht="15.6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675</v>
      </c>
      <c r="G556" s="152" t="s">
        <v>712</v>
      </c>
    </row>
    <row r="557" spans="1:7" ht="15.6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676</v>
      </c>
      <c r="G557" s="152" t="s">
        <v>713</v>
      </c>
    </row>
    <row r="558" spans="1:7" ht="15.6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677</v>
      </c>
      <c r="G558" s="152" t="s">
        <v>714</v>
      </c>
    </row>
    <row r="559" spans="1:7" ht="15.6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678</v>
      </c>
      <c r="G559" s="152" t="s">
        <v>715</v>
      </c>
    </row>
    <row r="560" spans="1:7" ht="15.6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676</v>
      </c>
      <c r="G560" s="152" t="s">
        <v>713</v>
      </c>
    </row>
    <row r="561" spans="1:7" ht="15.6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675</v>
      </c>
      <c r="G561" s="152" t="s">
        <v>712</v>
      </c>
    </row>
    <row r="562" spans="1:7" ht="15.6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676</v>
      </c>
      <c r="G562" s="152" t="s">
        <v>713</v>
      </c>
    </row>
    <row r="563" spans="1:7" ht="15.6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677</v>
      </c>
      <c r="G563" s="152" t="s">
        <v>714</v>
      </c>
    </row>
    <row r="564" spans="1:7" ht="15.6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678</v>
      </c>
      <c r="G564" s="152" t="s">
        <v>715</v>
      </c>
    </row>
    <row r="565" spans="1:7" ht="15.6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675</v>
      </c>
      <c r="G565" s="152" t="s">
        <v>712</v>
      </c>
    </row>
    <row r="566" spans="1:7" ht="15.6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676</v>
      </c>
      <c r="G566" s="152" t="s">
        <v>713</v>
      </c>
    </row>
    <row r="567" spans="1:7" ht="15.6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677</v>
      </c>
      <c r="G567" s="152" t="s">
        <v>714</v>
      </c>
    </row>
    <row r="568" spans="1:7" ht="15.6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678</v>
      </c>
      <c r="G568" s="152" t="s">
        <v>715</v>
      </c>
    </row>
    <row r="569" spans="1:7" ht="15.6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676</v>
      </c>
      <c r="G569" s="152" t="s">
        <v>712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681</v>
      </c>
      <c r="G570" s="152" t="s">
        <v>717</v>
      </c>
    </row>
    <row r="571" spans="1:7" ht="15.6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678</v>
      </c>
      <c r="G571" s="152" t="s">
        <v>718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679</v>
      </c>
      <c r="G572" s="152" t="s">
        <v>717</v>
      </c>
    </row>
    <row r="573" spans="1:7" ht="15.6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675</v>
      </c>
      <c r="G573" s="152" t="s">
        <v>712</v>
      </c>
    </row>
    <row r="574" spans="1:7" ht="15.6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676</v>
      </c>
      <c r="G574" s="152" t="s">
        <v>713</v>
      </c>
    </row>
    <row r="575" spans="1:7" ht="15.6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678</v>
      </c>
      <c r="G575" s="152" t="s">
        <v>715</v>
      </c>
    </row>
    <row r="576" spans="1:7" ht="15.6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678</v>
      </c>
      <c r="G576" s="152" t="s">
        <v>718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679</v>
      </c>
      <c r="G577" s="152" t="s">
        <v>717</v>
      </c>
    </row>
    <row r="578" spans="1:7" ht="15.6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677</v>
      </c>
      <c r="G578" s="152" t="s">
        <v>714</v>
      </c>
    </row>
    <row r="579" spans="1:7" ht="15.6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678</v>
      </c>
      <c r="G579" s="152" t="s">
        <v>715</v>
      </c>
    </row>
    <row r="580" spans="1:7" ht="15.6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675</v>
      </c>
      <c r="G580" s="152" t="s">
        <v>712</v>
      </c>
    </row>
    <row r="581" spans="1:7" ht="15.6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676</v>
      </c>
      <c r="G581" s="152" t="s">
        <v>713</v>
      </c>
    </row>
    <row r="582" spans="1:7" ht="15.6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677</v>
      </c>
      <c r="G582" s="152" t="s">
        <v>714</v>
      </c>
    </row>
    <row r="583" spans="1:7" ht="15.6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678</v>
      </c>
      <c r="G583" s="152" t="s">
        <v>715</v>
      </c>
    </row>
    <row r="584" spans="1:7" ht="15.6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675</v>
      </c>
      <c r="G584" s="152" t="s">
        <v>712</v>
      </c>
    </row>
    <row r="585" spans="1:7" ht="15.6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676</v>
      </c>
      <c r="G585" s="152" t="s">
        <v>713</v>
      </c>
    </row>
    <row r="586" spans="1:7" ht="15.6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677</v>
      </c>
      <c r="G586" s="152" t="s">
        <v>714</v>
      </c>
    </row>
    <row r="587" spans="1:7" ht="15.6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678</v>
      </c>
      <c r="G587" s="152" t="s">
        <v>715</v>
      </c>
    </row>
    <row r="588" spans="1:7" ht="15.6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675</v>
      </c>
      <c r="G588" s="152" t="s">
        <v>712</v>
      </c>
    </row>
    <row r="589" spans="1:7" ht="15.6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676</v>
      </c>
      <c r="G589" s="152" t="s">
        <v>713</v>
      </c>
    </row>
    <row r="590" spans="1:7" ht="15.6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678</v>
      </c>
      <c r="G590" s="152" t="s">
        <v>715</v>
      </c>
    </row>
    <row r="591" spans="1:7" ht="15.6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679</v>
      </c>
      <c r="G591" s="152" t="s">
        <v>716</v>
      </c>
    </row>
    <row r="592" spans="1:7" ht="15.6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675</v>
      </c>
      <c r="G592" s="152" t="s">
        <v>712</v>
      </c>
    </row>
    <row r="593" spans="1:7" ht="31.2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682</v>
      </c>
      <c r="G593" s="152" t="s">
        <v>712</v>
      </c>
    </row>
    <row r="594" spans="1:7" ht="31.2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680</v>
      </c>
      <c r="G594" s="152" t="s">
        <v>712</v>
      </c>
    </row>
    <row r="595" spans="1:7" ht="15.6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676</v>
      </c>
      <c r="G595" s="152" t="s">
        <v>712</v>
      </c>
    </row>
    <row r="596" spans="1:7" ht="46.8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684</v>
      </c>
      <c r="G596" s="152" t="s">
        <v>713</v>
      </c>
    </row>
    <row r="597" spans="1:7" ht="15.6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678</v>
      </c>
      <c r="G597" s="152" t="s">
        <v>718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679</v>
      </c>
      <c r="G598" s="152" t="s">
        <v>717</v>
      </c>
    </row>
    <row r="599" spans="1:7" ht="15.6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675</v>
      </c>
      <c r="G599" s="152" t="s">
        <v>712</v>
      </c>
    </row>
    <row r="600" spans="1:7" ht="15.6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676</v>
      </c>
      <c r="G600" s="152" t="s">
        <v>713</v>
      </c>
    </row>
    <row r="601" spans="1:7" ht="15.6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677</v>
      </c>
      <c r="G601" s="152" t="s">
        <v>714</v>
      </c>
    </row>
    <row r="602" spans="1:7" ht="15.6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678</v>
      </c>
      <c r="G602" s="152" t="s">
        <v>715</v>
      </c>
    </row>
    <row r="603" spans="1:7" ht="15.6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679</v>
      </c>
      <c r="G603" s="152" t="s">
        <v>716</v>
      </c>
    </row>
    <row r="604" spans="1:7" ht="15.6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675</v>
      </c>
      <c r="G604" s="152" t="s">
        <v>712</v>
      </c>
    </row>
    <row r="605" spans="1:7" ht="15.6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676</v>
      </c>
      <c r="G605" s="152" t="s">
        <v>713</v>
      </c>
    </row>
    <row r="606" spans="1:7" ht="15.6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677</v>
      </c>
      <c r="G606" s="152" t="s">
        <v>714</v>
      </c>
    </row>
    <row r="607" spans="1:7" ht="15.6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678</v>
      </c>
      <c r="G607" s="152" t="s">
        <v>715</v>
      </c>
    </row>
    <row r="608" spans="1:7" ht="15.6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679</v>
      </c>
      <c r="G608" s="152" t="s">
        <v>716</v>
      </c>
    </row>
    <row r="609" spans="1:7" ht="15.6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675</v>
      </c>
      <c r="G609" s="152" t="s">
        <v>712</v>
      </c>
    </row>
    <row r="610" spans="1:7" ht="15.6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676</v>
      </c>
      <c r="G610" s="152" t="s">
        <v>713</v>
      </c>
    </row>
    <row r="611" spans="1:7" ht="15.6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677</v>
      </c>
      <c r="G611" s="152" t="s">
        <v>714</v>
      </c>
    </row>
    <row r="612" spans="1:7" ht="15.6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678</v>
      </c>
      <c r="G612" s="152" t="s">
        <v>715</v>
      </c>
    </row>
    <row r="613" spans="1:7" ht="15.6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679</v>
      </c>
      <c r="G613" s="152" t="s">
        <v>716</v>
      </c>
    </row>
    <row r="614" spans="1:7" ht="15.6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675</v>
      </c>
      <c r="G614" s="152" t="s">
        <v>712</v>
      </c>
    </row>
    <row r="615" spans="1:7" ht="15.6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676</v>
      </c>
      <c r="G615" s="152" t="s">
        <v>713</v>
      </c>
    </row>
    <row r="616" spans="1:7" ht="15.6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677</v>
      </c>
      <c r="G616" s="152" t="s">
        <v>714</v>
      </c>
    </row>
    <row r="617" spans="1:7" ht="15.6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678</v>
      </c>
      <c r="G617" s="152" t="s">
        <v>715</v>
      </c>
    </row>
    <row r="618" spans="1:7" ht="15.6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679</v>
      </c>
      <c r="G618" s="152" t="s">
        <v>716</v>
      </c>
    </row>
    <row r="619" spans="1:7" ht="15.6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675</v>
      </c>
      <c r="G619" s="152" t="s">
        <v>712</v>
      </c>
    </row>
    <row r="620" spans="1:7" ht="15.6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676</v>
      </c>
      <c r="G620" s="152" t="s">
        <v>713</v>
      </c>
    </row>
    <row r="621" spans="1:7" ht="15.6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677</v>
      </c>
      <c r="G621" s="152" t="s">
        <v>714</v>
      </c>
    </row>
    <row r="622" spans="1:7" ht="15.6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678</v>
      </c>
      <c r="G622" s="152" t="s">
        <v>715</v>
      </c>
    </row>
    <row r="623" spans="1:7" ht="15.6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679</v>
      </c>
      <c r="G623" s="152" t="s">
        <v>716</v>
      </c>
    </row>
    <row r="624" spans="1:7" ht="15.6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675</v>
      </c>
      <c r="G624" s="152" t="s">
        <v>712</v>
      </c>
    </row>
    <row r="625" spans="1:7" ht="15.6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676</v>
      </c>
      <c r="G625" s="152" t="s">
        <v>713</v>
      </c>
    </row>
    <row r="626" spans="1:7" ht="15.6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677</v>
      </c>
      <c r="G626" s="152" t="s">
        <v>714</v>
      </c>
    </row>
    <row r="627" spans="1:7" ht="15.6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678</v>
      </c>
      <c r="G627" s="152" t="s">
        <v>715</v>
      </c>
    </row>
    <row r="628" spans="1:7" ht="15.6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679</v>
      </c>
      <c r="G628" s="152" t="s">
        <v>716</v>
      </c>
    </row>
    <row r="629" spans="1:7" ht="15.6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675</v>
      </c>
      <c r="G629" s="152" t="s">
        <v>712</v>
      </c>
    </row>
    <row r="630" spans="1:7" ht="15.6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676</v>
      </c>
      <c r="G630" s="152" t="s">
        <v>713</v>
      </c>
    </row>
    <row r="631" spans="1:7" ht="15.6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677</v>
      </c>
      <c r="G631" s="152" t="s">
        <v>714</v>
      </c>
    </row>
    <row r="632" spans="1:7" ht="15.6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678</v>
      </c>
      <c r="G632" s="152" t="s">
        <v>715</v>
      </c>
    </row>
    <row r="633" spans="1:7" ht="15.6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679</v>
      </c>
      <c r="G633" s="152" t="s">
        <v>716</v>
      </c>
    </row>
    <row r="634" spans="1:7" ht="15.6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675</v>
      </c>
      <c r="G634" s="152" t="s">
        <v>712</v>
      </c>
    </row>
    <row r="635" spans="1:7" ht="15.6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676</v>
      </c>
      <c r="G635" s="152" t="s">
        <v>713</v>
      </c>
    </row>
    <row r="636" spans="1:7" ht="15.6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678</v>
      </c>
      <c r="G636" s="152" t="s">
        <v>715</v>
      </c>
    </row>
    <row r="637" spans="1:7" ht="15.6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679</v>
      </c>
      <c r="G637" s="152" t="s">
        <v>716</v>
      </c>
    </row>
    <row r="638" spans="1:7" ht="15.6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678</v>
      </c>
      <c r="G638" s="152" t="s">
        <v>715</v>
      </c>
    </row>
    <row r="639" spans="1:7" ht="15.6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675</v>
      </c>
      <c r="G639" s="152" t="s">
        <v>712</v>
      </c>
    </row>
    <row r="640" spans="1:7" ht="15.6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675</v>
      </c>
      <c r="G640" s="152" t="s">
        <v>712</v>
      </c>
    </row>
    <row r="641" spans="1:7" ht="31.2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680</v>
      </c>
      <c r="G641" s="152" t="s">
        <v>712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681</v>
      </c>
      <c r="G642" s="152" t="s">
        <v>717</v>
      </c>
    </row>
    <row r="643" spans="1:7" ht="15.6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678</v>
      </c>
      <c r="G643" s="152" t="s">
        <v>718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679</v>
      </c>
      <c r="G644" s="152" t="s">
        <v>717</v>
      </c>
    </row>
    <row r="645" spans="1:7" ht="15.6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675</v>
      </c>
      <c r="G645" s="152" t="s">
        <v>712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677</v>
      </c>
      <c r="G646" s="152" t="s">
        <v>717</v>
      </c>
    </row>
    <row r="647" spans="1:7" ht="15.6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678</v>
      </c>
      <c r="G647" s="152" t="s">
        <v>719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679</v>
      </c>
      <c r="G648" s="152" t="s">
        <v>717</v>
      </c>
    </row>
    <row r="649" spans="1:7" ht="15.6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675</v>
      </c>
      <c r="G649" s="152" t="s">
        <v>712</v>
      </c>
    </row>
    <row r="650" spans="1:7" ht="15.6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677</v>
      </c>
      <c r="G650" s="152" t="s">
        <v>714</v>
      </c>
    </row>
    <row r="651" spans="1:7" ht="15.6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678</v>
      </c>
      <c r="G651" s="152" t="s">
        <v>715</v>
      </c>
    </row>
    <row r="652" spans="1:7" ht="15.6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675</v>
      </c>
      <c r="G652" s="152" t="s">
        <v>712</v>
      </c>
    </row>
    <row r="653" spans="1:7" ht="15.6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675</v>
      </c>
      <c r="G653" s="152" t="s">
        <v>712</v>
      </c>
    </row>
    <row r="654" spans="1:7" ht="15.6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676</v>
      </c>
      <c r="G654" s="152" t="s">
        <v>712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681</v>
      </c>
      <c r="G655" s="152" t="s">
        <v>717</v>
      </c>
    </row>
    <row r="656" spans="1:7" ht="15.6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678</v>
      </c>
      <c r="G656" s="152" t="s">
        <v>718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679</v>
      </c>
      <c r="G657" s="152" t="s">
        <v>717</v>
      </c>
    </row>
    <row r="658" spans="1:7" ht="15.6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675</v>
      </c>
      <c r="G658" s="152" t="s">
        <v>712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681</v>
      </c>
      <c r="G659" s="152" t="s">
        <v>717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679</v>
      </c>
      <c r="G660" s="152" t="s">
        <v>717</v>
      </c>
    </row>
    <row r="661" spans="1:7" ht="15.6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675</v>
      </c>
      <c r="G661" s="152" t="s">
        <v>712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681</v>
      </c>
      <c r="G662" s="152" t="s">
        <v>717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679</v>
      </c>
      <c r="G663" s="152" t="s">
        <v>717</v>
      </c>
    </row>
    <row r="664" spans="1:7" ht="15.6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675</v>
      </c>
      <c r="G664" s="152" t="s">
        <v>712</v>
      </c>
    </row>
    <row r="665" spans="1:7" ht="15.6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676</v>
      </c>
      <c r="G665" s="152" t="s">
        <v>713</v>
      </c>
    </row>
    <row r="666" spans="1:7" ht="15.6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677</v>
      </c>
      <c r="G666" s="152" t="s">
        <v>714</v>
      </c>
    </row>
    <row r="667" spans="1:7" ht="15.6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678</v>
      </c>
      <c r="G667" s="152" t="s">
        <v>715</v>
      </c>
    </row>
    <row r="668" spans="1:7" ht="15.6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675</v>
      </c>
      <c r="G668" s="152" t="s">
        <v>712</v>
      </c>
    </row>
    <row r="669" spans="1:7" ht="15.6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676</v>
      </c>
      <c r="G669" s="152" t="s">
        <v>713</v>
      </c>
    </row>
    <row r="670" spans="1:7" ht="15.6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678</v>
      </c>
      <c r="G670" s="152" t="s">
        <v>715</v>
      </c>
    </row>
    <row r="671" spans="1:7" ht="15.6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676</v>
      </c>
      <c r="G671" s="152" t="s">
        <v>713</v>
      </c>
    </row>
    <row r="672" spans="1:7" ht="15.6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677</v>
      </c>
      <c r="G672" s="152" t="s">
        <v>714</v>
      </c>
    </row>
    <row r="673" spans="1:7" ht="15.6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678</v>
      </c>
      <c r="G673" s="152" t="s">
        <v>715</v>
      </c>
    </row>
    <row r="674" spans="1:7" ht="15.6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678</v>
      </c>
      <c r="G674" s="152" t="s">
        <v>715</v>
      </c>
    </row>
    <row r="675" spans="1:7" ht="15.6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676</v>
      </c>
      <c r="G675" s="152" t="s">
        <v>713</v>
      </c>
    </row>
    <row r="676" spans="1:7" ht="15.6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678</v>
      </c>
      <c r="G676" s="152" t="s">
        <v>715</v>
      </c>
    </row>
    <row r="677" spans="1:7" ht="15.6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679</v>
      </c>
      <c r="G677" s="152" t="s">
        <v>716</v>
      </c>
    </row>
    <row r="678" spans="1:7" ht="15.6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675</v>
      </c>
      <c r="G678" s="152" t="s">
        <v>712</v>
      </c>
    </row>
    <row r="679" spans="1:7" ht="15.6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678</v>
      </c>
      <c r="G679" s="152" t="s">
        <v>715</v>
      </c>
    </row>
    <row r="680" spans="1:7" ht="15.6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675</v>
      </c>
      <c r="G680" s="152" t="s">
        <v>712</v>
      </c>
    </row>
    <row r="681" spans="1:7" ht="15.6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676</v>
      </c>
      <c r="G681" s="152" t="s">
        <v>713</v>
      </c>
    </row>
    <row r="682" spans="1:7" ht="15.6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677</v>
      </c>
      <c r="G682" s="152" t="s">
        <v>714</v>
      </c>
    </row>
    <row r="683" spans="1:7" ht="15.6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678</v>
      </c>
      <c r="G683" s="152" t="s">
        <v>715</v>
      </c>
    </row>
    <row r="684" spans="1:7" ht="15.6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679</v>
      </c>
      <c r="G684" s="152" t="s">
        <v>716</v>
      </c>
    </row>
    <row r="685" spans="1:7" ht="15.6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675</v>
      </c>
      <c r="G685" s="152" t="s">
        <v>712</v>
      </c>
    </row>
    <row r="686" spans="1:7" ht="15.6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676</v>
      </c>
      <c r="G686" s="152" t="s">
        <v>713</v>
      </c>
    </row>
    <row r="687" spans="1:7" ht="15.6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677</v>
      </c>
      <c r="G687" s="152" t="s">
        <v>714</v>
      </c>
    </row>
    <row r="688" spans="1:7" ht="15.6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678</v>
      </c>
      <c r="G688" s="152" t="s">
        <v>715</v>
      </c>
    </row>
    <row r="689" spans="1:7" ht="15.6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676</v>
      </c>
      <c r="G689" s="152" t="s">
        <v>713</v>
      </c>
    </row>
    <row r="690" spans="1:7" ht="15.6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677</v>
      </c>
      <c r="G690" s="152" t="s">
        <v>714</v>
      </c>
    </row>
    <row r="691" spans="1:7" ht="15.6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678</v>
      </c>
      <c r="G691" s="152" t="s">
        <v>715</v>
      </c>
    </row>
    <row r="692" spans="1:7" ht="15.6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676</v>
      </c>
      <c r="G692" s="152" t="s">
        <v>713</v>
      </c>
    </row>
    <row r="693" spans="1:7" ht="15.6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677</v>
      </c>
      <c r="G693" s="152" t="s">
        <v>714</v>
      </c>
    </row>
    <row r="694" spans="1:7" ht="15.6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678</v>
      </c>
      <c r="G694" s="152" t="s">
        <v>715</v>
      </c>
    </row>
    <row r="695" spans="1:7" ht="15.6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675</v>
      </c>
      <c r="G695" s="152" t="s">
        <v>712</v>
      </c>
    </row>
    <row r="696" spans="1:7" ht="15.6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676</v>
      </c>
      <c r="G696" s="152" t="s">
        <v>713</v>
      </c>
    </row>
    <row r="697" spans="1:7" ht="15.6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677</v>
      </c>
      <c r="G697" s="152" t="s">
        <v>714</v>
      </c>
    </row>
    <row r="698" spans="1:7" ht="15.6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678</v>
      </c>
      <c r="G698" s="152" t="s">
        <v>715</v>
      </c>
    </row>
    <row r="699" spans="1:7" ht="15.6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675</v>
      </c>
      <c r="G699" s="152" t="s">
        <v>712</v>
      </c>
    </row>
    <row r="700" spans="1:7" ht="15.6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676</v>
      </c>
      <c r="G700" s="152" t="s">
        <v>713</v>
      </c>
    </row>
    <row r="701" spans="1:7" ht="15.6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678</v>
      </c>
      <c r="G701" s="152" t="s">
        <v>715</v>
      </c>
    </row>
    <row r="702" spans="1:7" ht="15.6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675</v>
      </c>
      <c r="G702" s="152" t="s">
        <v>712</v>
      </c>
    </row>
    <row r="703" spans="1:7" ht="15.6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676</v>
      </c>
      <c r="G703" s="152" t="s">
        <v>713</v>
      </c>
    </row>
    <row r="704" spans="1:7" ht="15.6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678</v>
      </c>
      <c r="G704" s="152" t="s">
        <v>715</v>
      </c>
    </row>
    <row r="705" spans="1:7" ht="15.6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676</v>
      </c>
      <c r="G705" s="152" t="s">
        <v>713</v>
      </c>
    </row>
    <row r="706" spans="1:7" ht="15.6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678</v>
      </c>
      <c r="G706" s="152" t="s">
        <v>715</v>
      </c>
    </row>
    <row r="707" spans="1:7" ht="15.6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675</v>
      </c>
      <c r="G707" s="152" t="s">
        <v>712</v>
      </c>
    </row>
    <row r="708" spans="1:7" ht="15.6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676</v>
      </c>
      <c r="G708" s="152" t="s">
        <v>713</v>
      </c>
    </row>
    <row r="709" spans="1:7" ht="15.6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677</v>
      </c>
      <c r="G709" s="152" t="s">
        <v>714</v>
      </c>
    </row>
    <row r="710" spans="1:7" ht="15.6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678</v>
      </c>
      <c r="G710" s="152" t="s">
        <v>715</v>
      </c>
    </row>
    <row r="711" spans="1:7" ht="15.6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679</v>
      </c>
      <c r="G711" s="152" t="s">
        <v>716</v>
      </c>
    </row>
    <row r="712" spans="1:7" ht="15.6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675</v>
      </c>
      <c r="G712" s="152" t="s">
        <v>712</v>
      </c>
    </row>
    <row r="713" spans="1:7" ht="15.6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676</v>
      </c>
      <c r="G713" s="152" t="s">
        <v>713</v>
      </c>
    </row>
    <row r="714" spans="1:7" ht="15.6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678</v>
      </c>
      <c r="G714" s="152" t="s">
        <v>715</v>
      </c>
    </row>
    <row r="715" spans="1:7" ht="15.6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679</v>
      </c>
      <c r="G715" s="152" t="s">
        <v>716</v>
      </c>
    </row>
    <row r="716" spans="1:7" ht="15.6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675</v>
      </c>
      <c r="G716" s="152" t="s">
        <v>712</v>
      </c>
    </row>
    <row r="717" spans="1:7" ht="15.6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676</v>
      </c>
      <c r="G717" s="152" t="s">
        <v>713</v>
      </c>
    </row>
    <row r="718" spans="1:7" ht="15.6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678</v>
      </c>
      <c r="G718" s="152" t="s">
        <v>715</v>
      </c>
    </row>
    <row r="719" spans="1:7" ht="15.6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679</v>
      </c>
      <c r="G719" s="152" t="s">
        <v>716</v>
      </c>
    </row>
    <row r="720" spans="1:7" ht="15.6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678</v>
      </c>
      <c r="G720" s="152" t="s">
        <v>715</v>
      </c>
    </row>
    <row r="721" spans="1:7" ht="15.6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676</v>
      </c>
      <c r="G721" s="152" t="s">
        <v>713</v>
      </c>
    </row>
    <row r="722" spans="1:7" ht="15.6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678</v>
      </c>
      <c r="G722" s="152" t="s">
        <v>715</v>
      </c>
    </row>
    <row r="723" spans="1:7" ht="15.6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679</v>
      </c>
      <c r="G723" s="152" t="s">
        <v>716</v>
      </c>
    </row>
    <row r="724" spans="1:7" ht="15.6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676</v>
      </c>
      <c r="G724" s="152" t="s">
        <v>713</v>
      </c>
    </row>
    <row r="725" spans="1:7" ht="15.6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678</v>
      </c>
      <c r="G725" s="152" t="s">
        <v>715</v>
      </c>
    </row>
    <row r="726" spans="1:7" ht="15.6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679</v>
      </c>
      <c r="G726" s="152" t="s">
        <v>716</v>
      </c>
    </row>
    <row r="727" spans="1:7" ht="15.6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676</v>
      </c>
      <c r="G727" s="152" t="s">
        <v>713</v>
      </c>
    </row>
    <row r="728" spans="1:7" ht="15.6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678</v>
      </c>
      <c r="G728" s="152" t="s">
        <v>715</v>
      </c>
    </row>
    <row r="729" spans="1:7" ht="15.6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675</v>
      </c>
      <c r="G729" s="152" t="s">
        <v>712</v>
      </c>
    </row>
    <row r="730" spans="1:7" ht="15.6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676</v>
      </c>
      <c r="G730" s="152" t="s">
        <v>712</v>
      </c>
    </row>
    <row r="731" spans="1:7" ht="31.2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686</v>
      </c>
      <c r="G731" s="152" t="s">
        <v>713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679</v>
      </c>
      <c r="G732" s="152" t="s">
        <v>717</v>
      </c>
    </row>
    <row r="733" spans="1:7" ht="15.6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676</v>
      </c>
      <c r="G733" s="152" t="s">
        <v>712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679</v>
      </c>
      <c r="G734" s="152" t="s">
        <v>717</v>
      </c>
    </row>
    <row r="735" spans="1:7" ht="15.6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675</v>
      </c>
      <c r="G735" s="152" t="s">
        <v>712</v>
      </c>
    </row>
    <row r="736" spans="1:7" ht="15.6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676</v>
      </c>
      <c r="G736" s="152" t="s">
        <v>713</v>
      </c>
    </row>
    <row r="737" spans="1:7" ht="15.6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677</v>
      </c>
      <c r="G737" s="152" t="s">
        <v>714</v>
      </c>
    </row>
    <row r="738" spans="1:7" ht="15.6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678</v>
      </c>
      <c r="G738" s="152" t="s">
        <v>715</v>
      </c>
    </row>
    <row r="739" spans="1:7" ht="15.6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679</v>
      </c>
      <c r="G739" s="152" t="s">
        <v>716</v>
      </c>
    </row>
    <row r="740" spans="1:7" ht="15.6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675</v>
      </c>
      <c r="G740" s="152" t="s">
        <v>712</v>
      </c>
    </row>
    <row r="741" spans="1:7" ht="15.6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676</v>
      </c>
      <c r="G741" s="152" t="s">
        <v>713</v>
      </c>
    </row>
    <row r="742" spans="1:7" ht="15.6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677</v>
      </c>
      <c r="G742" s="152" t="s">
        <v>714</v>
      </c>
    </row>
    <row r="743" spans="1:7" ht="15.6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678</v>
      </c>
      <c r="G743" s="152" t="s">
        <v>715</v>
      </c>
    </row>
    <row r="744" spans="1:7" ht="15.6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679</v>
      </c>
      <c r="G744" s="152" t="s">
        <v>716</v>
      </c>
    </row>
    <row r="745" spans="1:7" ht="15.6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676</v>
      </c>
      <c r="G745" s="152" t="s">
        <v>713</v>
      </c>
    </row>
    <row r="746" spans="1:7" ht="15.6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679</v>
      </c>
      <c r="G746" s="152" t="s">
        <v>716</v>
      </c>
    </row>
    <row r="747" spans="1:7" ht="15.6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675</v>
      </c>
      <c r="G747" s="152" t="s">
        <v>712</v>
      </c>
    </row>
    <row r="748" spans="1:7" ht="15.6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676</v>
      </c>
      <c r="G748" s="152" t="s">
        <v>713</v>
      </c>
    </row>
    <row r="749" spans="1:7" ht="15.6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677</v>
      </c>
      <c r="G749" s="152" t="s">
        <v>714</v>
      </c>
    </row>
    <row r="750" spans="1:7" ht="15.6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678</v>
      </c>
      <c r="G750" s="152" t="s">
        <v>715</v>
      </c>
    </row>
    <row r="751" spans="1:7" ht="15.6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675</v>
      </c>
      <c r="G751" s="152" t="s">
        <v>712</v>
      </c>
    </row>
    <row r="752" spans="1:7" ht="15.6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676</v>
      </c>
      <c r="G752" s="152" t="s">
        <v>713</v>
      </c>
    </row>
    <row r="753" spans="1:7" ht="15.6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677</v>
      </c>
      <c r="G753" s="152" t="s">
        <v>714</v>
      </c>
    </row>
    <row r="754" spans="1:7" ht="15.6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678</v>
      </c>
      <c r="G754" s="152" t="s">
        <v>715</v>
      </c>
    </row>
    <row r="755" spans="1:7" ht="15.6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675</v>
      </c>
      <c r="G755" s="152" t="s">
        <v>712</v>
      </c>
    </row>
    <row r="756" spans="1:7" ht="15.6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676</v>
      </c>
      <c r="G756" s="152" t="s">
        <v>713</v>
      </c>
    </row>
    <row r="757" spans="1:7" ht="15.6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677</v>
      </c>
      <c r="G757" s="152" t="s">
        <v>714</v>
      </c>
    </row>
    <row r="758" spans="1:7" ht="15.6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678</v>
      </c>
      <c r="G758" s="152" t="s">
        <v>715</v>
      </c>
    </row>
    <row r="759" spans="1:7" ht="15.6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679</v>
      </c>
      <c r="G759" s="152" t="s">
        <v>716</v>
      </c>
    </row>
    <row r="760" spans="1:7" ht="15.6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675</v>
      </c>
      <c r="G760" s="152" t="s">
        <v>712</v>
      </c>
    </row>
    <row r="761" spans="1:7" ht="15.6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676</v>
      </c>
      <c r="G761" s="152" t="s">
        <v>713</v>
      </c>
    </row>
    <row r="762" spans="1:7" ht="15.6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677</v>
      </c>
      <c r="G762" s="152" t="s">
        <v>714</v>
      </c>
    </row>
    <row r="763" spans="1:7" ht="15.6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678</v>
      </c>
      <c r="G763" s="152" t="s">
        <v>715</v>
      </c>
    </row>
    <row r="764" spans="1:7" ht="15.6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675</v>
      </c>
      <c r="G764" s="152" t="s">
        <v>712</v>
      </c>
    </row>
    <row r="765" spans="1:7" ht="15.6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676</v>
      </c>
      <c r="G765" s="152" t="s">
        <v>713</v>
      </c>
    </row>
    <row r="766" spans="1:7" ht="15.6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677</v>
      </c>
      <c r="G766" s="152" t="s">
        <v>714</v>
      </c>
    </row>
    <row r="767" spans="1:7" ht="15.6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678</v>
      </c>
      <c r="G767" s="152" t="s">
        <v>715</v>
      </c>
    </row>
    <row r="768" spans="1:7" ht="15.6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675</v>
      </c>
      <c r="G768" s="152" t="s">
        <v>712</v>
      </c>
    </row>
    <row r="769" spans="1:7" ht="15.6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676</v>
      </c>
      <c r="G769" s="152" t="s">
        <v>713</v>
      </c>
    </row>
    <row r="770" spans="1:7" ht="15.6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677</v>
      </c>
      <c r="G770" s="152" t="s">
        <v>714</v>
      </c>
    </row>
    <row r="771" spans="1:7" ht="15.6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678</v>
      </c>
      <c r="G771" s="152" t="s">
        <v>715</v>
      </c>
    </row>
    <row r="772" spans="1:7" ht="15.6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675</v>
      </c>
      <c r="G772" s="152" t="s">
        <v>712</v>
      </c>
    </row>
    <row r="773" spans="1:7" ht="15.6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676</v>
      </c>
      <c r="G773" s="152" t="s">
        <v>713</v>
      </c>
    </row>
    <row r="774" spans="1:7" ht="15.6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677</v>
      </c>
      <c r="G774" s="152" t="s">
        <v>714</v>
      </c>
    </row>
    <row r="775" spans="1:7" ht="15.6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678</v>
      </c>
      <c r="G775" s="152" t="s">
        <v>715</v>
      </c>
    </row>
    <row r="776" spans="1:7" ht="15.6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678</v>
      </c>
      <c r="G776" s="152" t="s">
        <v>715</v>
      </c>
    </row>
    <row r="777" spans="1:7" ht="15.6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675</v>
      </c>
      <c r="G777" s="152" t="s">
        <v>712</v>
      </c>
    </row>
    <row r="778" spans="1:7" ht="15.6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676</v>
      </c>
      <c r="G778" s="152" t="s">
        <v>713</v>
      </c>
    </row>
    <row r="779" spans="1:7" ht="15.6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677</v>
      </c>
      <c r="G779" s="152" t="s">
        <v>714</v>
      </c>
    </row>
    <row r="780" spans="1:7" ht="15.6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678</v>
      </c>
      <c r="G780" s="152" t="s">
        <v>715</v>
      </c>
    </row>
    <row r="781" spans="1:7" ht="15.6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679</v>
      </c>
      <c r="G781" s="152" t="s">
        <v>716</v>
      </c>
    </row>
    <row r="782" spans="1:7" ht="15.6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676</v>
      </c>
      <c r="G782" s="152" t="s">
        <v>712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681</v>
      </c>
      <c r="G783" s="152" t="s">
        <v>717</v>
      </c>
    </row>
    <row r="784" spans="1:7" ht="15.6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678</v>
      </c>
      <c r="G784" s="152" t="s">
        <v>718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679</v>
      </c>
      <c r="G785" s="152" t="s">
        <v>717</v>
      </c>
    </row>
    <row r="786" spans="1:7" ht="15.6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675</v>
      </c>
      <c r="G786" s="152" t="s">
        <v>712</v>
      </c>
    </row>
    <row r="787" spans="1:7" ht="15.6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676</v>
      </c>
      <c r="G787" s="152" t="s">
        <v>712</v>
      </c>
    </row>
    <row r="788" spans="1:7" ht="15.6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678</v>
      </c>
      <c r="G788" s="152" t="s">
        <v>715</v>
      </c>
    </row>
    <row r="789" spans="1:7" ht="15.6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678</v>
      </c>
      <c r="G789" s="152" t="s">
        <v>718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679</v>
      </c>
      <c r="G790" s="152" t="s">
        <v>717</v>
      </c>
    </row>
    <row r="791" spans="1:7" ht="15.6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675</v>
      </c>
      <c r="G791" s="152" t="s">
        <v>712</v>
      </c>
    </row>
    <row r="792" spans="1:7" ht="15.6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676</v>
      </c>
      <c r="G792" s="152" t="s">
        <v>712</v>
      </c>
    </row>
    <row r="793" spans="1:7" ht="31.2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686</v>
      </c>
      <c r="G793" s="152" t="s">
        <v>713</v>
      </c>
    </row>
    <row r="794" spans="1:7" ht="15.6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678</v>
      </c>
      <c r="G794" s="152" t="s">
        <v>715</v>
      </c>
    </row>
    <row r="795" spans="1:7" ht="15.6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678</v>
      </c>
      <c r="G795" s="152" t="s">
        <v>718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679</v>
      </c>
      <c r="G796" s="152" t="s">
        <v>717</v>
      </c>
    </row>
    <row r="797" spans="1:7" ht="15.6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675</v>
      </c>
      <c r="G797" s="152" t="s">
        <v>712</v>
      </c>
    </row>
    <row r="798" spans="1:7" ht="15.6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676</v>
      </c>
      <c r="G798" s="152" t="s">
        <v>712</v>
      </c>
    </row>
    <row r="799" spans="1:7" ht="31.2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686</v>
      </c>
      <c r="G799" s="152" t="s">
        <v>713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681</v>
      </c>
      <c r="G800" s="152" t="s">
        <v>717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683</v>
      </c>
      <c r="G801" s="152" t="s">
        <v>714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679</v>
      </c>
      <c r="G802" s="152" t="s">
        <v>717</v>
      </c>
    </row>
    <row r="803" spans="1:7" ht="15.6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675</v>
      </c>
      <c r="G803" s="152" t="s">
        <v>712</v>
      </c>
    </row>
    <row r="804" spans="1:7" ht="15.6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676</v>
      </c>
      <c r="G804" s="152" t="s">
        <v>713</v>
      </c>
    </row>
    <row r="805" spans="1:7" ht="15.6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677</v>
      </c>
      <c r="G805" s="152" t="s">
        <v>714</v>
      </c>
    </row>
    <row r="806" spans="1:7" ht="15.6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678</v>
      </c>
      <c r="G806" s="152" t="s">
        <v>715</v>
      </c>
    </row>
    <row r="807" spans="1:7" ht="15.6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676</v>
      </c>
      <c r="G807" s="152" t="s">
        <v>712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681</v>
      </c>
      <c r="G808" s="152" t="s">
        <v>717</v>
      </c>
    </row>
    <row r="809" spans="1:7" ht="15.6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678</v>
      </c>
      <c r="G809" s="152" t="s">
        <v>718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679</v>
      </c>
      <c r="G810" s="152" t="s">
        <v>717</v>
      </c>
    </row>
    <row r="811" spans="1:7" ht="15.6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676</v>
      </c>
      <c r="G811" s="152" t="s">
        <v>712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677</v>
      </c>
      <c r="G812" s="152" t="s">
        <v>717</v>
      </c>
    </row>
    <row r="813" spans="1:7" ht="15.6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678</v>
      </c>
      <c r="G813" s="152" t="s">
        <v>715</v>
      </c>
    </row>
    <row r="814" spans="1:7" ht="15.6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678</v>
      </c>
      <c r="G814" s="152" t="s">
        <v>719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679</v>
      </c>
      <c r="G815" s="152" t="s">
        <v>717</v>
      </c>
    </row>
    <row r="816" spans="1:7" ht="15.6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678</v>
      </c>
      <c r="G816" s="152" t="s">
        <v>715</v>
      </c>
    </row>
    <row r="817" spans="1:7" ht="15.6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675</v>
      </c>
      <c r="G817" s="152" t="s">
        <v>712</v>
      </c>
    </row>
    <row r="818" spans="1:7" ht="15.6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676</v>
      </c>
      <c r="G818" s="152" t="s">
        <v>713</v>
      </c>
    </row>
    <row r="819" spans="1:7" ht="15.6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678</v>
      </c>
      <c r="G819" s="152" t="s">
        <v>715</v>
      </c>
    </row>
    <row r="820" spans="1:7" ht="15.6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679</v>
      </c>
      <c r="G820" s="152" t="s">
        <v>716</v>
      </c>
    </row>
    <row r="821" spans="1:7" ht="15.6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675</v>
      </c>
      <c r="G821" s="152" t="s">
        <v>712</v>
      </c>
    </row>
    <row r="822" spans="1:7" ht="15.6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676</v>
      </c>
      <c r="G822" s="152" t="s">
        <v>713</v>
      </c>
    </row>
    <row r="823" spans="1:7" ht="15.6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678</v>
      </c>
      <c r="G823" s="152" t="s">
        <v>715</v>
      </c>
    </row>
    <row r="824" spans="1:7" ht="15.6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675</v>
      </c>
      <c r="G824" s="152" t="s">
        <v>712</v>
      </c>
    </row>
    <row r="825" spans="1:7" ht="15.6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676</v>
      </c>
      <c r="G825" s="152" t="s">
        <v>713</v>
      </c>
    </row>
    <row r="826" spans="1:7" ht="15.6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678</v>
      </c>
      <c r="G826" s="152" t="s">
        <v>715</v>
      </c>
    </row>
    <row r="827" spans="1:7" ht="15.6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679</v>
      </c>
      <c r="G827" s="152" t="s">
        <v>716</v>
      </c>
    </row>
    <row r="828" spans="1:7" ht="15.6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675</v>
      </c>
      <c r="G828" s="152" t="s">
        <v>712</v>
      </c>
    </row>
    <row r="829" spans="1:7" ht="15.6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676</v>
      </c>
      <c r="G829" s="152" t="s">
        <v>713</v>
      </c>
    </row>
    <row r="830" spans="1:7" ht="15.6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678</v>
      </c>
      <c r="G830" s="152" t="s">
        <v>715</v>
      </c>
    </row>
    <row r="831" spans="1:7" ht="15.6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679</v>
      </c>
      <c r="G831" s="152" t="s">
        <v>716</v>
      </c>
    </row>
    <row r="832" spans="1:7" ht="15.6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675</v>
      </c>
      <c r="G832" s="152" t="s">
        <v>712</v>
      </c>
    </row>
    <row r="833" spans="1:7" ht="15.6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676</v>
      </c>
      <c r="G833" s="152" t="s">
        <v>713</v>
      </c>
    </row>
    <row r="834" spans="1:7" ht="15.6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678</v>
      </c>
      <c r="G834" s="152" t="s">
        <v>715</v>
      </c>
    </row>
    <row r="835" spans="1:7" ht="15.6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675</v>
      </c>
      <c r="G835" s="152" t="s">
        <v>712</v>
      </c>
    </row>
    <row r="836" spans="1:7" ht="15.6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676</v>
      </c>
      <c r="G836" s="152" t="s">
        <v>713</v>
      </c>
    </row>
    <row r="837" spans="1:7" ht="15.6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678</v>
      </c>
      <c r="G837" s="152" t="s">
        <v>715</v>
      </c>
    </row>
    <row r="838" spans="1:7" ht="15.6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675</v>
      </c>
      <c r="G838" s="152" t="s">
        <v>712</v>
      </c>
    </row>
    <row r="839" spans="1:7" ht="15.6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676</v>
      </c>
      <c r="G839" s="152" t="s">
        <v>713</v>
      </c>
    </row>
    <row r="840" spans="1:7" ht="15.6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678</v>
      </c>
      <c r="G840" s="152" t="s">
        <v>715</v>
      </c>
    </row>
    <row r="841" spans="1:7" ht="15.6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675</v>
      </c>
      <c r="G841" s="152" t="s">
        <v>712</v>
      </c>
    </row>
    <row r="842" spans="1:7" ht="15.6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676</v>
      </c>
      <c r="G842" s="152" t="s">
        <v>713</v>
      </c>
    </row>
    <row r="843" spans="1:7" ht="15.6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679</v>
      </c>
      <c r="G843" s="152" t="s">
        <v>716</v>
      </c>
    </row>
    <row r="844" spans="1:7" ht="15.6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675</v>
      </c>
      <c r="G844" s="152" t="s">
        <v>712</v>
      </c>
    </row>
    <row r="845" spans="1:7" ht="15.6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676</v>
      </c>
      <c r="G845" s="152" t="s">
        <v>713</v>
      </c>
    </row>
    <row r="846" spans="1:7" ht="15.6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678</v>
      </c>
      <c r="G846" s="152" t="s">
        <v>715</v>
      </c>
    </row>
    <row r="847" spans="1:7" ht="15.6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678</v>
      </c>
      <c r="G847" s="152" t="s">
        <v>715</v>
      </c>
    </row>
    <row r="848" spans="1:7" ht="15.6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675</v>
      </c>
      <c r="G848" s="152" t="s">
        <v>712</v>
      </c>
    </row>
    <row r="849" spans="1:7" ht="15.6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676</v>
      </c>
      <c r="G849" s="152" t="s">
        <v>713</v>
      </c>
    </row>
    <row r="850" spans="1:7" ht="15.6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678</v>
      </c>
      <c r="G850" s="152" t="s">
        <v>715</v>
      </c>
    </row>
    <row r="851" spans="1:7" ht="15.6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675</v>
      </c>
      <c r="G851" s="152" t="s">
        <v>712</v>
      </c>
    </row>
    <row r="852" spans="1:7" ht="15.6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676</v>
      </c>
      <c r="G852" s="152" t="s">
        <v>713</v>
      </c>
    </row>
    <row r="853" spans="1:7" ht="15.6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678</v>
      </c>
      <c r="G853" s="152" t="s">
        <v>715</v>
      </c>
    </row>
    <row r="854" spans="1:7" ht="31.2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680</v>
      </c>
      <c r="G854" s="152" t="s">
        <v>712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675</v>
      </c>
      <c r="G855" s="152" t="s">
        <v>712</v>
      </c>
    </row>
    <row r="856" spans="1:7" ht="15.6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676</v>
      </c>
      <c r="G856" s="152" t="s">
        <v>712</v>
      </c>
    </row>
    <row r="857" spans="1:7" ht="15.6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678</v>
      </c>
      <c r="G857" s="152" t="s">
        <v>718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679</v>
      </c>
      <c r="G858" s="152" t="s">
        <v>717</v>
      </c>
    </row>
    <row r="859" spans="1:7" ht="15.6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675</v>
      </c>
      <c r="G859" s="152" t="s">
        <v>712</v>
      </c>
    </row>
    <row r="860" spans="1:7" ht="31.2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682</v>
      </c>
      <c r="G860" s="152" t="s">
        <v>712</v>
      </c>
    </row>
    <row r="861" spans="1:7" ht="31.2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680</v>
      </c>
      <c r="G861" s="152" t="s">
        <v>712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675</v>
      </c>
      <c r="G862" s="152" t="s">
        <v>712</v>
      </c>
    </row>
    <row r="863" spans="1:7" ht="15.6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676</v>
      </c>
      <c r="G863" s="152" t="s">
        <v>712</v>
      </c>
    </row>
    <row r="864" spans="1:7" ht="46.8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684</v>
      </c>
      <c r="G864" s="152" t="s">
        <v>713</v>
      </c>
    </row>
    <row r="865" spans="1:7" ht="15.6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678</v>
      </c>
      <c r="G865" s="152" t="s">
        <v>715</v>
      </c>
    </row>
    <row r="866" spans="1:7" ht="15.6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678</v>
      </c>
      <c r="G866" s="152" t="s">
        <v>718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679</v>
      </c>
      <c r="G867" s="152" t="s">
        <v>717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679</v>
      </c>
      <c r="G868" s="152" t="s">
        <v>717</v>
      </c>
    </row>
    <row r="869" spans="1:7" ht="15.6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675</v>
      </c>
      <c r="G869" s="152" t="s">
        <v>712</v>
      </c>
    </row>
    <row r="870" spans="1:7" ht="31.2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682</v>
      </c>
      <c r="G870" s="152" t="s">
        <v>712</v>
      </c>
    </row>
    <row r="871" spans="1:7" ht="31.2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680</v>
      </c>
      <c r="G871" s="152" t="s">
        <v>712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675</v>
      </c>
      <c r="G872" s="152" t="s">
        <v>712</v>
      </c>
    </row>
    <row r="873" spans="1:7" ht="15.6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676</v>
      </c>
      <c r="G873" s="152" t="s">
        <v>712</v>
      </c>
    </row>
    <row r="874" spans="1:7" ht="46.8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684</v>
      </c>
      <c r="G874" s="152" t="s">
        <v>713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679</v>
      </c>
      <c r="G875" s="152" t="s">
        <v>717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679</v>
      </c>
      <c r="G876" s="152" t="s">
        <v>717</v>
      </c>
    </row>
    <row r="877" spans="1:7" ht="15.6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675</v>
      </c>
      <c r="G877" s="152" t="s">
        <v>712</v>
      </c>
    </row>
    <row r="878" spans="1:7" ht="15.6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676</v>
      </c>
      <c r="G878" s="152" t="s">
        <v>713</v>
      </c>
    </row>
    <row r="879" spans="1:7" ht="15.6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678</v>
      </c>
      <c r="G879" s="152" t="s">
        <v>715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675</v>
      </c>
      <c r="G880" s="152" t="s">
        <v>712</v>
      </c>
    </row>
    <row r="881" spans="1:7" ht="15.6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676</v>
      </c>
      <c r="G881" s="152" t="s">
        <v>712</v>
      </c>
    </row>
    <row r="882" spans="1:7" ht="15.6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678</v>
      </c>
      <c r="G882" s="152" t="s">
        <v>715</v>
      </c>
    </row>
    <row r="883" spans="1:7" ht="15.6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678</v>
      </c>
      <c r="G883" s="152" t="s">
        <v>719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679</v>
      </c>
      <c r="G884" s="152" t="s">
        <v>717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679</v>
      </c>
      <c r="G885" s="152" t="s">
        <v>717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675</v>
      </c>
      <c r="G886" s="152" t="s">
        <v>712</v>
      </c>
    </row>
    <row r="887" spans="1:7" ht="15.6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676</v>
      </c>
      <c r="G887" s="152" t="s">
        <v>712</v>
      </c>
    </row>
    <row r="888" spans="1:7" ht="15.6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678</v>
      </c>
      <c r="G888" s="152" t="s">
        <v>718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679</v>
      </c>
      <c r="G889" s="152" t="s">
        <v>717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679</v>
      </c>
      <c r="G890" s="152" t="s">
        <v>717</v>
      </c>
    </row>
    <row r="891" spans="1:7" ht="15.6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675</v>
      </c>
      <c r="G891" s="152" t="s">
        <v>712</v>
      </c>
    </row>
    <row r="892" spans="1:7" ht="31.2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682</v>
      </c>
      <c r="G892" s="152" t="s">
        <v>712</v>
      </c>
    </row>
    <row r="893" spans="1:7" ht="31.2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680</v>
      </c>
      <c r="G893" s="152" t="s">
        <v>712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675</v>
      </c>
      <c r="G894" s="152" t="s">
        <v>712</v>
      </c>
    </row>
    <row r="895" spans="1:7" ht="15.6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678</v>
      </c>
      <c r="G895" s="152" t="s">
        <v>715</v>
      </c>
    </row>
    <row r="896" spans="1:7" ht="15.6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678</v>
      </c>
      <c r="G896" s="152" t="s">
        <v>718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679</v>
      </c>
      <c r="G897" s="152" t="s">
        <v>717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679</v>
      </c>
      <c r="G898" s="152" t="s">
        <v>717</v>
      </c>
    </row>
    <row r="899" spans="1:7" ht="15.6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678</v>
      </c>
      <c r="G899" s="152" t="s">
        <v>715</v>
      </c>
    </row>
    <row r="900" spans="1:7" ht="15.6" hidden="1" x14ac:dyDescent="0.3">
      <c r="A900" s="137">
        <v>4</v>
      </c>
      <c r="B900" s="138">
        <v>3</v>
      </c>
      <c r="C900" s="139">
        <v>4001</v>
      </c>
      <c r="D900" s="140" t="s">
        <v>671</v>
      </c>
      <c r="E900" s="141">
        <v>69.5</v>
      </c>
      <c r="F900" s="149"/>
      <c r="G900" s="152" t="s">
        <v>720</v>
      </c>
    </row>
    <row r="901" spans="1:7" ht="15.6" hidden="1" x14ac:dyDescent="0.3">
      <c r="A901" s="137">
        <v>4</v>
      </c>
      <c r="B901" s="138">
        <v>3</v>
      </c>
      <c r="C901" s="139">
        <v>4002</v>
      </c>
      <c r="D901" s="140" t="s">
        <v>672</v>
      </c>
      <c r="E901" s="141">
        <v>27.4</v>
      </c>
      <c r="F901" s="142"/>
      <c r="G901" s="152" t="s">
        <v>721</v>
      </c>
    </row>
    <row r="902" spans="1:7" ht="15.6" hidden="1" x14ac:dyDescent="0.3">
      <c r="A902" s="137">
        <v>4</v>
      </c>
      <c r="B902" s="138">
        <v>3</v>
      </c>
      <c r="C902" s="139">
        <v>4003</v>
      </c>
      <c r="D902" s="140" t="s">
        <v>671</v>
      </c>
      <c r="E902" s="141">
        <v>44.4</v>
      </c>
      <c r="F902" s="149"/>
      <c r="G902" s="152" t="s">
        <v>720</v>
      </c>
    </row>
    <row r="903" spans="1:7" ht="15.6" hidden="1" x14ac:dyDescent="0.3">
      <c r="A903" s="137">
        <v>4</v>
      </c>
      <c r="B903" s="138">
        <v>3</v>
      </c>
      <c r="C903" s="139">
        <v>4004</v>
      </c>
      <c r="D903" s="140" t="s">
        <v>671</v>
      </c>
      <c r="E903" s="141">
        <v>55.4</v>
      </c>
      <c r="F903" s="149"/>
      <c r="G903" s="152" t="s">
        <v>720</v>
      </c>
    </row>
    <row r="904" spans="1:7" ht="15.6" hidden="1" x14ac:dyDescent="0.3">
      <c r="A904" s="137">
        <v>4</v>
      </c>
      <c r="B904" s="138">
        <v>3</v>
      </c>
      <c r="C904" s="139">
        <v>4005</v>
      </c>
      <c r="D904" s="140" t="s">
        <v>671</v>
      </c>
      <c r="E904" s="141">
        <v>51.7</v>
      </c>
      <c r="F904" s="149"/>
      <c r="G904" s="152" t="s">
        <v>720</v>
      </c>
    </row>
    <row r="905" spans="1:7" ht="15.6" hidden="1" x14ac:dyDescent="0.3">
      <c r="A905" s="137">
        <v>4</v>
      </c>
      <c r="B905" s="138">
        <v>3</v>
      </c>
      <c r="C905" s="139">
        <v>4006</v>
      </c>
      <c r="D905" s="140" t="s">
        <v>671</v>
      </c>
      <c r="E905" s="141">
        <v>57.4</v>
      </c>
      <c r="F905" s="149"/>
      <c r="G905" s="152" t="s">
        <v>720</v>
      </c>
    </row>
    <row r="906" spans="1:7" ht="15.6" hidden="1" x14ac:dyDescent="0.3">
      <c r="A906" s="137">
        <v>4</v>
      </c>
      <c r="B906" s="138">
        <v>3</v>
      </c>
      <c r="C906" s="139">
        <v>4007</v>
      </c>
      <c r="D906" s="140" t="s">
        <v>672</v>
      </c>
      <c r="E906" s="141">
        <v>19.600000000000001</v>
      </c>
      <c r="F906" s="142"/>
      <c r="G906" s="152" t="s">
        <v>721</v>
      </c>
    </row>
    <row r="907" spans="1:7" ht="15.6" hidden="1" x14ac:dyDescent="0.3">
      <c r="A907" s="137">
        <v>4</v>
      </c>
      <c r="B907" s="138">
        <v>3</v>
      </c>
      <c r="C907" s="139">
        <v>4008</v>
      </c>
      <c r="D907" s="140" t="s">
        <v>671</v>
      </c>
      <c r="E907" s="141">
        <v>96.3</v>
      </c>
      <c r="F907" s="149"/>
      <c r="G907" s="152" t="s">
        <v>720</v>
      </c>
    </row>
    <row r="908" spans="1:7" ht="15.6" hidden="1" x14ac:dyDescent="0.3">
      <c r="A908" s="137">
        <v>4</v>
      </c>
      <c r="B908" s="138">
        <v>3</v>
      </c>
      <c r="C908" s="139">
        <v>4009</v>
      </c>
      <c r="D908" s="140" t="s">
        <v>673</v>
      </c>
      <c r="E908" s="141">
        <v>28</v>
      </c>
      <c r="F908" s="142"/>
      <c r="G908" s="152" t="s">
        <v>722</v>
      </c>
    </row>
    <row r="909" spans="1:7" ht="15.6" hidden="1" x14ac:dyDescent="0.3">
      <c r="A909" s="137">
        <v>4</v>
      </c>
      <c r="B909" s="138">
        <v>3</v>
      </c>
      <c r="C909" s="139">
        <v>4010</v>
      </c>
      <c r="D909" s="140" t="s">
        <v>672</v>
      </c>
      <c r="E909" s="141">
        <v>243</v>
      </c>
      <c r="F909" s="142"/>
      <c r="G909" s="152" t="s">
        <v>721</v>
      </c>
    </row>
    <row r="910" spans="1:7" ht="15.6" hidden="1" x14ac:dyDescent="0.3">
      <c r="A910" s="137">
        <v>4</v>
      </c>
      <c r="B910" s="138">
        <v>3</v>
      </c>
      <c r="C910" s="140" t="s">
        <v>669</v>
      </c>
      <c r="D910" s="140" t="s">
        <v>672</v>
      </c>
      <c r="E910" s="141">
        <v>73.7</v>
      </c>
      <c r="F910" s="142"/>
      <c r="G910" s="152" t="s">
        <v>721</v>
      </c>
    </row>
    <row r="911" spans="1:7" ht="15.6" hidden="1" x14ac:dyDescent="0.3">
      <c r="A911" s="137">
        <v>4</v>
      </c>
      <c r="B911" s="138">
        <v>3</v>
      </c>
      <c r="C911" s="139">
        <v>4011</v>
      </c>
      <c r="D911" s="140" t="s">
        <v>674</v>
      </c>
      <c r="E911" s="141">
        <v>14.2</v>
      </c>
      <c r="F911" s="149"/>
      <c r="G911" s="152" t="s">
        <v>723</v>
      </c>
    </row>
    <row r="912" spans="1:7" ht="15.6" hidden="1" x14ac:dyDescent="0.3">
      <c r="A912" s="137">
        <v>4</v>
      </c>
      <c r="B912" s="138">
        <v>3</v>
      </c>
      <c r="C912" s="139">
        <v>4012</v>
      </c>
      <c r="D912" s="140" t="s">
        <v>674</v>
      </c>
      <c r="E912" s="141">
        <v>4.4000000000000004</v>
      </c>
      <c r="F912" s="149"/>
      <c r="G912" s="152" t="s">
        <v>723</v>
      </c>
    </row>
    <row r="913" spans="1:7" ht="15.6" hidden="1" x14ac:dyDescent="0.3">
      <c r="A913" s="137">
        <v>4</v>
      </c>
      <c r="B913" s="138">
        <v>3</v>
      </c>
      <c r="C913" s="139">
        <v>4013</v>
      </c>
      <c r="D913" s="140" t="s">
        <v>674</v>
      </c>
      <c r="E913" s="141">
        <v>6.7</v>
      </c>
      <c r="F913" s="149"/>
      <c r="G913" s="152" t="s">
        <v>723</v>
      </c>
    </row>
    <row r="914" spans="1:7" ht="15.6" hidden="1" x14ac:dyDescent="0.3">
      <c r="A914" s="137">
        <v>4</v>
      </c>
      <c r="B914" s="138">
        <v>3</v>
      </c>
      <c r="C914" s="139">
        <v>4014</v>
      </c>
      <c r="D914" s="140" t="s">
        <v>672</v>
      </c>
      <c r="E914" s="141">
        <v>10.8</v>
      </c>
      <c r="F914" s="142"/>
      <c r="G914" s="152" t="s">
        <v>721</v>
      </c>
    </row>
    <row r="915" spans="1:7" ht="15.6" hidden="1" x14ac:dyDescent="0.3">
      <c r="A915" s="137">
        <v>4</v>
      </c>
      <c r="B915" s="138">
        <v>3</v>
      </c>
      <c r="C915" s="139">
        <v>4015</v>
      </c>
      <c r="D915" s="140" t="s">
        <v>674</v>
      </c>
      <c r="E915" s="141">
        <v>16.5</v>
      </c>
      <c r="F915" s="149"/>
      <c r="G915" s="152" t="s">
        <v>723</v>
      </c>
    </row>
    <row r="916" spans="1:7" ht="15.6" hidden="1" x14ac:dyDescent="0.3">
      <c r="A916" s="137">
        <v>4</v>
      </c>
      <c r="B916" s="138">
        <v>3</v>
      </c>
      <c r="C916" s="139">
        <v>4016</v>
      </c>
      <c r="D916" s="140" t="s">
        <v>673</v>
      </c>
      <c r="E916" s="141">
        <v>5</v>
      </c>
      <c r="F916" s="142"/>
      <c r="G916" s="152" t="s">
        <v>722</v>
      </c>
    </row>
    <row r="917" spans="1:7" ht="15.6" hidden="1" x14ac:dyDescent="0.3">
      <c r="A917" s="137">
        <v>4</v>
      </c>
      <c r="B917" s="138">
        <v>3</v>
      </c>
      <c r="C917" s="139">
        <v>4017</v>
      </c>
      <c r="D917" s="140" t="s">
        <v>674</v>
      </c>
      <c r="E917" s="141">
        <v>5.0999999999999996</v>
      </c>
      <c r="F917" s="149"/>
      <c r="G917" s="152" t="s">
        <v>723</v>
      </c>
    </row>
    <row r="918" spans="1:7" ht="15.6" hidden="1" x14ac:dyDescent="0.3">
      <c r="A918" s="143">
        <v>4</v>
      </c>
      <c r="B918" s="144">
        <v>3</v>
      </c>
      <c r="C918" s="145">
        <v>4018</v>
      </c>
      <c r="D918" s="146" t="s">
        <v>673</v>
      </c>
      <c r="E918" s="147">
        <v>29.8</v>
      </c>
      <c r="F918" s="148"/>
      <c r="G918" s="152" t="s">
        <v>722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55" zoomScaleNormal="55" workbookViewId="0">
      <selection activeCell="E3" sqref="E3"/>
    </sheetView>
  </sheetViews>
  <sheetFormatPr defaultRowHeight="14.4" x14ac:dyDescent="0.3"/>
  <cols>
    <col min="1" max="1" width="15.5546875" style="175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6" t="s">
        <v>736</v>
      </c>
      <c r="B1" s="172" t="s">
        <v>737</v>
      </c>
      <c r="C1" s="170" t="s">
        <v>228</v>
      </c>
      <c r="D1" s="171" t="s">
        <v>14</v>
      </c>
      <c r="E1" s="174" t="s">
        <v>738</v>
      </c>
    </row>
    <row r="2" spans="1:5" ht="126" x14ac:dyDescent="0.3">
      <c r="A2" s="176">
        <v>1</v>
      </c>
      <c r="B2" s="172" t="s">
        <v>313</v>
      </c>
      <c r="C2" s="170" t="s">
        <v>314</v>
      </c>
      <c r="D2" s="171" t="s">
        <v>128</v>
      </c>
      <c r="E2" s="174">
        <f>SUM(E3:E8)/7.61406957765593</f>
        <v>742.97981418520169</v>
      </c>
    </row>
    <row r="3" spans="1:5" ht="72" x14ac:dyDescent="0.3">
      <c r="A3" s="176">
        <v>2</v>
      </c>
      <c r="B3" s="172" t="s">
        <v>396</v>
      </c>
      <c r="C3" s="170" t="s">
        <v>397</v>
      </c>
      <c r="D3" s="171" t="s">
        <v>23</v>
      </c>
      <c r="E3" s="174">
        <f>'3.1.1'!I4+'3.1.1'!I10</f>
        <v>450.3</v>
      </c>
    </row>
    <row r="4" spans="1:5" ht="72" x14ac:dyDescent="0.3">
      <c r="A4" s="176">
        <v>3</v>
      </c>
      <c r="B4" s="8" t="s">
        <v>406</v>
      </c>
      <c r="C4" s="7" t="s">
        <v>734</v>
      </c>
      <c r="D4" s="9" t="s">
        <v>23</v>
      </c>
      <c r="E4" s="173">
        <f>'3.1.1'!I3+'3.1.1'!I8+'3.1.1'!I11</f>
        <v>346.8</v>
      </c>
    </row>
    <row r="5" spans="1:5" ht="72" x14ac:dyDescent="0.3">
      <c r="A5" s="176">
        <v>4</v>
      </c>
      <c r="B5" s="172" t="s">
        <v>406</v>
      </c>
      <c r="C5" s="170" t="s">
        <v>414</v>
      </c>
      <c r="D5" s="171" t="s">
        <v>23</v>
      </c>
      <c r="E5" s="174">
        <f>'3.1.1'!I5+SUM('3.1.1'!I13:I19)</f>
        <v>446.9</v>
      </c>
    </row>
    <row r="6" spans="1:5" ht="54" x14ac:dyDescent="0.3">
      <c r="A6" s="176">
        <v>9</v>
      </c>
      <c r="B6" s="8" t="s">
        <v>445</v>
      </c>
      <c r="C6" s="7" t="s">
        <v>446</v>
      </c>
      <c r="D6" s="9" t="s">
        <v>23</v>
      </c>
      <c r="E6" s="173">
        <f>'3.1.1'!I9</f>
        <v>83.1</v>
      </c>
    </row>
    <row r="7" spans="1:5" ht="54" x14ac:dyDescent="0.3">
      <c r="A7" s="176">
        <v>10</v>
      </c>
      <c r="B7" s="172" t="s">
        <v>453</v>
      </c>
      <c r="C7" s="170" t="s">
        <v>454</v>
      </c>
      <c r="D7" s="171" t="s">
        <v>23</v>
      </c>
      <c r="E7" s="174">
        <f>'3.1.1'!I7+'3.1.1'!I12</f>
        <v>3098.9</v>
      </c>
    </row>
    <row r="8" spans="1:5" ht="54" x14ac:dyDescent="0.3">
      <c r="A8" s="176">
        <v>11</v>
      </c>
      <c r="B8" s="8" t="s">
        <v>453</v>
      </c>
      <c r="C8" s="7" t="s">
        <v>459</v>
      </c>
      <c r="D8" s="9" t="s">
        <v>23</v>
      </c>
      <c r="E8" s="173">
        <f>'3.1.1'!I6</f>
        <v>1231.0999999999999</v>
      </c>
    </row>
    <row r="9" spans="1:5" ht="18" x14ac:dyDescent="0.3">
      <c r="D9" s="10" t="s">
        <v>735</v>
      </c>
      <c r="E9" s="173">
        <f>SUM(E3:E8)</f>
        <v>5657.1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zoomScaleNormal="100" workbookViewId="0">
      <selection activeCell="F18" sqref="F18"/>
    </sheetView>
  </sheetViews>
  <sheetFormatPr defaultRowHeight="13.2" x14ac:dyDescent="0.25"/>
  <cols>
    <col min="1" max="1" width="9.109375" style="201" customWidth="1"/>
    <col min="2" max="9" width="8.88671875" style="201"/>
    <col min="10" max="16384" width="8.88671875" style="202"/>
  </cols>
  <sheetData>
    <row r="1" spans="1:9" s="226" customFormat="1" x14ac:dyDescent="0.25">
      <c r="A1" s="222" t="s">
        <v>252</v>
      </c>
      <c r="B1" s="223">
        <v>1</v>
      </c>
      <c r="C1" s="223">
        <v>1</v>
      </c>
      <c r="D1" s="223">
        <v>2</v>
      </c>
      <c r="E1" s="223">
        <v>2</v>
      </c>
      <c r="F1" s="223">
        <v>3</v>
      </c>
      <c r="G1" s="223">
        <v>3</v>
      </c>
      <c r="H1" s="224">
        <v>4</v>
      </c>
      <c r="I1" s="225"/>
    </row>
    <row r="2" spans="1:9" s="226" customFormat="1" ht="13.8" thickBot="1" x14ac:dyDescent="0.3">
      <c r="A2" s="227" t="s">
        <v>251</v>
      </c>
      <c r="B2" s="228" t="s">
        <v>745</v>
      </c>
      <c r="C2" s="228" t="s">
        <v>746</v>
      </c>
      <c r="D2" s="228" t="s">
        <v>747</v>
      </c>
      <c r="E2" s="228" t="s">
        <v>748</v>
      </c>
      <c r="F2" s="228" t="s">
        <v>749</v>
      </c>
      <c r="G2" s="228" t="s">
        <v>750</v>
      </c>
      <c r="H2" s="229" t="s">
        <v>751</v>
      </c>
      <c r="I2" s="230" t="s">
        <v>231</v>
      </c>
    </row>
    <row r="3" spans="1:9" x14ac:dyDescent="0.25">
      <c r="A3" s="216" t="s">
        <v>651</v>
      </c>
      <c r="B3" s="217">
        <f>SUMIF(Таблица4[Марка],A3,Таблица4[Площадь])</f>
        <v>15</v>
      </c>
      <c r="C3" s="217">
        <f>SUMIF(Таблица46[Марка],A3,Таблица46[Площадь])</f>
        <v>19.799999999999997</v>
      </c>
      <c r="D3" s="217">
        <f>SUMIF(Таблица467[Марка],A3,Таблица467[Площадь])</f>
        <v>14.9</v>
      </c>
      <c r="E3" s="217">
        <f>SUMIF(Таблица4678[Марка],A3,Таблица4678[Площадь])</f>
        <v>10.7</v>
      </c>
      <c r="F3" s="217">
        <f>SUMIF(Таблица46789[Марка],A3,Таблица46789[Площадь])</f>
        <v>14.9</v>
      </c>
      <c r="G3" s="217">
        <f>SUMIF(Таблица4678910[Марка],A3,Таблица4678910[Площадь])</f>
        <v>0</v>
      </c>
      <c r="H3" s="218">
        <f>SUMIF(Таблица467891011[Марка],A3,Таблица467891011[Площадь])</f>
        <v>11.7</v>
      </c>
      <c r="I3" s="231">
        <f t="shared" ref="I3:I19" si="0">SUM(B3:H3)</f>
        <v>87</v>
      </c>
    </row>
    <row r="4" spans="1:9" x14ac:dyDescent="0.25">
      <c r="A4" s="219" t="s">
        <v>649</v>
      </c>
      <c r="B4" s="220">
        <f>SUMIF(Таблица4[Марка],A4,Таблица4[Площадь])</f>
        <v>65.699999999999989</v>
      </c>
      <c r="C4" s="220">
        <f>SUMIF(Таблица46[Марка],A4,Таблица46[Площадь])</f>
        <v>0</v>
      </c>
      <c r="D4" s="220">
        <f>SUMIF(Таблица467[Марка],A4,Таблица467[Площадь])</f>
        <v>39.1</v>
      </c>
      <c r="E4" s="220">
        <f>SUMIF(Таблица4678[Марка],A4,Таблица4678[Площадь])</f>
        <v>53.6</v>
      </c>
      <c r="F4" s="220">
        <f>SUMIF(Таблица46789[Марка],A4,Таблица46789[Площадь])</f>
        <v>0</v>
      </c>
      <c r="G4" s="220">
        <f>SUMIF(Таблица4678910[Марка],A4,Таблица4678910[Площадь])</f>
        <v>0</v>
      </c>
      <c r="H4" s="221">
        <f>SUMIF(Таблица467891011[Марка],A4,Таблица467891011[Площадь])</f>
        <v>150.1</v>
      </c>
      <c r="I4" s="231">
        <f t="shared" si="0"/>
        <v>308.5</v>
      </c>
    </row>
    <row r="5" spans="1:9" x14ac:dyDescent="0.25">
      <c r="A5" s="219" t="s">
        <v>644</v>
      </c>
      <c r="B5" s="220">
        <f>SUMIF(Таблица4[Марка],A5,Таблица4[Площадь])</f>
        <v>6.1</v>
      </c>
      <c r="C5" s="220">
        <f>SUMIF(Таблица46[Марка],A5,Таблица46[Площадь])</f>
        <v>0</v>
      </c>
      <c r="D5" s="220">
        <f>SUMIF(Таблица467[Марка],A5,Таблица467[Площадь])</f>
        <v>6.1</v>
      </c>
      <c r="E5" s="220">
        <f>SUMIF(Таблица4678[Марка],A5,Таблица4678[Площадь])</f>
        <v>0</v>
      </c>
      <c r="F5" s="220">
        <f>SUMIF(Таблица46789[Марка],A5,Таблица46789[Площадь])</f>
        <v>0</v>
      </c>
      <c r="G5" s="220">
        <f>SUMIF(Таблица4678910[Марка],A5,Таблица4678910[Площадь])</f>
        <v>0</v>
      </c>
      <c r="H5" s="221">
        <f>SUMIF(Таблица467891011[Марка],A5,Таблица467891011[Площадь])</f>
        <v>0</v>
      </c>
      <c r="I5" s="231">
        <f t="shared" si="0"/>
        <v>12.2</v>
      </c>
    </row>
    <row r="6" spans="1:9" x14ac:dyDescent="0.25">
      <c r="A6" s="219" t="s">
        <v>640</v>
      </c>
      <c r="B6" s="220">
        <f>SUMIF(Таблица4[Марка],A6,Таблица4[Площадь])</f>
        <v>261.3</v>
      </c>
      <c r="C6" s="220">
        <f>SUMIF(Таблица46[Марка],A6,Таблица46[Площадь])</f>
        <v>0</v>
      </c>
      <c r="D6" s="220">
        <f>SUMIF(Таблица467[Марка],A6,Таблица467[Площадь])</f>
        <v>352.5</v>
      </c>
      <c r="E6" s="220">
        <f>SUMIF(Таблица4678[Марка],A6,Таблица4678[Площадь])</f>
        <v>93.2</v>
      </c>
      <c r="F6" s="220">
        <f>SUMIF(Таблица46789[Марка],A6,Таблица46789[Площадь])</f>
        <v>143.19999999999999</v>
      </c>
      <c r="G6" s="220">
        <f>SUMIF(Таблица4678910[Марка],A6,Таблица4678910[Площадь])</f>
        <v>155.80000000000001</v>
      </c>
      <c r="H6" s="221">
        <f>SUMIF(Таблица467891011[Марка],A6,Таблица467891011[Площадь])</f>
        <v>225.1</v>
      </c>
      <c r="I6" s="231">
        <f t="shared" si="0"/>
        <v>1231.0999999999999</v>
      </c>
    </row>
    <row r="7" spans="1:9" x14ac:dyDescent="0.25">
      <c r="A7" s="219" t="s">
        <v>638</v>
      </c>
      <c r="B7" s="220">
        <f>SUMIF(Таблица4[Марка],A7,Таблица4[Площадь])</f>
        <v>622.40000000000009</v>
      </c>
      <c r="C7" s="220">
        <f>SUMIF(Таблица46[Марка],A7,Таблица46[Площадь])</f>
        <v>10.6</v>
      </c>
      <c r="D7" s="220">
        <f>SUMIF(Таблица467[Марка],A7,Таблица467[Площадь])</f>
        <v>554.79999999999995</v>
      </c>
      <c r="E7" s="220">
        <f>SUMIF(Таблица4678[Марка],A7,Таблица4678[Площадь])</f>
        <v>483.40000000000003</v>
      </c>
      <c r="F7" s="220">
        <f>SUMIF(Таблица46789[Марка],A7,Таблица46789[Площадь])</f>
        <v>92.8</v>
      </c>
      <c r="G7" s="220">
        <f>SUMIF(Таблица4678910[Марка],A7,Таблица4678910[Площадь])</f>
        <v>344</v>
      </c>
      <c r="H7" s="221">
        <f>SUMIF(Таблица467891011[Марка],A7,Таблица467891011[Площадь])</f>
        <v>152.30000000000001</v>
      </c>
      <c r="I7" s="231">
        <f t="shared" si="0"/>
        <v>2260.3000000000002</v>
      </c>
    </row>
    <row r="8" spans="1:9" x14ac:dyDescent="0.25">
      <c r="A8" s="219" t="s">
        <v>642</v>
      </c>
      <c r="B8" s="220">
        <f>SUMIF(Таблица4[Марка],A8,Таблица4[Площадь])</f>
        <v>55.6</v>
      </c>
      <c r="C8" s="220">
        <f>SUMIF(Таблица46[Марка],A8,Таблица46[Площадь])</f>
        <v>30.9</v>
      </c>
      <c r="D8" s="220">
        <f>SUMIF(Таблица467[Марка],A8,Таблица467[Площадь])</f>
        <v>0</v>
      </c>
      <c r="E8" s="220">
        <f>SUMIF(Таблица4678[Марка],A8,Таблица4678[Площадь])</f>
        <v>26.699999999999996</v>
      </c>
      <c r="F8" s="220">
        <f>SUMIF(Таблица46789[Марка],A8,Таблица46789[Площадь])</f>
        <v>0</v>
      </c>
      <c r="G8" s="220">
        <f>SUMIF(Таблица4678910[Марка],A8,Таблица4678910[Площадь])</f>
        <v>1.8</v>
      </c>
      <c r="H8" s="221">
        <f>SUMIF(Таблица467891011[Марка],A8,Таблица467891011[Площадь])</f>
        <v>6.7</v>
      </c>
      <c r="I8" s="231">
        <f t="shared" si="0"/>
        <v>121.69999999999999</v>
      </c>
    </row>
    <row r="9" spans="1:9" x14ac:dyDescent="0.25">
      <c r="A9" s="219" t="s">
        <v>641</v>
      </c>
      <c r="B9" s="220">
        <f>SUMIF(Таблица4[Марка],A9,Таблица4[Площадь])</f>
        <v>33.5</v>
      </c>
      <c r="C9" s="220">
        <f>SUMIF(Таблица46[Марка],A9,Таблица46[Площадь])</f>
        <v>0</v>
      </c>
      <c r="D9" s="220">
        <f>SUMIF(Таблица467[Марка],A9,Таблица467[Площадь])</f>
        <v>36.299999999999997</v>
      </c>
      <c r="E9" s="220">
        <f>SUMIF(Таблица4678[Марка],A9,Таблица4678[Площадь])</f>
        <v>6.3000000000000007</v>
      </c>
      <c r="F9" s="220">
        <f>SUMIF(Таблица46789[Марка],A9,Таблица46789[Площадь])</f>
        <v>0</v>
      </c>
      <c r="G9" s="220">
        <f>SUMIF(Таблица4678910[Марка],A9,Таблица4678910[Площадь])</f>
        <v>7</v>
      </c>
      <c r="H9" s="221">
        <f>SUMIF(Таблица467891011[Марка],A9,Таблица467891011[Площадь])</f>
        <v>0</v>
      </c>
      <c r="I9" s="231">
        <f t="shared" si="0"/>
        <v>83.1</v>
      </c>
    </row>
    <row r="10" spans="1:9" x14ac:dyDescent="0.25">
      <c r="A10" s="219" t="s">
        <v>655</v>
      </c>
      <c r="B10" s="220">
        <f>SUMIF(Таблица4[Марка],A10,Таблица4[Площадь])</f>
        <v>5.9</v>
      </c>
      <c r="C10" s="220">
        <f>SUMIF(Таблица46[Марка],A10,Таблица46[Площадь])</f>
        <v>0</v>
      </c>
      <c r="D10" s="220">
        <f>SUMIF(Таблица467[Марка],A10,Таблица467[Площадь])</f>
        <v>7</v>
      </c>
      <c r="E10" s="220">
        <f>SUMIF(Таблица4678[Марка],A10,Таблица4678[Площадь])</f>
        <v>40.700000000000003</v>
      </c>
      <c r="F10" s="220">
        <f>SUMIF(Таблица46789[Марка],A10,Таблица46789[Площадь])</f>
        <v>7.8</v>
      </c>
      <c r="G10" s="220">
        <f>SUMIF(Таблица4678910[Марка],A10,Таблица4678910[Площадь])</f>
        <v>23.1</v>
      </c>
      <c r="H10" s="221">
        <f>SUMIF(Таблица467891011[Марка],A10,Таблица467891011[Площадь])</f>
        <v>57.3</v>
      </c>
      <c r="I10" s="231">
        <f t="shared" si="0"/>
        <v>141.80000000000001</v>
      </c>
    </row>
    <row r="11" spans="1:9" x14ac:dyDescent="0.25">
      <c r="A11" s="219" t="s">
        <v>648</v>
      </c>
      <c r="B11" s="220">
        <f>SUMIF(Таблица4[Марка],A11,Таблица4[Площадь])</f>
        <v>3.1</v>
      </c>
      <c r="C11" s="220">
        <f>SUMIF(Таблица46[Марка],A11,Таблица46[Площадь])</f>
        <v>31.4</v>
      </c>
      <c r="D11" s="220">
        <f>SUMIF(Таблица467[Марка],A11,Таблица467[Площадь])</f>
        <v>3.1</v>
      </c>
      <c r="E11" s="220">
        <f>SUMIF(Таблица4678[Марка],A11,Таблица4678[Площадь])</f>
        <v>28.4</v>
      </c>
      <c r="F11" s="220">
        <f>SUMIF(Таблица46789[Марка],A11,Таблица46789[Площадь])</f>
        <v>0</v>
      </c>
      <c r="G11" s="220">
        <f>SUMIF(Таблица4678910[Марка],A11,Таблица4678910[Площадь])</f>
        <v>9.9</v>
      </c>
      <c r="H11" s="221">
        <f>SUMIF(Таблица467891011[Марка],A11,Таблица467891011[Площадь])</f>
        <v>62.2</v>
      </c>
      <c r="I11" s="231">
        <f t="shared" si="0"/>
        <v>138.10000000000002</v>
      </c>
    </row>
    <row r="12" spans="1:9" x14ac:dyDescent="0.25">
      <c r="A12" s="219" t="s">
        <v>637</v>
      </c>
      <c r="B12" s="220">
        <f>SUMIF(Таблица4[Марка],A12,Таблица4[Площадь])</f>
        <v>189.89999999999998</v>
      </c>
      <c r="C12" s="220">
        <f>SUMIF(Таблица46[Марка],A12,Таблица46[Площадь])</f>
        <v>5.7</v>
      </c>
      <c r="D12" s="220">
        <f>SUMIF(Таблица467[Марка],A12,Таблица467[Площадь])</f>
        <v>216.7</v>
      </c>
      <c r="E12" s="220">
        <f>SUMIF(Таблица4678[Марка],A12,Таблица4678[Площадь])</f>
        <v>86.399999999999991</v>
      </c>
      <c r="F12" s="220">
        <f>SUMIF(Таблица46789[Марка],A12,Таблица46789[Площадь])</f>
        <v>153.6</v>
      </c>
      <c r="G12" s="220">
        <f>SUMIF(Таблица4678910[Марка],A12,Таблица4678910[Площадь])</f>
        <v>132.1</v>
      </c>
      <c r="H12" s="221">
        <f>SUMIF(Таблица467891011[Марка],A12,Таблица467891011[Площадь])</f>
        <v>54.2</v>
      </c>
      <c r="I12" s="231">
        <f t="shared" si="0"/>
        <v>838.6</v>
      </c>
    </row>
    <row r="13" spans="1:9" x14ac:dyDescent="0.25">
      <c r="A13" s="219" t="s">
        <v>645</v>
      </c>
      <c r="B13" s="220">
        <f>SUMIF(Таблица4[Марка],A13,Таблица4[Площадь])</f>
        <v>53.7</v>
      </c>
      <c r="C13" s="220">
        <f>SUMIF(Таблица46[Марка],A13,Таблица46[Площадь])</f>
        <v>19.3</v>
      </c>
      <c r="D13" s="220">
        <f>SUMIF(Таблица467[Марка],A13,Таблица467[Площадь])</f>
        <v>18.600000000000001</v>
      </c>
      <c r="E13" s="220">
        <f>SUMIF(Таблица4678[Марка],A13,Таблица4678[Площадь])</f>
        <v>19.3</v>
      </c>
      <c r="F13" s="220">
        <f>SUMIF(Таблица46789[Марка],A13,Таблица46789[Площадь])</f>
        <v>16.100000000000001</v>
      </c>
      <c r="G13" s="220">
        <f>SUMIF(Таблица4678910[Марка],A13,Таблица4678910[Площадь])</f>
        <v>18.899999999999999</v>
      </c>
      <c r="H13" s="221">
        <f>SUMIF(Таблица467891011[Марка],A13,Таблица467891011[Площадь])</f>
        <v>30.4</v>
      </c>
      <c r="I13" s="231">
        <f t="shared" si="0"/>
        <v>176.3</v>
      </c>
    </row>
    <row r="14" spans="1:9" x14ac:dyDescent="0.25">
      <c r="A14" s="219" t="s">
        <v>652</v>
      </c>
      <c r="B14" s="220">
        <f>SUMIF(Таблица4[Марка],A14,Таблица4[Площадь])</f>
        <v>19.5</v>
      </c>
      <c r="C14" s="220">
        <f>SUMIF(Таблица46[Марка],A14,Таблица46[Площадь])</f>
        <v>38</v>
      </c>
      <c r="D14" s="220">
        <f>SUMIF(Таблица467[Марка],A14,Таблица467[Площадь])</f>
        <v>19.5</v>
      </c>
      <c r="E14" s="220">
        <f>SUMIF(Таблица4678[Марка],A14,Таблица4678[Площадь])</f>
        <v>7.4</v>
      </c>
      <c r="F14" s="220">
        <f>SUMIF(Таблица46789[Марка],A14,Таблица46789[Площадь])</f>
        <v>0</v>
      </c>
      <c r="G14" s="220">
        <f>SUMIF(Таблица4678910[Марка],A14,Таблица4678910[Площадь])</f>
        <v>8</v>
      </c>
      <c r="H14" s="221">
        <f>SUMIF(Таблица467891011[Марка],A14,Таблица467891011[Площадь])</f>
        <v>37.199999999999996</v>
      </c>
      <c r="I14" s="231">
        <f t="shared" si="0"/>
        <v>129.6</v>
      </c>
    </row>
    <row r="15" spans="1:9" x14ac:dyDescent="0.25">
      <c r="A15" s="219" t="s">
        <v>657</v>
      </c>
      <c r="B15" s="220">
        <f>SUMIF(Таблица4[Марка],A15,Таблица4[Площадь])</f>
        <v>0</v>
      </c>
      <c r="C15" s="220">
        <f>SUMIF(Таблица46[Марка],A15,Таблица46[Площадь])</f>
        <v>40.300000000000004</v>
      </c>
      <c r="D15" s="220">
        <f>SUMIF(Таблица467[Марка],A15,Таблица467[Площадь])</f>
        <v>0</v>
      </c>
      <c r="E15" s="220">
        <f>SUMIF(Таблица4678[Марка],A15,Таблица4678[Площадь])</f>
        <v>22.7</v>
      </c>
      <c r="F15" s="220">
        <f>SUMIF(Таблица46789[Марка],A15,Таблица46789[Площадь])</f>
        <v>0</v>
      </c>
      <c r="G15" s="220">
        <f>SUMIF(Таблица4678910[Марка],A15,Таблица4678910[Площадь])</f>
        <v>0</v>
      </c>
      <c r="H15" s="221">
        <f>SUMIF(Таблица467891011[Марка],A15,Таблица467891011[Площадь])</f>
        <v>0</v>
      </c>
      <c r="I15" s="231">
        <f t="shared" si="0"/>
        <v>63</v>
      </c>
    </row>
    <row r="16" spans="1:9" x14ac:dyDescent="0.25">
      <c r="A16" s="219" t="s">
        <v>643</v>
      </c>
      <c r="B16" s="220">
        <f>SUMIF(Таблица4[Марка],A16,Таблица4[Площадь])</f>
        <v>19.899999999999999</v>
      </c>
      <c r="C16" s="220">
        <f>SUMIF(Таблица46[Марка],A16,Таблица46[Площадь])</f>
        <v>0</v>
      </c>
      <c r="D16" s="220">
        <f>SUMIF(Таблица467[Марка],A16,Таблица467[Площадь])</f>
        <v>0</v>
      </c>
      <c r="E16" s="220">
        <f>SUMIF(Таблица4678[Марка],A16,Таблица4678[Площадь])</f>
        <v>0</v>
      </c>
      <c r="F16" s="220">
        <f>SUMIF(Таблица46789[Марка],A16,Таблица46789[Площадь])</f>
        <v>0</v>
      </c>
      <c r="G16" s="220">
        <f>SUMIF(Таблица4678910[Марка],A16,Таблица4678910[Площадь])</f>
        <v>0</v>
      </c>
      <c r="H16" s="221">
        <f>SUMIF(Таблица467891011[Марка],A16,Таблица467891011[Площадь])</f>
        <v>0</v>
      </c>
      <c r="I16" s="231">
        <f t="shared" si="0"/>
        <v>19.899999999999999</v>
      </c>
    </row>
    <row r="17" spans="1:9" x14ac:dyDescent="0.25">
      <c r="A17" s="219" t="s">
        <v>646</v>
      </c>
      <c r="B17" s="220">
        <f>SUMIF(Таблица4[Марка],A17,Таблица4[Площадь])</f>
        <v>5.7</v>
      </c>
      <c r="C17" s="220">
        <f>SUMIF(Таблица46[Марка],A17,Таблица46[Площадь])</f>
        <v>6.3000000000000007</v>
      </c>
      <c r="D17" s="220">
        <f>SUMIF(Таблица467[Марка],A17,Таблица467[Площадь])</f>
        <v>0</v>
      </c>
      <c r="E17" s="220">
        <f>SUMIF(Таблица4678[Марка],A17,Таблица4678[Площадь])</f>
        <v>0</v>
      </c>
      <c r="F17" s="220">
        <f>SUMIF(Таблица46789[Марка],A17,Таблица46789[Площадь])</f>
        <v>0</v>
      </c>
      <c r="G17" s="220">
        <f>SUMIF(Таблица4678910[Марка],A17,Таблица4678910[Площадь])</f>
        <v>0</v>
      </c>
      <c r="H17" s="221">
        <f>SUMIF(Таблица467891011[Марка],A17,Таблица467891011[Площадь])</f>
        <v>7</v>
      </c>
      <c r="I17" s="231">
        <f t="shared" si="0"/>
        <v>19</v>
      </c>
    </row>
    <row r="18" spans="1:9" x14ac:dyDescent="0.25">
      <c r="A18" s="219" t="s">
        <v>653</v>
      </c>
      <c r="B18" s="220">
        <f>SUMIF(Таблица4[Марка],A18,Таблица4[Площадь])</f>
        <v>7.6</v>
      </c>
      <c r="C18" s="220">
        <f>SUMIF(Таблица46[Марка],A18,Таблица46[Площадь])</f>
        <v>3.5</v>
      </c>
      <c r="D18" s="220">
        <f>SUMIF(Таблица467[Марка],A18,Таблица467[Площадь])</f>
        <v>0</v>
      </c>
      <c r="E18" s="220">
        <f>SUMIF(Таблица4678[Марка],A18,Таблица4678[Площадь])</f>
        <v>0</v>
      </c>
      <c r="F18" s="220">
        <f>SUMIF(Таблица46789[Марка],A18,Таблица46789[Площадь])</f>
        <v>0</v>
      </c>
      <c r="G18" s="220">
        <f>SUMIF(Таблица4678910[Марка],A18,Таблица4678910[Площадь])</f>
        <v>0</v>
      </c>
      <c r="H18" s="221">
        <f>SUMIF(Таблица467891011[Марка],A18,Таблица467891011[Площадь])</f>
        <v>5.5</v>
      </c>
      <c r="I18" s="231">
        <f t="shared" si="0"/>
        <v>16.600000000000001</v>
      </c>
    </row>
    <row r="19" spans="1:9" ht="13.8" thickBot="1" x14ac:dyDescent="0.3">
      <c r="A19" s="219" t="s">
        <v>658</v>
      </c>
      <c r="B19" s="220">
        <f>SUMIF(Таблица4[Марка],A19,Таблица4[Площадь])</f>
        <v>0</v>
      </c>
      <c r="C19" s="220">
        <f>SUMIF(Таблица46[Марка],A19,Таблица46[Площадь])</f>
        <v>6.9</v>
      </c>
      <c r="D19" s="220">
        <f>SUMIF(Таблица467[Марка],A19,Таблица467[Площадь])</f>
        <v>0</v>
      </c>
      <c r="E19" s="220">
        <f>SUMIF(Таблица4678[Марка],A19,Таблица4678[Площадь])</f>
        <v>1.2</v>
      </c>
      <c r="F19" s="220">
        <f>SUMIF(Таблица46789[Марка],A19,Таблица46789[Площадь])</f>
        <v>0</v>
      </c>
      <c r="G19" s="220">
        <f>SUMIF(Таблица4678910[Марка],A19,Таблица4678910[Площадь])</f>
        <v>0</v>
      </c>
      <c r="H19" s="221">
        <f>SUMIF(Таблица467891011[Марка],A19,Таблица467891011[Площадь])</f>
        <v>2.2000000000000002</v>
      </c>
      <c r="I19" s="232">
        <f t="shared" si="0"/>
        <v>10.3</v>
      </c>
    </row>
    <row r="20" spans="1:9" x14ac:dyDescent="0.25">
      <c r="H20" s="201" t="s">
        <v>269</v>
      </c>
      <c r="I20" s="233">
        <f>SUM(I3:I19)</f>
        <v>5657.1000000000022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46"/>
  <sheetViews>
    <sheetView topLeftCell="A5" zoomScaleNormal="100" workbookViewId="0">
      <selection activeCell="F18" sqref="F18"/>
    </sheetView>
  </sheetViews>
  <sheetFormatPr defaultRowHeight="13.2" x14ac:dyDescent="0.25"/>
  <cols>
    <col min="1" max="1" width="6" style="201" customWidth="1"/>
    <col min="2" max="2" width="6.5546875" style="201" customWidth="1"/>
    <col min="3" max="3" width="11.33203125" style="201" customWidth="1"/>
    <col min="4" max="4" width="8.5546875" style="201" customWidth="1"/>
    <col min="5" max="5" width="10.77734375" style="201" customWidth="1"/>
    <col min="6" max="6" width="47.5546875" style="202" customWidth="1"/>
    <col min="7" max="16384" width="8.88671875" style="202"/>
  </cols>
  <sheetData>
    <row r="1" spans="1:6" ht="26.4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81">
        <v>1</v>
      </c>
      <c r="B2" s="182">
        <v>1</v>
      </c>
      <c r="C2" s="183">
        <v>1001</v>
      </c>
      <c r="D2" s="184" t="s">
        <v>637</v>
      </c>
      <c r="E2" s="185">
        <v>12.6</v>
      </c>
      <c r="F2" s="154" t="s">
        <v>752</v>
      </c>
    </row>
    <row r="3" spans="1:6" x14ac:dyDescent="0.25">
      <c r="A3" s="186">
        <v>1</v>
      </c>
      <c r="B3" s="187">
        <v>1</v>
      </c>
      <c r="C3" s="188">
        <v>1001</v>
      </c>
      <c r="D3" s="189" t="s">
        <v>638</v>
      </c>
      <c r="E3" s="190">
        <v>55.1</v>
      </c>
      <c r="F3" s="155" t="s">
        <v>753</v>
      </c>
    </row>
    <row r="4" spans="1:6" x14ac:dyDescent="0.25">
      <c r="A4" s="186">
        <v>1</v>
      </c>
      <c r="B4" s="187">
        <v>1</v>
      </c>
      <c r="C4" s="188">
        <v>1001</v>
      </c>
      <c r="D4" s="189" t="s">
        <v>640</v>
      </c>
      <c r="E4" s="190">
        <v>40.4</v>
      </c>
      <c r="F4" s="155" t="s">
        <v>754</v>
      </c>
    </row>
    <row r="5" spans="1:6" x14ac:dyDescent="0.25">
      <c r="A5" s="181">
        <v>1</v>
      </c>
      <c r="B5" s="182">
        <v>1</v>
      </c>
      <c r="C5" s="183">
        <v>1001</v>
      </c>
      <c r="D5" s="184" t="s">
        <v>641</v>
      </c>
      <c r="E5" s="185">
        <v>15</v>
      </c>
      <c r="F5" s="154" t="s">
        <v>756</v>
      </c>
    </row>
    <row r="6" spans="1:6" x14ac:dyDescent="0.25">
      <c r="A6" s="186">
        <v>1</v>
      </c>
      <c r="B6" s="187">
        <v>1</v>
      </c>
      <c r="C6" s="188">
        <v>1002</v>
      </c>
      <c r="D6" s="189" t="s">
        <v>637</v>
      </c>
      <c r="E6" s="190">
        <v>6.2</v>
      </c>
      <c r="F6" s="155" t="s">
        <v>752</v>
      </c>
    </row>
    <row r="7" spans="1:6" x14ac:dyDescent="0.25">
      <c r="A7" s="181">
        <v>1</v>
      </c>
      <c r="B7" s="182">
        <v>1</v>
      </c>
      <c r="C7" s="183">
        <v>1002</v>
      </c>
      <c r="D7" s="184" t="s">
        <v>638</v>
      </c>
      <c r="E7" s="185">
        <v>81.3</v>
      </c>
      <c r="F7" s="154" t="s">
        <v>753</v>
      </c>
    </row>
    <row r="8" spans="1:6" x14ac:dyDescent="0.25">
      <c r="A8" s="181">
        <v>1</v>
      </c>
      <c r="B8" s="182">
        <v>1</v>
      </c>
      <c r="C8" s="183">
        <v>1002</v>
      </c>
      <c r="D8" s="184" t="s">
        <v>640</v>
      </c>
      <c r="E8" s="185">
        <v>10</v>
      </c>
      <c r="F8" s="154" t="s">
        <v>754</v>
      </c>
    </row>
    <row r="9" spans="1:6" x14ac:dyDescent="0.25">
      <c r="A9" s="186">
        <v>1</v>
      </c>
      <c r="B9" s="187">
        <v>1</v>
      </c>
      <c r="C9" s="188">
        <v>1002</v>
      </c>
      <c r="D9" s="189" t="s">
        <v>641</v>
      </c>
      <c r="E9" s="190">
        <v>3.8</v>
      </c>
      <c r="F9" s="155" t="s">
        <v>756</v>
      </c>
    </row>
    <row r="10" spans="1:6" x14ac:dyDescent="0.25">
      <c r="A10" s="181">
        <v>1</v>
      </c>
      <c r="B10" s="182">
        <v>1</v>
      </c>
      <c r="C10" s="183">
        <v>1003</v>
      </c>
      <c r="D10" s="184" t="s">
        <v>637</v>
      </c>
      <c r="E10" s="185">
        <v>7.8</v>
      </c>
      <c r="F10" s="154" t="s">
        <v>752</v>
      </c>
    </row>
    <row r="11" spans="1:6" x14ac:dyDescent="0.25">
      <c r="A11" s="186">
        <v>1</v>
      </c>
      <c r="B11" s="187">
        <v>1</v>
      </c>
      <c r="C11" s="188">
        <v>1003</v>
      </c>
      <c r="D11" s="189" t="s">
        <v>638</v>
      </c>
      <c r="E11" s="190">
        <v>59.9</v>
      </c>
      <c r="F11" s="155" t="s">
        <v>753</v>
      </c>
    </row>
    <row r="12" spans="1:6" x14ac:dyDescent="0.25">
      <c r="A12" s="186">
        <v>1</v>
      </c>
      <c r="B12" s="187">
        <v>1</v>
      </c>
      <c r="C12" s="188">
        <v>1003</v>
      </c>
      <c r="D12" s="189" t="s">
        <v>640</v>
      </c>
      <c r="E12" s="190">
        <v>31.7</v>
      </c>
      <c r="F12" s="155" t="s">
        <v>754</v>
      </c>
    </row>
    <row r="13" spans="1:6" x14ac:dyDescent="0.25">
      <c r="A13" s="181">
        <v>1</v>
      </c>
      <c r="B13" s="182">
        <v>1</v>
      </c>
      <c r="C13" s="183">
        <v>1003</v>
      </c>
      <c r="D13" s="184" t="s">
        <v>641</v>
      </c>
      <c r="E13" s="185">
        <v>3.8</v>
      </c>
      <c r="F13" s="154" t="s">
        <v>756</v>
      </c>
    </row>
    <row r="14" spans="1:6" x14ac:dyDescent="0.25">
      <c r="A14" s="181">
        <v>1</v>
      </c>
      <c r="B14" s="182">
        <v>1</v>
      </c>
      <c r="C14" s="183">
        <v>1005</v>
      </c>
      <c r="D14" s="184" t="s">
        <v>637</v>
      </c>
      <c r="E14" s="185">
        <v>3.4</v>
      </c>
      <c r="F14" s="154" t="s">
        <v>752</v>
      </c>
    </row>
    <row r="15" spans="1:6" x14ac:dyDescent="0.25">
      <c r="A15" s="186">
        <v>1</v>
      </c>
      <c r="B15" s="187">
        <v>1</v>
      </c>
      <c r="C15" s="188">
        <v>1005</v>
      </c>
      <c r="D15" s="189" t="s">
        <v>638</v>
      </c>
      <c r="E15" s="190">
        <v>73</v>
      </c>
      <c r="F15" s="155" t="s">
        <v>753</v>
      </c>
    </row>
    <row r="16" spans="1:6" x14ac:dyDescent="0.25">
      <c r="A16" s="186">
        <v>1</v>
      </c>
      <c r="B16" s="187">
        <v>1</v>
      </c>
      <c r="C16" s="188">
        <v>1005</v>
      </c>
      <c r="D16" s="189" t="s">
        <v>640</v>
      </c>
      <c r="E16" s="190">
        <v>8.5</v>
      </c>
      <c r="F16" s="155" t="s">
        <v>754</v>
      </c>
    </row>
    <row r="17" spans="1:6" x14ac:dyDescent="0.25">
      <c r="A17" s="181">
        <v>1</v>
      </c>
      <c r="B17" s="182">
        <v>1</v>
      </c>
      <c r="C17" s="183">
        <v>1005</v>
      </c>
      <c r="D17" s="184" t="s">
        <v>641</v>
      </c>
      <c r="E17" s="185">
        <v>3.6</v>
      </c>
      <c r="F17" s="154" t="s">
        <v>756</v>
      </c>
    </row>
    <row r="18" spans="1:6" x14ac:dyDescent="0.25">
      <c r="A18" s="186">
        <v>1</v>
      </c>
      <c r="B18" s="187">
        <v>1</v>
      </c>
      <c r="C18" s="188">
        <v>1007</v>
      </c>
      <c r="D18" s="189" t="s">
        <v>637</v>
      </c>
      <c r="E18" s="190">
        <v>7.8</v>
      </c>
      <c r="F18" s="155" t="s">
        <v>752</v>
      </c>
    </row>
    <row r="19" spans="1:6" x14ac:dyDescent="0.25">
      <c r="A19" s="181">
        <v>1</v>
      </c>
      <c r="B19" s="182">
        <v>1</v>
      </c>
      <c r="C19" s="183">
        <v>1007</v>
      </c>
      <c r="D19" s="184" t="s">
        <v>638</v>
      </c>
      <c r="E19" s="185">
        <v>74</v>
      </c>
      <c r="F19" s="154" t="s">
        <v>753</v>
      </c>
    </row>
    <row r="20" spans="1:6" x14ac:dyDescent="0.25">
      <c r="A20" s="181">
        <v>1</v>
      </c>
      <c r="B20" s="182">
        <v>1</v>
      </c>
      <c r="C20" s="183">
        <v>1007</v>
      </c>
      <c r="D20" s="184" t="s">
        <v>640</v>
      </c>
      <c r="E20" s="185">
        <v>56</v>
      </c>
      <c r="F20" s="154" t="s">
        <v>754</v>
      </c>
    </row>
    <row r="21" spans="1:6" x14ac:dyDescent="0.25">
      <c r="A21" s="186">
        <v>1</v>
      </c>
      <c r="B21" s="187">
        <v>1</v>
      </c>
      <c r="C21" s="188">
        <v>1007</v>
      </c>
      <c r="D21" s="189" t="s">
        <v>641</v>
      </c>
      <c r="E21" s="190">
        <v>7.3</v>
      </c>
      <c r="F21" s="155" t="s">
        <v>756</v>
      </c>
    </row>
    <row r="22" spans="1:6" x14ac:dyDescent="0.25">
      <c r="A22" s="186">
        <v>1</v>
      </c>
      <c r="B22" s="187">
        <v>1</v>
      </c>
      <c r="C22" s="188">
        <v>1008</v>
      </c>
      <c r="D22" s="189" t="s">
        <v>642</v>
      </c>
      <c r="E22" s="190">
        <v>55.6</v>
      </c>
      <c r="F22" s="155" t="s">
        <v>754</v>
      </c>
    </row>
    <row r="23" spans="1:6" x14ac:dyDescent="0.25">
      <c r="A23" s="181">
        <v>1</v>
      </c>
      <c r="B23" s="182">
        <v>1</v>
      </c>
      <c r="C23" s="183">
        <v>1008</v>
      </c>
      <c r="D23" s="184" t="s">
        <v>643</v>
      </c>
      <c r="E23" s="185">
        <v>19.899999999999999</v>
      </c>
      <c r="F23" s="154" t="s">
        <v>752</v>
      </c>
    </row>
    <row r="24" spans="1:6" x14ac:dyDescent="0.25">
      <c r="A24" s="186">
        <v>1</v>
      </c>
      <c r="B24" s="187">
        <v>1</v>
      </c>
      <c r="C24" s="188">
        <v>1010</v>
      </c>
      <c r="D24" s="189" t="s">
        <v>645</v>
      </c>
      <c r="E24" s="190">
        <v>14.4</v>
      </c>
      <c r="F24" s="155" t="s">
        <v>752</v>
      </c>
    </row>
    <row r="25" spans="1:6" x14ac:dyDescent="0.25">
      <c r="A25" s="186">
        <v>1</v>
      </c>
      <c r="B25" s="187">
        <v>1</v>
      </c>
      <c r="C25" s="188">
        <v>1010</v>
      </c>
      <c r="D25" s="189" t="s">
        <v>651</v>
      </c>
      <c r="E25" s="190">
        <v>15</v>
      </c>
      <c r="F25" s="155" t="s">
        <v>754</v>
      </c>
    </row>
    <row r="26" spans="1:6" x14ac:dyDescent="0.25">
      <c r="A26" s="181">
        <v>1</v>
      </c>
      <c r="B26" s="182">
        <v>1</v>
      </c>
      <c r="C26" s="183">
        <v>1010</v>
      </c>
      <c r="D26" s="184" t="s">
        <v>649</v>
      </c>
      <c r="E26" s="185">
        <v>7.9</v>
      </c>
      <c r="F26" s="154" t="s">
        <v>756</v>
      </c>
    </row>
    <row r="27" spans="1:6" x14ac:dyDescent="0.25">
      <c r="A27" s="186">
        <v>1</v>
      </c>
      <c r="B27" s="187">
        <v>1</v>
      </c>
      <c r="C27" s="188">
        <v>1012</v>
      </c>
      <c r="D27" s="189" t="s">
        <v>644</v>
      </c>
      <c r="E27" s="190">
        <v>6.1</v>
      </c>
      <c r="F27" s="155" t="s">
        <v>752</v>
      </c>
    </row>
    <row r="28" spans="1:6" x14ac:dyDescent="0.25">
      <c r="A28" s="181">
        <v>1</v>
      </c>
      <c r="B28" s="182">
        <v>1</v>
      </c>
      <c r="C28" s="183">
        <v>1012</v>
      </c>
      <c r="D28" s="184" t="s">
        <v>645</v>
      </c>
      <c r="E28" s="185">
        <v>2.5</v>
      </c>
      <c r="F28" s="154" t="s">
        <v>752</v>
      </c>
    </row>
    <row r="29" spans="1:6" ht="14.4" customHeight="1" x14ac:dyDescent="0.25">
      <c r="A29" s="186">
        <v>1</v>
      </c>
      <c r="B29" s="187">
        <v>1</v>
      </c>
      <c r="C29" s="188">
        <v>1012</v>
      </c>
      <c r="D29" s="189" t="s">
        <v>646</v>
      </c>
      <c r="E29" s="190">
        <v>1.3</v>
      </c>
      <c r="F29" s="155" t="s">
        <v>755</v>
      </c>
    </row>
    <row r="30" spans="1:6" x14ac:dyDescent="0.25">
      <c r="A30" s="181">
        <v>1</v>
      </c>
      <c r="B30" s="182">
        <v>1</v>
      </c>
      <c r="C30" s="183">
        <v>1012</v>
      </c>
      <c r="D30" s="184" t="s">
        <v>652</v>
      </c>
      <c r="E30" s="185">
        <v>19.5</v>
      </c>
      <c r="F30" s="154" t="s">
        <v>753</v>
      </c>
    </row>
    <row r="31" spans="1:6" x14ac:dyDescent="0.25">
      <c r="A31" s="181">
        <v>1</v>
      </c>
      <c r="B31" s="182">
        <v>1</v>
      </c>
      <c r="C31" s="183">
        <v>1012</v>
      </c>
      <c r="D31" s="184" t="s">
        <v>648</v>
      </c>
      <c r="E31" s="185">
        <v>3.1</v>
      </c>
      <c r="F31" s="154" t="s">
        <v>754</v>
      </c>
    </row>
    <row r="32" spans="1:6" x14ac:dyDescent="0.25">
      <c r="A32" s="186">
        <v>1</v>
      </c>
      <c r="B32" s="187">
        <v>1</v>
      </c>
      <c r="C32" s="188">
        <v>1012</v>
      </c>
      <c r="D32" s="189" t="s">
        <v>649</v>
      </c>
      <c r="E32" s="190">
        <v>39.799999999999997</v>
      </c>
      <c r="F32" s="155" t="s">
        <v>756</v>
      </c>
    </row>
    <row r="33" spans="1:6" x14ac:dyDescent="0.25">
      <c r="A33" s="181">
        <v>1</v>
      </c>
      <c r="B33" s="182">
        <v>1</v>
      </c>
      <c r="C33" s="183">
        <v>1013</v>
      </c>
      <c r="D33" s="184" t="s">
        <v>645</v>
      </c>
      <c r="E33" s="185">
        <v>22.8</v>
      </c>
      <c r="F33" s="154" t="s">
        <v>752</v>
      </c>
    </row>
    <row r="34" spans="1:6" ht="26.4" x14ac:dyDescent="0.25">
      <c r="A34" s="186">
        <v>1</v>
      </c>
      <c r="B34" s="187">
        <v>1</v>
      </c>
      <c r="C34" s="188">
        <v>1013</v>
      </c>
      <c r="D34" s="189" t="s">
        <v>653</v>
      </c>
      <c r="E34" s="190">
        <v>4.5999999999999996</v>
      </c>
      <c r="F34" s="155" t="s">
        <v>757</v>
      </c>
    </row>
    <row r="35" spans="1:6" x14ac:dyDescent="0.25">
      <c r="A35" s="181">
        <v>1</v>
      </c>
      <c r="B35" s="182">
        <v>1</v>
      </c>
      <c r="C35" s="183">
        <v>1013</v>
      </c>
      <c r="D35" s="184" t="s">
        <v>646</v>
      </c>
      <c r="E35" s="185">
        <v>1.1000000000000001</v>
      </c>
      <c r="F35" s="154" t="s">
        <v>755</v>
      </c>
    </row>
    <row r="36" spans="1:6" x14ac:dyDescent="0.25">
      <c r="A36" s="186">
        <v>1</v>
      </c>
      <c r="B36" s="187">
        <v>1</v>
      </c>
      <c r="C36" s="188">
        <v>1013</v>
      </c>
      <c r="D36" s="189" t="s">
        <v>655</v>
      </c>
      <c r="E36" s="190">
        <v>5.9</v>
      </c>
      <c r="F36" s="155" t="s">
        <v>756</v>
      </c>
    </row>
    <row r="37" spans="1:6" x14ac:dyDescent="0.25">
      <c r="A37" s="181">
        <v>1</v>
      </c>
      <c r="B37" s="182">
        <v>1</v>
      </c>
      <c r="C37" s="183">
        <v>1014</v>
      </c>
      <c r="D37" s="184" t="s">
        <v>645</v>
      </c>
      <c r="E37" s="185">
        <v>14</v>
      </c>
      <c r="F37" s="154" t="s">
        <v>752</v>
      </c>
    </row>
    <row r="38" spans="1:6" ht="26.4" x14ac:dyDescent="0.25">
      <c r="A38" s="186">
        <v>1</v>
      </c>
      <c r="B38" s="187">
        <v>1</v>
      </c>
      <c r="C38" s="188">
        <v>1014</v>
      </c>
      <c r="D38" s="189" t="s">
        <v>653</v>
      </c>
      <c r="E38" s="190">
        <v>3</v>
      </c>
      <c r="F38" s="155" t="s">
        <v>757</v>
      </c>
    </row>
    <row r="39" spans="1:6" x14ac:dyDescent="0.25">
      <c r="A39" s="181">
        <v>1</v>
      </c>
      <c r="B39" s="182">
        <v>1</v>
      </c>
      <c r="C39" s="183">
        <v>1014</v>
      </c>
      <c r="D39" s="184" t="s">
        <v>646</v>
      </c>
      <c r="E39" s="185">
        <v>3.3</v>
      </c>
      <c r="F39" s="154" t="s">
        <v>755</v>
      </c>
    </row>
    <row r="40" spans="1:6" x14ac:dyDescent="0.25">
      <c r="A40" s="186">
        <v>1</v>
      </c>
      <c r="B40" s="187">
        <v>1</v>
      </c>
      <c r="C40" s="188">
        <v>1014</v>
      </c>
      <c r="D40" s="189" t="s">
        <v>649</v>
      </c>
      <c r="E40" s="190">
        <v>18</v>
      </c>
      <c r="F40" s="155" t="s">
        <v>756</v>
      </c>
    </row>
    <row r="41" spans="1:6" x14ac:dyDescent="0.25">
      <c r="A41" s="181">
        <v>1</v>
      </c>
      <c r="B41" s="182">
        <v>1</v>
      </c>
      <c r="C41" s="183">
        <v>1015</v>
      </c>
      <c r="D41" s="184" t="s">
        <v>637</v>
      </c>
      <c r="E41" s="185">
        <v>51.4</v>
      </c>
      <c r="F41" s="154" t="s">
        <v>752</v>
      </c>
    </row>
    <row r="42" spans="1:6" x14ac:dyDescent="0.25">
      <c r="A42" s="186">
        <v>1</v>
      </c>
      <c r="B42" s="187">
        <v>1</v>
      </c>
      <c r="C42" s="188">
        <v>1015</v>
      </c>
      <c r="D42" s="189" t="s">
        <v>638</v>
      </c>
      <c r="E42" s="190">
        <v>115.8</v>
      </c>
      <c r="F42" s="155" t="s">
        <v>753</v>
      </c>
    </row>
    <row r="43" spans="1:6" x14ac:dyDescent="0.25">
      <c r="A43" s="186">
        <v>1</v>
      </c>
      <c r="B43" s="187">
        <v>1</v>
      </c>
      <c r="C43" s="188">
        <v>1015</v>
      </c>
      <c r="D43" s="189" t="s">
        <v>640</v>
      </c>
      <c r="E43" s="190">
        <v>69.2</v>
      </c>
      <c r="F43" s="155" t="s">
        <v>754</v>
      </c>
    </row>
    <row r="44" spans="1:6" x14ac:dyDescent="0.25">
      <c r="A44" s="181">
        <v>1</v>
      </c>
      <c r="B44" s="182">
        <v>1</v>
      </c>
      <c r="C44" s="183">
        <v>1016</v>
      </c>
      <c r="D44" s="184" t="s">
        <v>637</v>
      </c>
      <c r="E44" s="185">
        <v>100.7</v>
      </c>
      <c r="F44" s="154" t="s">
        <v>752</v>
      </c>
    </row>
    <row r="45" spans="1:6" x14ac:dyDescent="0.25">
      <c r="A45" s="186">
        <v>1</v>
      </c>
      <c r="B45" s="187">
        <v>1</v>
      </c>
      <c r="C45" s="188">
        <v>1016</v>
      </c>
      <c r="D45" s="189" t="s">
        <v>638</v>
      </c>
      <c r="E45" s="190">
        <v>163.30000000000001</v>
      </c>
      <c r="F45" s="155" t="s">
        <v>753</v>
      </c>
    </row>
    <row r="46" spans="1:6" x14ac:dyDescent="0.25">
      <c r="A46" s="191">
        <v>1</v>
      </c>
      <c r="B46" s="192">
        <v>1</v>
      </c>
      <c r="C46" s="193">
        <v>1016</v>
      </c>
      <c r="D46" s="194" t="s">
        <v>640</v>
      </c>
      <c r="E46" s="195">
        <v>45.5</v>
      </c>
      <c r="F46" s="156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zoomScale="85" zoomScaleNormal="85" workbookViewId="0">
      <selection activeCell="F10" sqref="F10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1</v>
      </c>
      <c r="B2" s="197">
        <v>3</v>
      </c>
      <c r="C2" s="198">
        <v>1087</v>
      </c>
      <c r="D2" s="199" t="s">
        <v>646</v>
      </c>
      <c r="E2" s="200">
        <v>2.1</v>
      </c>
      <c r="F2" s="168" t="s">
        <v>755</v>
      </c>
    </row>
    <row r="3" spans="1:6" x14ac:dyDescent="0.25">
      <c r="A3" s="196">
        <v>1</v>
      </c>
      <c r="B3" s="197">
        <v>3</v>
      </c>
      <c r="C3" s="198">
        <v>1087</v>
      </c>
      <c r="D3" s="199" t="s">
        <v>652</v>
      </c>
      <c r="E3" s="200">
        <v>3.2</v>
      </c>
      <c r="F3" s="168" t="s">
        <v>753</v>
      </c>
    </row>
    <row r="4" spans="1:6" x14ac:dyDescent="0.25">
      <c r="A4" s="196">
        <v>1</v>
      </c>
      <c r="B4" s="197">
        <v>3</v>
      </c>
      <c r="C4" s="198">
        <v>1087</v>
      </c>
      <c r="D4" s="199" t="s">
        <v>657</v>
      </c>
      <c r="E4" s="200">
        <v>14.5</v>
      </c>
      <c r="F4" s="168" t="s">
        <v>755</v>
      </c>
    </row>
    <row r="5" spans="1:6" x14ac:dyDescent="0.25">
      <c r="A5" s="196">
        <v>1</v>
      </c>
      <c r="B5" s="197">
        <v>3</v>
      </c>
      <c r="C5" s="198">
        <v>1087</v>
      </c>
      <c r="D5" s="199" t="s">
        <v>651</v>
      </c>
      <c r="E5" s="200">
        <v>9.1999999999999993</v>
      </c>
      <c r="F5" s="168" t="s">
        <v>754</v>
      </c>
    </row>
    <row r="6" spans="1:6" x14ac:dyDescent="0.25">
      <c r="A6" s="196">
        <v>1</v>
      </c>
      <c r="B6" s="197">
        <v>3</v>
      </c>
      <c r="C6" s="198">
        <v>1088</v>
      </c>
      <c r="D6" s="199" t="s">
        <v>652</v>
      </c>
      <c r="E6" s="200">
        <v>24.2</v>
      </c>
      <c r="F6" s="168" t="s">
        <v>753</v>
      </c>
    </row>
    <row r="7" spans="1:6" ht="26.4" x14ac:dyDescent="0.25">
      <c r="A7" s="196">
        <v>1</v>
      </c>
      <c r="B7" s="197">
        <v>3</v>
      </c>
      <c r="C7" s="198">
        <v>1088</v>
      </c>
      <c r="D7" s="199" t="s">
        <v>658</v>
      </c>
      <c r="E7" s="200">
        <v>4.8</v>
      </c>
      <c r="F7" s="168" t="s">
        <v>758</v>
      </c>
    </row>
    <row r="8" spans="1:6" x14ac:dyDescent="0.25">
      <c r="A8" s="196">
        <v>1</v>
      </c>
      <c r="B8" s="197">
        <v>3</v>
      </c>
      <c r="C8" s="198">
        <v>1088</v>
      </c>
      <c r="D8" s="199" t="s">
        <v>642</v>
      </c>
      <c r="E8" s="200">
        <v>4.2</v>
      </c>
      <c r="F8" s="168" t="s">
        <v>754</v>
      </c>
    </row>
    <row r="9" spans="1:6" x14ac:dyDescent="0.25">
      <c r="A9" s="196">
        <v>1</v>
      </c>
      <c r="B9" s="197">
        <v>3</v>
      </c>
      <c r="C9" s="198">
        <v>1088</v>
      </c>
      <c r="D9" s="199" t="s">
        <v>648</v>
      </c>
      <c r="E9" s="200">
        <v>23.3</v>
      </c>
      <c r="F9" s="168" t="s">
        <v>754</v>
      </c>
    </row>
    <row r="10" spans="1:6" x14ac:dyDescent="0.25">
      <c r="A10" s="196">
        <v>1</v>
      </c>
      <c r="B10" s="197">
        <v>3</v>
      </c>
      <c r="C10" s="198">
        <v>1089</v>
      </c>
      <c r="D10" s="199" t="s">
        <v>645</v>
      </c>
      <c r="E10" s="200">
        <v>8.9</v>
      </c>
      <c r="F10" s="168" t="s">
        <v>752</v>
      </c>
    </row>
    <row r="11" spans="1:6" ht="26.4" x14ac:dyDescent="0.25">
      <c r="A11" s="196">
        <v>1</v>
      </c>
      <c r="B11" s="197">
        <v>3</v>
      </c>
      <c r="C11" s="198">
        <v>1089</v>
      </c>
      <c r="D11" s="199" t="s">
        <v>653</v>
      </c>
      <c r="E11" s="200">
        <v>1.6</v>
      </c>
      <c r="F11" s="168" t="s">
        <v>757</v>
      </c>
    </row>
    <row r="12" spans="1:6" x14ac:dyDescent="0.25">
      <c r="A12" s="196">
        <v>1</v>
      </c>
      <c r="B12" s="197">
        <v>3</v>
      </c>
      <c r="C12" s="198">
        <v>1089</v>
      </c>
      <c r="D12" s="199" t="s">
        <v>646</v>
      </c>
      <c r="E12" s="200">
        <v>3.2</v>
      </c>
      <c r="F12" s="168" t="s">
        <v>755</v>
      </c>
    </row>
    <row r="13" spans="1:6" x14ac:dyDescent="0.25">
      <c r="A13" s="196">
        <v>1</v>
      </c>
      <c r="B13" s="197">
        <v>3</v>
      </c>
      <c r="C13" s="198">
        <v>1089</v>
      </c>
      <c r="D13" s="199" t="s">
        <v>652</v>
      </c>
      <c r="E13" s="200">
        <v>4.3</v>
      </c>
      <c r="F13" s="168" t="s">
        <v>753</v>
      </c>
    </row>
    <row r="14" spans="1:6" ht="26.4" x14ac:dyDescent="0.25">
      <c r="A14" s="196">
        <v>1</v>
      </c>
      <c r="B14" s="197">
        <v>3</v>
      </c>
      <c r="C14" s="198">
        <v>1089</v>
      </c>
      <c r="D14" s="199" t="s">
        <v>658</v>
      </c>
      <c r="E14" s="200">
        <v>1.2</v>
      </c>
      <c r="F14" s="168" t="s">
        <v>758</v>
      </c>
    </row>
    <row r="15" spans="1:6" x14ac:dyDescent="0.25">
      <c r="A15" s="196">
        <v>1</v>
      </c>
      <c r="B15" s="197">
        <v>3</v>
      </c>
      <c r="C15" s="198">
        <v>1090</v>
      </c>
      <c r="D15" s="199" t="s">
        <v>652</v>
      </c>
      <c r="E15" s="200">
        <v>2.1</v>
      </c>
      <c r="F15" s="168" t="s">
        <v>753</v>
      </c>
    </row>
    <row r="16" spans="1:6" x14ac:dyDescent="0.25">
      <c r="A16" s="196">
        <v>1</v>
      </c>
      <c r="B16" s="197">
        <v>3</v>
      </c>
      <c r="C16" s="198">
        <v>1090</v>
      </c>
      <c r="D16" s="199" t="s">
        <v>657</v>
      </c>
      <c r="E16" s="200">
        <v>20.6</v>
      </c>
      <c r="F16" s="168" t="s">
        <v>755</v>
      </c>
    </row>
    <row r="17" spans="1:6" x14ac:dyDescent="0.25">
      <c r="A17" s="196">
        <v>1</v>
      </c>
      <c r="B17" s="197">
        <v>3</v>
      </c>
      <c r="C17" s="198">
        <v>1090</v>
      </c>
      <c r="D17" s="199" t="s">
        <v>642</v>
      </c>
      <c r="E17" s="200">
        <v>1.9</v>
      </c>
      <c r="F17" s="168" t="s">
        <v>754</v>
      </c>
    </row>
    <row r="18" spans="1:6" x14ac:dyDescent="0.25">
      <c r="A18" s="196">
        <v>1</v>
      </c>
      <c r="B18" s="197">
        <v>3</v>
      </c>
      <c r="C18" s="198">
        <v>1090</v>
      </c>
      <c r="D18" s="199" t="s">
        <v>651</v>
      </c>
      <c r="E18" s="200">
        <v>10.6</v>
      </c>
      <c r="F18" s="168" t="s">
        <v>754</v>
      </c>
    </row>
    <row r="19" spans="1:6" x14ac:dyDescent="0.25">
      <c r="A19" s="196">
        <v>1</v>
      </c>
      <c r="B19" s="197">
        <v>3</v>
      </c>
      <c r="C19" s="198">
        <v>1091</v>
      </c>
      <c r="D19" s="199" t="s">
        <v>637</v>
      </c>
      <c r="E19" s="200">
        <v>5.7</v>
      </c>
      <c r="F19" s="168" t="s">
        <v>752</v>
      </c>
    </row>
    <row r="20" spans="1:6" x14ac:dyDescent="0.25">
      <c r="A20" s="196">
        <v>1</v>
      </c>
      <c r="B20" s="197">
        <v>3</v>
      </c>
      <c r="C20" s="198">
        <v>1091</v>
      </c>
      <c r="D20" s="199" t="s">
        <v>638</v>
      </c>
      <c r="E20" s="200">
        <v>10.6</v>
      </c>
      <c r="F20" s="168" t="s">
        <v>753</v>
      </c>
    </row>
    <row r="21" spans="1:6" x14ac:dyDescent="0.25">
      <c r="A21" s="196">
        <v>1</v>
      </c>
      <c r="B21" s="197">
        <v>3</v>
      </c>
      <c r="C21" s="198">
        <v>1091</v>
      </c>
      <c r="D21" s="199" t="s">
        <v>652</v>
      </c>
      <c r="E21" s="200">
        <v>4.2</v>
      </c>
      <c r="F21" s="168" t="s">
        <v>753</v>
      </c>
    </row>
    <row r="22" spans="1:6" x14ac:dyDescent="0.25">
      <c r="A22" s="196">
        <v>1</v>
      </c>
      <c r="B22" s="197">
        <v>3</v>
      </c>
      <c r="C22" s="198">
        <v>1091</v>
      </c>
      <c r="D22" s="199" t="s">
        <v>642</v>
      </c>
      <c r="E22" s="200">
        <v>22.9</v>
      </c>
      <c r="F22" s="168" t="s">
        <v>754</v>
      </c>
    </row>
    <row r="23" spans="1:6" x14ac:dyDescent="0.25">
      <c r="A23" s="196">
        <v>1</v>
      </c>
      <c r="B23" s="197">
        <v>3</v>
      </c>
      <c r="C23" s="198">
        <v>1092</v>
      </c>
      <c r="D23" s="199" t="s">
        <v>645</v>
      </c>
      <c r="E23" s="200">
        <v>10.4</v>
      </c>
      <c r="F23" s="168" t="s">
        <v>752</v>
      </c>
    </row>
    <row r="24" spans="1:6" ht="26.4" x14ac:dyDescent="0.25">
      <c r="A24" s="196">
        <v>1</v>
      </c>
      <c r="B24" s="197">
        <v>3</v>
      </c>
      <c r="C24" s="198">
        <v>1092</v>
      </c>
      <c r="D24" s="199" t="s">
        <v>653</v>
      </c>
      <c r="E24" s="200">
        <v>1.9</v>
      </c>
      <c r="F24" s="168" t="s">
        <v>757</v>
      </c>
    </row>
    <row r="25" spans="1:6" x14ac:dyDescent="0.25">
      <c r="A25" s="196">
        <v>1</v>
      </c>
      <c r="B25" s="197">
        <v>3</v>
      </c>
      <c r="C25" s="198">
        <v>1092</v>
      </c>
      <c r="D25" s="199" t="s">
        <v>646</v>
      </c>
      <c r="E25" s="200">
        <v>1</v>
      </c>
      <c r="F25" s="168" t="s">
        <v>755</v>
      </c>
    </row>
    <row r="26" spans="1:6" x14ac:dyDescent="0.25">
      <c r="A26" s="196">
        <v>1</v>
      </c>
      <c r="B26" s="197">
        <v>3</v>
      </c>
      <c r="C26" s="198">
        <v>1092</v>
      </c>
      <c r="D26" s="199" t="s">
        <v>657</v>
      </c>
      <c r="E26" s="200">
        <v>5.2</v>
      </c>
      <c r="F26" s="168" t="s">
        <v>755</v>
      </c>
    </row>
    <row r="27" spans="1:6" ht="26.4" x14ac:dyDescent="0.25">
      <c r="A27" s="196">
        <v>1</v>
      </c>
      <c r="B27" s="197">
        <v>3</v>
      </c>
      <c r="C27" s="198">
        <v>1092</v>
      </c>
      <c r="D27" s="199" t="s">
        <v>658</v>
      </c>
      <c r="E27" s="200">
        <v>0.9</v>
      </c>
      <c r="F27" s="168" t="s">
        <v>758</v>
      </c>
    </row>
    <row r="28" spans="1:6" x14ac:dyDescent="0.25">
      <c r="A28" s="196">
        <v>1</v>
      </c>
      <c r="B28" s="197">
        <v>3</v>
      </c>
      <c r="C28" s="198">
        <v>1092</v>
      </c>
      <c r="D28" s="199" t="s">
        <v>642</v>
      </c>
      <c r="E28" s="200">
        <v>1.9</v>
      </c>
      <c r="F28" s="168" t="s">
        <v>754</v>
      </c>
    </row>
    <row r="29" spans="1:6" x14ac:dyDescent="0.25">
      <c r="A29" s="196">
        <v>1</v>
      </c>
      <c r="B29" s="197">
        <v>3</v>
      </c>
      <c r="C29" s="198">
        <v>1092</v>
      </c>
      <c r="D29" s="199" t="s">
        <v>648</v>
      </c>
      <c r="E29" s="200">
        <v>8.1</v>
      </c>
      <c r="F29" s="168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9"/>
  <sheetViews>
    <sheetView zoomScaleNormal="100" workbookViewId="0">
      <selection activeCell="F17" sqref="F17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2</v>
      </c>
      <c r="B2" s="197">
        <v>1</v>
      </c>
      <c r="C2" s="198">
        <v>2001</v>
      </c>
      <c r="D2" s="199" t="s">
        <v>637</v>
      </c>
      <c r="E2" s="200">
        <v>20</v>
      </c>
      <c r="F2" s="168" t="s">
        <v>752</v>
      </c>
    </row>
    <row r="3" spans="1:6" x14ac:dyDescent="0.25">
      <c r="A3" s="196">
        <v>2</v>
      </c>
      <c r="B3" s="197">
        <v>1</v>
      </c>
      <c r="C3" s="198">
        <v>2001</v>
      </c>
      <c r="D3" s="199" t="s">
        <v>638</v>
      </c>
      <c r="E3" s="200">
        <v>45.3</v>
      </c>
      <c r="F3" s="168" t="s">
        <v>753</v>
      </c>
    </row>
    <row r="4" spans="1:6" x14ac:dyDescent="0.25">
      <c r="A4" s="203">
        <v>2</v>
      </c>
      <c r="B4" s="204">
        <v>1</v>
      </c>
      <c r="C4" s="198">
        <v>2001</v>
      </c>
      <c r="D4" s="205" t="s">
        <v>640</v>
      </c>
      <c r="E4" s="200">
        <v>36.4</v>
      </c>
      <c r="F4" s="206" t="s">
        <v>741</v>
      </c>
    </row>
    <row r="5" spans="1:6" x14ac:dyDescent="0.25">
      <c r="A5" s="203">
        <v>2</v>
      </c>
      <c r="B5" s="204">
        <v>1</v>
      </c>
      <c r="C5" s="198">
        <v>2001</v>
      </c>
      <c r="D5" s="205" t="s">
        <v>641</v>
      </c>
      <c r="E5" s="200">
        <v>13.8</v>
      </c>
      <c r="F5" s="206" t="s">
        <v>742</v>
      </c>
    </row>
    <row r="6" spans="1:6" x14ac:dyDescent="0.25">
      <c r="A6" s="203">
        <v>2</v>
      </c>
      <c r="B6" s="204">
        <v>1</v>
      </c>
      <c r="C6" s="198">
        <v>2002</v>
      </c>
      <c r="D6" s="205" t="s">
        <v>637</v>
      </c>
      <c r="E6" s="200">
        <v>10.9</v>
      </c>
      <c r="F6" s="206" t="s">
        <v>739</v>
      </c>
    </row>
    <row r="7" spans="1:6" x14ac:dyDescent="0.25">
      <c r="A7" s="207">
        <v>2</v>
      </c>
      <c r="B7" s="208">
        <v>1</v>
      </c>
      <c r="C7" s="212">
        <v>2002</v>
      </c>
      <c r="D7" s="209" t="s">
        <v>638</v>
      </c>
      <c r="E7" s="210">
        <v>82.6</v>
      </c>
      <c r="F7" s="211" t="s">
        <v>740</v>
      </c>
    </row>
    <row r="8" spans="1:6" x14ac:dyDescent="0.25">
      <c r="A8" s="203">
        <v>2</v>
      </c>
      <c r="B8" s="204">
        <v>1</v>
      </c>
      <c r="C8" s="198">
        <v>2002</v>
      </c>
      <c r="D8" s="205" t="s">
        <v>640</v>
      </c>
      <c r="E8" s="200">
        <v>8.6</v>
      </c>
      <c r="F8" s="206" t="s">
        <v>741</v>
      </c>
    </row>
    <row r="9" spans="1:6" x14ac:dyDescent="0.25">
      <c r="A9" s="203">
        <v>2</v>
      </c>
      <c r="B9" s="204">
        <v>1</v>
      </c>
      <c r="C9" s="198">
        <v>2002</v>
      </c>
      <c r="D9" s="205" t="s">
        <v>641</v>
      </c>
      <c r="E9" s="200">
        <v>3.9</v>
      </c>
      <c r="F9" s="206" t="s">
        <v>742</v>
      </c>
    </row>
    <row r="10" spans="1:6" x14ac:dyDescent="0.25">
      <c r="A10" s="203">
        <v>2</v>
      </c>
      <c r="B10" s="204">
        <v>1</v>
      </c>
      <c r="C10" s="198">
        <v>2003</v>
      </c>
      <c r="D10" s="205" t="s">
        <v>637</v>
      </c>
      <c r="E10" s="200">
        <v>12.3</v>
      </c>
      <c r="F10" s="206" t="s">
        <v>739</v>
      </c>
    </row>
    <row r="11" spans="1:6" x14ac:dyDescent="0.25">
      <c r="A11" s="207">
        <v>2</v>
      </c>
      <c r="B11" s="208">
        <v>1</v>
      </c>
      <c r="C11" s="212">
        <v>2003</v>
      </c>
      <c r="D11" s="209" t="s">
        <v>638</v>
      </c>
      <c r="E11" s="210">
        <v>26.2</v>
      </c>
      <c r="F11" s="211" t="s">
        <v>740</v>
      </c>
    </row>
    <row r="12" spans="1:6" x14ac:dyDescent="0.25">
      <c r="A12" s="203">
        <v>2</v>
      </c>
      <c r="B12" s="204">
        <v>1</v>
      </c>
      <c r="C12" s="198">
        <v>2003</v>
      </c>
      <c r="D12" s="205" t="s">
        <v>640</v>
      </c>
      <c r="E12" s="200">
        <v>31.5</v>
      </c>
      <c r="F12" s="206" t="s">
        <v>741</v>
      </c>
    </row>
    <row r="13" spans="1:6" x14ac:dyDescent="0.25">
      <c r="A13" s="203">
        <v>2</v>
      </c>
      <c r="B13" s="204">
        <v>1</v>
      </c>
      <c r="C13" s="198">
        <v>2003</v>
      </c>
      <c r="D13" s="205" t="s">
        <v>641</v>
      </c>
      <c r="E13" s="200">
        <v>3.9</v>
      </c>
      <c r="F13" s="206" t="s">
        <v>742</v>
      </c>
    </row>
    <row r="14" spans="1:6" x14ac:dyDescent="0.25">
      <c r="A14" s="203">
        <v>2</v>
      </c>
      <c r="B14" s="204">
        <v>1</v>
      </c>
      <c r="C14" s="198">
        <v>2004</v>
      </c>
      <c r="D14" s="205" t="s">
        <v>637</v>
      </c>
      <c r="E14" s="200">
        <v>10.9</v>
      </c>
      <c r="F14" s="206" t="s">
        <v>739</v>
      </c>
    </row>
    <row r="15" spans="1:6" x14ac:dyDescent="0.25">
      <c r="A15" s="207">
        <v>2</v>
      </c>
      <c r="B15" s="208">
        <v>1</v>
      </c>
      <c r="C15" s="212">
        <v>2004</v>
      </c>
      <c r="D15" s="209" t="s">
        <v>638</v>
      </c>
      <c r="E15" s="210">
        <v>55.5</v>
      </c>
      <c r="F15" s="211" t="s">
        <v>740</v>
      </c>
    </row>
    <row r="16" spans="1:6" x14ac:dyDescent="0.25">
      <c r="A16" s="203">
        <v>2</v>
      </c>
      <c r="B16" s="204">
        <v>1</v>
      </c>
      <c r="C16" s="198">
        <v>2004</v>
      </c>
      <c r="D16" s="205" t="s">
        <v>640</v>
      </c>
      <c r="E16" s="200">
        <v>33.799999999999997</v>
      </c>
      <c r="F16" s="206" t="s">
        <v>741</v>
      </c>
    </row>
    <row r="17" spans="1:6" x14ac:dyDescent="0.25">
      <c r="A17" s="203">
        <v>2</v>
      </c>
      <c r="B17" s="204">
        <v>1</v>
      </c>
      <c r="C17" s="198">
        <v>2004</v>
      </c>
      <c r="D17" s="205" t="s">
        <v>641</v>
      </c>
      <c r="E17" s="200">
        <v>4</v>
      </c>
      <c r="F17" s="206" t="s">
        <v>742</v>
      </c>
    </row>
    <row r="18" spans="1:6" x14ac:dyDescent="0.25">
      <c r="A18" s="203">
        <v>2</v>
      </c>
      <c r="B18" s="204">
        <v>1</v>
      </c>
      <c r="C18" s="198">
        <v>2005</v>
      </c>
      <c r="D18" s="205" t="s">
        <v>637</v>
      </c>
      <c r="E18" s="200">
        <v>15.9</v>
      </c>
      <c r="F18" s="206" t="s">
        <v>739</v>
      </c>
    </row>
    <row r="19" spans="1:6" x14ac:dyDescent="0.25">
      <c r="A19" s="207">
        <v>2</v>
      </c>
      <c r="B19" s="208">
        <v>1</v>
      </c>
      <c r="C19" s="212">
        <v>2005</v>
      </c>
      <c r="D19" s="209" t="s">
        <v>638</v>
      </c>
      <c r="E19" s="210">
        <v>47.1</v>
      </c>
      <c r="F19" s="211" t="s">
        <v>740</v>
      </c>
    </row>
    <row r="20" spans="1:6" x14ac:dyDescent="0.25">
      <c r="A20" s="203">
        <v>2</v>
      </c>
      <c r="B20" s="204">
        <v>1</v>
      </c>
      <c r="C20" s="198">
        <v>2005</v>
      </c>
      <c r="D20" s="205" t="s">
        <v>640</v>
      </c>
      <c r="E20" s="200">
        <v>38.5</v>
      </c>
      <c r="F20" s="206" t="s">
        <v>741</v>
      </c>
    </row>
    <row r="21" spans="1:6" x14ac:dyDescent="0.25">
      <c r="A21" s="203">
        <v>2</v>
      </c>
      <c r="B21" s="204">
        <v>1</v>
      </c>
      <c r="C21" s="198">
        <v>2005</v>
      </c>
      <c r="D21" s="205" t="s">
        <v>641</v>
      </c>
      <c r="E21" s="200">
        <v>3.6</v>
      </c>
      <c r="F21" s="206" t="s">
        <v>742</v>
      </c>
    </row>
    <row r="22" spans="1:6" x14ac:dyDescent="0.25">
      <c r="A22" s="203">
        <v>2</v>
      </c>
      <c r="B22" s="204">
        <v>1</v>
      </c>
      <c r="C22" s="198">
        <v>2006</v>
      </c>
      <c r="D22" s="205" t="s">
        <v>637</v>
      </c>
      <c r="E22" s="200">
        <v>15.6</v>
      </c>
      <c r="F22" s="206" t="s">
        <v>739</v>
      </c>
    </row>
    <row r="23" spans="1:6" x14ac:dyDescent="0.25">
      <c r="A23" s="207">
        <v>2</v>
      </c>
      <c r="B23" s="208">
        <v>1</v>
      </c>
      <c r="C23" s="212">
        <v>2006</v>
      </c>
      <c r="D23" s="209" t="s">
        <v>638</v>
      </c>
      <c r="E23" s="210">
        <v>49.5</v>
      </c>
      <c r="F23" s="211" t="s">
        <v>740</v>
      </c>
    </row>
    <row r="24" spans="1:6" x14ac:dyDescent="0.25">
      <c r="A24" s="203">
        <v>2</v>
      </c>
      <c r="B24" s="204">
        <v>1</v>
      </c>
      <c r="C24" s="198">
        <v>2006</v>
      </c>
      <c r="D24" s="205" t="s">
        <v>640</v>
      </c>
      <c r="E24" s="200">
        <v>65.7</v>
      </c>
      <c r="F24" s="206" t="s">
        <v>741</v>
      </c>
    </row>
    <row r="25" spans="1:6" x14ac:dyDescent="0.25">
      <c r="A25" s="203">
        <v>2</v>
      </c>
      <c r="B25" s="204">
        <v>1</v>
      </c>
      <c r="C25" s="198">
        <v>2006</v>
      </c>
      <c r="D25" s="205" t="s">
        <v>641</v>
      </c>
      <c r="E25" s="200">
        <v>7.1</v>
      </c>
      <c r="F25" s="206" t="s">
        <v>742</v>
      </c>
    </row>
    <row r="26" spans="1:6" x14ac:dyDescent="0.25">
      <c r="A26" s="207">
        <v>2</v>
      </c>
      <c r="B26" s="208">
        <v>1</v>
      </c>
      <c r="C26" s="212">
        <v>2009</v>
      </c>
      <c r="D26" s="209" t="s">
        <v>645</v>
      </c>
      <c r="E26" s="210">
        <v>16.100000000000001</v>
      </c>
      <c r="F26" s="211" t="s">
        <v>739</v>
      </c>
    </row>
    <row r="27" spans="1:6" x14ac:dyDescent="0.25">
      <c r="A27" s="203">
        <v>2</v>
      </c>
      <c r="B27" s="204">
        <v>1</v>
      </c>
      <c r="C27" s="198">
        <v>2009</v>
      </c>
      <c r="D27" s="205" t="s">
        <v>651</v>
      </c>
      <c r="E27" s="200">
        <v>14.9</v>
      </c>
      <c r="F27" s="206" t="s">
        <v>741</v>
      </c>
    </row>
    <row r="28" spans="1:6" x14ac:dyDescent="0.25">
      <c r="A28" s="207">
        <v>2</v>
      </c>
      <c r="B28" s="208">
        <v>1</v>
      </c>
      <c r="C28" s="212">
        <v>2009</v>
      </c>
      <c r="D28" s="209" t="s">
        <v>655</v>
      </c>
      <c r="E28" s="210">
        <v>7</v>
      </c>
      <c r="F28" s="211" t="s">
        <v>742</v>
      </c>
    </row>
    <row r="29" spans="1:6" x14ac:dyDescent="0.25">
      <c r="A29" s="203">
        <v>2</v>
      </c>
      <c r="B29" s="204">
        <v>1</v>
      </c>
      <c r="C29" s="198">
        <v>2011</v>
      </c>
      <c r="D29" s="205" t="s">
        <v>644</v>
      </c>
      <c r="E29" s="200">
        <v>6.1</v>
      </c>
      <c r="F29" s="206" t="s">
        <v>739</v>
      </c>
    </row>
    <row r="30" spans="1:6" x14ac:dyDescent="0.25">
      <c r="A30" s="203">
        <v>2</v>
      </c>
      <c r="B30" s="204">
        <v>1</v>
      </c>
      <c r="C30" s="198">
        <v>2011</v>
      </c>
      <c r="D30" s="205" t="s">
        <v>645</v>
      </c>
      <c r="E30" s="200">
        <v>2.5</v>
      </c>
      <c r="F30" s="206" t="s">
        <v>739</v>
      </c>
    </row>
    <row r="31" spans="1:6" x14ac:dyDescent="0.25">
      <c r="A31" s="207">
        <v>2</v>
      </c>
      <c r="B31" s="208">
        <v>1</v>
      </c>
      <c r="C31" s="212">
        <v>2011</v>
      </c>
      <c r="D31" s="209" t="s">
        <v>652</v>
      </c>
      <c r="E31" s="210">
        <v>19.5</v>
      </c>
      <c r="F31" s="211" t="s">
        <v>740</v>
      </c>
    </row>
    <row r="32" spans="1:6" x14ac:dyDescent="0.25">
      <c r="A32" s="203">
        <v>2</v>
      </c>
      <c r="B32" s="204">
        <v>1</v>
      </c>
      <c r="C32" s="198">
        <v>2011</v>
      </c>
      <c r="D32" s="205" t="s">
        <v>648</v>
      </c>
      <c r="E32" s="200">
        <v>3.1</v>
      </c>
      <c r="F32" s="206" t="s">
        <v>741</v>
      </c>
    </row>
    <row r="33" spans="1:6" x14ac:dyDescent="0.25">
      <c r="A33" s="203">
        <v>2</v>
      </c>
      <c r="B33" s="204">
        <v>1</v>
      </c>
      <c r="C33" s="198">
        <v>2011</v>
      </c>
      <c r="D33" s="205" t="s">
        <v>649</v>
      </c>
      <c r="E33" s="200">
        <v>39.1</v>
      </c>
      <c r="F33" s="206" t="s">
        <v>742</v>
      </c>
    </row>
    <row r="34" spans="1:6" x14ac:dyDescent="0.25">
      <c r="A34" s="203">
        <v>2</v>
      </c>
      <c r="B34" s="204">
        <v>1</v>
      </c>
      <c r="C34" s="198">
        <v>2014</v>
      </c>
      <c r="D34" s="205" t="s">
        <v>637</v>
      </c>
      <c r="E34" s="200">
        <v>51.5</v>
      </c>
      <c r="F34" s="206" t="s">
        <v>739</v>
      </c>
    </row>
    <row r="35" spans="1:6" x14ac:dyDescent="0.25">
      <c r="A35" s="207">
        <v>2</v>
      </c>
      <c r="B35" s="208">
        <v>1</v>
      </c>
      <c r="C35" s="212">
        <v>2014</v>
      </c>
      <c r="D35" s="209" t="s">
        <v>638</v>
      </c>
      <c r="E35" s="210">
        <v>84.2</v>
      </c>
      <c r="F35" s="211" t="s">
        <v>740</v>
      </c>
    </row>
    <row r="36" spans="1:6" x14ac:dyDescent="0.25">
      <c r="A36" s="203">
        <v>2</v>
      </c>
      <c r="B36" s="204">
        <v>1</v>
      </c>
      <c r="C36" s="198">
        <v>2014</v>
      </c>
      <c r="D36" s="205" t="s">
        <v>640</v>
      </c>
      <c r="E36" s="200">
        <v>92.2</v>
      </c>
      <c r="F36" s="206" t="s">
        <v>741</v>
      </c>
    </row>
    <row r="37" spans="1:6" x14ac:dyDescent="0.25">
      <c r="A37" s="203">
        <v>2</v>
      </c>
      <c r="B37" s="204">
        <v>1</v>
      </c>
      <c r="C37" s="198">
        <v>2015</v>
      </c>
      <c r="D37" s="205" t="s">
        <v>637</v>
      </c>
      <c r="E37" s="200">
        <v>79.599999999999994</v>
      </c>
      <c r="F37" s="206" t="s">
        <v>739</v>
      </c>
    </row>
    <row r="38" spans="1:6" x14ac:dyDescent="0.25">
      <c r="A38" s="207">
        <v>2</v>
      </c>
      <c r="B38" s="208">
        <v>1</v>
      </c>
      <c r="C38" s="212">
        <v>2015</v>
      </c>
      <c r="D38" s="209" t="s">
        <v>638</v>
      </c>
      <c r="E38" s="210">
        <v>164.4</v>
      </c>
      <c r="F38" s="211" t="s">
        <v>740</v>
      </c>
    </row>
    <row r="39" spans="1:6" x14ac:dyDescent="0.25">
      <c r="A39" s="207">
        <v>2</v>
      </c>
      <c r="B39" s="208">
        <v>1</v>
      </c>
      <c r="C39" s="212">
        <v>2015</v>
      </c>
      <c r="D39" s="209" t="s">
        <v>640</v>
      </c>
      <c r="E39" s="210">
        <v>45.8</v>
      </c>
      <c r="F39" s="211" t="s">
        <v>741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8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3">
        <v>2</v>
      </c>
      <c r="B2" s="204">
        <v>3</v>
      </c>
      <c r="C2" s="214">
        <v>2034</v>
      </c>
      <c r="D2" s="205" t="s">
        <v>637</v>
      </c>
      <c r="E2" s="200">
        <v>15.6</v>
      </c>
      <c r="F2" s="206" t="s">
        <v>739</v>
      </c>
    </row>
    <row r="3" spans="1:6" x14ac:dyDescent="0.25">
      <c r="A3" s="207">
        <v>2</v>
      </c>
      <c r="B3" s="208">
        <v>3</v>
      </c>
      <c r="C3" s="215">
        <v>2034</v>
      </c>
      <c r="D3" s="209" t="s">
        <v>638</v>
      </c>
      <c r="E3" s="210">
        <v>95.5</v>
      </c>
      <c r="F3" s="211" t="s">
        <v>740</v>
      </c>
    </row>
    <row r="4" spans="1:6" x14ac:dyDescent="0.25">
      <c r="A4" s="203">
        <v>2</v>
      </c>
      <c r="B4" s="204">
        <v>3</v>
      </c>
      <c r="C4" s="214">
        <v>2034</v>
      </c>
      <c r="D4" s="205" t="s">
        <v>640</v>
      </c>
      <c r="E4" s="200">
        <v>8.3000000000000007</v>
      </c>
      <c r="F4" s="206" t="s">
        <v>741</v>
      </c>
    </row>
    <row r="5" spans="1:6" x14ac:dyDescent="0.25">
      <c r="A5" s="203">
        <v>2</v>
      </c>
      <c r="B5" s="204">
        <v>3</v>
      </c>
      <c r="C5" s="214">
        <v>2034</v>
      </c>
      <c r="D5" s="205" t="s">
        <v>641</v>
      </c>
      <c r="E5" s="200">
        <v>2.7</v>
      </c>
      <c r="F5" s="206" t="s">
        <v>742</v>
      </c>
    </row>
    <row r="6" spans="1:6" x14ac:dyDescent="0.25">
      <c r="A6" s="203">
        <v>2</v>
      </c>
      <c r="B6" s="204">
        <v>3</v>
      </c>
      <c r="C6" s="214">
        <v>2035</v>
      </c>
      <c r="D6" s="205" t="s">
        <v>637</v>
      </c>
      <c r="E6" s="200">
        <v>20.3</v>
      </c>
      <c r="F6" s="206" t="s">
        <v>739</v>
      </c>
    </row>
    <row r="7" spans="1:6" x14ac:dyDescent="0.25">
      <c r="A7" s="207">
        <v>2</v>
      </c>
      <c r="B7" s="208">
        <v>3</v>
      </c>
      <c r="C7" s="215">
        <v>2035</v>
      </c>
      <c r="D7" s="209" t="s">
        <v>638</v>
      </c>
      <c r="E7" s="210">
        <v>42.6</v>
      </c>
      <c r="F7" s="211" t="s">
        <v>740</v>
      </c>
    </row>
    <row r="8" spans="1:6" x14ac:dyDescent="0.25">
      <c r="A8" s="203">
        <v>2</v>
      </c>
      <c r="B8" s="204">
        <v>3</v>
      </c>
      <c r="C8" s="214">
        <v>2035</v>
      </c>
      <c r="D8" s="205" t="s">
        <v>640</v>
      </c>
      <c r="E8" s="200">
        <v>1.4</v>
      </c>
      <c r="F8" s="206" t="s">
        <v>741</v>
      </c>
    </row>
    <row r="9" spans="1:6" x14ac:dyDescent="0.25">
      <c r="A9" s="203">
        <v>2</v>
      </c>
      <c r="B9" s="204">
        <v>3</v>
      </c>
      <c r="C9" s="214">
        <v>2035</v>
      </c>
      <c r="D9" s="205" t="s">
        <v>641</v>
      </c>
      <c r="E9" s="200">
        <v>3.6</v>
      </c>
      <c r="F9" s="206" t="s">
        <v>742</v>
      </c>
    </row>
    <row r="10" spans="1:6" x14ac:dyDescent="0.25">
      <c r="A10" s="207">
        <v>2</v>
      </c>
      <c r="B10" s="208">
        <v>3</v>
      </c>
      <c r="C10" s="215">
        <v>2042</v>
      </c>
      <c r="D10" s="209" t="s">
        <v>657</v>
      </c>
      <c r="E10" s="210">
        <v>22.7</v>
      </c>
      <c r="F10" s="211" t="s">
        <v>743</v>
      </c>
    </row>
    <row r="11" spans="1:6" x14ac:dyDescent="0.25">
      <c r="A11" s="203">
        <v>2</v>
      </c>
      <c r="B11" s="204">
        <v>3</v>
      </c>
      <c r="C11" s="214">
        <v>2042</v>
      </c>
      <c r="D11" s="205" t="s">
        <v>642</v>
      </c>
      <c r="E11" s="200">
        <v>1.9</v>
      </c>
      <c r="F11" s="206" t="s">
        <v>741</v>
      </c>
    </row>
    <row r="12" spans="1:6" x14ac:dyDescent="0.25">
      <c r="A12" s="203">
        <v>2</v>
      </c>
      <c r="B12" s="204">
        <v>3</v>
      </c>
      <c r="C12" s="214">
        <v>2042</v>
      </c>
      <c r="D12" s="205" t="s">
        <v>651</v>
      </c>
      <c r="E12" s="200">
        <v>10.7</v>
      </c>
      <c r="F12" s="206" t="s">
        <v>741</v>
      </c>
    </row>
    <row r="13" spans="1:6" x14ac:dyDescent="0.25">
      <c r="A13" s="203">
        <v>2</v>
      </c>
      <c r="B13" s="204">
        <v>3</v>
      </c>
      <c r="C13" s="214">
        <v>2042</v>
      </c>
      <c r="D13" s="205" t="s">
        <v>649</v>
      </c>
      <c r="E13" s="200">
        <v>29</v>
      </c>
      <c r="F13" s="206" t="s">
        <v>742</v>
      </c>
    </row>
    <row r="14" spans="1:6" x14ac:dyDescent="0.25">
      <c r="A14" s="207">
        <v>2</v>
      </c>
      <c r="B14" s="208">
        <v>3</v>
      </c>
      <c r="C14" s="215">
        <v>2043</v>
      </c>
      <c r="D14" s="209" t="s">
        <v>638</v>
      </c>
      <c r="E14" s="210">
        <v>17.8</v>
      </c>
      <c r="F14" s="211" t="s">
        <v>740</v>
      </c>
    </row>
    <row r="15" spans="1:6" x14ac:dyDescent="0.25">
      <c r="A15" s="203">
        <v>2</v>
      </c>
      <c r="B15" s="204">
        <v>3</v>
      </c>
      <c r="C15" s="214">
        <v>2043</v>
      </c>
      <c r="D15" s="205" t="s">
        <v>648</v>
      </c>
      <c r="E15" s="200">
        <v>9.3000000000000007</v>
      </c>
      <c r="F15" s="206" t="s">
        <v>741</v>
      </c>
    </row>
    <row r="16" spans="1:6" x14ac:dyDescent="0.25">
      <c r="A16" s="203">
        <v>2</v>
      </c>
      <c r="B16" s="204">
        <v>3</v>
      </c>
      <c r="C16" s="214">
        <v>2043</v>
      </c>
      <c r="D16" s="205" t="s">
        <v>649</v>
      </c>
      <c r="E16" s="200">
        <v>24.6</v>
      </c>
      <c r="F16" s="206" t="s">
        <v>742</v>
      </c>
    </row>
    <row r="17" spans="1:6" x14ac:dyDescent="0.25">
      <c r="A17" s="203">
        <v>2</v>
      </c>
      <c r="B17" s="204">
        <v>3</v>
      </c>
      <c r="C17" s="214">
        <v>2045</v>
      </c>
      <c r="D17" s="205" t="s">
        <v>645</v>
      </c>
      <c r="E17" s="200">
        <v>8.9</v>
      </c>
      <c r="F17" s="206" t="s">
        <v>739</v>
      </c>
    </row>
    <row r="18" spans="1:6" x14ac:dyDescent="0.25">
      <c r="A18" s="203">
        <v>2</v>
      </c>
      <c r="B18" s="204">
        <v>3</v>
      </c>
      <c r="C18" s="214">
        <v>2045</v>
      </c>
      <c r="D18" s="205" t="s">
        <v>652</v>
      </c>
      <c r="E18" s="200">
        <v>4.3</v>
      </c>
      <c r="F18" s="206" t="s">
        <v>740</v>
      </c>
    </row>
    <row r="19" spans="1:6" ht="26.4" x14ac:dyDescent="0.25">
      <c r="A19" s="207">
        <v>2</v>
      </c>
      <c r="B19" s="208">
        <v>3</v>
      </c>
      <c r="C19" s="215">
        <v>2045</v>
      </c>
      <c r="D19" s="209" t="s">
        <v>658</v>
      </c>
      <c r="E19" s="210">
        <v>1.2</v>
      </c>
      <c r="F19" s="211" t="s">
        <v>744</v>
      </c>
    </row>
    <row r="20" spans="1:6" x14ac:dyDescent="0.25">
      <c r="A20" s="203">
        <v>2</v>
      </c>
      <c r="B20" s="204">
        <v>3</v>
      </c>
      <c r="C20" s="214">
        <v>2045</v>
      </c>
      <c r="D20" s="205" t="s">
        <v>655</v>
      </c>
      <c r="E20" s="200">
        <v>17.2</v>
      </c>
      <c r="F20" s="206" t="s">
        <v>742</v>
      </c>
    </row>
    <row r="21" spans="1:6" x14ac:dyDescent="0.25">
      <c r="A21" s="203">
        <v>2</v>
      </c>
      <c r="B21" s="204">
        <v>3</v>
      </c>
      <c r="C21" s="214">
        <v>2046</v>
      </c>
      <c r="D21" s="205" t="s">
        <v>637</v>
      </c>
      <c r="E21" s="200">
        <v>5.7</v>
      </c>
      <c r="F21" s="206" t="s">
        <v>739</v>
      </c>
    </row>
    <row r="22" spans="1:6" x14ac:dyDescent="0.25">
      <c r="A22" s="207">
        <v>2</v>
      </c>
      <c r="B22" s="208">
        <v>3</v>
      </c>
      <c r="C22" s="215">
        <v>2046</v>
      </c>
      <c r="D22" s="209" t="s">
        <v>638</v>
      </c>
      <c r="E22" s="210">
        <v>14.7</v>
      </c>
      <c r="F22" s="211" t="s">
        <v>740</v>
      </c>
    </row>
    <row r="23" spans="1:6" x14ac:dyDescent="0.25">
      <c r="A23" s="203">
        <v>2</v>
      </c>
      <c r="B23" s="204">
        <v>3</v>
      </c>
      <c r="C23" s="214">
        <v>2046</v>
      </c>
      <c r="D23" s="205" t="s">
        <v>642</v>
      </c>
      <c r="E23" s="200">
        <v>22.9</v>
      </c>
      <c r="F23" s="206" t="s">
        <v>741</v>
      </c>
    </row>
    <row r="24" spans="1:6" x14ac:dyDescent="0.25">
      <c r="A24" s="203">
        <v>2</v>
      </c>
      <c r="B24" s="204">
        <v>3</v>
      </c>
      <c r="C24" s="214">
        <v>2047</v>
      </c>
      <c r="D24" s="205" t="s">
        <v>638</v>
      </c>
      <c r="E24" s="200">
        <v>75.599999999999994</v>
      </c>
      <c r="F24" s="206" t="s">
        <v>740</v>
      </c>
    </row>
    <row r="25" spans="1:6" x14ac:dyDescent="0.25">
      <c r="A25" s="203">
        <v>2</v>
      </c>
      <c r="B25" s="204">
        <v>3</v>
      </c>
      <c r="C25" s="214" t="s">
        <v>664</v>
      </c>
      <c r="D25" s="205" t="s">
        <v>637</v>
      </c>
      <c r="E25" s="200">
        <v>30.2</v>
      </c>
      <c r="F25" s="206" t="s">
        <v>739</v>
      </c>
    </row>
    <row r="26" spans="1:6" x14ac:dyDescent="0.25">
      <c r="A26" s="207">
        <v>2</v>
      </c>
      <c r="B26" s="208">
        <v>3</v>
      </c>
      <c r="C26" s="215" t="s">
        <v>664</v>
      </c>
      <c r="D26" s="209" t="s">
        <v>638</v>
      </c>
      <c r="E26" s="210">
        <v>189.4</v>
      </c>
      <c r="F26" s="211" t="s">
        <v>740</v>
      </c>
    </row>
    <row r="27" spans="1:6" x14ac:dyDescent="0.25">
      <c r="A27" s="203">
        <v>2</v>
      </c>
      <c r="B27" s="204">
        <v>3</v>
      </c>
      <c r="C27" s="214" t="s">
        <v>664</v>
      </c>
      <c r="D27" s="205" t="s">
        <v>640</v>
      </c>
      <c r="E27" s="200">
        <v>29.8</v>
      </c>
      <c r="F27" s="206" t="s">
        <v>741</v>
      </c>
    </row>
    <row r="28" spans="1:6" x14ac:dyDescent="0.25">
      <c r="A28" s="203">
        <v>2</v>
      </c>
      <c r="B28" s="204">
        <v>3</v>
      </c>
      <c r="C28" s="214" t="s">
        <v>665</v>
      </c>
      <c r="D28" s="205" t="s">
        <v>637</v>
      </c>
      <c r="E28" s="200">
        <v>14.6</v>
      </c>
      <c r="F28" s="206" t="s">
        <v>739</v>
      </c>
    </row>
    <row r="29" spans="1:6" x14ac:dyDescent="0.25">
      <c r="A29" s="207">
        <v>2</v>
      </c>
      <c r="B29" s="208">
        <v>3</v>
      </c>
      <c r="C29" s="215" t="s">
        <v>665</v>
      </c>
      <c r="D29" s="209" t="s">
        <v>638</v>
      </c>
      <c r="E29" s="210">
        <v>42.6</v>
      </c>
      <c r="F29" s="211" t="s">
        <v>740</v>
      </c>
    </row>
    <row r="30" spans="1:6" x14ac:dyDescent="0.25">
      <c r="A30" s="203">
        <v>2</v>
      </c>
      <c r="B30" s="204">
        <v>3</v>
      </c>
      <c r="C30" s="214" t="s">
        <v>665</v>
      </c>
      <c r="D30" s="205" t="s">
        <v>640</v>
      </c>
      <c r="E30" s="200">
        <v>53.7</v>
      </c>
      <c r="F30" s="206" t="s">
        <v>741</v>
      </c>
    </row>
    <row r="31" spans="1:6" x14ac:dyDescent="0.25">
      <c r="A31" s="207">
        <v>2</v>
      </c>
      <c r="B31" s="208">
        <v>3</v>
      </c>
      <c r="C31" s="215">
        <v>2048</v>
      </c>
      <c r="D31" s="209" t="s">
        <v>652</v>
      </c>
      <c r="E31" s="210">
        <v>3.1</v>
      </c>
      <c r="F31" s="211" t="s">
        <v>740</v>
      </c>
    </row>
    <row r="32" spans="1:6" x14ac:dyDescent="0.25">
      <c r="A32" s="203">
        <v>2</v>
      </c>
      <c r="B32" s="204">
        <v>3</v>
      </c>
      <c r="C32" s="214">
        <v>2048</v>
      </c>
      <c r="D32" s="205" t="s">
        <v>648</v>
      </c>
      <c r="E32" s="200">
        <v>11</v>
      </c>
      <c r="F32" s="206" t="s">
        <v>741</v>
      </c>
    </row>
    <row r="33" spans="1:6" x14ac:dyDescent="0.25">
      <c r="A33" s="203">
        <v>2</v>
      </c>
      <c r="B33" s="204">
        <v>3</v>
      </c>
      <c r="C33" s="214">
        <v>2048</v>
      </c>
      <c r="D33" s="205" t="s">
        <v>655</v>
      </c>
      <c r="E33" s="200">
        <v>18.3</v>
      </c>
      <c r="F33" s="206" t="s">
        <v>742</v>
      </c>
    </row>
    <row r="34" spans="1:6" x14ac:dyDescent="0.25">
      <c r="A34" s="203">
        <v>2</v>
      </c>
      <c r="B34" s="204">
        <v>3</v>
      </c>
      <c r="C34" s="214">
        <v>2049</v>
      </c>
      <c r="D34" s="205" t="s">
        <v>645</v>
      </c>
      <c r="E34" s="200">
        <v>10.4</v>
      </c>
      <c r="F34" s="206" t="s">
        <v>739</v>
      </c>
    </row>
    <row r="35" spans="1:6" x14ac:dyDescent="0.25">
      <c r="A35" s="203">
        <v>2</v>
      </c>
      <c r="B35" s="204">
        <v>3</v>
      </c>
      <c r="C35" s="214">
        <v>2049</v>
      </c>
      <c r="D35" s="205" t="s">
        <v>638</v>
      </c>
      <c r="E35" s="200">
        <v>5.2</v>
      </c>
      <c r="F35" s="206" t="s">
        <v>740</v>
      </c>
    </row>
    <row r="36" spans="1:6" x14ac:dyDescent="0.25">
      <c r="A36" s="203">
        <v>2</v>
      </c>
      <c r="B36" s="204">
        <v>3</v>
      </c>
      <c r="C36" s="214">
        <v>2049</v>
      </c>
      <c r="D36" s="205" t="s">
        <v>642</v>
      </c>
      <c r="E36" s="200">
        <v>1.9</v>
      </c>
      <c r="F36" s="206" t="s">
        <v>741</v>
      </c>
    </row>
    <row r="37" spans="1:6" x14ac:dyDescent="0.25">
      <c r="A37" s="203">
        <v>2</v>
      </c>
      <c r="B37" s="204">
        <v>3</v>
      </c>
      <c r="C37" s="214">
        <v>2049</v>
      </c>
      <c r="D37" s="205" t="s">
        <v>648</v>
      </c>
      <c r="E37" s="200">
        <v>8.1</v>
      </c>
      <c r="F37" s="206" t="s">
        <v>741</v>
      </c>
    </row>
    <row r="38" spans="1:6" x14ac:dyDescent="0.25">
      <c r="A38" s="207">
        <v>2</v>
      </c>
      <c r="B38" s="208">
        <v>3</v>
      </c>
      <c r="C38" s="215">
        <v>2049</v>
      </c>
      <c r="D38" s="209" t="s">
        <v>655</v>
      </c>
      <c r="E38" s="210">
        <v>5.2</v>
      </c>
      <c r="F38" s="211" t="s">
        <v>742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10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7">
        <v>3</v>
      </c>
      <c r="B2" s="208">
        <v>1</v>
      </c>
      <c r="C2" s="212">
        <v>3011</v>
      </c>
      <c r="D2" s="209" t="s">
        <v>645</v>
      </c>
      <c r="E2" s="210">
        <v>16.100000000000001</v>
      </c>
      <c r="F2" s="211" t="s">
        <v>739</v>
      </c>
    </row>
    <row r="3" spans="1:6" x14ac:dyDescent="0.25">
      <c r="A3" s="203">
        <v>3</v>
      </c>
      <c r="B3" s="204">
        <v>1</v>
      </c>
      <c r="C3" s="198">
        <v>3011</v>
      </c>
      <c r="D3" s="205" t="s">
        <v>651</v>
      </c>
      <c r="E3" s="200">
        <v>14.9</v>
      </c>
      <c r="F3" s="206" t="s">
        <v>741</v>
      </c>
    </row>
    <row r="4" spans="1:6" x14ac:dyDescent="0.25">
      <c r="A4" s="203">
        <v>3</v>
      </c>
      <c r="B4" s="204">
        <v>1</v>
      </c>
      <c r="C4" s="198">
        <v>3011</v>
      </c>
      <c r="D4" s="205" t="s">
        <v>655</v>
      </c>
      <c r="E4" s="200">
        <v>7.8</v>
      </c>
      <c r="F4" s="206" t="s">
        <v>742</v>
      </c>
    </row>
    <row r="5" spans="1:6" x14ac:dyDescent="0.25">
      <c r="A5" s="203">
        <v>3</v>
      </c>
      <c r="B5" s="204">
        <v>1</v>
      </c>
      <c r="C5" s="198">
        <v>3016</v>
      </c>
      <c r="D5" s="205" t="s">
        <v>637</v>
      </c>
      <c r="E5" s="200">
        <v>54.6</v>
      </c>
      <c r="F5" s="206" t="s">
        <v>739</v>
      </c>
    </row>
    <row r="6" spans="1:6" x14ac:dyDescent="0.25">
      <c r="A6" s="207">
        <v>3</v>
      </c>
      <c r="B6" s="208">
        <v>1</v>
      </c>
      <c r="C6" s="212">
        <v>3016</v>
      </c>
      <c r="D6" s="209" t="s">
        <v>638</v>
      </c>
      <c r="E6" s="210">
        <v>25.8</v>
      </c>
      <c r="F6" s="211" t="s">
        <v>740</v>
      </c>
    </row>
    <row r="7" spans="1:6" x14ac:dyDescent="0.25">
      <c r="A7" s="207">
        <v>3</v>
      </c>
      <c r="B7" s="208">
        <v>1</v>
      </c>
      <c r="C7" s="212">
        <v>3016</v>
      </c>
      <c r="D7" s="209" t="s">
        <v>640</v>
      </c>
      <c r="E7" s="210">
        <v>97</v>
      </c>
      <c r="F7" s="211" t="s">
        <v>741</v>
      </c>
    </row>
    <row r="8" spans="1:6" x14ac:dyDescent="0.25">
      <c r="A8" s="203">
        <v>3</v>
      </c>
      <c r="B8" s="204">
        <v>1</v>
      </c>
      <c r="C8" s="198">
        <v>3017</v>
      </c>
      <c r="D8" s="205" t="s">
        <v>637</v>
      </c>
      <c r="E8" s="200">
        <v>99</v>
      </c>
      <c r="F8" s="206" t="s">
        <v>739</v>
      </c>
    </row>
    <row r="9" spans="1:6" x14ac:dyDescent="0.25">
      <c r="A9" s="203">
        <v>3</v>
      </c>
      <c r="B9" s="204">
        <v>1</v>
      </c>
      <c r="C9" s="198">
        <v>3017</v>
      </c>
      <c r="D9" s="205" t="s">
        <v>638</v>
      </c>
      <c r="E9" s="200">
        <v>67</v>
      </c>
      <c r="F9" s="206" t="s">
        <v>740</v>
      </c>
    </row>
    <row r="10" spans="1:6" x14ac:dyDescent="0.25">
      <c r="A10" s="207">
        <v>3</v>
      </c>
      <c r="B10" s="208">
        <v>1</v>
      </c>
      <c r="C10" s="212">
        <v>3017</v>
      </c>
      <c r="D10" s="209" t="s">
        <v>640</v>
      </c>
      <c r="E10" s="210">
        <v>46.2</v>
      </c>
      <c r="F10" s="211" t="s">
        <v>741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9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213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3">
        <v>3</v>
      </c>
      <c r="B2" s="204">
        <v>3</v>
      </c>
      <c r="C2" s="214">
        <v>3040</v>
      </c>
      <c r="D2" s="205" t="s">
        <v>637</v>
      </c>
      <c r="E2" s="200">
        <v>19.899999999999999</v>
      </c>
      <c r="F2" s="206" t="s">
        <v>739</v>
      </c>
    </row>
    <row r="3" spans="1:6" x14ac:dyDescent="0.25">
      <c r="A3" s="207">
        <v>3</v>
      </c>
      <c r="B3" s="208">
        <v>3</v>
      </c>
      <c r="C3" s="215">
        <v>3040</v>
      </c>
      <c r="D3" s="209" t="s">
        <v>638</v>
      </c>
      <c r="E3" s="210">
        <v>82.3</v>
      </c>
      <c r="F3" s="211" t="s">
        <v>740</v>
      </c>
    </row>
    <row r="4" spans="1:6" x14ac:dyDescent="0.25">
      <c r="A4" s="203">
        <v>3</v>
      </c>
      <c r="B4" s="204">
        <v>3</v>
      </c>
      <c r="C4" s="214">
        <v>3040</v>
      </c>
      <c r="D4" s="205" t="s">
        <v>640</v>
      </c>
      <c r="E4" s="200">
        <v>4.5</v>
      </c>
      <c r="F4" s="206" t="s">
        <v>741</v>
      </c>
    </row>
    <row r="5" spans="1:6" x14ac:dyDescent="0.25">
      <c r="A5" s="203">
        <v>3</v>
      </c>
      <c r="B5" s="204">
        <v>3</v>
      </c>
      <c r="C5" s="214">
        <v>3040</v>
      </c>
      <c r="D5" s="205" t="s">
        <v>641</v>
      </c>
      <c r="E5" s="200">
        <v>3.3</v>
      </c>
      <c r="F5" s="206" t="s">
        <v>742</v>
      </c>
    </row>
    <row r="6" spans="1:6" x14ac:dyDescent="0.25">
      <c r="A6" s="203">
        <v>3</v>
      </c>
      <c r="B6" s="204">
        <v>3</v>
      </c>
      <c r="C6" s="214">
        <v>3041</v>
      </c>
      <c r="D6" s="205" t="s">
        <v>637</v>
      </c>
      <c r="E6" s="200">
        <v>25.1</v>
      </c>
      <c r="F6" s="206" t="s">
        <v>739</v>
      </c>
    </row>
    <row r="7" spans="1:6" x14ac:dyDescent="0.25">
      <c r="A7" s="207">
        <v>3</v>
      </c>
      <c r="B7" s="208">
        <v>3</v>
      </c>
      <c r="C7" s="215">
        <v>3041</v>
      </c>
      <c r="D7" s="209" t="s">
        <v>638</v>
      </c>
      <c r="E7" s="210">
        <v>36</v>
      </c>
      <c r="F7" s="211" t="s">
        <v>740</v>
      </c>
    </row>
    <row r="8" spans="1:6" x14ac:dyDescent="0.25">
      <c r="A8" s="203">
        <v>3</v>
      </c>
      <c r="B8" s="204">
        <v>3</v>
      </c>
      <c r="C8" s="214">
        <v>3041</v>
      </c>
      <c r="D8" s="205" t="s">
        <v>640</v>
      </c>
      <c r="E8" s="200">
        <v>1.5</v>
      </c>
      <c r="F8" s="206" t="s">
        <v>741</v>
      </c>
    </row>
    <row r="9" spans="1:6" x14ac:dyDescent="0.25">
      <c r="A9" s="203">
        <v>3</v>
      </c>
      <c r="B9" s="204">
        <v>3</v>
      </c>
      <c r="C9" s="214">
        <v>3041</v>
      </c>
      <c r="D9" s="205" t="s">
        <v>641</v>
      </c>
      <c r="E9" s="200">
        <v>3.7</v>
      </c>
      <c r="F9" s="206" t="s">
        <v>742</v>
      </c>
    </row>
    <row r="10" spans="1:6" x14ac:dyDescent="0.25">
      <c r="A10" s="203">
        <v>3</v>
      </c>
      <c r="B10" s="204">
        <v>3</v>
      </c>
      <c r="C10" s="214">
        <v>3046</v>
      </c>
      <c r="D10" s="205" t="s">
        <v>637</v>
      </c>
      <c r="E10" s="200">
        <v>21.8</v>
      </c>
      <c r="F10" s="206" t="s">
        <v>739</v>
      </c>
    </row>
    <row r="11" spans="1:6" x14ac:dyDescent="0.25">
      <c r="A11" s="207">
        <v>3</v>
      </c>
      <c r="B11" s="208">
        <v>3</v>
      </c>
      <c r="C11" s="215">
        <v>3046</v>
      </c>
      <c r="D11" s="209" t="s">
        <v>638</v>
      </c>
      <c r="E11" s="210">
        <v>91.8</v>
      </c>
      <c r="F11" s="211" t="s">
        <v>740</v>
      </c>
    </row>
    <row r="12" spans="1:6" x14ac:dyDescent="0.25">
      <c r="A12" s="203">
        <v>3</v>
      </c>
      <c r="B12" s="204">
        <v>3</v>
      </c>
      <c r="C12" s="214">
        <v>3046</v>
      </c>
      <c r="D12" s="205" t="s">
        <v>640</v>
      </c>
      <c r="E12" s="200">
        <v>10.7</v>
      </c>
      <c r="F12" s="206" t="s">
        <v>741</v>
      </c>
    </row>
    <row r="13" spans="1:6" x14ac:dyDescent="0.25">
      <c r="A13" s="203">
        <v>3</v>
      </c>
      <c r="B13" s="204">
        <v>3</v>
      </c>
      <c r="C13" s="214">
        <v>3047</v>
      </c>
      <c r="D13" s="205" t="s">
        <v>637</v>
      </c>
      <c r="E13" s="200">
        <v>16.5</v>
      </c>
      <c r="F13" s="206" t="s">
        <v>739</v>
      </c>
    </row>
    <row r="14" spans="1:6" x14ac:dyDescent="0.25">
      <c r="A14" s="207">
        <v>3</v>
      </c>
      <c r="B14" s="208">
        <v>3</v>
      </c>
      <c r="C14" s="215">
        <v>3047</v>
      </c>
      <c r="D14" s="209" t="s">
        <v>638</v>
      </c>
      <c r="E14" s="210">
        <v>105.1</v>
      </c>
      <c r="F14" s="211" t="s">
        <v>740</v>
      </c>
    </row>
    <row r="15" spans="1:6" x14ac:dyDescent="0.25">
      <c r="A15" s="203">
        <v>3</v>
      </c>
      <c r="B15" s="204">
        <v>3</v>
      </c>
      <c r="C15" s="214">
        <v>3047</v>
      </c>
      <c r="D15" s="205" t="s">
        <v>640</v>
      </c>
      <c r="E15" s="200">
        <v>43.3</v>
      </c>
      <c r="F15" s="206" t="s">
        <v>741</v>
      </c>
    </row>
    <row r="16" spans="1:6" x14ac:dyDescent="0.25">
      <c r="A16" s="203">
        <v>3</v>
      </c>
      <c r="B16" s="204">
        <v>3</v>
      </c>
      <c r="C16" s="214" t="s">
        <v>667</v>
      </c>
      <c r="D16" s="205" t="s">
        <v>637</v>
      </c>
      <c r="E16" s="200">
        <v>34.200000000000003</v>
      </c>
      <c r="F16" s="206" t="s">
        <v>739</v>
      </c>
    </row>
    <row r="17" spans="1:6" x14ac:dyDescent="0.25">
      <c r="A17" s="207">
        <v>3</v>
      </c>
      <c r="B17" s="208">
        <v>3</v>
      </c>
      <c r="C17" s="215" t="s">
        <v>667</v>
      </c>
      <c r="D17" s="209" t="s">
        <v>638</v>
      </c>
      <c r="E17" s="210">
        <v>11.6</v>
      </c>
      <c r="F17" s="211" t="s">
        <v>740</v>
      </c>
    </row>
    <row r="18" spans="1:6" x14ac:dyDescent="0.25">
      <c r="A18" s="203">
        <v>3</v>
      </c>
      <c r="B18" s="204">
        <v>3</v>
      </c>
      <c r="C18" s="214" t="s">
        <v>667</v>
      </c>
      <c r="D18" s="205" t="s">
        <v>640</v>
      </c>
      <c r="E18" s="200">
        <v>40</v>
      </c>
      <c r="F18" s="206" t="s">
        <v>741</v>
      </c>
    </row>
    <row r="19" spans="1:6" x14ac:dyDescent="0.25">
      <c r="A19" s="203">
        <v>3</v>
      </c>
      <c r="B19" s="204">
        <v>3</v>
      </c>
      <c r="C19" s="214" t="s">
        <v>668</v>
      </c>
      <c r="D19" s="205" t="s">
        <v>637</v>
      </c>
      <c r="E19" s="200">
        <v>14.6</v>
      </c>
      <c r="F19" s="206" t="s">
        <v>739</v>
      </c>
    </row>
    <row r="20" spans="1:6" x14ac:dyDescent="0.25">
      <c r="A20" s="207">
        <v>3</v>
      </c>
      <c r="B20" s="208">
        <v>3</v>
      </c>
      <c r="C20" s="215" t="s">
        <v>668</v>
      </c>
      <c r="D20" s="209" t="s">
        <v>638</v>
      </c>
      <c r="E20" s="210">
        <v>17.2</v>
      </c>
      <c r="F20" s="211" t="s">
        <v>740</v>
      </c>
    </row>
    <row r="21" spans="1:6" x14ac:dyDescent="0.25">
      <c r="A21" s="203">
        <v>3</v>
      </c>
      <c r="B21" s="204">
        <v>3</v>
      </c>
      <c r="C21" s="214" t="s">
        <v>668</v>
      </c>
      <c r="D21" s="205" t="s">
        <v>640</v>
      </c>
      <c r="E21" s="200">
        <v>55.8</v>
      </c>
      <c r="F21" s="206" t="s">
        <v>741</v>
      </c>
    </row>
    <row r="22" spans="1:6" x14ac:dyDescent="0.25">
      <c r="A22" s="203">
        <v>3</v>
      </c>
      <c r="B22" s="204">
        <v>3</v>
      </c>
      <c r="C22" s="214">
        <v>3052</v>
      </c>
      <c r="D22" s="205" t="s">
        <v>645</v>
      </c>
      <c r="E22" s="200">
        <v>10</v>
      </c>
      <c r="F22" s="206" t="s">
        <v>739</v>
      </c>
    </row>
    <row r="23" spans="1:6" x14ac:dyDescent="0.25">
      <c r="A23" s="207">
        <v>3</v>
      </c>
      <c r="B23" s="208">
        <v>3</v>
      </c>
      <c r="C23" s="215">
        <v>3052</v>
      </c>
      <c r="D23" s="209" t="s">
        <v>652</v>
      </c>
      <c r="E23" s="210">
        <v>3.7</v>
      </c>
      <c r="F23" s="211" t="s">
        <v>740</v>
      </c>
    </row>
    <row r="24" spans="1:6" x14ac:dyDescent="0.25">
      <c r="A24" s="203">
        <v>3</v>
      </c>
      <c r="B24" s="204">
        <v>3</v>
      </c>
      <c r="C24" s="214">
        <v>3052</v>
      </c>
      <c r="D24" s="205" t="s">
        <v>642</v>
      </c>
      <c r="E24" s="200">
        <v>1.8</v>
      </c>
      <c r="F24" s="206" t="s">
        <v>741</v>
      </c>
    </row>
    <row r="25" spans="1:6" x14ac:dyDescent="0.25">
      <c r="A25" s="203">
        <v>3</v>
      </c>
      <c r="B25" s="204">
        <v>3</v>
      </c>
      <c r="C25" s="214">
        <v>3052</v>
      </c>
      <c r="D25" s="205" t="s">
        <v>648</v>
      </c>
      <c r="E25" s="200">
        <v>9.9</v>
      </c>
      <c r="F25" s="206" t="s">
        <v>741</v>
      </c>
    </row>
    <row r="26" spans="1:6" x14ac:dyDescent="0.25">
      <c r="A26" s="203">
        <v>3</v>
      </c>
      <c r="B26" s="204">
        <v>3</v>
      </c>
      <c r="C26" s="214">
        <v>3052</v>
      </c>
      <c r="D26" s="205" t="s">
        <v>655</v>
      </c>
      <c r="E26" s="200">
        <v>5.9</v>
      </c>
      <c r="F26" s="206" t="s">
        <v>742</v>
      </c>
    </row>
    <row r="27" spans="1:6" x14ac:dyDescent="0.25">
      <c r="A27" s="203">
        <v>3</v>
      </c>
      <c r="B27" s="204">
        <v>3</v>
      </c>
      <c r="C27" s="214">
        <v>3053</v>
      </c>
      <c r="D27" s="205" t="s">
        <v>645</v>
      </c>
      <c r="E27" s="200">
        <v>8.9</v>
      </c>
      <c r="F27" s="206" t="s">
        <v>739</v>
      </c>
    </row>
    <row r="28" spans="1:6" x14ac:dyDescent="0.25">
      <c r="A28" s="207">
        <v>3</v>
      </c>
      <c r="B28" s="208">
        <v>3</v>
      </c>
      <c r="C28" s="215">
        <v>3053</v>
      </c>
      <c r="D28" s="209" t="s">
        <v>652</v>
      </c>
      <c r="E28" s="210">
        <v>4.3</v>
      </c>
      <c r="F28" s="211" t="s">
        <v>740</v>
      </c>
    </row>
    <row r="29" spans="1:6" x14ac:dyDescent="0.25">
      <c r="A29" s="203">
        <v>3</v>
      </c>
      <c r="B29" s="204">
        <v>3</v>
      </c>
      <c r="C29" s="214">
        <v>3053</v>
      </c>
      <c r="D29" s="205" t="s">
        <v>655</v>
      </c>
      <c r="E29" s="200">
        <v>17.2</v>
      </c>
      <c r="F29" s="206" t="s">
        <v>742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4</v>
      </c>
      <c r="B2" s="197">
        <v>3</v>
      </c>
      <c r="C2" s="198">
        <v>4010</v>
      </c>
      <c r="D2" s="199" t="s">
        <v>637</v>
      </c>
      <c r="E2" s="200">
        <v>31</v>
      </c>
      <c r="F2" s="168" t="s">
        <v>752</v>
      </c>
    </row>
    <row r="3" spans="1:6" x14ac:dyDescent="0.25">
      <c r="A3" s="196">
        <v>4</v>
      </c>
      <c r="B3" s="197">
        <v>3</v>
      </c>
      <c r="C3" s="198">
        <v>4010</v>
      </c>
      <c r="D3" s="199" t="s">
        <v>638</v>
      </c>
      <c r="E3" s="200">
        <v>107</v>
      </c>
      <c r="F3" s="168" t="s">
        <v>753</v>
      </c>
    </row>
    <row r="4" spans="1:6" x14ac:dyDescent="0.25">
      <c r="A4" s="196">
        <v>4</v>
      </c>
      <c r="B4" s="197">
        <v>3</v>
      </c>
      <c r="C4" s="198">
        <v>4010</v>
      </c>
      <c r="D4" s="199" t="s">
        <v>640</v>
      </c>
      <c r="E4" s="200">
        <v>117.4</v>
      </c>
      <c r="F4" s="168" t="s">
        <v>754</v>
      </c>
    </row>
    <row r="5" spans="1:6" x14ac:dyDescent="0.25">
      <c r="A5" s="196">
        <v>4</v>
      </c>
      <c r="B5" s="197">
        <v>3</v>
      </c>
      <c r="C5" s="199" t="s">
        <v>669</v>
      </c>
      <c r="D5" s="199" t="s">
        <v>637</v>
      </c>
      <c r="E5" s="200">
        <v>10.9</v>
      </c>
      <c r="F5" s="168" t="s">
        <v>752</v>
      </c>
    </row>
    <row r="6" spans="1:6" x14ac:dyDescent="0.25">
      <c r="A6" s="196">
        <v>4</v>
      </c>
      <c r="B6" s="197">
        <v>3</v>
      </c>
      <c r="C6" s="199" t="s">
        <v>669</v>
      </c>
      <c r="D6" s="199" t="s">
        <v>638</v>
      </c>
      <c r="E6" s="200">
        <v>17.399999999999999</v>
      </c>
      <c r="F6" s="168" t="s">
        <v>753</v>
      </c>
    </row>
    <row r="7" spans="1:6" x14ac:dyDescent="0.25">
      <c r="A7" s="196">
        <v>4</v>
      </c>
      <c r="B7" s="197">
        <v>3</v>
      </c>
      <c r="C7" s="199" t="s">
        <v>669</v>
      </c>
      <c r="D7" s="199" t="s">
        <v>640</v>
      </c>
      <c r="E7" s="200">
        <v>51.3</v>
      </c>
      <c r="F7" s="168" t="s">
        <v>754</v>
      </c>
    </row>
    <row r="8" spans="1:6" x14ac:dyDescent="0.25">
      <c r="A8" s="196">
        <v>4</v>
      </c>
      <c r="B8" s="197">
        <v>3</v>
      </c>
      <c r="C8" s="198">
        <v>4011</v>
      </c>
      <c r="D8" s="199" t="s">
        <v>646</v>
      </c>
      <c r="E8" s="200">
        <v>2.1</v>
      </c>
      <c r="F8" s="168" t="s">
        <v>755</v>
      </c>
    </row>
    <row r="9" spans="1:6" x14ac:dyDescent="0.25">
      <c r="A9" s="196">
        <v>4</v>
      </c>
      <c r="B9" s="197">
        <v>3</v>
      </c>
      <c r="C9" s="198">
        <v>4011</v>
      </c>
      <c r="D9" s="199" t="s">
        <v>670</v>
      </c>
      <c r="E9" s="200">
        <v>26.7</v>
      </c>
      <c r="F9" s="168" t="s">
        <v>752</v>
      </c>
    </row>
    <row r="10" spans="1:6" x14ac:dyDescent="0.25">
      <c r="A10" s="196">
        <v>4</v>
      </c>
      <c r="B10" s="197">
        <v>3</v>
      </c>
      <c r="C10" s="198">
        <v>4011</v>
      </c>
      <c r="D10" s="199" t="s">
        <v>652</v>
      </c>
      <c r="E10" s="200">
        <v>3.1</v>
      </c>
      <c r="F10" s="168" t="s">
        <v>753</v>
      </c>
    </row>
    <row r="11" spans="1:6" x14ac:dyDescent="0.25">
      <c r="A11" s="196">
        <v>4</v>
      </c>
      <c r="B11" s="197">
        <v>3</v>
      </c>
      <c r="C11" s="198">
        <v>4011</v>
      </c>
      <c r="D11" s="199" t="s">
        <v>648</v>
      </c>
      <c r="E11" s="200">
        <v>26.8</v>
      </c>
      <c r="F11" s="168" t="s">
        <v>754</v>
      </c>
    </row>
    <row r="12" spans="1:6" x14ac:dyDescent="0.25">
      <c r="A12" s="196">
        <v>4</v>
      </c>
      <c r="B12" s="197">
        <v>3</v>
      </c>
      <c r="C12" s="198">
        <v>4011</v>
      </c>
      <c r="D12" s="199" t="s">
        <v>649</v>
      </c>
      <c r="E12" s="200">
        <v>54.5</v>
      </c>
      <c r="F12" s="168" t="s">
        <v>756</v>
      </c>
    </row>
    <row r="13" spans="1:6" x14ac:dyDescent="0.25">
      <c r="A13" s="196">
        <v>4</v>
      </c>
      <c r="B13" s="197">
        <v>3</v>
      </c>
      <c r="C13" s="198">
        <v>4012</v>
      </c>
      <c r="D13" s="199" t="s">
        <v>645</v>
      </c>
      <c r="E13" s="200">
        <v>10</v>
      </c>
      <c r="F13" s="168" t="s">
        <v>752</v>
      </c>
    </row>
    <row r="14" spans="1:6" ht="26.4" x14ac:dyDescent="0.25">
      <c r="A14" s="196">
        <v>4</v>
      </c>
      <c r="B14" s="197">
        <v>3</v>
      </c>
      <c r="C14" s="198">
        <v>4012</v>
      </c>
      <c r="D14" s="199" t="s">
        <v>653</v>
      </c>
      <c r="E14" s="200">
        <v>1.8</v>
      </c>
      <c r="F14" s="168" t="s">
        <v>757</v>
      </c>
    </row>
    <row r="15" spans="1:6" x14ac:dyDescent="0.25">
      <c r="A15" s="196">
        <v>4</v>
      </c>
      <c r="B15" s="197">
        <v>3</v>
      </c>
      <c r="C15" s="198">
        <v>4012</v>
      </c>
      <c r="D15" s="199" t="s">
        <v>646</v>
      </c>
      <c r="E15" s="200">
        <v>0.9</v>
      </c>
      <c r="F15" s="168" t="s">
        <v>755</v>
      </c>
    </row>
    <row r="16" spans="1:6" x14ac:dyDescent="0.25">
      <c r="A16" s="196">
        <v>4</v>
      </c>
      <c r="B16" s="197">
        <v>3</v>
      </c>
      <c r="C16" s="198">
        <v>4012</v>
      </c>
      <c r="D16" s="199" t="s">
        <v>670</v>
      </c>
      <c r="E16" s="200">
        <v>26.8</v>
      </c>
      <c r="F16" s="168" t="s">
        <v>752</v>
      </c>
    </row>
    <row r="17" spans="1:6" x14ac:dyDescent="0.25">
      <c r="A17" s="196">
        <v>4</v>
      </c>
      <c r="B17" s="197">
        <v>3</v>
      </c>
      <c r="C17" s="198">
        <v>4012</v>
      </c>
      <c r="D17" s="199" t="s">
        <v>652</v>
      </c>
      <c r="E17" s="200">
        <v>2.4</v>
      </c>
      <c r="F17" s="168" t="s">
        <v>753</v>
      </c>
    </row>
    <row r="18" spans="1:6" ht="26.4" x14ac:dyDescent="0.25">
      <c r="A18" s="196">
        <v>4</v>
      </c>
      <c r="B18" s="197">
        <v>3</v>
      </c>
      <c r="C18" s="198">
        <v>4012</v>
      </c>
      <c r="D18" s="199" t="s">
        <v>658</v>
      </c>
      <c r="E18" s="200">
        <v>0.9</v>
      </c>
      <c r="F18" s="168" t="s">
        <v>758</v>
      </c>
    </row>
    <row r="19" spans="1:6" x14ac:dyDescent="0.25">
      <c r="A19" s="196">
        <v>4</v>
      </c>
      <c r="B19" s="197">
        <v>3</v>
      </c>
      <c r="C19" s="198">
        <v>4012</v>
      </c>
      <c r="D19" s="199" t="s">
        <v>642</v>
      </c>
      <c r="E19" s="200">
        <v>1.8</v>
      </c>
      <c r="F19" s="168" t="s">
        <v>754</v>
      </c>
    </row>
    <row r="20" spans="1:6" x14ac:dyDescent="0.25">
      <c r="A20" s="196">
        <v>4</v>
      </c>
      <c r="B20" s="197">
        <v>3</v>
      </c>
      <c r="C20" s="198">
        <v>4012</v>
      </c>
      <c r="D20" s="199" t="s">
        <v>648</v>
      </c>
      <c r="E20" s="200">
        <v>9.9</v>
      </c>
      <c r="F20" s="168" t="s">
        <v>754</v>
      </c>
    </row>
    <row r="21" spans="1:6" x14ac:dyDescent="0.25">
      <c r="A21" s="196">
        <v>4</v>
      </c>
      <c r="B21" s="197">
        <v>3</v>
      </c>
      <c r="C21" s="198">
        <v>4012</v>
      </c>
      <c r="D21" s="199" t="s">
        <v>649</v>
      </c>
      <c r="E21" s="200">
        <v>5.5</v>
      </c>
      <c r="F21" s="168" t="s">
        <v>756</v>
      </c>
    </row>
    <row r="22" spans="1:6" x14ac:dyDescent="0.25">
      <c r="A22" s="196">
        <v>4</v>
      </c>
      <c r="B22" s="197">
        <v>3</v>
      </c>
      <c r="C22" s="198">
        <v>4012</v>
      </c>
      <c r="D22" s="199" t="s">
        <v>655</v>
      </c>
      <c r="E22" s="200">
        <v>4.7</v>
      </c>
      <c r="F22" s="168" t="s">
        <v>756</v>
      </c>
    </row>
    <row r="23" spans="1:6" x14ac:dyDescent="0.25">
      <c r="A23" s="196">
        <v>4</v>
      </c>
      <c r="B23" s="197">
        <v>3</v>
      </c>
      <c r="C23" s="198">
        <v>4013</v>
      </c>
      <c r="D23" s="199" t="s">
        <v>645</v>
      </c>
      <c r="E23" s="200">
        <v>10</v>
      </c>
      <c r="F23" s="168" t="s">
        <v>752</v>
      </c>
    </row>
    <row r="24" spans="1:6" ht="26.4" x14ac:dyDescent="0.25">
      <c r="A24" s="196">
        <v>4</v>
      </c>
      <c r="B24" s="197">
        <v>3</v>
      </c>
      <c r="C24" s="198">
        <v>4013</v>
      </c>
      <c r="D24" s="199" t="s">
        <v>653</v>
      </c>
      <c r="E24" s="200">
        <v>1.8</v>
      </c>
      <c r="F24" s="168" t="s">
        <v>757</v>
      </c>
    </row>
    <row r="25" spans="1:6" x14ac:dyDescent="0.25">
      <c r="A25" s="196">
        <v>4</v>
      </c>
      <c r="B25" s="197">
        <v>3</v>
      </c>
      <c r="C25" s="198">
        <v>4013</v>
      </c>
      <c r="D25" s="199" t="s">
        <v>646</v>
      </c>
      <c r="E25" s="200">
        <v>3.1</v>
      </c>
      <c r="F25" s="168" t="s">
        <v>755</v>
      </c>
    </row>
    <row r="26" spans="1:6" x14ac:dyDescent="0.25">
      <c r="A26" s="196">
        <v>4</v>
      </c>
      <c r="B26" s="197">
        <v>3</v>
      </c>
      <c r="C26" s="198">
        <v>4013</v>
      </c>
      <c r="D26" s="199" t="s">
        <v>670</v>
      </c>
      <c r="E26" s="200">
        <v>20.5</v>
      </c>
      <c r="F26" s="168" t="s">
        <v>752</v>
      </c>
    </row>
    <row r="27" spans="1:6" x14ac:dyDescent="0.25">
      <c r="A27" s="196">
        <v>4</v>
      </c>
      <c r="B27" s="197">
        <v>3</v>
      </c>
      <c r="C27" s="198">
        <v>4013</v>
      </c>
      <c r="D27" s="199" t="s">
        <v>652</v>
      </c>
      <c r="E27" s="200">
        <v>5</v>
      </c>
      <c r="F27" s="168" t="s">
        <v>753</v>
      </c>
    </row>
    <row r="28" spans="1:6" ht="26.4" x14ac:dyDescent="0.25">
      <c r="A28" s="196">
        <v>4</v>
      </c>
      <c r="B28" s="197">
        <v>3</v>
      </c>
      <c r="C28" s="198">
        <v>4013</v>
      </c>
      <c r="D28" s="199" t="s">
        <v>658</v>
      </c>
      <c r="E28" s="200">
        <v>1.3</v>
      </c>
      <c r="F28" s="168" t="s">
        <v>758</v>
      </c>
    </row>
    <row r="29" spans="1:6" x14ac:dyDescent="0.25">
      <c r="A29" s="196">
        <v>4</v>
      </c>
      <c r="B29" s="197">
        <v>3</v>
      </c>
      <c r="C29" s="198">
        <v>4013</v>
      </c>
      <c r="D29" s="199" t="s">
        <v>649</v>
      </c>
      <c r="E29" s="200">
        <v>20.399999999999999</v>
      </c>
      <c r="F29" s="168" t="s">
        <v>756</v>
      </c>
    </row>
    <row r="30" spans="1:6" x14ac:dyDescent="0.25">
      <c r="A30" s="196">
        <v>4</v>
      </c>
      <c r="B30" s="197">
        <v>3</v>
      </c>
      <c r="C30" s="198">
        <v>4013</v>
      </c>
      <c r="D30" s="199" t="s">
        <v>655</v>
      </c>
      <c r="E30" s="200">
        <v>17.2</v>
      </c>
      <c r="F30" s="168" t="s">
        <v>756</v>
      </c>
    </row>
    <row r="31" spans="1:6" x14ac:dyDescent="0.25">
      <c r="A31" s="196">
        <v>4</v>
      </c>
      <c r="B31" s="197">
        <v>3</v>
      </c>
      <c r="C31" s="198">
        <v>4014</v>
      </c>
      <c r="D31" s="199" t="s">
        <v>637</v>
      </c>
      <c r="E31" s="200">
        <v>12.3</v>
      </c>
      <c r="F31" s="168" t="s">
        <v>752</v>
      </c>
    </row>
    <row r="32" spans="1:6" x14ac:dyDescent="0.25">
      <c r="A32" s="196">
        <v>4</v>
      </c>
      <c r="B32" s="197">
        <v>3</v>
      </c>
      <c r="C32" s="198">
        <v>4014</v>
      </c>
      <c r="D32" s="199" t="s">
        <v>638</v>
      </c>
      <c r="E32" s="200">
        <v>27.9</v>
      </c>
      <c r="F32" s="168" t="s">
        <v>753</v>
      </c>
    </row>
    <row r="33" spans="1:6" x14ac:dyDescent="0.25">
      <c r="A33" s="196">
        <v>4</v>
      </c>
      <c r="B33" s="197">
        <v>3</v>
      </c>
      <c r="C33" s="198">
        <v>4014</v>
      </c>
      <c r="D33" s="199" t="s">
        <v>640</v>
      </c>
      <c r="E33" s="200">
        <v>56.4</v>
      </c>
      <c r="F33" s="168" t="s">
        <v>754</v>
      </c>
    </row>
    <row r="34" spans="1:6" x14ac:dyDescent="0.25">
      <c r="A34" s="196">
        <v>4</v>
      </c>
      <c r="B34" s="197">
        <v>3</v>
      </c>
      <c r="C34" s="198">
        <v>4015</v>
      </c>
      <c r="D34" s="199" t="s">
        <v>670</v>
      </c>
      <c r="E34" s="200">
        <v>39</v>
      </c>
      <c r="F34" s="168" t="s">
        <v>752</v>
      </c>
    </row>
    <row r="35" spans="1:6" x14ac:dyDescent="0.25">
      <c r="A35" s="196">
        <v>4</v>
      </c>
      <c r="B35" s="197">
        <v>3</v>
      </c>
      <c r="C35" s="198">
        <v>4015</v>
      </c>
      <c r="D35" s="199" t="s">
        <v>652</v>
      </c>
      <c r="E35" s="200">
        <v>22.8</v>
      </c>
      <c r="F35" s="168" t="s">
        <v>753</v>
      </c>
    </row>
    <row r="36" spans="1:6" x14ac:dyDescent="0.25">
      <c r="A36" s="196">
        <v>4</v>
      </c>
      <c r="B36" s="197">
        <v>3</v>
      </c>
      <c r="C36" s="198">
        <v>4015</v>
      </c>
      <c r="D36" s="199" t="s">
        <v>642</v>
      </c>
      <c r="E36" s="200">
        <v>2.1</v>
      </c>
      <c r="F36" s="168" t="s">
        <v>754</v>
      </c>
    </row>
    <row r="37" spans="1:6" x14ac:dyDescent="0.25">
      <c r="A37" s="196">
        <v>4</v>
      </c>
      <c r="B37" s="197">
        <v>3</v>
      </c>
      <c r="C37" s="198">
        <v>4015</v>
      </c>
      <c r="D37" s="199" t="s">
        <v>651</v>
      </c>
      <c r="E37" s="200">
        <v>11.7</v>
      </c>
      <c r="F37" s="168" t="s">
        <v>754</v>
      </c>
    </row>
    <row r="38" spans="1:6" x14ac:dyDescent="0.25">
      <c r="A38" s="196">
        <v>4</v>
      </c>
      <c r="B38" s="197">
        <v>3</v>
      </c>
      <c r="C38" s="198">
        <v>4015</v>
      </c>
      <c r="D38" s="199" t="s">
        <v>649</v>
      </c>
      <c r="E38" s="200">
        <v>45.3</v>
      </c>
      <c r="F38" s="168" t="s">
        <v>756</v>
      </c>
    </row>
    <row r="39" spans="1:6" x14ac:dyDescent="0.25">
      <c r="A39" s="196">
        <v>4</v>
      </c>
      <c r="B39" s="197">
        <v>3</v>
      </c>
      <c r="C39" s="198">
        <v>4015</v>
      </c>
      <c r="D39" s="199" t="s">
        <v>655</v>
      </c>
      <c r="E39" s="200">
        <v>11.9</v>
      </c>
      <c r="F39" s="168" t="s">
        <v>756</v>
      </c>
    </row>
    <row r="40" spans="1:6" x14ac:dyDescent="0.25">
      <c r="A40" s="196">
        <v>4</v>
      </c>
      <c r="B40" s="197">
        <v>3</v>
      </c>
      <c r="C40" s="198">
        <v>4016</v>
      </c>
      <c r="D40" s="199" t="s">
        <v>670</v>
      </c>
      <c r="E40" s="200">
        <v>18.399999999999999</v>
      </c>
      <c r="F40" s="168" t="s">
        <v>752</v>
      </c>
    </row>
    <row r="41" spans="1:6" x14ac:dyDescent="0.25">
      <c r="A41" s="196">
        <v>4</v>
      </c>
      <c r="B41" s="197">
        <v>3</v>
      </c>
      <c r="C41" s="198">
        <v>4016</v>
      </c>
      <c r="D41" s="199" t="s">
        <v>652</v>
      </c>
      <c r="E41" s="200">
        <v>3.9</v>
      </c>
      <c r="F41" s="168" t="s">
        <v>753</v>
      </c>
    </row>
    <row r="42" spans="1:6" x14ac:dyDescent="0.25">
      <c r="A42" s="196">
        <v>4</v>
      </c>
      <c r="B42" s="197">
        <v>3</v>
      </c>
      <c r="C42" s="198">
        <v>4016</v>
      </c>
      <c r="D42" s="199" t="s">
        <v>648</v>
      </c>
      <c r="E42" s="200">
        <v>12.3</v>
      </c>
      <c r="F42" s="168" t="s">
        <v>754</v>
      </c>
    </row>
    <row r="43" spans="1:6" x14ac:dyDescent="0.25">
      <c r="A43" s="196">
        <v>4</v>
      </c>
      <c r="B43" s="197">
        <v>3</v>
      </c>
      <c r="C43" s="198">
        <v>4016</v>
      </c>
      <c r="D43" s="199" t="s">
        <v>649</v>
      </c>
      <c r="E43" s="200">
        <v>18.3</v>
      </c>
      <c r="F43" s="168" t="s">
        <v>756</v>
      </c>
    </row>
    <row r="44" spans="1:6" x14ac:dyDescent="0.25">
      <c r="A44" s="196">
        <v>4</v>
      </c>
      <c r="B44" s="197">
        <v>3</v>
      </c>
      <c r="C44" s="198">
        <v>4016</v>
      </c>
      <c r="D44" s="199" t="s">
        <v>655</v>
      </c>
      <c r="E44" s="200">
        <v>18.3</v>
      </c>
      <c r="F44" s="168" t="s">
        <v>756</v>
      </c>
    </row>
    <row r="45" spans="1:6" x14ac:dyDescent="0.25">
      <c r="A45" s="196">
        <v>4</v>
      </c>
      <c r="B45" s="197">
        <v>3</v>
      </c>
      <c r="C45" s="198">
        <v>4017</v>
      </c>
      <c r="D45" s="199" t="s">
        <v>645</v>
      </c>
      <c r="E45" s="200">
        <v>10.4</v>
      </c>
      <c r="F45" s="168" t="s">
        <v>752</v>
      </c>
    </row>
    <row r="46" spans="1:6" ht="26.4" x14ac:dyDescent="0.25">
      <c r="A46" s="196">
        <v>4</v>
      </c>
      <c r="B46" s="197">
        <v>3</v>
      </c>
      <c r="C46" s="198">
        <v>4017</v>
      </c>
      <c r="D46" s="199" t="s">
        <v>653</v>
      </c>
      <c r="E46" s="200">
        <v>1.9</v>
      </c>
      <c r="F46" s="168" t="s">
        <v>757</v>
      </c>
    </row>
    <row r="47" spans="1:6" x14ac:dyDescent="0.25">
      <c r="A47" s="196">
        <v>4</v>
      </c>
      <c r="B47" s="197">
        <v>3</v>
      </c>
      <c r="C47" s="198">
        <v>4017</v>
      </c>
      <c r="D47" s="199" t="s">
        <v>646</v>
      </c>
      <c r="E47" s="200">
        <v>0.9</v>
      </c>
      <c r="F47" s="168" t="s">
        <v>755</v>
      </c>
    </row>
    <row r="48" spans="1:6" x14ac:dyDescent="0.25">
      <c r="A48" s="196">
        <v>4</v>
      </c>
      <c r="B48" s="197">
        <v>3</v>
      </c>
      <c r="C48" s="198">
        <v>4017</v>
      </c>
      <c r="D48" s="199" t="s">
        <v>670</v>
      </c>
      <c r="E48" s="200">
        <v>28.2</v>
      </c>
      <c r="F48" s="168" t="s">
        <v>752</v>
      </c>
    </row>
    <row r="49" spans="1:6" x14ac:dyDescent="0.25">
      <c r="A49" s="196">
        <v>4</v>
      </c>
      <c r="B49" s="197">
        <v>3</v>
      </c>
      <c r="C49" s="198">
        <v>4017</v>
      </c>
      <c r="D49" s="199" t="s">
        <v>642</v>
      </c>
      <c r="E49" s="200">
        <v>2.8</v>
      </c>
      <c r="F49" s="168" t="s">
        <v>754</v>
      </c>
    </row>
    <row r="50" spans="1:6" x14ac:dyDescent="0.25">
      <c r="A50" s="196">
        <v>4</v>
      </c>
      <c r="B50" s="197">
        <v>3</v>
      </c>
      <c r="C50" s="198">
        <v>4017</v>
      </c>
      <c r="D50" s="199" t="s">
        <v>648</v>
      </c>
      <c r="E50" s="200">
        <v>13.2</v>
      </c>
      <c r="F50" s="168" t="s">
        <v>754</v>
      </c>
    </row>
    <row r="51" spans="1:6" x14ac:dyDescent="0.25">
      <c r="A51" s="196">
        <v>4</v>
      </c>
      <c r="B51" s="197">
        <v>3</v>
      </c>
      <c r="C51" s="198">
        <v>4017</v>
      </c>
      <c r="D51" s="199" t="s">
        <v>649</v>
      </c>
      <c r="E51" s="200">
        <v>6.1</v>
      </c>
      <c r="F51" s="168" t="s">
        <v>756</v>
      </c>
    </row>
    <row r="52" spans="1:6" x14ac:dyDescent="0.25">
      <c r="A52" s="196">
        <v>4</v>
      </c>
      <c r="B52" s="197">
        <v>3</v>
      </c>
      <c r="C52" s="198">
        <v>4017</v>
      </c>
      <c r="D52" s="199" t="s">
        <v>655</v>
      </c>
      <c r="E52" s="200">
        <v>5.2</v>
      </c>
      <c r="F52" s="168" t="s">
        <v>756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КП</vt:lpstr>
      <vt:lpstr>1.1-Ст</vt:lpstr>
      <vt:lpstr>1.2-Ст</vt:lpstr>
      <vt:lpstr>1.3-Кирп</vt:lpstr>
      <vt:lpstr>1.4-Бл</vt:lpstr>
      <vt:lpstr>2.1-Ст</vt:lpstr>
      <vt:lpstr>2.3-Ст</vt:lpstr>
      <vt:lpstr>2.4-Ст</vt:lpstr>
      <vt:lpstr>Лист2</vt:lpstr>
      <vt:lpstr>2.2-Пер</vt:lpstr>
      <vt:lpstr>2.2-Пер2</vt:lpstr>
      <vt:lpstr>2.5-Пер</vt:lpstr>
      <vt:lpstr>3-Ст</vt:lpstr>
      <vt:lpstr>Ведомость</vt:lpstr>
      <vt:lpstr>3.1-Шт</vt:lpstr>
      <vt:lpstr>3.1.1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2026-03-16T07:22:54Z</dcterms:modified>
</cp:coreProperties>
</file>