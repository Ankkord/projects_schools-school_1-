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ТКП" sheetId="1" r:id="rId4"/>
  </sheets>
  <definedNames>
    <definedName name="_xlnm._FilterDatabase" localSheetId="0" hidden="1">'ТКП'!$A$7:$U$7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<sst xmlns="http://schemas.openxmlformats.org/spreadsheetml/2006/main" uniqueCount="499">
  <si>
    <t>Указать название организации (на бланке организации)</t>
  </si>
  <si>
    <t>{"estimateId":5149114,"estimateVersionId":7686131}</t>
  </si>
  <si>
    <t>2</t>
  </si>
  <si>
    <t>dRh6jfpWt4YEfzryzUdJxiwxIBARCbLHfZPh66wuCNrEGp1/67T3W8nO1+J1ZokOSDd4KZ2xRxXiPjKUhD6pS4AY7X0AeV+BeLeMerWANCJIQOk5VkcQYXjQyWTFbowromGXtEw/uSxmrDP3d5PWa3SYbInPnFTU4RqAZb+pn4Q=</t>
  </si>
  <si>
    <t>ТЕХНИКО-КОММЕРЧЕСКОЕ ПРЕДЛОЖЕНИЕ (ТКП)</t>
  </si>
  <si>
    <t>г. Москва, Кронштадтский б-р, вл. 9, ДОО на 100 мест</t>
  </si>
  <si>
    <t>Стоимость, указанная в предложении, включает в себя все необходимые затраты на выполнение полного комплекса работс НДС 22%</t>
  </si>
  <si>
    <t>Предельная стоимость производства работ (ПСПР)</t>
  </si>
  <si>
    <t>МФ-СТРОЙ ООО</t>
  </si>
  <si>
    <t>9701212867</t>
  </si>
  <si>
    <t>Разница</t>
  </si>
  <si>
    <t>Цена подрядчика - ПСПР</t>
  </si>
  <si>
    <t>Материалы/
оборудование</t>
  </si>
  <si>
    <t>СМР, ПНР</t>
  </si>
  <si>
    <t>Общая стоимость руб.</t>
  </si>
  <si>
    <t>%</t>
  </si>
  <si>
    <t>eF7tvWuTHMdxLvxXJhjhCGp3ek7fqi+I8IfFcgkviL1ge5bA7sEJxVwlhHDhC4KWLYcieBEtybQlypJsvpRICtS5fXkdIAiYEACCf6HnH71V3T2D3Zmq7sycye5FhCntfXbxPFnVmU9WZlX9wyt3//6t0SvnXrnZe+uV9it/27vxzqibfefWOzdutF8Z/d1gdCP/xitvT18gP/+Ha68Mbt+8efvWtVfO/Xf5hfor8tMX321fe/HHrhV/7dqLP5e99u0XL8u+Tv+cPknvp9+k9yfvT/65lX6bffFAvv82fZw+aqXPJ++mXxdfqlf9o/z4uPWqemEr/Sp9mv3oifGV38v+vcHt23eG12/17ub/6IaTfXf09t3rN+X3Dm7/eHt4AvCtu9fv/v2Fd65Pv/fT9mm2t8bXf0Bj+w/Xrr34Z+W/Kb86Jxw/dhy/ffJHb47uvH399q3iFWEQBY7n/FRH5bVlqMgJQOOhQ/L6Mkjevv4D4gTSQdlaBspSs/nL9Pfp/0o/Sz9JP00/t9S79I/yf79P/5T+H/n+Xvad37fSL+Q3fp/+Lv2D/PLf5GfqN34vZ/WX8gVf6Oese+7QbYrW152WZPF88p580uSz2W6ln8qH7Xn67eQXk/flI/dQPrzqZ4/Tv8iH0pq8K1/xIH3aacXyk99Jjp9nT3bLse1W+ix9NHlv8r6WpHfu0GuK5D1J5bmk8EwRVd6o3Zp8MPVOEr4kMPm15NVKv5PkH6UPpfN5nv6n/Ex5nMcZ5Sfp08mvJj+Xr380eV+9VprlUfpV9nvqU2WGR/K3vpp8KN8/VP/a5CP17dwBvpu9/yg3lvyNj9Lv5MueZr9U+MPpN55LX/e8Jf/B5xLwd/Jbj9In8l+431J/RDrG52pIWnJi/S6913Ldv9Ka2z936Ddl7i8KIz6SJvvnwrjK7qfHIDf288ylP1Amy17y4BRP+dx8IR8t+Uxpn5yL4tyeaIrlH9P/aUlsX8rn/fP0/22pRyH9XIdyX5w7aAplHNqO67hREOqQJeLcYVPIpNnU4yfnvgzn97Vz+A1xbmO/MXz/O3sy7+fP5cPJu5Nfy/c/l9NV+o2W1ZpOTD3y4NzGpaAp5H9Uvka6qXcl2PvyGfxIao3/du3aLeWdlJaSvu+h/HwmxfQUwqbg35ME/tRWBv7MYN5LjWH7XPr3X5ocWmbZrzpayDtyRuw0BfuvtJB2JaS9l3uS7jZlUcAk3WsMG3mS7ssZsd8Y7M8ywSNnhHS5ajLI9zqQMig0BvFTFQqUdvxGpactKe3v6Uf/vDh3vjGUn8lnRg35o0xMnsi4T0hRHehNcW6zMdCfZqOfgVaJR+YX/pIF3xIzvybOvXYGEc/LBR30LXFuqzHov08fyrxPKe9nWk/wujj3emPgpF0n/zL5WSebqO8V6ZTWhhfEuQtNwkyfWip1aaW/0Sv/vxHn/qYxfHkUeKSe+yczqDqU2+LcdmMoC5Xdnsalysz2YnDujZdatFxszNaVmqU5zY+eBpeCc81lAbr1JCBumQfsvtTTt7Ekpnr6NpcNlCnutjQwdHbsBeeaSxvQz6BMFy6/1HO5uVynci5fbgwaehocBOcOGkO7hCtOgnPdl3r6Js1ZvWr6dhuDtipXfBicO1yGxN3bd3s3Fjhce+VW7+Yo/7N0HicqJPDp/ppjRwx83nr7rTtd9bMd+SfvXO/d2Pp/3rn+1k351zQsx3Ms/zo53Hl1J9IWd3aY8SY37+zfugMFuasHucsMcv/O9YFuuixgVNZan6GZlxU8KO8uNeyJ3qIJI1bckHf1ALuMAMHDray03jUM9yEPwh9eHw5Ht5Z71o/0Nj1iR4wb+mM9zGN2mOAJoCy2fmyYABsbywFdKgB/momWp+njyc/y1c+sXev5izaLx/mCVLZomj6R76ffl9/6Wdbr9Sz/pcmvteQcOz4np3jcFMGPdajOO47dFKDPCnv/PF/lv5+rxsl78lvvvtCQemtuNoj7YXq/9epffa+VFXu+VX01OoSvNYdQB+dvJBw5/RrDlP7GMP0a64z7rdKh2Tz79nRvz+Psiw/S7+Rn2TefnBCuRceTKqY9yLqFVDHlad4NNfmVYao2xlFN1cpp2hQ6wzR11DRtClP6r4Zp2lino3GaZpMvS7KU5yym6ldF9/HzrLvvyeSDya9aqgc5m8AqdMlJ2no1n+Z5b/PUAz8+6YHva3XEZoNmkDP51Sk7gOttCqdhTrtqTjeFKf2tYU57TQG6lwX4Jy3lak83lCpBNZ3cqqnifdVX+X72s4fZspO2oLrZIJesebhjmIZNoTJMQ09Nw6Ywpb8zTEO/KUC/PekX07/Ijx+lf1HrVvnsFC0V2A09Jw3CBgX1ptAZZp6vZl5TmLYME080hCf9ZDFlbKl+jO+yHQ2Psv6Hb/OYrDrz/ylrpVeuUIZAOUdlyJ6Of2v6je9l3f7P8+Z0OYU/KmSqcqXfSLH6dPLPWbePUgvPFv4lY5LVmIlMPFWtQbXVVM3/poAb5r9Q878pTOm/GR6AxspI/yon90M5R08WBLI9I3nKr0oDj6YbUZ5o9p1IESvn+AfyV0+0rWX++1n20EwWNt7JF8gfGWZ5Y3Z4oOxwwgpWJsk1TZCGWd4UcMMsD9QsbwpT+u+GWb5MOWwpQPrULesL/C6TvsUWU7WI8HX2uueqi/hBqxDAapkx312a/rv6Qr59U9abudkgV4hPbgqcYbaGarY2hSn9xDBbG1sAn1uOvac2iBlmWWMYs6XXzPOrDub7gIWApqAa5lyk5lxTmNJPDXOusZrE51KvfjR5/+QWUSkK3mtJ1/mpatP4RH4wrFZlqwJqgeuX8lsfTndl5kJZulLrxFbZzMv+Ve5Vsz9RsRt/s0GLnND7am63FiSC+u5f6SSRVsK/1hwVwxOgimCNYUr/oH8C3MbKIieegIXJORULqrdKals1y7PZoOb3yd3G6jemKd3TTDnkG2dcy2tlwiJ3m6efhyKryqaQ6rYXrdle8Udqdql/7WTyqf5NBSl72L6ZkyPyh4YnqTnLzj1J85iz72XG0T83jQHXPzeuqt41hin9o+G5aaxO838yAZ0X3l6o6xN1uvtyKhehITvoIDudIHOpavwXf1eXgOYF/ofysfi11uPS1qqbM9qJDTVq9pfvr3mtOaCGR0BVBhvDlH5meAQaK+v8Ll/Oy0PH10XZ+t0XwWN6Eke+hGBY+2gO/kPpedUslEq+8MVfG6ZhUxAN01AV8xrDpM/J5DT0GgOUd36XKpEyHfL8xO+/mikP6X2lj5ba/nvFRtqH2RzOlvfUQvAHkw+z5b2neSt6dtDPc7WHVeUPP888ceHW1WOgILm246tJJj+K4mNQQDLplsbsmaGyXiS5L4RK1TelbfOmamnRR+k3RWO1luBrzRFUY2Bdu3ZLjUHxMbQMj5oqWDYGNP3C8Kj5TQG6Jyf9X9RjBnPtTeGUM/K9rFpjWKd8rTlohnmmypONYTIcxeC4oilAv81EbCZh87OwssK4dMOPM62RpYOTd1vnWun/7KSfdNLPOyeOAcvl9ORX7VwMP+20WyPrZu/6DcMsbYqlYSqoSl1jmNJ7hqnQWFFFHRdwsuX5uVo1eJqdfvV8NePfFDXD+KsaVmOY0i8N499YmUIdipfVI7MzBIsDWZ608nMhi/z3RdKbTxXDQDfFwTDQqvyDxfQ/sr80HO337v5Qfk8iDPoDt9/v2dbIHwvLj+yxFUXh2Or5nt3zhO8Mh738lXdu/zj/JM4/zLiNboxme1FOkgNvunPk4/evRfb3fLqqocbpseb71oke57mXq8NAtW3aG9G5bXjRAmqUn8pfVN1oQGOsYMderN+xx0TNx1PDbffZ1fPZZeIj8HzA+4IUnT09nT0mOvDHcMkNg3paCQ8ttUSMoYWbcV09ly4TFwfHBTXbDvVUDhmoZNPNvXY6Csxze3s0uHtdE+JkFHjnZn+kG6LFOODoKG3oq22+HYSO44tonlcefaX5wQhVSPz+W1lMrAbp6jCeJ2Kcf4hLrAiLpenvZCycatnHuYItMqBHp8rU7ayCplaqCvmTvyRb+spbt4r1qtOF6Wc69pvxuW2iARYCqNkCKwigjq2PoFTw8yESAB7nsHYNiHepiAUeMcot7RkA71EBw5+QJcOcAXhCBL4QyCqA4+ZF14C2S0ULd+eEUGUAe0gBm02Ka3XEIkM0MmxBnaKOjSYGg8SFIz3M81SY8OftrESk7O6SR9nugW+yTP+X8m8W7deG6oh9bptqn5oDltPe8UJ90CIzqCFqOe1dA+xdMmyBh41yU3sS9Z4B9R4ZNfx5WjZ+Oe3EgD6houcOYk67a4DcJUOGBwNKJHPahwbEhyTEJyGzxzNTRNP3pBTAA9toajBMbETruIagRkQKfwihQe1zGXuyq1ayeynSP6af68utm44jYw0Rds2xxm3vuCre+IZ4Q2VRQ7xx27uuijl66Ltk6AIPHeVQ9iTyPVfFHT3yPTJy+JRfNu647cRVsUfPIKEy4I49brvrqvijh90lw4Y7b0r8cduHropBetSHJNR1plTmIKTvSJsid4z2BgMlBCFTbkXECn8moWEoizstx1L7/v8lK3P/pw7xpuPKKEREXXMU8to7jqHQRWZQQwTy2rsG2Ltk2AIPG+VO9iTqPQPqPTJq+CxfNvJ47cSAPqGi5446XrtrgNwlQ4b7akrE8dqHBsSHJMR1RxtTvPFKsbtGa4OhkuKNKeIQ0cKfRWjE+UKt5E0+0qHcdDwZZYhIa44yphyHir6GCGPKbaiQBR4yynXsGRDvkRHDZ/OykcWUyxCRc0cVUw5DhQv3x5SIYspdKGizeRFem0WR/14WVn58+86PNBwoMcUUVfxSDr7R4jCkxJDScUJTXCHinXfWJssCg8rn2cXzWVNudufz/dbsDNOsk1t1bz8pGrqfydd8nX2Wl5O+zffOfJf9gfeLrTRqD362Qydr+S6+94usRvSgnf10uvPxQX6F3Iu6VP7nsn9DAvi2OAHlyfRfUV+oTTsfvtijo7PsJtWy84HEOBNuKo/2/etvQyauDuFrVIQChZCIbouKLoChuznqvf3OHdDkfObqAL5OBRjCAI7+7q3Rrbd1AG/NAXQ6tm3rIF6gQoxgEP/29o13QM+3DtzfUMHNiwADuCwwAazneh3H93QIt6kInflob4CoZFUWOklCZfv1rYODvYNXD/YOd197NVe1or3jBPItlG/R99QmO0mi3XK/19Z3YFwkUwSG1hlFo6JZGA/bjjv6+fwGGS0wvM7QQuwvbbee2/6N3MY6yJfIkIERdrlcKMcvmaxtmznskDn4SA5w2ZsDl6DXTg2BicIumYJAUgBPH2nV9SmshQSJihYY/N5aodNJpNNJpNNJpNNJQE5nn0wPGDrfwjmcwHE6odbhXCYjBUbQt6CzZX/mbC6bH9QDMlxMTCXNmxz7frmjSaj4F9LrMvx0J3O53Ml0yfCBwRSZa8sp09U7mEMSUgW13x+MemMvtoTvDyw/jMZWL7CF5Tv9aOj0e0NPFGNhTMJvFvNHQ5CWiJtScYHjCCWnS9dLOGFSdh2P85w85kVG2dgAU/nfzqXN99VBdmrf5YPirItTW7L/kH6c3ku/TD9J/yjfPvt+fsJR+uf0s/TT9HP5/kv1mv+QX9xrXdoXTkt/DdAmp5EE3EjL5ryMLOalQQkLRG78RH/ozeucTOZVQAkTeBJtdwrICzk0I5N5lVDCZMlcm5HEvHYoIQHNyb2OH2qd+jYnkYW0vYQJKnWfpxfbHVd7gdxFVnoIZ7+KrHKaWwqll6TsE+b8kpM1wu+B0yLwgO6zUsM+eRBqpYO5Xz2YCRvjvFVaiJHbHwkrHvQdy+8L14r8oWv5sec7buQMorhwqjXqT+368IbhIPkSQ8DI1a4/GXkgXBJUf/77iarP/VZ2rfo3+YXf6uCpe1ue932lMR2vlR3gVpw3aLolh5G7gHNfVlYyskC411XISkYmTLKyOItpQVYyMqlPVjKSwAY3wGCIThgFOiLbnERqk5V+1HG1hayLrPQQPnyVsjIolEhglpWcrBF+jywrjQO6z0oN++RBqFXIysrBTNgYZ7JyFIehHcWxFYhBZPmu17d6UoPK145HUeT3RtFwfK1uWakd+g3DjS8lhoCRq11WMvJAuCSorPw0Ow/4RJ/R88nP80XM7CjbP2fNSD/LWphOXv9dLHNmpwBn14FY2XLnx9nRth+nf9IfmLfJaRwBN86yupORBcL/rkJ3MjJh0Z2GpPQCJ5H6ZCcjCWzwg4yFF3UioV0f2uakUpvwdIKOZ1jP5KSH8PKrFJ5hoVVCs/DkZI1wfGThaRzQfVZq2GcPQq1CeFYOZsLGOBOevdgb9/ywZ0VhJKWpI2KrF4jQCsOe78e9vhiGVXulVi88fZ0hNgzXvpUYAkauduHJyAPhkqDC896JPvjHWef6t+n97O7jn2f3UGQXxj5WtyW8aJB/nN0ikV8roa4NOtUvf7+VHYosv3svk7EfpN+28rK7Z9uTDwP1znFa6kqG/NuvvSa/J392oDPnJqc5BdyccKkq5ffj9LtzLSnp/2QJ9cG0ryC7PenFvoL7JwwUZ/Zpt94Y3end7LV2end6P/nJ9Za60yb9S3Zd07dqm0HW9PC+/AvPW9mQvZulA8kF13FcZVD534WDzrVrt3Sm3eI0LSKMwPXz5Bf6dfTXOZmw6GetC7zASaM+9cxIAhvBASMRux0RapOZbU4mtYln33Y7gbb79CIrP0SoWqV6jgrBFZnVMydrhNsjq2fziO6zcsM+fBBuFfK5cjQTNsbyv//x0xOO06iPV3qWgKHUH5eSFPMk6zpLQJvDnaeihe++hmrb36ljOtPpBS3/qTkTVEdg04nPbVNJ1HvMgGs4b5qM3sejh/e7Z8cMGCDvkiELPGR4j7s6ZsCAeI+MGD7R6X402zpjQJ5QkTMfM2CA2yXDhbtq5NYHdcyAAe0hCe0J/1fjKQOGs503DPcoTymERoPDkBKDTSc2HDJAhTvvqpc8ZGAu2miOGJhbRnk+t26iI7dJJTfvyfn2+VMRChRCIrotKrp5Jc+2z58KELhZEb4mYd7nT4U4v+bAss+fCm4+CvPt86ciZNnnv9hBqB/0i2TUwHiF37ofuYFp5z4ZLDBk4Xbuu/Z0575rG3fukyEDwxYqvYDOih0yamA8IqQVxTZa1147ZXTjXn0yBYGkAJ4w0qrrU1jzWQYZLTCAkZehTFNkn4wYGNFw2+8dO/Q6kRbpZTJSYGCDb7+feYzLZo9xQIaLCXWrnAoJFTHvhvuZp7hc7im6ZPjAEIjMOuUk6eq9xCEJabbCeSIRqmOJU7/AWVzHYIJf+xV8ec6pVXPnqVjhqz7QhDM/nFvtRsrPjctXN4tjug3HxrnOuW0qg5rXNt32jmeo4ZAZzKsQAAO4e8nXN932rgH2Lhm2wMOGu5VsjdNt7xlQ75FRw2c8OPIY1jnddmJAn1DRc691uu2uAXKXDBnut5GRJ1vvdNuHBsSHJMTZHLlWX+QxLXa6pdgbuG8viz2mtU4iWvizCI0+ZQd1u66MMkSkNUcZr73jRoYoQ2VQQ5Tx2rsG2Ltk2AIPG+VC9iTqPQPqPTJq+MxeNsp47cSAPqGi544yXrtrgNwlQ4b7aEqU8dqHBsSHJMQZ5MKl1FZaU07cEG28Mg4h+BqiFZbWPPXBGG+IeIGLlNBg8+esmKb2vf0lOxP7geovzlpnVblt8oE696uivrZwjvfjM3CKN9W88xGGsbpHRChQCAHoZn3VX6R/sLSTdYuKFbhUiqj1qRnwdaelv87+dSpO4ALpSkp+RIjAldElS35EcJh1UID14qjjB9oFrW0qQpaS30Kk1Rzt7fpSBwv5Fsi3MD9lV8bikqO9yRSBQRdfH/QdOZ+1nuENMlhg3EXWB71ZfdAz1wepkIGhd7nkqei3dr21bTOHHTIHYHwjpE/TGoC3dmoIzNVCKgWBpACePtKq61NYC1kUFS0wBIKrhQCfk0ifk0ifk0ifk4B8zj6ZHjBy4kqLwvM7ntbfXCYDBcZPRGXRm1UWjc/pARkuJqKSpk2xE6DczyRU/Mx1Rm/tlOnNdUYqfGAoRebhcsp09f7lkIQ0gwo6LUeRMSbnN3ur24js5h91HDdcH8cRSk6XxpdwwqTyOh7nOXnMa4yysQGm+Cs9WJGTu4Bzh2e3OhZbnCzmA34JC0TeazrghpMJywZdu2P7OiYXOJnUtkeXk8S8JCghAU20vU6sPy9km5NIfVt0jQcrstJD+PBV5IrTjNHP93S65vugWFkj/B442QEP6D4rNeyTB6FWOpj71YOZsDHOZGXgD8NwMPKsvhNFlh/I1/a8UV++tjd0+kFvGInBtbplpXZJcKM4qBdhCBi52mUlIw+ES4LKysX7YopLYPTXxuSHsqgK0ENVurHkh8fyp98Vr3qs9nflr9IZZ5PTOAJunGV1JyMLhP9dhe5kZMKlOw0XxXBSqU94MpLAhj/AaDgdPwx1RLY5idQmPIO4I3wdvYus9BBefpXCs7hbxDVfFMPKGuH4yMLTOKD7rNSwTx6EWoXwrBzMhI1xJjyHvhuKMHQszx1EluOMRlbPsV1r6ASB0xvY/X5cTPMahac259hwA6whYORqF56MPBAuCSo8vzjZnVTSlpSf4H3iYL9T5/f9N+98t5UfCSiyIxNPHvpnvTj0T2exTU6LCbjFllWjjCwQThmuRo3HFHIyYVGjTifShpMLnEzqE6OMJLAhETIYkfTxBjXKyKQ2NerEcacgsiBHOfkhfP8q5WhxJ4lrvmCGlTXC85HlqHlE91m5YR8+CLcKPVo5mgkb4/zi7FEY9MOxbQ0j17F81/Gsnt0X1tAfxn07ipxoXLXXavV6VBs7NtzSE891hoCRq12PMvJA+CSUHj15sYzSpNmlMy9uxV7pJTOc9hFw+yyrPhlZIHwwXH2a10IZmbCoT7ujVTsXOInUJz4ZSWDjH2AsgqgT62ua25xM6hOfxjtmWOkh/PwqtWdxLYlrvmOGlTXC79G1p/GOGVZq2EcPQq1CelYOZsLGWGnPMkm5yv2Uhqp6VEJNOAvnfze+n5KId95R/Nd+Sp15N6nm9WHmXcV+SiJCgUIIQHdqP6U2sm9Rsc77d/b9lEScwF0hcMVasp+SCHFej/LspySCw+z+gFjP7zi2QWMSETa3nzJu73i2fHOKfU1R6V5KKj1gwF3tXkoqWGDMRe6ljGZ7KY23hFwiQwaG3VVoc8lkbdvMYYfMARjblthLGa2dGgLzXkoqBYGkAJ4+0qrrU1hzaPfIaIHhD5zaAPxNIv1NIv1NAvI3+2RqwIi5un2UVKDAuInYRxnN9lEan9EDMlxMJCVNmWmyWOpjEip+5n2U0dop05v3UVLhA8Modh9ltN7V+5ZDEtIzWucxHqwX4zhCydVe52HkgVj/g6b29dd5GO0j4PaBZ746FlucLBDrnYic2FjnYWRSb52HkUh9dR5GEtjFZsBYxJ3IcBsqJ5GzUObhpIdw86tIJacJZVxUBmJzUsnJGuH2wLkQeED3WalhnzwItYoyT+VgJmyM84730UBEYS+ygrE/svzeuG/1h/Jd3AtC24kGvdAdXKtbeeqLQl7ZbQhaQ8DI1a08OXkgXBJUeb646f6x1J6PJu+p7Zbzd9zLVz2XX6pKk9Kcz6ei9N7s+vrs6+RC7Hi2be/mX8pP19RbpHrgdbba5LSVgNtqSRXKyQLhjhEq1HCrHScRJhHq2HoZykmlNhnKSQIbDAGj4XSEHeuIbHMSqU2G+sLvRPpWd1Z+CKe/Qh3q2bl08YxXW+2wskY4PrIONY/oPis37LMH4VYuRKtHM2FjfFbP/HANWy+LqgbCEDBytQtRRh4InwQVovWe+cFpHAE3zrLKk5EFwgEjlKdp/ZOTCZP0NJ35wUmlPunJSAIb/kCj4Tr6FVBOIrVJT/OZH6z0EF5+lcrTKbSKY1aenKwRjo+sPM1nfrBSwz55EGoVwrNyMBM2xvldqe2Z1zQqy5VeWGdY3XRLSPqhO0/S1PK+6gvrtMvw56lo5+fX8hfW/S59lDWxf1tckPptfl+qWrH8Kn0+ed9wl53nntumkqj3LjvPM7g4Knofjx7e3JPdY2eAvEuGLPCQ4Q096g47A+I9MmL4RKf70axF0IA8oSJnvrvOALdLhgt31cg+L3VvnQHtIQntiUxDga7pyjpTH5fnlVJYCKq1bLGKOqFhhxUV7ryrXnKH1Vy0we6uut/Skdukkpv35Hz7m6gIBQohEd0WFR2wpRuxelG+o4mKE9ifDV+bMO9ookIEdmYvueZABDcfjJfd0SQdlgh8HcRtKkSWLU2aJSntqF8kowbGLfxOJSeKDWDfIIMFhi7cTiVvduubZ771jQwZGL5QaQZ0VuyQUQPjEiG9KPYOeLN73rzye97IFASSAnjCSKuuT2EtZBtUtMBARl6NMk2RfTJiYEjDbTlyfdEJtUAvk4ECAxt8y9HMYVw2O4wDMlxMqFvlTEioiHk3Gc0cxeVyR9ElwwdGQGTyKSdJV+8kDklIs4XOTAoVE6SOpU4t/g3PL8UvjJYGA6XknrG2L+k8FSx8+QeaeX6htvRMfi7zS8jqpn9umwq95tVN0d7xAsMKJ5XBvP4AMIB7lnyFU7R3DbB3ybAFHjbco2SrnKK9Z0C9R0YNn+rgoGNY6RTtxIA+oaLnXu0U7a4BcpcMGe6xkUEnW/EU7UMD4kMS4hOLcLWtehqOadrwRCmB0GhyGE5a3DGhPU9FC8wZoYEnv8Hz/vQGz2fZl9kNnqrTSn3rgWrMyvalfjD5lY7KJpXKvCNnXOAkIhQohER0W1R0wLwQvsBpOAKfig+YBa5kYZMIEZj/LbmwSQSHyfYA1nP11f5tKryGFzWpqIFhibKoGXnGVU0qWmBwQq5qitmqpvEunktkyMAIhUovoNNih4waGIwIKcV0sUKsnTK6eVWTSkEgKYAnjLTq+hTWQmZBRQuMXgyrmlTEwHiGXdX0w05sWNakIgWGNcSyppgtaxo9xgEZLibQrXIqJFTEzMuaYu2Usc3LmlT4wBiIzDDlJOnqvcQhCala1mzPNFqN+aWr47DhBaUcYqO1YTiJ+WVkyi+JaIHRG5pf/jlbyZxml1kbjfpSfvF88n4rfbjY3zn58MQKaH4A8eyM4W+mpws/UKnqo8kvsiOM1f8ftLIffZudTvyX9Nt8Z7rOMptUywAVwirSVSJCgUJIRLdFRQcM+Munq0R8wPC+knSVCBEY15dMV4ngMFEcYD23E+jgbVPhNZyuUlEDoxw+XY1t21AXe4MMFhjqkNlqMMtWjTd1XSJDBsY7pmyVihoYi5bIVoO1U0Y3Z6tUCgJJATxhpFXXp7AWslUqWmDwYshWqYiB4QyXrTpOKIWn1mtcJiMFRjVEthrMslWjxzggw8XEuVVOhYSKmDlbDdZOGducrVLhA0MgNlsN1rt6L3FIQjprwnGLkGJMVFfWhGPIU0tvDopso53BMPGpqrZZ6DwVKbwpAZqmfi7zRpWLPs0T1Xvpp+lvdJA3vfDcNhV2zb03UXsnsNs7ju0YGnCoNObFB4AG3KvkDThRe1di3zVh3yVjF3jscJeSdeFE7T0Jfc8EfY8MHT7rwaFHSyGRFBJJITFRSKgUuPtxonZX4u6acHfJuOEeHBmEsqacqH0oYR+aYB+SYGdT5lpdgcjUklN2ZL4fLVxiV0soMi2YErHCH0toMPpCnbZpWryMZPwhIq05/sTtHd+Xb/KjkB+FqQ+UyqaGMBS3dyWFXUlhV1LYNVDYJVMQeAoo37InGexJBnuSwZ5ksGdgsEdmAJ/9ywaluJ1IJolkkkgmiYFJQmXCHZvidlfC70r4XQm/a4DfJcOH+3ZKiIrbhxL9oUR/KNEfGtAfktAr+PX2kGY33esIbHhxKQHPaH4YTlK0MreQEsEClzyh4cpwL+nz9IkqwWUXi/46/8bT2Rb6bFt99p1Hkw9U16mO4CaV4HxkYKzUEREKFEIAutnNoH+w5NyWH04buNXt3fnR6O7dTqs7uvnW7db+jXfebjm27akjFqPYc4K2OuX7j9oVhS0qS+CiKbziZzy5mggQuEa6kpIfESJwcXTJkh8RHGYpFGA91ws6+iW5bSpClqrfQpDUXCbq21L6OvLNlW9efsGfl90DYbpQlEwRGCTxJUIhAmNDKxUsMFIiS4TxrERovGrjEhkyMF4ulzNNTz+M17bNHHbIHIAhkZApTcsA8dqpITAXDKkUBJICePpIq65PYS0kRlS0wNgHLhgCfE4ifU4ifU4ifU4C8jn7ZHrAyImrLoau24kMrbBUoMD4iSguxrPiovE5PSDDxURU0rSZHsxZ6mcSKn7mUmO8dsr05lIjFT4wlCJTaDllunr/ckhCmiVxvaEbO2PbiiK7Z/lD37H6YTCyRoEbu74r4n5UhFpjMn2zZzz+lZJQG1Jq38YxhFLTpd0ljDCpt47HeU4e8wqjbGSAWfl8Avhq+jB9qhLx5+lXk39KH8nsPDtqvyh2fq84bd9tC9Va+2x2w5M6d/99+VeeW5P3Tl/3lGWSi4lk8cM83yxugvKLPzcPKv0i/df0f7XSr+X3stP0JK7ZnaYF3ocKQHYvlfr581Z2B8BDw4oB5yAJ+CDB83Ydiy1OFvO6pITF8nk5JxGWY/0NTuwCJ5HaDvXnJDGvW0pIgFcDRNyJY/1yACeV2o71d+zA7fjaCXeRlSAi3KwiqS1SW7+4hMg3XynFyhrh+cBZGWJI91nJYZ8/CLnS4dyvHs6EjXGmgPt92xVDJ7Q8fxRbvuj5VjQIhBXbsRu6Ti/wnPG1ehWwNgpuFPMBYQYYtdoVMCMPhEuCKmClXe8X52rlknLyi+wUk3dn2nKhDAWVyVN5e0Imo/+pQvxKPTvT2C2rlavsQutWaeD8n4+dyNG6nE3OERPwEVtWDjOyQAQFhBwuPyiakw+PKtbRuMBJoz5NzEgCG5MhI+FEHUd/jAsnk9oksXA6kdDRu8hKDxF9VimIi8uRfPNNV6ysEb6PLIiNA7rPSg376EGoVcjhysFM2BifvStW3ZIjYn0XawYYtdrlMCMPhEOCyuF6L1jlNI6AG2dZ5cnIAuF9EcrTdMEqJxMWzWl3DPercjKpT3YyksDGPsBgeKLj6y+s3OZkUpvsNF+wykoP4eVXKTvdQqm4ZtnJyRrh+Miy03zBKis17KMHoVYhOysHM2FjnO8xkz/xXCEs0e8F8hWj0Or3B5HlhvHI6TtuFPeKp7g22akd+A3fw5oBRq122cnIA+GQoLLzU7XieaKcD+v85yQp4CTh8nHG8/Xbd/q3W1vv3Lk9uH2jJeI4+/zt3njUSt55a3SnZbXyDot2dmLZ5F8mP+uo884m700+zMT2/dZft+y2L9SPv263wsiWnzzopM/Wsu/+dcsTjknmbXHaDeG3VyFYGZkwCVZPR+QCJ5H69CojCWzQBIxFaHdi27BMysikNr3qul4n0HZGXGTlh4gPqxSsXqFxjDdq7bCyRjg+umC1heEU4H1WbtiHD8KtQrFWjmbCxnh6pGwxojVuNzV0BvilRMG3Za10u2lg2G5KBTvvNGrdbpqdHytf/Ugqq7xG/zg7IjZf48zOkp0eLvtiaTT79nfZF2q180P1yuzfelzU+0uvgf52+vtPsy/VCbUKxTfZ1SqPs7Nwn+cdAmp19YHO1ptUW/swW69g5ysVoUAhJKLboqKbd/VsO1apAIH7buCy1bxjlQoRuONmSUFKBIfZXwOwXuR3olAHcJsKsLkNq6K94wfyLZRvUb55zPfLNqySKQLDLH7DquN7xoulyWiBwRa3Y9X3pztWcxvrIF8iQwaG3FVodMlkbdvMYYfMwUdyQO8mk8BPDYFxxyqZgkBSAE8fadX1Kaw5tHtktMDYB05xAE4nkU4nkU4nkU4nATmdfTI9YOTE7Vh1otA2XUpNRgoMoPAtqzNnc9n8oB6Q4WJCKmneTBPHUkeTUPHzblmdOZnL5U6mS4YPDKbILatyynT1DuaQhDSDKsTI7Y+EFQ/6juX3hWtF/tCV6brnyxTdGURxMfWNCXnJ8gQlKTdtWRU4hlBqutS9hBEmfdfxOM/JA7EUCM3s//1Ehny/lf5vmaZ/k99Fqq6Kubfled9XAcLxWuqFWdHkH9XPdNw3ObkLOPdl81hGFohlTUS+a6znMDJhque4QsfkAieT+go6jCSwa8qAwXDVdVeGgg4jk9oKOn5kOCP9Iis9hBNfRa44zRhFUQEwXiW4w8oa4fjAyQ54QPdZqWEfPQi1inJO5WAmbIxzVRn3+rFte5bo+55qUQqtqN9TvxAEbmQLfxiOrtWrKg3FngBtBhC12lUlIw+EQ4KqylkD0rQgM9ukmddy/pyVbX4m3/4x056q6nP/xSkk36ny0hfpJ+mnVnov/TL9OP0s/Z18/6f0S511NjmtI+DWWVZ3MrJAuN9V6E5GJiy601ArvsBJpD7ZyUgCG/sAYyHsuONqh2Obk0ltstMJOp5WVV9kpYfw8quUnUGhVIx3gu2wskb4PbLsNA7oPis17KMHoVYhOysHM2FjnMnOYX/gDh0nsPrxILT8nju2Yl/q1LETef3YCwZu1LtWr+zU5hsbfvntMRozwKjVLjsZeSAcElx2TruDHku9+Sg7vOOxEpQnWoVaUkneV21M6ti7bG0zuRA4tmfb6vOTB4OcOHxP/Siw7cmH2TvTwR+MxhJwYy2rQhlZILwxQoWaun0YiTCJUFvb1nKBk0l9KpSRBDYUAgYjtjuGA362OZnUp0Ld0OsIw/InJ0GE21+lDg0L6RKadSgna4Tno+tQ85Dus5LDPn4QchVKtHI4EzbGZ/PgD9e0AzPCmgFGrXYlysgD4ZKgSrTmgz8YjSPgxllWeTKyQPhfhPI0rn8yMmGRnuaDPxiZ1Cc9GUlgYx9gMBy3E3oG6cnIpDbpWXLwByc9hJdfpfCMCqUSmYUnJ2uE4yMLz5KDPzipYR89CLUK2Vk5mAkbY6U7y+Tk6rZNajOIDT8uISacBWLNbpskgp33Ef+1bRKwbZJoax9m61VsmyQiFCiERHRbVHTznp1v2yQRIHDzB1yllmybJEKcl6A82yaJ4DB7PADWi+JOqI3S21SAjW2bFHZ7RzjyzZVvxZ17fuk9n2SKwDC74m2TVLTAYIvcNjm76NM3X/RJhgwMuauQ5JLJ2raZww6ZAzCULbFtcnbRp19+0SeZgkBSAE8fadX1Kaw5tHtktMDYB85oAE4nkU4nkU4nkU4nATmdfTI9YORc4bZJKlJgAEVsm5zd9Gl+UA/IcDEhlTRvpoliqaNJqPiZt03ObvosdzJdMnxgMMVum4zXu3oHc0hCeibrO55h26SwcQyh1Oqu73DyQKz8QTP7eus7nMYRcOMsmehyskAscyISYlN9h5NJvfUdTia11Xc4ScwrhhIS0ETc8Tp+oK/vcDI5A/UdVnoIL7+KZLJIKUVxI6MwX7DJyhrh+MDZEHhA91mpYR89CLXy+k71YCZsjM/mvkrPsK9SOFgzwKjVLjsZeSAcElR21ryvktM6Am6dZXUnIwuE+12F7mRkwqI7TfsqOYnUJzsZSWBjH2AshBd19KdLbXMyqU12mvdVstJDePlVys7i5kNhvsaSlTXC75Flp3lfJSs17KMHoVYhOysHM2FjnO+rHA1EFPYiKxj7I8vvjftWfyjfxb0gtJ1o0Avdulc7PZ0ZNoSLNQOMWu2yk5EHwiHBZefivsr7eevStHHofku+SvUxqbuGlOR8/v3ZPe3FJsr86+RC7Hi2be/mX8pP19RbpK7n0dlqk9NWAm6rZUUoIwuEM0aIUEM3ECcRJg1q2FbJyaQ+EcpIAhsJAYMRBx3bcLgHJ5PaRKgv/E4U6PhdZOWHcPqrVKHFRYjCfKslK2uE4yOrUPOI7rNywz58EG4VMrRyNBM2xmfzrGLPsKmy2GSLMAOMWu0ylJEHwiNBZehKzyrm5C7g3JeVlYwsEN4VISuNa5uMTFh0pfGsYk4m9elKRhLY0AYYDNft+J52OLY5mdSnK41nFbPSQzjxVcrK4rZCYb57kpU1wvHRZaXxrGJWathHD0KtQlVWDmbCxnh69eT0MVVqsaa7Jw3C0S9h6kfhPNNaNlE6tmEXJRXtvNdYxS7KfE2x6LUstkw+Tp9l8k/94Ov0eSvrt1RbHJ9kN53/avJLqRC/zvZDTtcqVcvm5AP1wtar6Wfpo1bRh/k869P8Ji+Yy5f8s9oHaaulo45ruyL9WjtzN6kW8mEWWsHeRypCgUJIRLdFRQfc/4GQpWoKfN1p6degX6fiBG7kgItO8xZIKkTgDo4l1SQRHGa/BsB6rht39DsFtqkIm9sDKfItSKL0ukgyLWBkxO97tE2bHslQgcERt+lRzO6KFOa7IsmQgRFyFZpaMlnbNnPYIXPwkRzQ+5HE7K5IUX5XJJmCQFIATx9p1fUprDm0e2S0wKAHTkkAXiYBeZl9MiVgfMRtdPTC0OBjLpOBAqMkfJ/jzL9cNj+bB2S4mLhJmirT5K7UtyRU/Lz7HGd+5XK5X+mS4QODJ3Kfo5wyXb1POSQhVVCHI8cNhuOx5blD23Kc0cjqObZrDZ0gcHoDu9+Pi1hlzJlLlhAoebNpn6PAMYRS02XXJYwwGbaOx3lOHojVOmju/cXJpLmVPpRpskyls+9lKfijyQcy41bJdPGj5+lXk3+SafeTfGukav/5NP3N91qObbdUi0/ryqXs89d6d37UunCn9/cyy/aD1mu3b9z40ehWC/wPTn/yUJ3WnjUknVgDeKhe8FgdW6S+/VQ3EJucAyHgA7FsAs3IArEMurpEm5EPSxXI0furC5xE6isCMZLArkQDxsIVqgpkyO8ZqdRWBfKEbVi/uMjKDxFYVpGyThPX4pZDYb6ykpU1wv+Bcy74iO6zcsM+fRBuFXWgytFM2BjP6kCF0quxDiR0TDdEUMo0nmdaTx3IcDX7eSpa4CoXVItqT9P8Vh2xkR248e3ko8mH09KQkp5KP6IOzFT//y77B57k+yynL5ciU4rO7yY/m5Wb/tLKXpH/2aKzPfv86eSXHfULz6XKbZl72okW9WEWxdWN0n+VlB5lp35KozzOziN59sIozyfvt/IamXwv5b3S1g8mHxWG/lZZITvHNNsh8FX28qwu92F+yqj8syd3oj5XJ5I+VX/3gRqYbPvqB5NfdXRmeo1qJoEyE8BEOnRbVHTAdTyEpja16hMBAlflMCLZWLUiQgSuxy0pf4ngMKtvAOu5XtDxtB3I21SEzVWtwvaOiORbXKwrB6XVKyo9YDzHV69821y/ooIFBnVk/SqY1a+MtzVeIkMGRvZVJAOSydq2mcMOmQMwli5RvwrWTg2BuX5FpSCQFMDTR1p1fQprDu0eGS0w7oFzKYC/SaS/SaS/SUD+Zp9MDRgxcXUs4Zp8zWUyUGDcRNSxglkdy/iMHpDhYiIpacpMk9NSH5NQ8TPXsYK1U6Y317Go8IFhFFvHCta7et9ySEKqoPb7g1Fv7MWW8P2B5YfR2OoFtrB8px8NnX5v6IliLIw5f8kSCCXvN9Wxyq+lW2AIpaZbHShhhFkh0PE4z8kDsdwIXTtYPK9Tf1Bnfk7SH9KPs/ORPkn/KN8+m+5k/3P6Wfpp+rl8/6V6zX/IL+61Lu0Lp5V+rDPSJqeRBNxIy+a5jCzmNUEJC0Q+bNxjxMiEpbqk9hgJHZULnFTqqy8xksCucANGI5DDEWqXWrY5mdRWXoolP8MJSpz0EO5+FQnlNK0srpAV5huBWVkjPB84IwIP6D4rNeyjB6FWOpj71YOZsDHO9KfvjEM77MdW6IxC+QrbsaJg7Fphb+zGw0CMxXh0rV79qXVUGyLCmgFGrXb9ycgD4ZCg+vMPRbHofkvd/SZF6LP86M78GKX5+pL8ZraTPVpzbDsrIskvXNtUTGI0hYCbYlmVycgC4WsRKrOik4mRD4vWNPQxMdKoT2cyksAGO8BIlBV8GJnUpjMduyMMOpOTHsKtr1JnFnfGCvMFwKysEb6PrDONA7rPSg376EGoVejMysFM2Bjn/fpjfxiFTs+KHDGy5B8NrGgwcKyR58Vjb+wN4tp1pqczw4aIsWaAUatdZzLyQDgkqM787EU71ItOp6cvFjBXezw8o20E3DbLCk9GFgjnixCexuVNRiY8krOjVTkXOInUJzoZSWAjH2AsvDDqOKFBdTJSqU11xh39waMXWdkhfPwqRWdc6BTzZbesrBF+jyw6TeO5z8oM++RBmFVozsqxTNgYZ43zJySXUVS+PRrcvX77lsYKaE2pX7cM7DKKsT1P0dQxbwaKkYrTpnkt1vNUrPNzq8SoQDl4b/J+tvD4kQ7nZmCf26ZiXXBsZrDL+bWsbTRw2jtB0N4J5cdQfYzbO5Er34R8i9o7sfw8lp/Hkd7ZkVn6eJbwPh5FbVdS25XUdiW13VB9jNu7ktqupLYrqe1KaruS2q6B2i6ZmsBTg/f4SGZ7ktmeZLYnme2F6mPc3pPM9iSzPclsTzLbk8z2DMz2yMzgzxHdRWfdhZJhIhkmkmESqo9xO5EME8kwkQwTyTCRDBMDw4TKcKGvrIIhbkp2Ja2upNWVtLqh+hi3u5JWV9LqSlpdSasraXUNtLpkWvCogmw5k6wOJatDyepQsjoM1ce4fShZHUpWh5LVoWR1KFkdGlgdklidCEG1bTozbOPaCMrukPElfWAIXeGmMyPY81Sw82FpyT1nn6dfZVec/OOsb8ywdyz7IENttutMbSJ7lD7MzhLMTqeWX+X3QGdrMoZNaY+zLVizE67V9ya/yC6NflCs3zzR3MPy/OR1gNmXOntuUu05HwBXsuNMh/A1KkKBQghAl36ZPk6/O6eOrvjS8jtOC3T/TVu97H6xb/BhtllOjcZ3LWHbccu17cmH2bugE+cHYbwxutO72Wvd7N3p/eQn19unB/9+a3N0Z/T29butza2W57Vbtq824T3KJtZX2aRSE+65lX9Trd+189Lyo3xCpk9arnH/4RbV1vN5HdvWNSpAYCM+ZonKtHWNChHYgr/c4hMV3Lx0WnLrmqME9CK8bSq8xvatBTLBCDz55su34ky0wCnbu0amCJQF+L1rri2Cjq0Nt2+Q0QLFAW7zWuBMN68FxivxLpEhAyXCcmlrsRAXOGvbZg47ZA7AsExISovNJRL4qSEwbl4jUxBICuDpI626PoW1kFNS0QIjH3g1E+B0Eul0Eul0Eul0EpDT2SfTA8ZN3AY2NwjdTqQdiMtkpMDwCd/BNnM2l80P6gEZLiagkuZNsUpc7mgSKn7eHWwzJ3O53Ml0yfCBwRS5nCCnTFfvYA5JSDNp7Q/DcDDyrL4TRZYfCNfqeaO+url16PSD3jASg5yMcQHhZm91nR0qQTcsI7g4hlBquqWGEkaY5QYdj/OcPBBVP+hKxOIOtqKrQ7+RLc9P1eLBQ7XsYMkP+U0H+aseyx98m79KZ5xNTuMIuHHgSbuOxRYnC0SJE5EOm1o7OJmwtHbYHSXwFplc4GRSW28HJwlshRkwGE6o9+XbnDxqa+wI4o7+WOSLrPQQPn4VqeQ0oSwu6QzMV66yska4PXAuBB7QfVZq2AcPQq28taN6MBM2xpnoHLix57pO3xrG3sDyfde3Ite2rZHTj+N+6AThqJjmtYlO7XrwRuBhzQCjVrvoZOSBcEhQ0Qm8cbW6OKEzxianMQTcGMuKTEYWCG+7CpHJyIRJZBquYOVkUp/IZCSBjXWAwXAj/WG325w8ahOZvt2JDSKTkx7Cp69SZBZ3dgbmC1hZWSPcHllkGgd0n5Ua9sGDUKsQmZWDmbAxzkRmaI/dofD7Vq8vhOV7fV9KU8+2emIcjSMxCu248Km1iUxPZ4aNwMeaAUatdpHJyAPhkKAiU9dd81h1NX2dffvbTGye7paZbmj7TdZY9dH0BG7VapP/QN+Kk/1s2oqjM90mp+kE3HTLSlJGFgjfjJCkpjYgRiIsilTdGKxjcoGTSX2KlJEENjBCBsN1OrF2X/o2J5PaNGkc2J1Q6PhdZOWHiAGrFKV+oWPMd5myskY4PrIoNY/oPis37MMH4VahSitHM2FjnJ8YOwqDfji2rWHkOpbvOp7Vs/vCGvrDuG9HkRONCxVamyr1dWbYCATWDDBqtatSRh4IjwRVpV8Urd3ZMV35+QjFrTBMpylw2kfA7bOs9GRkgfDACOlpXA1lZMKkPbUi+gInkfqkJyMJbPQDjEUQaZ35NieN2nSnE3Q8ray+yEoP4eRXKTuLe+sC8y2ErKwRTo8sO40Dus9KDfvcQahVqM7KwUzYGCvZWaYmV7f901BCD0qICSeYJ9bs9k8i2Hkf8V/bPzMim1R7+jB7rmL7JxGhQCEEoDu1/VPAt39m68petsWznW/xbE9XrXfyVevWq/mCtRylR+rPZ/cnyrn1qBXZtv298i2gnZbtVnVZGLaAdlrpb+VMfTe7jPF5fg7xiS5hxS3j9DS7Ov1Jfrv681beLJzd5S7/eoZL2yy8RR064J4ahJY3LSMTAQJ3xWAkunE3KREicDvMkuKbCA6z+QVgPVfqlEi7vL5NRdjchtKwvRNE8i1u74R2sber9DJEMkWg0FjxhlIqWqDcQG4ond2GGJhvQyRDBoqOVSQlksnatpnDDpkDMNAvsaF0dhtiUH4bIpmCQFIATx9p1fUprDm0e2S0wOAHzukATieRTieRTieRTicBOZ19Mj1g6FzhhlIqUmAERWwonV2JaH5QD8hwMTGVNG+mqXKpo0mo+Jk3lM6uRCx3Ml0yfGAwxW4oDda7egdzSEKapcJDPxoPnaEloii2/H7sWv1R5FjBoC/GXtCz3X7h9I1LEiULMpRlCdOG0rKbeTQModRqL3Ax8kCsfULXNr54kbzqlxZUbjiXwMo8teW9OMqoHZtOGNrkNIaAGwOe9utYbHGymBcAJSxWkAEzEmEqZtnaJs0LnEzqq2YxksCuqgMGw3W9jmc4G5yTSm0VrSAKOoH2ybnIyg/h1leRPU5zyOK2vMB89SEra4TnA6c/8BHdZ+WGffog3EpHc796NBM2xmezk8pYAYuwZoBRq11oMvJAeCSs0Kyvk4rRPgJun2W1JyMLhAdGaE9jJxUjEybxaeikYiRSn/ZkJIGNfpCx8GzHcNPHNieV2rRnSTcVJz2Eo1+l9Cwu0AvMtyGyskY4PrL0LOmm4qSGffYg1CqUZ+VgJmyMz+bxJa5pZ2mMNQOMWu3Kk5EHwiFBlSfz8SWMxhBwYywrMxlZILztKmQmIxMWmWk+voSRSX06k5EENtYBBkP4HdfRhu1tTia1ycySA0w46SG8+iplZnFnXmC+/5CVNcLxkWVmyQEmnNSwjx6EWoXMrBzMhI3x2Tya2TVsFQ3LrqjSmgFGrW6ZyckD4ZCgMrPeo5k5jSPgxllSdnKyQHjfFchOTiZMstNwNDMnk9pkJycJbOwDDIbndoSn7Yva5mRSm+w0H87MSg/h5VcoO0M7Vyr5Rx3rHVbWCMdHlp3mw5lZqWEfPQi1ctlZPZgJG+Ps3u32zOGo2VzT1aGejuhG6JQQ9WN/nmgte0djPdjzVLDzPmPJvaP/d/K+1H+qjVJ+LJYgT2wTld/7UGq9Z9nmUflBbdr7dfGlFI7ZK+9nW0ZnO0SfKU2YffGAvs80F6bqO08nv+zIV03eb8mZKvJLKbONf65jvDlyk2pcH2bcFWwkpSIUKIREdFtUdMDtIgg9a+gUpQIEbviAy1TzXkkqROBOjyX1JxHcfIBbdq+kCDq+QVcSETa2VzJ02zuhJ998+VbcgxeWXr5JpggMrPi9kpEbdPTT+Q0yWGB0xW2VDGd3b4bmuzfJkIExdhWaXDJZ2zZz2CFzAIYy+lbJcHb3Zlh+9yaZgkBSAE8fadX1Kaw5tHtktMDYB05pAD4nkT4nkT4nkT4nAfmcfTI9YOTEbZV07NDrRFqHc5mMFBhA4VslZ87msvlBPSDDxYRU0ryZZoqljiah4ufdKjlzMpfLnUyXDB8YS5FbJeWU6eodzCEJqYLa9/o9J3Jsy3OCkeU7TmTFtszKByM3HopB5Nlh4YOMGXjJegQlCzdslQxdHEMoNV2uXsIIk6/reJzn5IFY+oOm8l+onnTVn67S6yIPn/w8z8RVe1DWRZR+kf5Ru0Vqk5OtgLNdNnNlZIFYuERkuOqorq87Lf1KxuucfFjqNjIhFjomFziZ1Fe3YSSBXTwGDIYbxB3XVLhhpFJb4caR+ap2hegiKz2E915FkjhNFYuLGEPzrZqsrBH+D5zlgAd0n5Ua9tmDUKso3FQOZsLGOJOTURC5g3AYWn0vtC0/GI2teOD3LS/27Hgc93reqHCrtclJ7cBvhB7WDDBqtctJRh4IhwSVk4v9Qulv0t+nX6afp59Z6afqQ7bL8dP0y0xZ6jhvcnIWcM7LikpGFginihCVxjYgRiYsctLYfc7JpD45yUgCG9IAgxH4HUd/4Mk2J5P61KTtdPQHXF1k5Yfw3quUk8WVi6H5/kxW1gjPR5eTxhHdZ+WGffgg3Cr0ZOVoJmyMMz3p9MeelJk9qyclqOU4o8iK7JFv2bawRRBFTiwKtVWbntS6qo3Qx5oBRq12PcnIA+GRoHryXvqoOMet6C9Sx2s8z7+Vfiu/fpC1nLu2LbWLWql8JjOjbAVTXZCpfk9MPhTmlh9Gawi4NZZVmowsEP4WoTRNDTqMRFiEpqMvZlzgJFKfzmQkgQ11gLFwI7djC8OyJSOVWoWmaxCanPwQbn2VQrO4RTE034nJyhrh+JYSmvoR3Wflhn36INwqhGblaCZsjPM6uC1ix45GVhAMRpbfE4EVh4GwBrHrj/yB3Y/6RYSoTWj6OjNsFHekIswAo1a70GTkgfBIUKGpa2lPv1bX5Uzeyw9tm/y68ky36dU5xjPd2i3PNi2zbXJaTMAttqwYZWSB8MkIMWpc9mRkwqNGdTQucNKoT4syksBGQ8BICMeN9IWpbU4mtUnRsBNr2V1kZYdw+6sUosXFiqH5lkxW1ginRxaipvHcZ2WGffAgzCpkaOVYJmyMpxsfpw+pkpc17Xw0KM2glOnCFs9adj46tuHaTCraeaex5NbHP0ilp5ojnxRXC05P/n2U3TWYfqUWJycfqSsQP01/U+jFF68+tVEy/+GDVnb3oVrVNByKQSTuw4ivYlsiEaFAIQSgO3W/pZPdb3nC8Flz6/tTMQ87pqTdOti41Ipt22uryzL/6LRbTnbGc6eVn6WXXT15P0sIft1pda//6Efv3Ll+o9eSUH4vf+GezmBbVIPNhwK+nZJEgMD9HghJa94pSYQI3OixpFwlgsNs6wBYz7fjTnHp84IMJSJsbqdk2N4Jo2K3UultkmRqwACM3yHpy2zAtEOSChYYhZE7JGeXSYbmyyTJkIGheBXaXTJZ2zZz2CFzAEbVJXZIzi6TDMsvkyRTEEgK4Okjrbo+hTWHdo+MFhjzwKkPwNck0tckIF+zT6YFjJS4nZFC7Yw3bIykAgXGS8TGyNkdkubn84AMFxNBSdNlmkmW+peEip95Y+TsDsly39IlwweGUOzGyGC9q/crhySkmQ70opHX8wfWyB/alu8EntVzhz2rNxiHkd8LgrhXb0HIN22MDHEModR0qXwJI0w6r+NxnpMHYmUQmuifyhwhqeKL5K+oE00zx/yr/YO911tbhwd7rVBnnk1O8wi4eeDJto7FFieLeSVQwgKRARurP4xMWKo/tr5z8QInkfrqP4wksMvQgLFwXLcTxUJHZZuTSm0FoFj4HV873y6y8kM4+lWkkdNksriHMDTfKsnKGuH5wHkQfET3Wblhnz4It9LR3K8ezYSNcX7o+jiyg7F82di1x5Y/CGIrGsaxNRiN5L/gjXu2X7f01C4Db4QR1gwwarVLT0YeCI8ElZ6Lmyj1p63nV0j+If04azP6JP2jfPusEJ+X9i3htNKPdfbY5LSHgNtjWa3JyALhcVehNRmZMGlN0znrjEzqE5uMJLDhDjAYgdPx/UjHZJuTSX1a0+64WnoXWekhHPsqpWZx8WBovkWSlTXC8dGlpmlA91mpYR89CLUKpVk5mAkbYyU1yxTk6rqLhI7YRhiXEBNOOE+s4e4iIlpgSROq/BroLiIS92HEV9FdREQoUAgB6E51F3kL3UXP06/VjtT8gs188+li/5Dddk52D2XbB4ruIfmCP8nPH0qt/7X6e/+W3rMcT5uYbVFtAiymIiStqYGICHBerXI2EBEhAguiS0pQIjhM+RNgPc+zO3GoQ7hNRdhYA1Fkt3cipyjqx6UNRFRqwBi72gYiKlhgoEU2EMWzBiLjlYaXyJCB0XYVclwyWds2c9ghcwAGziUaiOK1U0NgbiCiUhBICuDpI626PoU1h3aPjBYY88DZDMDXJNLXJCBfs0+mBYyUq2sgogIFxktEA1E8ayAyPp8HZLiYCEqaLtPcsNS/JFT8zA1E8dop05sbiKjwgSEU20AUr3f1fuWQhDTLL1y777rjnmU7Xs/yhyK2Yi8MLNuLI78nnGAQFb7emIOXrEBQ8nBDA1FUfpXbAkMotbqrOJw8EIt90Fwe30CUpex5mph/Lt+9kn6Rfpz+If1EZp9/Sj9WOeKfZQL6ifqR2mTy55brObZl+7ElHM+OHduxXNvx261W4gVa6b7JaUgBNyQ889ax2OJkgVgFReTKpvIPJxOm8o++1YiTSG3VH04S8+KihAQ0RY/jjhvrTz3iZFJb9cc2JL4XWdkh4sEqss0i54yKe1kj8yW7rKwRbg+cLi0sKQVRJ9SO6D4rN+yjB+FWXv2pHs2EjfHZ7DMShj6jqOx2I60ZYNRqV6iMPBAeCapQ2fuMOO0h4PZYVmgyskB43FUITUYmTELT0GfEyaQ+pclIAhvuAIPhx53A1+7C2uZkUpvSNPcZsdJDOPZVSk2nECfmW2RZWSMcH1lqmvuMWKlhHz0ItQqlWTmYCRtjdaxRO5dZNZ1mpHVBG5FbQtCPzSvOMJwYbXiq30ireM9T0QIroFAFuHy/kTrtMhOQT/M7I6F9R1QD+DADrKDviIpQoBAC0M36jr5Qpxq1pPw+I8cYUS0ErMgiBK+hC4kKEFhbhetYcxcSFSKwqrqkQCWCw9RQAdZzQ7sT6ruQqAib60Ly2juRn3cGRG5ZFxKZGjDyErqQAt/UhUQGCwy/uC6kyJ12IUXGixIvkSEDY/AqxLpksrZt5rBD5gAMo/QuJAn81BAYu5DIFASSAnj6SKuuT2HNod0jowXGPHCuA/A1ifQ1CcjX7JNpASMlrgspsKV21nchkYEC4yW8C2nmYy6bn88DMlxMBCVNl2nmWOpfEip+3i6kmW+5XO5bumT4wBCK7EKSU6ar9yuHJKSZlgZl6YqMMTMvWZ+gZOemLiQPxxBKTZfDlzDC5PE6Huc5eSCWAqEZPn+Nh9EeAm4PeDqtY7HFyQKx1IlIeY01HkYmNdd4GJnUV+NhJIFdaAYMhm93AsdQ42FkchZqPJz0EI59FWnjNHksbneNzHf1srJGOD5w3gMe0H1WathHD0KtosZTOZgJG+OzeWBmYOom8rFmgFGrXWky8kA4JKjSxPe7L3dgJqd5BNw8ywpPRhYI/7sK4cnIhEl4ejoiFziJ1Kc7GUlggx9gLCJVMDd0sTMyqU93ms/LZOWH8POrFJ7Fba+R+e5eVtYIx0cXnubzMlm5YR8+CLcK5Vk5mgkb4/pOMdKKjI1IlBATTjRPrOGuIiLaeS/x8nYVEQ3gwwywiq4iIkKBQghAd6qrSNDOMiptIoKfZkS1CbCmitC2pj4iIsB52crZR0SECKyLLilGieAwVVCA9Tw/6jj6gzKpCJvrIwraO1FY1PZFaR8RlRow1q62j4gKFhhwkX1EYtZHZLww9hIZMjDqrkKXSyZr22YOO2QOwMC5RB+RWDs1BOY+IioFgaQAnj7SqutTWHNo98hogTEPnNYAfE0ifU0C8jX7ZFrASLm6PiIqUGC8RPQRiVkfkfH5PCDDxURQ0nSZ5oil/iWh4mfuIxJrp0xv7iOiwgeGUGwfkVjv6v3KIQmpgmq7Qy8aO47V79uO5Q+i0OqJyLf6juNIyR8FnjfOyRhz8ZKVCEo+buojCnAModRqr+4w8kCs+kFzenx1Z7WnGeWpp741YZPTlgJuS3jyrWOxxckCsSKKSJeNpSBGJvWWghiJ1FcKYiSBXY0GjIVj+x1f+Doq25xUaqsFmU804mSHiAmryDineWdQ1A7MV3Gzskb4PXDKhDnRiJMb9tmDcCsdzf3q0UzYGJ/NbvfQ1IMUYs0Ao1a7SmXkgfBIUJXK3+3OaA8Bt8eySpORBcLjrkJpMjJhUpqmbndGJvVJTUYS2HAHGAwhXbirLfxvczKpTWmWdLtz0kM49lVKzeJa18h8SS8ra4TjI0vNkm53TmrYRw9CrUJpVg5mwsZYnWiU0S6ko7hW29FG2rHdiMrviIvnmdbThOToL347T0ULLIdCpeAX2Rrl10Uf0YNZW1EhBT9Uy5f5FVynGpHm7k+Tv9Ca/GLyvpSRqgdGfpy8Kz97lP/YTZ+lz3RG2KQawYcZYRWNSESEAoUQgC79v9LKqmHsqbT7g1OX2LVb6VfyR9+oUcske978lf5Fx2iLymjecfO1EREBAoujcBFa0kZEhAgsiy6pLongMEVQgPUCN+4I7XrxNhVhc21EcXsntuVbcVlRFJW2ElHpASMmvpVI2MaL0chggWET2UoUzVqJjJfBXiJDBsbOVahtyWRt28xhh8wBGPqWaCWK1k4NgbmViEpBICmAp4+06voU1hzaPTJaYNwDJysAf5NIf5NIf5OA/M0+mRowYiLbiQLbdDkaGSgwbiLaiaJZO5HxGT0gw8VEUtKUmaZ/pT4moeJnbieK1k6Z3txORIUPDKPYdqJovav3LYckpJmmBqXaiowxqy5ZZKBk1qZ2ohjHEEpNl3+XMMLk4Doe5zl5INbzoNk5f6GG0R4Cbg94GqxjscXJArFeiUh9jYUaRiY1F2oYmdRXqGEkgV0tBgxGbNpru81J5CzUaTjpIfz6KjLHaf4YF0v75su1WVkj/B449QEP6D4rNeyTB6FWUaepHMyEjXEuNHu9qO/1YysMPN/y7XFs9cRAvrNdZzDyxDicZuW1CU19R1BcdtWb3gwganULTU4eCIcEFZp/ViWgrGjwpJU+y2Tlryfv5sJyqiP/2kufZZ+6YvKhK1rGqg4ndwHnvqSo5GSBcK5wUakKcDomr3MyYRKVWhVzgZNIbZqSkwQ2sgHGwomiTiRiHZVtTiq1qcrQ7+gPXLjISg/hxFeoKuPistXYfHUuK2uE4yOrSuOA7rNSwz57EGrlqrJ6MBM2xpmq7DuROoJoYAkhf8HveX0r7o8GVuR7o/Eo9uyxN7hWr6rUBo6NuOxaN60ZYNRqV5WMPBAOCaoqs5aVyfsnWlakzHycfqcOO8rv5Sq0ZfqVfMXTF/shpR5Vx+P8TL79o3x7N3/5bM9k1m+UfpF+kn5qZSueH6efpb+T7/+UftluebZpeW2T034Cbr9llSkjC4SDhitT43InJxMWZeroew8vcBKpT5kyksBGR8hYOJ7XcQxbIDm51CZNHRnTAh29i6z0EJFgldK0uJ01Nl+1y8oa4fnI0tQ4oPus1LAPH4RahTStHMyEjXF9h2Fqs+KN2C0hJpwFYs32oVPRzjuJl7oPnWoEH2aEFfShUxEKFEIAutI+dKXYM+X+i6InobQTncoJ2JGH0KeGTnQqQGBfHUZ2mjrRqRCBHXVLCkoiOEz/HMB6JZ3oVISNdaLHXnsnLi6rjEsvxiVTA8bLlXahk8ECgyauCz2eXYwbmy/GJUMGRs5VSGvJZG3bzGGHzAEY+Ohd6PHsYty4/GJcMgWBpACePtKq61NYc2j3yGiBMQ+cmQB8TSJ9TQLyNftkWsBIubIOdDJQYLyEd6DPfMxl8/N5QIaLiaCk6TLN80r9S0LFz9uBPvMtl8t9S5cMHxhCkR3ocsp09X7lkIRUQR0PRRyPBqE17vWHlq/S6b7reFYUx/ZwFARiOBY5GWM+XbKaQMmpDR3osYdjCKVWewmHkQdi4Q6al2tKON9lnUKPZTL9SLUIZRUZmQJ+UBxveSIFzIs1/192kuU9+faH9NPvq2jyotyTX2G274VXdMba5DSWgBsLnh3rWGxxskCsWiLyYWO9hpFJvfUaRiL11WsYSWCXjCFjUVqvYeRSW73G9Tqedk34Iis9hNtfRVI5TS2Lm1Zj87W5rKwRng+cFYEHdJ+VGvbhg1CrqNdUDmbCxvhs7oSMTQ3qPtYMMGq161BGHgiHBNWh7DshOe0h4PZYVmoyskA43FVITUYmLFLTuBOSk0l9WpORBDbcAQbDvBOSk0htQtO8E5KVHsKvr1JoFherxuZrcllZI/weWWiad0KyUsM+eRBqFUKzcjATNsbqxMp2HsdqOqjS0VYhNmJRxtC25xnW1SGkbU07T0U77y2a6RA6dUfu/WX7hIim8GGmWEWfEBGhQCEEoNP0CZ0eCtyplVRewLopQrCaeoWIAIEVULgOLekVIkIE1j6XFJhEcJhKJ8B6wg06jrYCtU1F2FyvUNDeiYsLKePSy2/J1IChk9Ar5AfGXiEqWGD4RPYKzS6/jc2X35IhA2PoKtS2ZLK2beawQ+YADH5L9ArNLr+Nyy+/JVMQSArg6SOtuj6FNYd2j4wWGPPAyQrA1yTS1yQgX7NPpgWMlLheodCOO5GhV4gKFBgvEb1Cs8tvzc/nARkuJoKSpss09Sv1LwkVP3Ov0Ozy23Lf0iXDB4ZQbK+QWO/q/cohCamC2u8PRr2xF1vC9weWH0ZjqxfYwvKdfjR0+r2hJ4qxMKbWJQsMpPTa1CwU4ChCuemS8BJKmERcx+M8Jw/EYh40RV9FkSb9c/qZzN4/l++/VK/5D/nFvdal/ZLKDaORBNxI8NRYx2KLkwViBRORCBsrN4xMaq7cMDKpr3LDSAK7fgwYjDDqxErqLTLZ5mRyFko3nPQQ3n4VyeQ0pSxuQo3N99qyskY4PnA2BB7QfVZq2EcPQq2idFM5mAkb40x/eq7w+35/ZPUGwrP8nhtbvaHrWXHo9keh6A9cv3+tZv1paBIKsXaAcatdfzLyQHgkqP5s8ryh1qvnt3e0T8UmpxUF3IrLClRGFgg/vQqBysiERaAau9gZidSnTxlJYIMkYCxiP+jEsXY8tjmp1CZQSw4d4qSHCAerFKjFBaqx+TZcVtYIx0cWqCWHDnFSwz57EGoVArVyMBM2xvUdOqSvTm/EZXcQCXeBWcM9RUS0wHooVDCeiZ4ioil8mClW0VNERChQCAHoAD1FyBOIiMyAFVaEVjV1FREBAmulGAlq7CoiQgRWSZcUl0RwmJoowHplXUVEhM11FcXtHce2i1J/6UW4ZG7A6LnatiIqWGAERbYVzS7Cjc0X4ZIhA8PoKoS2ZLK2beawQ+YAjH9LtBXNLsKNyy/CJVMQSArg6SOtuj6FNYd2j4wWGPTAeQrA2STS2SQwZ7NP5gWMlavrK6ICBUZMRF/R7BZc8wN6QIaLiaGk+TJN+0odTELFz9xXNLsFt9y5dMnwgTEU21cUrXf1juWQhPRs1nUcU19RjKMI5VZ7XYeRB2IhD5qmn9W6DqMVBdyK8PxZx2KLkwVieRORKxvrOoxM6q3rMBKpr67DSAK7tgwYi9K6DiOVs1DX4aSHCAerSDenSWdx4Wpsvj2XlTXC8YHzJfCA7rNSwz57EGoVdZ3KwUzYGJ/RxnfH0HjkFItbCEPAyNWtUFmJIHwSVKI20/rOaiUBt9KSEpSVBsIVr0CDslJhEaHG7ndWKrXJUFYW2FgIGI6S/ndWKrXpUHMDPC8/hNNfoRCVnHLxUnyiI77DSxzhAMla1NwEz8sN+wBCuJWLUciAJnyk1RlGPz3hQI2C8+3R4O7127c0hkDrTU/HUUrNsgvchO3MczR1HJmRYlTktOlIOwvPk8HOT7ASswKV4u/SR+kzqRKVVryf/mcmCR+1Ju/KL75SvSyTj3QMpNRzzm2TaSx4PzOP5Zxf1iLg2K7qEfDUO1+9E+pdoN6FJg9IJebjicGLNYrNrmKzq9jsKja7is2uYrNrYrNLZyPwbOC1G0lmT5HZU2T2FJk9RWZPkdkzkdmjk4E/O3TfnFWJFalEkUoUqUSRShSpxEQqIZNaqApWkMLNta5i0lVMuopJVzHpKiZdE5MunQk8YiBrhJLIoSJyqIgcKiKHisihInJoInJII3Iiw1N8ajnXzzNUByXnUgaecShgQEnhsBPo0Z4nowU2DxHjYUvV5vI7RtR6iWrdbKk22ixAPksfT34uP39Pfif7wXfqJhL5i0/SxzqSm2SS82GFr7uWDFGgIBLhbZHhAduFEGsuhh5ZMkJg4w98KcXcJEvGCOz5WXaNhIgO0+IDsV/odwLtIG+TIbL0yS6uoenH/SIdNjB44Vtg1W2ohhZYOlpgBMP1wEo40yZYJSdMXbB01MBIhsqIoFNjhw4bGJsI+U7RnCahrZ02vLH3lc5CIFmA542y7PoM2GI6QwUMDGjkNTTTTNmnQwZGOFxra+SEnVCL9DIdKTDOwXtbXziPyyXO44COGBP7VjkdEjJk3o7WF05janBjTyudATAqIhNWNVdmoBbzUgpYtUzbnknMGlNTLQmZmnqlJITR4jCgtNQ0NKamRLTAgL6a1HTy0eTDfLfok8m78ov308cyJX01uxvz22xH4qPJB+mz7MLLZ+l9mcA+e/Hd1uS91uSDLJlVLQPPilRW/VPy2++l97VPzibZMkDNsJJ8lghRoCAS4W2R4QHD/yryWSJCYLRfTT5LxAiM88vms0R0mJgOsJ/rBR1P26K3TYbYdD5LhQ2MePh81hGeOZ+logWGPWw+673IZ40XLV6iowaGP658lgobGJuWyWe9tdOGL8lnqSwEkgV43ijLrs+ALeazVMDAgMaRz1IhAyMcLp914qgTm/JZKlJgnMPks96LfNboPA7oiDGxb5XTISFD5s5nvbXTBi/JZ6kMgFERnc966zNQi/ksBWyRzxaTpMZ8VktC5rN+KYnQaHEYUFo+GxvzWSJaYEBfKp99mjWpq4T1a7UbMktv1aFGGiKbZCLAEL+S9JMIUaAgEuFtkeEBo/Uq0k8iQmBwXk36ScQIDMvLpp9EdJgQDLBfafpJhNh0+kmFDQxQhPRTqkdb6/bfoKMFRils+um/SD+N169eoqMGRiuu9JMK20fCJihJf+204UvSTyoLgWQBnjfKsuszYIvpJxUwMKBxpJ9UyMAIh0s/XRF2fK0DuUxHCoxzmPTTf5F+Gp3HAR0xJvatcjokZMjc6ae/dtrgJeknlQEwKqLTT399Bmox/aSALdLPqfqoMf/UspD5pyhlsXBJeS35p+k+tPNkuMCQTk5A54qerfRh+lQdzDNXQ03v62htkmn5MForSUeJEAUKIhHeFhkeMHoj0lG18PB1p6U/Jfl1MlBgzF5NVkrECIzWy2alRHSYyAywn+vGHT/WQdwmQ2w6K6XCBoYtQlZqq9OMdGjfoKMFxi5sVipeZKXmG7TpqIEhjCsrpcIGhqhlslKxdtrwJVkplYVAsgDPG2XZ9RmwxayUChgY1ziyUipkYITDZaWOF3dsrQO5TEcKjHOYrFS8yErNV2PTEWNi3yqnQ0KGzJ2VirXTBi/JSqkMgFERnZWK9RmoxayUAnaaldbf5atlIbPSoIyFAz6SYbVZqbnNlwgXGNLJWSlou6k6sSu7G+aRagXWEdwkEwQG/5Xkp0SIAgWRCG+LDA8YxxH5qbFcSkQIDNurSUyJGIEBe9nElIgOE5wB9vM8uxOZyqVEiE0nplTYwMiFT0xDLzR361LRAsMXNjENXiSmxiuPL9FRA6MYV2JKhQ2MTcskpsHaacOXJKZUFgLJAjxvlGXXZ8AWE1MqYGBA40hMqZCBEQ6XmMZC1Tl0SC/TkQLjHCYxDV4kpkbncUBHjIl9q5wOCRkyd2IarJ02eEli</t>
  </si>
  <si>
    <t>SmUAjIroxDRYn4FaTEwpYKeJaTGva0xMtSxkYlp676rTzMlITmRMTIlwgSGdmphOfjF3EcrjVp6Ipo9VYqq7fvRx1uRrutR0mr/qrLBJtgJQIawkeyVCFCiIRHhbZHjAYL+K7JWIEBjbV5O9EjECo/qy2SsRHSaCA+wnvLhjOjaaiLDp5JUKGxjd8MmrE0TmqioVLTDEYZPX8EXyarwO/RIdNTDScSWvVNjA0LRM8hqunTZ8SfJKZSGQLMDzRll2fQZsMXmlAgbGM47klQoZGOBwyavrxJ3AVFWlIgWGOUzyGr5IXo3O44COGBP6VjkdEjJk7uQ1XDtt8JLklcoAGBXRyWu4PgO1mLxSwGYn3Gf/yR//8PpwOLq1KfO7/Sy9UxSC/sDt93u2NfLHwvIje2xFUTi2er5n9zzhO8NhL3/lLOF1xRz70Y3RbDKdNkD+L4KD1qJJDndePYq1o3cUac2hWM9bAsoyG9p59woiB5+litGxntExE6N57wtiBJ+1ktDGhp7RxgYDpZNCzzwnzQdwr2ROOvqLs4/ikmfUF5H2GdXNOhB85KwzYD6mYp6fVyDMyHllwCwnHAF0NnOanjhO+8jTn9p+VCzFm0iZm3xqmT1O+9gA/JgMvJYp5LQ3NgzI1QQjQD+pAZqbSW77yFWzyTfMJqeMWbBwbU69s8ltH7tqRunBH5PB1zKjXDmj3Gxa6eGrSUfAfyb8k9c+cgyKy3FLSZlrPbXMKK99bAB+TAZey2zy5EQyIFdzjQD9TEwkk1vySgm5zU4ikzuigq5lAhmdEAX1yQWbhVqnC1xgzcmA17ENufy+4+eXuTod46HTb6plyBKSvnFogKuuJ6jAJ9N0AaIa/xUyfh+NH478AID8Khm5wCCnu6GcSgKgckSmAlyMJXmkHH8XgP+YjB+4MktxTtKo61Ngi66JAlghhl3teDryzTutm8VsYnNcU/eV76KRg1fqwATOFFAbaB+1SurLP26icroesVHOMzMhRm5/JKx40Hcsvy9cK/KHruXHnu+4kTOI4vkLP5ubIgFoigRYe8Fs0NQUCQBThItyNkVGcRjaURxbgRhElu96fasn55N87XgURX5vFA3HZ2aKhKApUlYd0NoLZoOmpkgImCJclLMp0ou9cc8Pe1YURnISOSKWHkeEVhj2fD/u9cUwXEixGpsiEWiK6BfjS+wFs0FTUyQCTBEuysaro+tOs11DIcIpXSAPzKfo1pFmG0Afk0HXkWYbQKu1GwJqBTu+1miWrXUSbul6eGA+/qqGdNq1K5/4K2T8Pho/HPkBAPlVMnKBQU52N1ovQ8ZcQ94MsPkxGT9n3uza61NgC76GBDhvAmnPWuqbC1Zu+8gzhGq3vGLSbOlcAj82AD8mA68laKlSlQG5qmERoJ+F4oLrtY/cyDCRyismzVbRJfBjA/BjMvBaJpKqUhmQq2lGgH5SNjSlgaaVBterDBZvuqXllNBcRaxDGlXjv0LGzyuNqpFfJSMXGOR0n1RkpAAqR2QqdSimavzHZPysislbnwJbdE0UwC/bMrLrQxaA1IOMMQXUBg0tALnVhbEjNsrZFAn8YRgORp7Vd6LIkqm+a/W8UV++tjd0+kFvGInBmZkioGKUGkacvWA2aGqKAIpRbJSzKTL03VCEoWN57iCyHGc0snqO7VpDJwic3sDu9+OFrKyxKQIqRqlIhLMXzAZNTRFAMYqNcl7SHoVBPxzb1jBypcdxHc/q2X1hDf1h3LejyInGZ6bS4IKKUW5pZUZnL5gNmpoigGIUG2U1R5pMjKqrLG+6ZVUW4TTaggXAf4WM30fjhyM/ACC/SkY+/xBVq/ElJlECoHJEplJHYlSN/5iMnzUxitanwBYTIwrgly5exaB4VVbB05gCaoOm4lVcOV2P2Cjnqnc0EFHYi6xg7I8svzfuW/2hfBf3gtB2okEvdM9MYuTZkCnilRVetPaC2aChKeJVF8eO2Ci/dLmz54CmSFk1RWsvmA2amiIOYIpwUT4z/TWeZ2BeWvEI3XnmtVaZDKCPyaDrqDAZQKvyJQG1gt3wLha9kyhfjm40V/Kq1/+vkPH7aPxw5AcA5FfJyAUGOdnd6L0MFXMNSRHA5sdk/JxJkeetT4Et+hoK4Fl/jTrPrNloJdpHXmCIWH4ptWY7QiXwYwPwYzLwWqKWUA02euRqfzgBusLecFuEjs2bnigl02hrqFdd6LlCxs8buqqRXyUjFxjkZN+jdzdUzHWErmqbH5Pxs4YusT4FtuhrKICLw61NZ1s36m6CUj7mdrg63E110fAKGT+vu6lGfpWMXGCQr9jdUDHX4W6qbX5Mxs/qboL1KbBFd0MBPFPK04e0OaUctY8Cu33k2I5BLpcWdKNmj0+S6I8l+mMT+mMy+lo0cyQ1s4SvTt/S41cHdhEIKAZNt6Z7cfvI9+Wb/CjkR2FKx0q3JkbwRlAQH+z8itvHksSxJHEsSRwbSByTSdQyzWI5wyQL+U59JtRnBiJqThKYnIFMbdqn4VXX/N70ymp+fmQ+7rYORVWN/woZP6+iqkZ+lYxcYJDTPde05FNN5YhMpQ6hVY3/mIyfVWjF61Ngi56JAjjzTL2hGztj24oiu2f5Q9+x+mEwskaBG7u+K+J+VPgos9O62aunwuqDivB+6e7HRVNAbaB91CqpL/24+YAiPBvl4jQl2xVDJ7Q8fxRbvuj5VjQIhBXbsRu6Ti/wnPGZmSKgIrxfuqVRZy+YDZqaIoAiPBvll65Pw3dBU6S0nqyzF8wGTU0RFzBFuCjnKZf8iecKYYl+L5CvGIVWvz+ILDeMR07fcaO4d2bOZPM90BQpLQPq7AWzQVNTpLpUe8RGebrGXOi/phMlv3rX2Ju+X2oLc8WxhkQJgP8KGb+Pxg9HfgBAfpWMfP6hqlbnS0yiBEDliEylhkQJgP+YjJ8zUfL99SmwhUSJBDifPJAtn2ckfoG2cfoCZwqoDZqKX9X12iM2yvkUiXv92LY9Get8T4mg0Ir6PfULQeBGtpBqaXRmpghoG6cfoO0FskFTU6S6xnbERjnf89AfuEPHCax+PAgtv+eOrdiXc2rsRF4/9oKBG/XOzBQBbeP0y2swGnvBbNDUFAFs42Sj/PLl0qAzRf3ysonGXjAbNDVFqjf6HbFRbninr1+9eP6mX7YWLZxmE6Nq/FfI+H00fjjyAwDyq2Tk8w9RtRpfYhIlACpHZCp1JEbV+I/J+FkTo3h9CmwxMaIAftnilQBVkET5nka689Y9apXUl37cBKCCxEb5pUuMBKiCJMr3NNKzhIamCKCCxEb5pdsMLkAVJFFWTtHaC2aDpqYIoILERvmlW4EToAqSKCun6B8pkA2amiKAChIb5WkFySmqiE2XkET16vmbwi8xhh81ulkKgP8KGb+Pxg9HfgBAfpWMfP6pqpbnS0yiBEDliEylhkwJgP+YjJ8zUxL++hTYQqZEApxrHMcNhuOx5blD+4wf8yhAJSQhcKaA2qCpAAYoIbFRngWwYsgbD2DVxZI3RXmxpNHtdwD8V8j4eQNYNfKrZOTzT1W111xiEiUAKkdkKnUEsGr8x2T8rAEsWJ8CWwxgFMAKMeyCzTMSwEDVS1FeylswBdQGTQUwQPWSjXI2RXxnHNphP7ZCZxTKV9iOFQVj1wp7YzceBmIsxqMzM0VA1UtRXsrT2Atmg6amCKB6yUY5l8FjfxiFTs+KHDGy5B8NrGgwcKyR58Vjb+wN4jM0RUBHg4qy2onWXjAbNDVFqutbR2yUZ4f6ufNzYN4QoO2gJDtke3QDp30UBO2jUH4M1ce4fRS58k3It6h9FMvPY/l5bLhiKijdlBPb8xYyyhoQT7iyyfbuSnLHktyxJHccqo9x+1iSO5bkjiW5Y0nuWJI7NpA7JpOrY0+vJCffBfJdqD4Ls8/U7t5IXXQWqcOYIrW7PFZfxupLA021AZ3A88TsbTqJC6oLO28GpVuDpJFMY1lDEgfAf4WM30fjhyM/ACC/SkYuMMjpfrCIBwAqR2QqNSRxAPzHZPycSVzgrE+BLXomCmCFGFa4PxvyKwBVWoOysqPGFFAbNCS/AkCllY1yNkUGbuy5rtO3hrEnEz7f9a3ItW1r5PTjuB86QTg6MwvVAajSGpRuXNPZC2aDpqYIoNLKRjk/Ntkeu0Ph961eXwjL9/q+nFiebfXEOBpHYhTaZ6cYH4Auvgt8rL1gNmhqilSX3o7YKOerhaC7IM7IFAGVuwKBtRfMBk1NEUC5i41yw43sQfXC/ptB2Tq5cIJ57rUmRtX4r5Dx+2j8cOQHAORXycjnH6JqNb7EJEoAVI7IVOpIjKrxH5PxsyZGwfoU2GJiRAGsEHtDPxoPnaEloii2/H7sWv1R5FjBoC/GXtCz3X7xYJyBeAWqbgVlpR6NKaA2aCpeAapbbJRfPkkDqm4F5Re8aewFs0FTUwRQ3WKj/PLlzqDqVlBW6tHaC2aDpqYIoLrFRvmlW4ELQTumwvLtQxp7wWzQ0BQJATum2ChP+wDjnLZyFk1WkMLqxfM3w/K16EbvqwLgv0LG76Pxw5EfAJBfJSOff6iq1fkSkygBUDkiU6khUQLgPybj50yUQmd9CmwhUSIBzlSw1+85kWNbnhOMLN9xIiu2pSMbjNx4KAaRZ4fFmJyB+AWqIIXl5RTdRbcgGzQVvwAVJDbK2RSJgsgdhMPQ6nuhLWPdaGzFA79vebFnx+O4JwPfmSkPhKAKUlheTtHYC2aDpqYIoILERjk/ELQ/9uTM6Vk9OavUtojIiuyRb9m2sEUgk6pYLLSANTZFQBWk0MfaC2aDpqYIoILERjkPNLaIHTsaWUEwULuDRWDFYSCsQez6I39g96N+eGamCKiCFAqsvWA2aGqKACpIbJTP2o7fsHo1/c2wbHHajxstKQHwXyHj99H44cgPAMivkpHPP1XV8nyJSZQAqByRqdSRKVXjPybjZ82UgvUpsMVMiQI4k8FeNPJ6/sAa+UOph5zAs3ruUMa+wTiM/F4QxL2zE8BAJaWwdPfQoimgNmgqgAFKSmyU88XgcWQHY/mysWuPLX8QxFY0jGOZVY3kv+CNe7Z/dqYIqKQUlu4e0tkLZoOmpgigpMRGueEumbC6VvJmWF4rafQQEwD+K2T8vJKmGvlVMvL5h6g6ji4xiRIAlSMylTokTTX+YzJ+VkkTr0+BLUoaCmCFWLh233XHPct2PHVzlIit2AsDy/ZiGdqEEwyi4sFoPl5FoOJlVF7J05zoAbNBQ/EqAhQv2Si/dJImAh33GJWffaixF8wGTU2R6nLWERtltWyjaF9rdrUmqq6RvBmV10galTYA/FfI+FmlDQD5VTLy+YepOp4uMYkSAJUjMpUapA0A/zEZP6e0idz1KbAFaUMC/NLFLVDRMiqv4NGduO5Rq6S+/OMGKFqyUX7pFvQiUNFSyTacvWA2aGqKAIqWbJQbXq2Jqqtxb0aihLtwonnutUqaavxXyPh5JU018qtk5PMPUXUcXWISJQAqR2QqdUiaavzHZPyskkasT4EtShoKYIXYdodeNHYcq9+3HRnbotDqiUht2nWc2LajwPPG185KvAJdSRcFOFNAbdBUvKqulx6xUX75VC+oRhmVFey09oLZoKkpAqhRslGeNdkU+9oU/UaXbaqrcW9G5dW4Rk8lBuC/QsbPq3GqkV8lI59/qqoD6xKTKAFQOSJTqUPjVOM/JuNn1TjR+hTYosahAH7pAhhox2VUVpzTmAJqg6YCWHUB9YiNcj5Fer2o76njaQPPt3x7HEs9NJDvbNcZjDwxDh1xVqZIDCpaxuUHU+rsBbJBQ1MkBhQt2SjnveZOpNZxBpYQ8hf8nte34v5oYEW+NxqPYs8ee2dmU24MKlrG5fu7dAd9g2zQ1BQBFC3ZKDe8shdX12nejMvKHsJpVPUC8F8h4/fR+OHIDwDIr5KRzz9E1VJriUmUAKgckanUoHoB+I/J+DlVb+yuT4EtqF4SYIV4PBRxPBqE1rjXH1q+8ll9dTBJFMf2cBQEYjguptcZiFegYmVcVrnTmAJqg6biFaBYyUb5pUuMYlCxMvax9oLZoKkpAihWslEu+rCU425yQS+urte8GYsyG9j2vA1qlTbV+K+Q8fNKm2rkV8nI5x+m6ni6xCRKAFSOyFTqkDbV+I/J+FmljVifAluUNhTAWSoOum/qjMQtUNEyDnCmgNqgqbgFKFqyUc7P6nSF35fqx+oNhCfTdje2ekPXs+LQ7Y9C0R+4fv/MTBFQ0TIureDp7AWzQVNTBFC0ZKPc9GpNdXnmzbj0EEq3WUlTjf8KGT+vpKlGfpWMfP4hqo6jS0yiBEDliEylDklTjf+YjJ9V0kTrU2CLkoYC+KWLV6AaZVxWsNOYAmqDpuIVoEbJRvmlU72ODSpSypdhLQazQkOTRPKpniV8pH86vRpz4ei8eVOAblUkWSK7GtOx3bZ856l3vnon1LtAvQtNRindTmg780YxhioQNXi0ym7DVHyOFZ9jxedY8TlWfI5NfI7pfOZDF4gPOHrlF2AqPuq9l733s/ciex9k7/Wk1E8orLKl5pxVU0dwGbxPaW1FWsc0RjVobAmu0pVcoTPw0Qzg2A8g2K/SsQsMdrInM7gpKugaFDXE7Md0BpyaWqJan0HTuB0K5qIxuYB9xjxPaV1P+uJGPU91YfIKnQGz56nGfpWOXWCwr9rzUEHX4nmqzX5MZ8Drebz1GTSN56FgPn1BwxnzPH4poUaPrJDgKqfRFToDZs9Tjf0qHbvAYF+156GCrsXzVJv9mM6A1/P46zNoGs9DwXxGTjw2uB5RyqjRBlQJrnIeXaEzYHY91div0rELDPZVux4q6FpcT7XZj+kMeF2PWJ9B07geCuap6zmb+VZQxsgxr8bV4nqquyWu0Bkwu55q7Ffp2AUG+6pdDxV0La6n2uzHdAa8ridYn0HTuB4K5qnrKcoeZ8z1lDaxOA0vMld34VyhM2B2PdXYr9KxCwz2VbseKuhaXE+12Y/pDHhdT7g+g6ZxPRTMWcU1/++V9ok/+sq5V1535HdO/bX8d9on/sz0O2/f/fsbo7cl9VfGt2/dVR8Ht2/cvqM+6d35QV/9tdfd14Ufha/8tP3Krd5N9Q90r98cvd3aHf24dXD7Zu+W/Nfevv4T+QPHbb/yzq3h6M6N67fU627dlh/kr/VuXP/BLTUx1Z/94e07138i/63eDfmKG6PxXfnrfzu6c/f6IPvOQL5sdEd+78d3em91R38nf+funXdG8q/0JcXRnQxr//bdu7dv5p+pbyaKxfQfbGso2Nl/r/xU/pnh9d4Pbt9S/xbltzPApN+8c/0HPyT+6t3bb1F+Uf7m+PqNjKj6qCaofMHbt2/I4VdzYbhp/F01MXp37i6+YDoX1GR452Z/dOf123fkNMsnkPps8/ZQ/SsXRrdGd6SR5eveunP7bl5KVq+6cXvwo5GcftNvjxSW/KmS37x+64fSld1V4P9/uyT/kQ==</t>
  </si>
  <si>
    <t>object_element_guid</t>
  </si>
  <si>
    <t>id</t>
  </si>
  <si>
    <t>zeroParent_id</t>
  </si>
  <si>
    <t>material_guid</t>
  </si>
  <si>
    <t>work_guid</t>
  </si>
  <si>
    <t>hwd_guid</t>
  </si>
  <si>
    <t>cost_item_guid</t>
  </si>
  <si>
    <t>Номер п/п</t>
  </si>
  <si>
    <t>Код узла ИСР</t>
  </si>
  <si>
    <t>Наименование затрат</t>
  </si>
  <si>
    <t>Комментарий по ИСР</t>
  </si>
  <si>
    <t>Комментарий подрядчика</t>
  </si>
  <si>
    <t>Ед. изм.</t>
  </si>
  <si>
    <t>Коэф.расхода</t>
  </si>
  <si>
    <t>Кол-во БО</t>
  </si>
  <si>
    <t>Общее кол-во</t>
  </si>
  <si>
    <t>Цена, руб.с НДС 22%</t>
  </si>
  <si>
    <t>Стоимость, руб.с НДС 22%</t>
  </si>
  <si>
    <t>Общая стоимость,
руб.с НДС 22%</t>
  </si>
  <si>
    <t>1. Встроенное и Встроенно-пристроенное СКБ</t>
  </si>
  <si>
    <t>6bc2bba0-e4f5-480f-887f-a430a3541dda</t>
  </si>
  <si>
    <t>1.1</t>
  </si>
  <si>
    <t>12</t>
  </si>
  <si>
    <t>Дополнительные работы, неучтенные основным проектом</t>
  </si>
  <si>
    <t>1.1.1</t>
  </si>
  <si>
    <t>12.1</t>
  </si>
  <si>
    <t>Дополнительные работы, неучтенные основным проектом (невозмещаемые)</t>
  </si>
  <si>
    <t>1.1.1.1</t>
  </si>
  <si>
    <t>12.1.21</t>
  </si>
  <si>
    <t>Отделка МОП</t>
  </si>
  <si>
    <t>1.1.1.1.1</t>
  </si>
  <si>
    <t>12.1.21.1</t>
  </si>
  <si>
    <t>МОП 1-й этаж</t>
  </si>
  <si>
    <t>1.1.1.1.1.1</t>
  </si>
  <si>
    <t>12.1.21.1.1</t>
  </si>
  <si>
    <t>Полы</t>
  </si>
  <si>
    <t>1.1.1.1.1.1.1</t>
  </si>
  <si>
    <t>12.1.21.1.1.17.1</t>
  </si>
  <si>
    <t>Облицовка ступеней керамогранитной плиткой с затиркой швов, с предварительной огрунтовкой поверхности</t>
  </si>
  <si>
    <t>м2</t>
  </si>
  <si>
    <t>682deb64-d38a-4a31-a86c-8c49353cc251</t>
  </si>
  <si>
    <t>4ac49566-e9a9-4a4c-9d1f-0976e5086ad7</t>
  </si>
  <si>
    <t>43208d3c-f276-4d19-80eb-e1ae8df17cbf</t>
  </si>
  <si>
    <t>1.1.1.1.1.1.1.1</t>
  </si>
  <si>
    <t>Грунтовка универсальный ЛАСТИМИН_ / УНКОНТ ЛЮКС LP51 А</t>
  </si>
  <si>
    <t>кг</t>
  </si>
  <si>
    <t>406711464.1139608</t>
  </si>
  <si>
    <t>36662397.1139608</t>
  </si>
  <si>
    <t>bbceaf39-544c-478f-a605-41b8d1bad350</t>
  </si>
  <si>
    <t>1.1.1.1.1.1.1.2</t>
  </si>
  <si>
    <t>Затирка Цезерит СE33_/13 атрацит</t>
  </si>
  <si>
    <t>406711464.54635</t>
  </si>
  <si>
    <t>36662397.54635</t>
  </si>
  <si>
    <t>255e2be5-9cb1-4b52-84d2-49341281c898</t>
  </si>
  <si>
    <t>1.1.1.1.1.1.1.3</t>
  </si>
  <si>
    <t>Клей плиточный/Унифицированный по ПИК-СТАНДАРТ</t>
  </si>
  <si>
    <t>406711464.54629</t>
  </si>
  <si>
    <t>36662397.54629</t>
  </si>
  <si>
    <t>e9770899-65c8-423b-aa60-49fe884ae8df</t>
  </si>
  <si>
    <t>1.1.1.1.1.1.1.4</t>
  </si>
  <si>
    <t>Ступени с насечками из керамического гранита Про Стоун  / 300х600х11 мм / DD600300R</t>
  </si>
  <si>
    <t xml:space="preserve">Тип: КР-5 Керамогранитная плитка 300х600х9 мм, Kerama Marazzi Дайсен, светло серый SG211200R\GR.
</t>
  </si>
  <si>
    <t>шт</t>
  </si>
  <si>
    <t>406711464.1277545</t>
  </si>
  <si>
    <t>36662397.1277545</t>
  </si>
  <si>
    <t>a93fa47a-8782-4159-a657-77a449ab5d71</t>
  </si>
  <si>
    <t>1.1.1.1.1.2</t>
  </si>
  <si>
    <t>12.1.21.1.8</t>
  </si>
  <si>
    <t>Демонтажные работы</t>
  </si>
  <si>
    <t>1.1.1.1.1.2.1</t>
  </si>
  <si>
    <t>12.1.21.1.8.9.1</t>
  </si>
  <si>
    <t xml:space="preserve">Демонтаж ступеней из керамогранита </t>
  </si>
  <si>
    <t>dd27522b-5c94-499e-8a9a-7af1fae54c43</t>
  </si>
  <si>
    <t>7fa7692f-8dd6-44dd-9da9-cbe512c009eb</t>
  </si>
  <si>
    <t>1.1.1.1.2</t>
  </si>
  <si>
    <t>12.1.21.3</t>
  </si>
  <si>
    <t>МОП типовые этажи</t>
  </si>
  <si>
    <t>1.1.1.1.2.1</t>
  </si>
  <si>
    <t>12.1.21.3.1</t>
  </si>
  <si>
    <t>1.1.1.1.2.1.1</t>
  </si>
  <si>
    <t>12.1.21.3.1.23.1</t>
  </si>
  <si>
    <t>Устройство плинтуса из керамогранитной плитки с затиркой швов, с предварительной огрунтовкой поверхности</t>
  </si>
  <si>
    <t>Тип: ПЛ-1</t>
  </si>
  <si>
    <t>пог. м</t>
  </si>
  <si>
    <t>7c078883-0b0a-4435-9703-ce38f86f609d</t>
  </si>
  <si>
    <t>f0f6bca2-ba8d-49e1-8981-7463b4be94cd</t>
  </si>
  <si>
    <t>1.1.1.1.2.1.1.1</t>
  </si>
  <si>
    <t>406711471.54635</t>
  </si>
  <si>
    <t>36660162.54635</t>
  </si>
  <si>
    <t>1.1.1.1.2.1.1.2</t>
  </si>
  <si>
    <t>Грунтовка _ / универсальная водно-дисперсионная</t>
  </si>
  <si>
    <t>406711471.737422</t>
  </si>
  <si>
    <t>36660162.737422</t>
  </si>
  <si>
    <t>64d77ce3-b188-4652-a3eb-49ad1b6ad85c</t>
  </si>
  <si>
    <t>1.1.1.1.2.1.1.3</t>
  </si>
  <si>
    <t>Плинтус керамогранитный Дайсен SG211200R/3BT 600х95мм светло-серый</t>
  </si>
  <si>
    <t>406711471.1747282</t>
  </si>
  <si>
    <t>36660162.1747282</t>
  </si>
  <si>
    <t>d4275771-32c8-11ee-a102-d1661ac0bb93</t>
  </si>
  <si>
    <t>1.1.1.1.2.1.1.4</t>
  </si>
  <si>
    <t>Плиточный клей_ / Унифицированный по ПИК-СТАНДАРТ</t>
  </si>
  <si>
    <t>406711471.1570753</t>
  </si>
  <si>
    <t>36660162.1570753</t>
  </si>
  <si>
    <t>be76b7f0-d821-4213-a0b5-d4d9b08818f1</t>
  </si>
  <si>
    <t>1.1.1.1.2.1.2</t>
  </si>
  <si>
    <t>Тип: ПЛ-3</t>
  </si>
  <si>
    <t>1.1.1.1.2.1.2.1</t>
  </si>
  <si>
    <t>406711514.1570753</t>
  </si>
  <si>
    <t>36660716.1570753</t>
  </si>
  <si>
    <t>1.1.1.1.2.1.2.2</t>
  </si>
  <si>
    <t>Керамическая плитка Коллиано_ / Серый / SG913000N / 300*300*8мм</t>
  </si>
  <si>
    <t>406711514.758696</t>
  </si>
  <si>
    <t>36660716.758696</t>
  </si>
  <si>
    <t>dec587a8-6f4e-4afb-bdfb-9a67018ca72c</t>
  </si>
  <si>
    <t>1.1.1.1.2.1.2.3</t>
  </si>
  <si>
    <t>406711514.737422</t>
  </si>
  <si>
    <t>36660716.737422</t>
  </si>
  <si>
    <t>1.1.1.1.2.2</t>
  </si>
  <si>
    <t>12.1.21.3.8</t>
  </si>
  <si>
    <t>1.1.1.1.2.2.1</t>
  </si>
  <si>
    <t>12.1.21.3.8.7.1</t>
  </si>
  <si>
    <t xml:space="preserve">Демонтаж плинтуса из керамогранита </t>
  </si>
  <si>
    <t>420ac688-181d-40e8-841a-b00e07fee8d8</t>
  </si>
  <si>
    <t>c4f61571-ca0c-4654-a279-8ed2b8a54d1c</t>
  </si>
  <si>
    <t>1.1.1.1.3</t>
  </si>
  <si>
    <t>12.1.21.99</t>
  </si>
  <si>
    <t>Прочие работы</t>
  </si>
  <si>
    <t>1.1.1.1.3.1</t>
  </si>
  <si>
    <t>12.1.21.99.3.1</t>
  </si>
  <si>
    <t>Затарка материала вручную</t>
  </si>
  <si>
    <t>т</t>
  </si>
  <si>
    <t>fc254468-2bfb-4982-b318-56f555c7f8b7</t>
  </si>
  <si>
    <t>c6278cd4-70d2-4f9a-b595-73008d3098d3</t>
  </si>
  <si>
    <t>1.1.1.1.3.2</t>
  </si>
  <si>
    <t>12.1.21.99.8.1</t>
  </si>
  <si>
    <t>Уборка мусора от демонтажных работ с погрузкой в мешки и в контейнеры</t>
  </si>
  <si>
    <t>205f8f69-c91d-42b2-a60c-4b48bb0f6399</t>
  </si>
  <si>
    <t>5b07120c-0c6c-467e-80d4-ea652219ddeb</t>
  </si>
  <si>
    <t>1.1.1.2</t>
  </si>
  <si>
    <t>12.1.23</t>
  </si>
  <si>
    <t>Отделка СКБ</t>
  </si>
  <si>
    <t>1.1.1.2.1</t>
  </si>
  <si>
    <t>12.1.23.1</t>
  </si>
  <si>
    <t>1.1.1.2.1.1</t>
  </si>
  <si>
    <t>12.1.23.1.3.1</t>
  </si>
  <si>
    <t>Устройство покрытия пола из линолеума</t>
  </si>
  <si>
    <t>Тип: Л-1.1 Линолеум Tarkett. Tempo Plus 1003/89316, КМ2</t>
  </si>
  <si>
    <t>51b31787-2db2-4031-aade-329f900ef9b7</t>
  </si>
  <si>
    <t>5e7e46df-abb0-4806-b018-19be508cca77</t>
  </si>
  <si>
    <t>1.1.1.2.1.1.1</t>
  </si>
  <si>
    <t>Линолеум (для объектов СКБ)_ / 2,5 мм / Светло-серый / TempoPlus 1003/89316 / Tarkett / 34 / Линолеум ПВХ гомогенный для детского сада</t>
  </si>
  <si>
    <t>406711483.765845</t>
  </si>
  <si>
    <t>36659764.765845</t>
  </si>
  <si>
    <t>3ad291f0-880a-4d41-b76e-e62924259b82</t>
  </si>
  <si>
    <t>1.1.1.2.1.1.2</t>
  </si>
  <si>
    <t>Сварочный шнур для линолеума (для объектов СКБ)_ / Tarkett  / Сварочный шнур для линолеума ПВХ светло - серого для детского сада / 91811</t>
  </si>
  <si>
    <t>406711483.1757617</t>
  </si>
  <si>
    <t>36659764.1757617</t>
  </si>
  <si>
    <t>bb025d17-34e9-45a4-8c65-9092721a631f</t>
  </si>
  <si>
    <t>1.1.1.2.1.1.3</t>
  </si>
  <si>
    <t>406711483.737422</t>
  </si>
  <si>
    <t>36659764.737422</t>
  </si>
  <si>
    <t>1.1.1.2.1.1.4</t>
  </si>
  <si>
    <t>Клей для линолеума</t>
  </si>
  <si>
    <t>Клей Forbo Eurocol 599 Eurosafe Super - 5 мм, коэф.расхода = 0,45 кг, 780кв.м*0,45 = 351кг</t>
  </si>
  <si>
    <t>406711483.702694</t>
  </si>
  <si>
    <t>36659764.702694</t>
  </si>
  <si>
    <t>1a3e3255-5ba6-49e7-bbc8-279e1b1289a0</t>
  </si>
  <si>
    <t>1.1.1.2.1.2</t>
  </si>
  <si>
    <t>12.1.23.1.6.1</t>
  </si>
  <si>
    <t>Устройство покрытия пола с предварительной огрунтовкой поверхности / из керамогранитной плитки с затиркой швов</t>
  </si>
  <si>
    <t>ba238fec-d7fc-420d-944a-4b6d4b8cbc4b</t>
  </si>
  <si>
    <t>7cacd293-77f7-4a45-9f6e-286caebd5ddd</t>
  </si>
  <si>
    <t>1.1.1.2.1.2.1</t>
  </si>
  <si>
    <t>406711485.54635</t>
  </si>
  <si>
    <t>36659754.54635</t>
  </si>
  <si>
    <t>1.1.1.2.1.2.2</t>
  </si>
  <si>
    <t>Клей плиточный/ Унифицированный по ПИК-СТАНДАРТ</t>
  </si>
  <si>
    <t>406711485.54632</t>
  </si>
  <si>
    <t>36659754.54632</t>
  </si>
  <si>
    <t>29ab9003-5b43-49a7-8ba2-846628054d7e</t>
  </si>
  <si>
    <t>1.1.1.2.1.2.3</t>
  </si>
  <si>
    <t>Керамический гранит Дайсен_/SG610300/светло-серый/600х600х11</t>
  </si>
  <si>
    <t>406711485.54666</t>
  </si>
  <si>
    <t>36659754.54666</t>
  </si>
  <si>
    <t>dbc2d116-b9c7-4a2f-9452-f183b936c28a</t>
  </si>
  <si>
    <t>1.1.1.2.1.2.4</t>
  </si>
  <si>
    <t>406711485.737422</t>
  </si>
  <si>
    <t>36659754.737422</t>
  </si>
  <si>
    <t>1.1.1.2.1.3</t>
  </si>
  <si>
    <t>1.1.1.2.1.3.1</t>
  </si>
  <si>
    <t>406711515.737422</t>
  </si>
  <si>
    <t>36659755.737422</t>
  </si>
  <si>
    <t>1.1.1.2.1.3.2</t>
  </si>
  <si>
    <t>406711515.54632</t>
  </si>
  <si>
    <t>36659755.54632</t>
  </si>
  <si>
    <t>1.1.1.2.1.3.3</t>
  </si>
  <si>
    <t>406711515.758696</t>
  </si>
  <si>
    <t>36659755.758696</t>
  </si>
  <si>
    <t>1.1.1.2.1.3.4</t>
  </si>
  <si>
    <t>406711515.54635</t>
  </si>
  <si>
    <t>36659755.54635</t>
  </si>
  <si>
    <t>1.1.1.2.1.4</t>
  </si>
  <si>
    <t>12.1.23.1.10.1</t>
  </si>
  <si>
    <t>Установка полимерного самоклеющегося плинтуса (Не использовать с 01.07.2025г)</t>
  </si>
  <si>
    <t>6274df8b-4397-4e99-b528-8d030fab2b24</t>
  </si>
  <si>
    <t>426c3fab-6143-4423-b9ee-53c765b78c05</t>
  </si>
  <si>
    <t>1.1.1.2.1.4.1</t>
  </si>
  <si>
    <t>Плинтус для линолеума (для объектов СКБ) 100 мм WL 100 Dark Gray 0146 Dollken Плинтус для линолеума для детского сада и школ</t>
  </si>
  <si>
    <t>406711487.1747273</t>
  </si>
  <si>
    <t>36659747.1747273</t>
  </si>
  <si>
    <t>de126dff-32d0-11ee-a102-d1661ac0bb93</t>
  </si>
  <si>
    <t>1.1.1.2.1.5</t>
  </si>
  <si>
    <t>12.1.23.1.12.1</t>
  </si>
  <si>
    <t>Устройство наливных полов с огрунтовкой поверхности и проклейкой демпферной лентой / толщ. до 10 мм</t>
  </si>
  <si>
    <t>Вне зависимости от способа выполнения работ механизировано или вручную.</t>
  </si>
  <si>
    <t>b30e711e-fd2e-4402-9c1c-fd9dc1b88c63</t>
  </si>
  <si>
    <t>52781403-7734-4ba3-aa44-54230170e39b</t>
  </si>
  <si>
    <t>1.1.1.2.1.5.1</t>
  </si>
  <si>
    <t>406711489.1139608</t>
  </si>
  <si>
    <t>36659748.1139608</t>
  </si>
  <si>
    <t>1.1.1.2.1.5.2</t>
  </si>
  <si>
    <t>Лента кромочная демпферная_/8*100мм/20м</t>
  </si>
  <si>
    <t>406711489.55045</t>
  </si>
  <si>
    <t>36659748.55045</t>
  </si>
  <si>
    <t>41f707b9-71e7-4101-86f2-7af29d65f5fe</t>
  </si>
  <si>
    <t>1.1.1.2.1.5.3</t>
  </si>
  <si>
    <t>Наливной пол_ / Унифицированный по ПИК-СТАНДАРТ</t>
  </si>
  <si>
    <t>406711489.843695</t>
  </si>
  <si>
    <t>36659748.843695</t>
  </si>
  <si>
    <t>df4d871a-815e-4066-8cc1-e339f3f3c9fe</t>
  </si>
  <si>
    <t>1.1.1.2.2</t>
  </si>
  <si>
    <t>12.1.23.2</t>
  </si>
  <si>
    <t>Стены</t>
  </si>
  <si>
    <t>1.1.1.2.2.1</t>
  </si>
  <si>
    <t>12.1.23.2.2.1</t>
  </si>
  <si>
    <t>Облицовка поверхности стен с предварительной огрунтовкой и затиркой швов / керамической плиткой</t>
  </si>
  <si>
    <t>Тип: СТ-4.1 Керамическая плитка, Калейдоскоп 5009 200х200х6.9 мм Kerama marazzi, затирка Ceresit CE 33, 04 серебристо-серый, крестик 2 мм</t>
  </si>
  <si>
    <t>f7aae9ad-9ef7-46b1-ad33-1414658c2aa3</t>
  </si>
  <si>
    <t>1e367d8e-8797-41db-9193-b13187cae6d6</t>
  </si>
  <si>
    <t>1.1.1.2.2.1.1</t>
  </si>
  <si>
    <t>406711492.737422</t>
  </si>
  <si>
    <t>36664408.737422</t>
  </si>
  <si>
    <t>1.1.1.2.2.1.2</t>
  </si>
  <si>
    <t>Затирка Цезерит СE33_/04 серебристо-серый</t>
  </si>
  <si>
    <t>406711492.54637</t>
  </si>
  <si>
    <t>36664408.54637</t>
  </si>
  <si>
    <t>c293221b-d93c-4424-8200-e1b99b7167e3</t>
  </si>
  <si>
    <t>1.1.1.2.2.1.3</t>
  </si>
  <si>
    <t>Керамический гранит Kerama marazzi_ / Белый / 5009/ Калейдоскоп / 200х200</t>
  </si>
  <si>
    <t>406711492.758609</t>
  </si>
  <si>
    <t>36664408.758609</t>
  </si>
  <si>
    <t>70f2d54b-ab55-43b4-b130-a5f8f85e7098</t>
  </si>
  <si>
    <t>1.1.1.2.2.1.4</t>
  </si>
  <si>
    <t>406711492.1570753</t>
  </si>
  <si>
    <t>36664408.1570753</t>
  </si>
  <si>
    <t>1.1.1.2.2.2</t>
  </si>
  <si>
    <t>Тип: СТ-5.1 Керамическая плитка, 200х300х6,9 мм, Kerama Marazzi (Белое Солнце 8000), затирка Ceresit CE 33. 02 серебристо-серый, крестик 2 мм. Горизонтальная раскладка до перекрытия</t>
  </si>
  <si>
    <t>1.1.1.2.2.2.1</t>
  </si>
  <si>
    <t>Плитка керамическая Kerama Marazzi 800 300х200х6,9мм</t>
  </si>
  <si>
    <t>406711516.3323472</t>
  </si>
  <si>
    <t>36664409.3323472</t>
  </si>
  <si>
    <t>3d48fd1d-5889-4b92-be81-6cb5f36a02b4</t>
  </si>
  <si>
    <t>1.1.1.2.2.2.2</t>
  </si>
  <si>
    <t>406711516.1570753</t>
  </si>
  <si>
    <t>36664409.1570753</t>
  </si>
  <si>
    <t>1.1.1.2.2.2.3</t>
  </si>
  <si>
    <t>406711516.54637</t>
  </si>
  <si>
    <t>36664409.54637</t>
  </si>
  <si>
    <t>1.1.1.2.2.2.4</t>
  </si>
  <si>
    <t>406711516.737422</t>
  </si>
  <si>
    <t>36664409.737422</t>
  </si>
  <si>
    <t>1.1.1.2.2.3</t>
  </si>
  <si>
    <t>12.1.23.2.9.3</t>
  </si>
  <si>
    <t>Штукатурка стен сухими смесями с установкой маяков с предварительной огрунтовкой / толщ. от 16,5 мм до 21 мм</t>
  </si>
  <si>
    <t>c5aa8ee2-e574-43a3-844b-653c022bb54c</t>
  </si>
  <si>
    <t>b1b4cdaf-0fc6-4e61-b23e-3869ff11dc81</t>
  </si>
  <si>
    <t>1.1.1.2.2.3.1</t>
  </si>
  <si>
    <t>Профиль маячковый_/ПМ6</t>
  </si>
  <si>
    <t>406711494.55029</t>
  </si>
  <si>
    <t>36662405.55029</t>
  </si>
  <si>
    <t>b3ba1810-316e-4118-90eb-ce29d5c83076</t>
  </si>
  <si>
    <t>1.1.1.2.2.3.2</t>
  </si>
  <si>
    <t>Грунтовка БЕТОН-КОНТАКТ_/</t>
  </si>
  <si>
    <t>406711494.54633</t>
  </si>
  <si>
    <t>36662405.54633</t>
  </si>
  <si>
    <t>8682c7d7-b370-46ef-9c4b-39309f9aa3e8</t>
  </si>
  <si>
    <t>1.1.1.2.2.3.3</t>
  </si>
  <si>
    <t>Сетка стеклотканевая 200г/м2, ячейка 5х5мм</t>
  </si>
  <si>
    <t>406711494.17342</t>
  </si>
  <si>
    <t>36662405.17342</t>
  </si>
  <si>
    <t>1bf3e29a-aa18-11e8-80e4-005056881952</t>
  </si>
  <si>
    <t>1.1.1.2.2.3.4</t>
  </si>
  <si>
    <t>Штукатурка гипсовая_ / Унифицированная по ПИК-СТАНДАРТ, 30кг</t>
  </si>
  <si>
    <t>406711494.54616</t>
  </si>
  <si>
    <t>36662405.54616</t>
  </si>
  <si>
    <t>b059108e-66ce-4a56-9765-c924e4c0b8b7</t>
  </si>
  <si>
    <t>1.1.1.2.2.4</t>
  </si>
  <si>
    <t>12.1.23.2.10.1</t>
  </si>
  <si>
    <t>Лакокрасочные работы СКБ / окраска стен / в 2 слоя</t>
  </si>
  <si>
    <t>Тип: СТ-1.1 Краска матовая водно-дисперсионная, RAL 9003, КМ1, 1 кл. истриания. Tikkurila ТЕКС</t>
  </si>
  <si>
    <t>4c24ca93-b856-4913-a3fe-bc768660074c</t>
  </si>
  <si>
    <t>4c233987-7536-4054-bf5e-1cd26c31dab8</t>
  </si>
  <si>
    <t>1.1.1.2.2.4.1</t>
  </si>
  <si>
    <t>Краска водно-дисперсионная Tikkurila_ / RAL 9003 / PROF EURO 7</t>
  </si>
  <si>
    <t>406711496.758302</t>
  </si>
  <si>
    <t>36663239.758302</t>
  </si>
  <si>
    <t>838e3a4c-e4d0-4163-a2da-acf784a669a7</t>
  </si>
  <si>
    <t>1.1.1.2.2.4.2</t>
  </si>
  <si>
    <t>Грунтовка универсальный ЛАСТИМИН_ / LP-51 А</t>
  </si>
  <si>
    <t>406711496.54634</t>
  </si>
  <si>
    <t>36663239.54634</t>
  </si>
  <si>
    <t>6f806fd0-f20f-4c69-8d99-cee4063fa047</t>
  </si>
  <si>
    <t>1.1.1.2.2.5</t>
  </si>
  <si>
    <t>Тип: СТ-3.1 Краска огнестойкая, RAL 9003, КМ0,1кл. истирания, Радуга ЖС-132</t>
  </si>
  <si>
    <t>1.1.1.2.2.5.1</t>
  </si>
  <si>
    <t>Краска водно-дисперсионная /  КМ0 / "ПАЛИТРА РУСИ" ТУ 2310-049-51309101-2014,  S367</t>
  </si>
  <si>
    <t>406711517.1183295</t>
  </si>
  <si>
    <t>36663240.1183295</t>
  </si>
  <si>
    <t>520b22fa-013a-4d59-9376-03984a516c84</t>
  </si>
  <si>
    <t>1.1.1.2.2.5.2</t>
  </si>
  <si>
    <t>406711517.54634</t>
  </si>
  <si>
    <t>36663240.54634</t>
  </si>
  <si>
    <t>1.1.1.2.2.6</t>
  </si>
  <si>
    <t>12.1.23.2.10.2</t>
  </si>
  <si>
    <t>Лакокрасочные работы СКБ / окраска потолков / в 2 слоя</t>
  </si>
  <si>
    <t>Тип: ПТ-1 Матовая водно-дисперсионная, RAL 9003, КМ1, 1 кл. истриания. Tikkurila ТЕКС</t>
  </si>
  <si>
    <t>55dcd11a-c570-4894-be4e-3c3874402761</t>
  </si>
  <si>
    <t>5ba78913-6269-46e9-a6cf-0030514785d4</t>
  </si>
  <si>
    <t>1.1.1.2.2.6.1</t>
  </si>
  <si>
    <t>406711497.54634</t>
  </si>
  <si>
    <t>36665012.54634</t>
  </si>
  <si>
    <t>1.1.1.2.2.6.2</t>
  </si>
  <si>
    <t>406711497.758302</t>
  </si>
  <si>
    <t>36665012.758302</t>
  </si>
  <si>
    <t>1.1.1.2.2.7</t>
  </si>
  <si>
    <t>Тип: ПТ-5 Краска огнестойкая, RAL 9003, КМ0, 1 кл. истриания. Радуга ЖС-132</t>
  </si>
  <si>
    <t>1.1.1.2.2.7.1</t>
  </si>
  <si>
    <t>Краска водно-дисперсионная /  КМ0 / "ПАЛИТРА РУСИ" ТУ 2310-049-51309101-2014, RAL 9016</t>
  </si>
  <si>
    <t>406711518.1506604</t>
  </si>
  <si>
    <t>36665013.1506604</t>
  </si>
  <si>
    <t>02d38f11-bb01-4c87-a584-b1119008633f</t>
  </si>
  <si>
    <t>1.1.1.2.2.7.2</t>
  </si>
  <si>
    <t>406711518.54634</t>
  </si>
  <si>
    <t>36665013.54634</t>
  </si>
  <si>
    <t>1.1.1.2.2.8</t>
  </si>
  <si>
    <t>12.1.23.2.11.5</t>
  </si>
  <si>
    <t>Подготовка поверхности СКБ / стен / по штукатурке / 2мм</t>
  </si>
  <si>
    <t>Шпаклевка стен, базовый слой</t>
  </si>
  <si>
    <t>2d82ee91-3b80-41a0-9d47-bde670b317cb</t>
  </si>
  <si>
    <t>d94b048a-66f3-4055-bee2-652770e52a45</t>
  </si>
  <si>
    <t>1.1.1.2.2.8.1</t>
  </si>
  <si>
    <t>406711499.54634</t>
  </si>
  <si>
    <t>36662409.54634</t>
  </si>
  <si>
    <t>1.1.1.2.2.8.2</t>
  </si>
  <si>
    <t>Уголок малярный_ / L=3м /25х25 мм</t>
  </si>
  <si>
    <t>406711499.18405</t>
  </si>
  <si>
    <t>36662409.18405</t>
  </si>
  <si>
    <t>6aa8b3b9-7634-40f9-a5c9-a021ce35f715</t>
  </si>
  <si>
    <t>1.1.1.2.2.8.3</t>
  </si>
  <si>
    <t>Шпатлевка гипсовая_ / белая / Унифицированная по ПИК-СТАНДАРТ, 30кг</t>
  </si>
  <si>
    <t>406711499.54621</t>
  </si>
  <si>
    <t>36662409.54621</t>
  </si>
  <si>
    <t>b18a669c-55b9-4a3b-9bec-843efe930f3c</t>
  </si>
  <si>
    <t>1.1.1.2.2.9</t>
  </si>
  <si>
    <t>Шпаклевка стен, финишный слой</t>
  </si>
  <si>
    <t>1.1.1.2.2.9.1</t>
  </si>
  <si>
    <t>Шпатлевка полимерная суперфинишная ЭЛИСИЛК_/белая/ PP37W</t>
  </si>
  <si>
    <t>406711519.54623</t>
  </si>
  <si>
    <t>36662410.54623</t>
  </si>
  <si>
    <t>fd599ec7-fabd-4bec-b213-8990de665df5</t>
  </si>
  <si>
    <t>1.1.1.2.2.9.2</t>
  </si>
  <si>
    <t>406711519.54634</t>
  </si>
  <si>
    <t>36662410.54634</t>
  </si>
  <si>
    <t>1.1.1.2.2.10</t>
  </si>
  <si>
    <t>12.1.23.2.11.6</t>
  </si>
  <si>
    <t>Подготовка поверхности СКБ / потолка / по штукатурке / 2мм</t>
  </si>
  <si>
    <t>Шпаклевка потолка, базовый слой</t>
  </si>
  <si>
    <t>42d08cea-07ba-4dbe-a8b0-b5e7c8673109</t>
  </si>
  <si>
    <t>4fff5d95-e3c5-4292-b4fb-03685f11ad6b</t>
  </si>
  <si>
    <t>1.1.1.2.2.10.1</t>
  </si>
  <si>
    <t>406711500.1139608</t>
  </si>
  <si>
    <t>36665230.1139608</t>
  </si>
  <si>
    <t>1.1.1.2.2.10.2</t>
  </si>
  <si>
    <t>Шпатлевка гипсовая_ / белая / Унифицированная по ПИК-СТАНДАРТ, 30кг (BIM)</t>
  </si>
  <si>
    <t>406711500.1570750</t>
  </si>
  <si>
    <t>36665230.1570750</t>
  </si>
  <si>
    <t>3254b4be-ac53-4a29-ad23-972be75bc24b</t>
  </si>
  <si>
    <t>1.1.1.2.2.11</t>
  </si>
  <si>
    <t>Шпаклевка потолка, финишный слой</t>
  </si>
  <si>
    <t>1.1.1.2.2.11.1</t>
  </si>
  <si>
    <t>406711520.1570750</t>
  </si>
  <si>
    <t>36665231.1570750</t>
  </si>
  <si>
    <t>1.1.1.2.2.11.2</t>
  </si>
  <si>
    <t>406711520.1139608</t>
  </si>
  <si>
    <t>36665231.1139608</t>
  </si>
  <si>
    <t>1.1.1.2.3</t>
  </si>
  <si>
    <t>12.1.23.8</t>
  </si>
  <si>
    <t>1.1.1.2.3.1</t>
  </si>
  <si>
    <t>12.1.23.8.6.1</t>
  </si>
  <si>
    <t>Демонтаж напольной керамической плитки</t>
  </si>
  <si>
    <t>13c29875-be54-4fc4-81e5-320c0546ca8c</t>
  </si>
  <si>
    <t>7b920465-b8e7-47bc-bee5-b65a2eff7ac8</t>
  </si>
  <si>
    <t>1.1.1.2.3.2</t>
  </si>
  <si>
    <t>12.1.23.8.7.1</t>
  </si>
  <si>
    <t>Демонтаж напольных покрытий (линолеум/мармолеум с учетом плинтуса)</t>
  </si>
  <si>
    <t>dabc7818-1af7-4bcb-b014-9101a7531a29</t>
  </si>
  <si>
    <t>006666f2-536e-4f85-b52b-0ddb5e0d04b5</t>
  </si>
  <si>
    <t>1.1.1.2.3.3</t>
  </si>
  <si>
    <t>12.1.23.8.9.1</t>
  </si>
  <si>
    <t xml:space="preserve">Демонтаж наливного пола </t>
  </si>
  <si>
    <t>81846705-dfe3-4c49-91d3-fc490eb891a1</t>
  </si>
  <si>
    <t>fbe85557-6d15-4551-bf71-d0ec451e4dad</t>
  </si>
  <si>
    <t>1.1.1.2.3.4</t>
  </si>
  <si>
    <t>12.1.23.8.10.1</t>
  </si>
  <si>
    <t>Демонтаж плинтуса для линолеума</t>
  </si>
  <si>
    <t>ed354d22-1b83-4ee0-a4ad-f96c81ceb832</t>
  </si>
  <si>
    <t>23852d1c-3bc2-4888-b54c-d357c9ea5005</t>
  </si>
  <si>
    <t>1.1.1.2.3.5</t>
  </si>
  <si>
    <t>12.1.23.8.17.1</t>
  </si>
  <si>
    <t>Демонтаж керамической плитки/ стены</t>
  </si>
  <si>
    <t>1a31183a-e5eb-4889-abb0-1c2b6ef2c1da</t>
  </si>
  <si>
    <t>a87e9a0f-57ad-441c-bc1d-ab27c930400f</t>
  </si>
  <si>
    <t>1.1.1.2.3.6</t>
  </si>
  <si>
    <t>12.1.23.8.18.1</t>
  </si>
  <si>
    <t>Демонтаж шпатлевки и/или штукатурки на поверхности стен</t>
  </si>
  <si>
    <t>67ed843b-286e-4669-876d-802f76998bd5</t>
  </si>
  <si>
    <t>42483040-cb35-4211-a706-0e5b75fe6630</t>
  </si>
  <si>
    <t>Общая стоимость работ, руб.с НДС 22%</t>
  </si>
  <si>
    <t>Квалификационная и контактная информация</t>
  </si>
  <si>
    <t>А</t>
  </si>
  <si>
    <t>Наличие авансирования</t>
  </si>
  <si>
    <t>да (%) /нет</t>
  </si>
  <si>
    <t>Б</t>
  </si>
  <si>
    <t>Готовность приступить к работе по уведомлению</t>
  </si>
  <si>
    <t>да /нет</t>
  </si>
  <si>
    <t>В</t>
  </si>
  <si>
    <t>Готовность предоставить банковскую гарантию (при наличии аванса)</t>
  </si>
  <si>
    <t>да(банк) /нет</t>
  </si>
  <si>
    <t>Г</t>
  </si>
  <si>
    <t>Срок исполнения предмета тендера</t>
  </si>
  <si>
    <t>мес.</t>
  </si>
  <si>
    <t>Д</t>
  </si>
  <si>
    <t>Гарантийный срок 5 лет</t>
  </si>
  <si>
    <t>E</t>
  </si>
  <si>
    <t>Информация о посещении объекта (были/не были), вопросы по результатам посещения</t>
  </si>
  <si>
    <t>были/не были
да/нет</t>
  </si>
  <si>
    <t>Ж</t>
  </si>
  <si>
    <t>Виды работ, планируемые к выполнению субподрядными организациями</t>
  </si>
  <si>
    <t>вид работ-наименование</t>
  </si>
  <si>
    <t>З</t>
  </si>
  <si>
    <t>Готовность подписать договор в редакции Заказчика</t>
  </si>
  <si>
    <t>да/нет</t>
  </si>
  <si>
    <t>И</t>
  </si>
  <si>
    <t>Наличие СРО</t>
  </si>
  <si>
    <t>да (сумма) /нет</t>
  </si>
  <si>
    <t>К</t>
  </si>
  <si>
    <t>Опыт работы с ГК ПИК (при наличии текущих проектов- указать % реализации)</t>
  </si>
  <si>
    <t>объект/ вид работ/% выполнения</t>
  </si>
  <si>
    <t>Л</t>
  </si>
  <si>
    <t>Опыт реализации подобных видов работ за последние 2-3 года (указать не более 5 ключевых объектов и их заказчиков)</t>
  </si>
  <si>
    <t>объект/заказчик/год</t>
  </si>
  <si>
    <t>М</t>
  </si>
  <si>
    <t>Численность работающих всего / численность, планируемая для выполнения предмета тендера</t>
  </si>
  <si>
    <t>кол-во/кол-во</t>
  </si>
  <si>
    <t>Н</t>
  </si>
  <si>
    <t>Дата регистрации компании</t>
  </si>
  <si>
    <t>дд/мм/гг</t>
  </si>
  <si>
    <t>О</t>
  </si>
  <si>
    <t>Оборот за последние 3 года (указать оборот (выручку) по данным бухгалтерской отчетности за 2014/2015/2016 год)</t>
  </si>
  <si>
    <t>год-сумма/год-сумма/год-сумма (руб.без НДС)</t>
  </si>
  <si>
    <t>2015-
2016-
2017-</t>
  </si>
  <si>
    <t>П</t>
  </si>
  <si>
    <t>Сайт компании</t>
  </si>
  <si>
    <t>ссылка</t>
  </si>
  <si>
    <t>Р</t>
  </si>
  <si>
    <t>Генеральный директор : Ф.И.О. полностью, тел., e-mail</t>
  </si>
  <si>
    <t>С</t>
  </si>
  <si>
    <t>Контактное лицо: Ф.И.О. полностью, тел., e-mail</t>
  </si>
  <si>
    <t>Т</t>
  </si>
  <si>
    <t>Примечание к ТКП претендента</t>
  </si>
</sst>
</file>

<file path=xl/styles.xml><?xml version="1.0" encoding="utf-8"?>
<styleSheet xmlns="http://schemas.openxmlformats.org/spreadsheetml/2006/main" xml:space="preserve">
  <numFmts count="1">
    <numFmt numFmtId="164" formatCode="#,##0.000"/>
  </numFmts>
  <fonts count="1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Times New Roman"/>
    </font>
    <font>
      <b val="0"/>
      <i val="0"/>
      <strike val="0"/>
      <u val="none"/>
      <sz val="12"/>
      <color rgb="FF2F5487"/>
      <name val="Times New Roman"/>
    </font>
    <font>
      <b val="1"/>
      <i val="0"/>
      <strike val="0"/>
      <u val="none"/>
      <sz val="16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16"/>
      <color rgb="FF000000"/>
      <name val="Times New Roman"/>
    </font>
    <font>
      <b val="1"/>
      <i val="0"/>
      <strike val="0"/>
      <u val="none"/>
      <sz val="16"/>
      <color rgb="FFFFFFFF"/>
      <name val="Times New Roman"/>
    </font>
    <font>
      <b val="1"/>
      <i val="0"/>
      <strike val="0"/>
      <u val="none"/>
      <sz val="13"/>
      <color rgb="FF000000"/>
      <name val="Times New Roman"/>
    </font>
    <font>
      <b val="1"/>
      <i val="0"/>
      <strike val="0"/>
      <u val="none"/>
      <sz val="18"/>
      <color rgb="FF000000"/>
      <name val="Times New Roman"/>
    </font>
    <font>
      <b val="0"/>
      <i val="0"/>
      <strike val="0"/>
      <u val="none"/>
      <sz val="12"/>
      <color rgb="FFFFFFFF"/>
      <name val="Times New Roman"/>
    </font>
    <font>
      <b val="0"/>
      <i val="0"/>
      <strike val="0"/>
      <u val="none"/>
      <sz val="15"/>
      <color rgb="FFFFFFFF"/>
      <name val="Times New Roman"/>
    </font>
    <font>
      <b val="0"/>
      <i val="0"/>
      <strike val="0"/>
      <u val="none"/>
      <sz val="12"/>
      <color rgb="FF0F2A2D"/>
      <name val="Times New Roman"/>
    </font>
    <font>
      <b val="0"/>
      <i val="0"/>
      <strike val="0"/>
      <u val="none"/>
      <sz val="15"/>
      <color rgb="FF0F2A2D"/>
      <name val="Times New Roman"/>
    </font>
    <font>
      <b val="0"/>
      <i val="0"/>
      <strike val="0"/>
      <u val="none"/>
      <sz val="14"/>
      <color rgb="FF000000"/>
      <name val="Times New Roman"/>
    </font>
    <font>
      <b val="0"/>
      <i val="1"/>
      <strike val="0"/>
      <u val="none"/>
      <sz val="14"/>
      <color rgb="FF000000"/>
      <name val="Times New Roman"/>
    </font>
    <font>
      <b val="0"/>
      <i val="0"/>
      <strike val="0"/>
      <u val="none"/>
      <sz val="14"/>
      <color rgb="FF800000"/>
      <name val="Times New Roman"/>
    </font>
    <font>
      <b val="1"/>
      <i val="0"/>
      <strike val="0"/>
      <u val="none"/>
      <sz val="14"/>
      <color rgb="FF000000"/>
      <name val="Times New Roman"/>
    </font>
  </fonts>
  <fills count="12">
    <fill>
      <patternFill patternType="none"/>
    </fill>
    <fill>
      <patternFill patternType="gray125"/>
    </fill>
    <fill>
      <patternFill patternType="solid">
        <fgColor rgb="FF2F5487"/>
        <bgColor rgb="FF000000"/>
      </patternFill>
    </fill>
    <fill>
      <patternFill patternType="solid">
        <fgColor rgb="FFDBE6F1"/>
        <bgColor rgb="FF000000"/>
      </patternFill>
    </fill>
    <fill>
      <patternFill patternType="solid">
        <fgColor rgb="FFD7E2EF"/>
        <bgColor rgb="FF000000"/>
      </patternFill>
    </fill>
    <fill>
      <patternFill patternType="solid">
        <fgColor rgb="FFD9D9D8"/>
        <bgColor rgb="FF000000"/>
      </patternFill>
    </fill>
    <fill>
      <patternFill patternType="solid">
        <fgColor rgb="FF5F6B73"/>
        <bgColor rgb="FF000000"/>
      </patternFill>
    </fill>
    <fill>
      <patternFill patternType="solid">
        <fgColor rgb="FF7A878F"/>
        <bgColor rgb="FF000000"/>
      </patternFill>
    </fill>
    <fill>
      <patternFill patternType="solid">
        <fgColor rgb="FF2F6F73"/>
        <bgColor rgb="FF000000"/>
      </patternFill>
    </fill>
    <fill>
      <patternFill patternType="solid">
        <fgColor rgb="FF4F8F93"/>
        <bgColor rgb="FF000000"/>
      </patternFill>
    </fill>
    <fill>
      <patternFill patternType="solid">
        <fgColor rgb="FF7FB4B8"/>
        <bgColor rgb="FF000000"/>
      </patternFill>
    </fill>
    <fill>
      <patternFill patternType="solid">
        <fgColor rgb="FFD8E4BC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 applyProtection="true">
      <alignment horizontal="left" vertical="center" textRotation="0" wrapText="false" shrinkToFit="false"/>
      <protection locked="true"/>
    </xf>
    <xf xfId="0" fontId="2" numFmtId="0" fillId="2" borderId="0" applyFont="1" applyNumberFormat="0" applyFill="1" applyBorder="0" applyAlignment="1" applyProtection="true">
      <alignment horizontal="left" vertical="center" textRotation="0" wrapText="true" shrinkToFit="false"/>
      <protection locked="tru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true"/>
    </xf>
    <xf xfId="0" fontId="4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true"/>
    </xf>
    <xf xfId="0" fontId="5" numFmtId="0" fillId="3" borderId="1" applyFont="1" applyNumberFormat="0" applyFill="1" applyBorder="1" applyAlignment="1" applyProtection="true">
      <alignment horizontal="center" vertical="center" textRotation="0" wrapText="false" shrinkToFit="false"/>
      <protection locked="true"/>
    </xf>
    <xf xfId="0" fontId="5" numFmtId="0" fillId="3" borderId="2" applyFont="1" applyNumberFormat="0" applyFill="1" applyBorder="1" applyAlignment="1" applyProtection="true">
      <alignment horizontal="center" vertical="center" textRotation="0" wrapText="false" shrinkToFit="false"/>
      <protection locked="true"/>
    </xf>
    <xf xfId="0" fontId="5" numFmtId="0" fillId="3" borderId="3" applyFont="1" applyNumberFormat="0" applyFill="1" applyBorder="1" applyAlignment="1" applyProtection="true">
      <alignment horizontal="center" vertical="center" textRotation="0" wrapText="false" shrinkToFit="false"/>
      <protection locked="true"/>
    </xf>
    <xf xfId="0" fontId="5" numFmtId="0" fillId="3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5" numFmtId="0" fillId="3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5" numFmtId="0" fillId="3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5" numFmtId="0" fillId="4" borderId="1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5" numFmtId="0" fillId="4" borderId="3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/>
    </xf>
    <xf xfId="0" fontId="4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true"/>
    </xf>
    <xf xfId="0" fontId="4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true"/>
    </xf>
    <xf xfId="0" fontId="4" numFmtId="0" fillId="0" borderId="5" applyFont="1" applyNumberFormat="0" applyFill="0" applyBorder="1" applyAlignment="1" applyProtection="true">
      <alignment horizontal="center" vertical="center" textRotation="0" wrapText="true" shrinkToFit="false"/>
      <protection locked="true"/>
    </xf>
    <xf xfId="0" fontId="4" numFmtId="0" fillId="0" borderId="6" applyFont="1" applyNumberFormat="0" applyFill="0" applyBorder="1" applyAlignment="1" applyProtection="true">
      <alignment horizontal="center" vertical="center" textRotation="0" wrapText="true" shrinkToFit="false"/>
      <protection locked="true"/>
    </xf>
    <xf xfId="0" fontId="0" numFmtId="0" fillId="2" borderId="0" applyFont="0" applyNumberFormat="0" applyFill="1" applyBorder="0" applyAlignment="0" applyProtection="true">
      <protection locked="true"/>
    </xf>
    <xf xfId="0" fontId="6" numFmtId="0" fillId="2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4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true"/>
    </xf>
    <xf xfId="0" fontId="4" numFmtId="0" fillId="0" borderId="7" applyFont="1" applyNumberFormat="0" applyFill="0" applyBorder="1" applyAlignment="1" applyProtection="true">
      <alignment horizontal="center" vertical="center" textRotation="0" wrapText="true" shrinkToFit="false"/>
      <protection locked="true"/>
    </xf>
    <xf xfId="0" fontId="7" numFmtId="4" fillId="0" borderId="4" applyFont="1" applyNumberFormat="1" applyFill="0" applyBorder="1" applyAlignment="1" applyProtection="true">
      <alignment horizontal="center" vertical="center" textRotation="0" wrapText="false" shrinkToFit="false"/>
      <protection locked="true"/>
    </xf>
    <xf xfId="0" fontId="8" numFmtId="0" fillId="5" borderId="1" applyFont="1" applyNumberFormat="0" applyFill="1" applyBorder="1" applyAlignment="1" applyProtection="true">
      <alignment horizontal="left" vertical="center" textRotation="0" wrapText="false" shrinkToFit="false"/>
      <protection locked="true"/>
    </xf>
    <xf xfId="0" fontId="8" numFmtId="0" fillId="5" borderId="2" applyFont="1" applyNumberFormat="0" applyFill="1" applyBorder="1" applyAlignment="1" applyProtection="true">
      <alignment horizontal="left" vertical="center" textRotation="0" wrapText="false" shrinkToFit="false"/>
      <protection locked="true"/>
    </xf>
    <xf xfId="0" fontId="8" numFmtId="0" fillId="5" borderId="3" applyFont="1" applyNumberFormat="0" applyFill="1" applyBorder="1" applyAlignment="1" applyProtection="true">
      <alignment horizontal="left" vertical="center" textRotation="0" wrapText="false" shrinkToFit="false"/>
      <protection locked="true"/>
    </xf>
    <xf xfId="0" fontId="0" numFmtId="0" fillId="5" borderId="2" applyFont="0" applyNumberFormat="0" applyFill="1" applyBorder="1" applyAlignment="0" applyProtection="true">
      <protection locked="true"/>
    </xf>
    <xf xfId="0" fontId="7" numFmtId="4" fillId="5" borderId="4" applyFont="1" applyNumberFormat="1" applyFill="1" applyBorder="1" applyAlignment="1" applyProtection="true">
      <alignment horizontal="center" vertical="center" textRotation="0" wrapText="false" shrinkToFit="false"/>
      <protection locked="true"/>
    </xf>
    <xf xfId="0" fontId="4" numFmtId="4" fillId="0" borderId="0" applyFont="1" applyNumberFormat="1" applyFill="0" applyBorder="0" applyAlignment="1" applyProtection="true">
      <alignment horizontal="left" vertical="center" textRotation="0" wrapText="false" shrinkToFit="false"/>
      <protection locked="true"/>
    </xf>
    <xf xfId="0" fontId="7" numFmtId="10" fillId="0" borderId="4" applyFont="1" applyNumberFormat="1" applyFill="0" applyBorder="1" applyAlignment="1" applyProtection="true">
      <alignment horizontal="center" vertical="center" textRotation="0" wrapText="false" shrinkToFit="false"/>
      <protection locked="true"/>
    </xf>
    <xf xfId="0" fontId="7" numFmtId="10" fillId="5" borderId="4" applyFont="1" applyNumberFormat="1" applyFill="1" applyBorder="1" applyAlignment="1" applyProtection="true">
      <alignment horizontal="center" vertical="center" textRotation="0" wrapText="false" shrinkToFit="false"/>
      <protection locked="true"/>
    </xf>
    <xf xfId="0" fontId="4" numFmtId="0" fillId="0" borderId="4" applyFont="1" applyNumberFormat="0" applyFill="0" applyBorder="1" applyAlignment="1" applyProtection="true">
      <alignment horizontal="left" vertical="center" textRotation="0" wrapText="false" shrinkToFit="false"/>
      <protection locked="true"/>
    </xf>
    <xf xfId="0" fontId="9" numFmtId="0" fillId="6" borderId="4" applyFont="1" applyNumberFormat="0" applyFill="1" applyBorder="1" applyAlignment="1" applyProtection="true">
      <alignment horizontal="left" vertical="center" textRotation="0" wrapText="false" shrinkToFit="false"/>
      <protection locked="true"/>
    </xf>
    <xf xfId="0" fontId="10" numFmtId="0" fillId="6" borderId="1" applyFont="1" applyNumberFormat="0" applyFill="1" applyBorder="1" applyAlignment="1" applyProtection="true">
      <alignment horizontal="left" vertical="center" textRotation="0" wrapText="false" shrinkToFit="false"/>
      <protection locked="true"/>
    </xf>
    <xf xfId="0" fontId="10" numFmtId="0" fillId="6" borderId="2" applyFont="1" applyNumberFormat="0" applyFill="1" applyBorder="1" applyAlignment="1" applyProtection="true">
      <alignment horizontal="left" vertical="center" textRotation="0" wrapText="false" shrinkToFit="false"/>
      <protection locked="true"/>
    </xf>
    <xf xfId="0" fontId="10" numFmtId="0" fillId="6" borderId="3" applyFont="1" applyNumberFormat="0" applyFill="1" applyBorder="1" applyAlignment="1" applyProtection="true">
      <alignment horizontal="left" vertical="center" textRotation="0" wrapText="false" shrinkToFit="false"/>
      <protection locked="true"/>
    </xf>
    <xf xfId="0" fontId="9" numFmtId="0" fillId="7" borderId="4" applyFont="1" applyNumberFormat="0" applyFill="1" applyBorder="1" applyAlignment="1" applyProtection="true">
      <alignment horizontal="left" vertical="center" textRotation="0" wrapText="false" shrinkToFit="false"/>
      <protection locked="true"/>
    </xf>
    <xf xfId="0" fontId="10" numFmtId="0" fillId="7" borderId="1" applyFont="1" applyNumberFormat="0" applyFill="1" applyBorder="1" applyAlignment="1" applyProtection="true">
      <alignment horizontal="left" vertical="center" textRotation="0" wrapText="false" shrinkToFit="false"/>
      <protection locked="true"/>
    </xf>
    <xf xfId="0" fontId="10" numFmtId="0" fillId="7" borderId="2" applyFont="1" applyNumberFormat="0" applyFill="1" applyBorder="1" applyAlignment="1" applyProtection="true">
      <alignment horizontal="left" vertical="center" textRotation="0" wrapText="false" shrinkToFit="false"/>
      <protection locked="true"/>
    </xf>
    <xf xfId="0" fontId="10" numFmtId="0" fillId="7" borderId="3" applyFont="1" applyNumberFormat="0" applyFill="1" applyBorder="1" applyAlignment="1" applyProtection="true">
      <alignment horizontal="left" vertical="center" textRotation="0" wrapText="false" shrinkToFit="false"/>
      <protection locked="true"/>
    </xf>
    <xf xfId="0" fontId="9" numFmtId="0" fillId="8" borderId="4" applyFont="1" applyNumberFormat="0" applyFill="1" applyBorder="1" applyAlignment="1" applyProtection="true">
      <alignment horizontal="left" vertical="center" textRotation="0" wrapText="false" shrinkToFit="false"/>
      <protection locked="true"/>
    </xf>
    <xf xfId="0" fontId="10" numFmtId="0" fillId="8" borderId="1" applyFont="1" applyNumberFormat="0" applyFill="1" applyBorder="1" applyAlignment="1" applyProtection="true">
      <alignment horizontal="left" vertical="center" textRotation="0" wrapText="false" shrinkToFit="false"/>
      <protection locked="true"/>
    </xf>
    <xf xfId="0" fontId="10" numFmtId="0" fillId="8" borderId="2" applyFont="1" applyNumberFormat="0" applyFill="1" applyBorder="1" applyAlignment="1" applyProtection="true">
      <alignment horizontal="left" vertical="center" textRotation="0" wrapText="false" shrinkToFit="false"/>
      <protection locked="true"/>
    </xf>
    <xf xfId="0" fontId="10" numFmtId="0" fillId="8" borderId="3" applyFont="1" applyNumberFormat="0" applyFill="1" applyBorder="1" applyAlignment="1" applyProtection="true">
      <alignment horizontal="left" vertical="center" textRotation="0" wrapText="false" shrinkToFit="false"/>
      <protection locked="true"/>
    </xf>
    <xf xfId="0" fontId="9" numFmtId="0" fillId="9" borderId="4" applyFont="1" applyNumberFormat="0" applyFill="1" applyBorder="1" applyAlignment="1" applyProtection="true">
      <alignment horizontal="left" vertical="center" textRotation="0" wrapText="false" shrinkToFit="false"/>
      <protection locked="true"/>
    </xf>
    <xf xfId="0" fontId="10" numFmtId="0" fillId="9" borderId="1" applyFont="1" applyNumberFormat="0" applyFill="1" applyBorder="1" applyAlignment="1" applyProtection="true">
      <alignment horizontal="left" vertical="center" textRotation="0" wrapText="false" shrinkToFit="false"/>
      <protection locked="true"/>
    </xf>
    <xf xfId="0" fontId="10" numFmtId="0" fillId="9" borderId="2" applyFont="1" applyNumberFormat="0" applyFill="1" applyBorder="1" applyAlignment="1" applyProtection="true">
      <alignment horizontal="left" vertical="center" textRotation="0" wrapText="false" shrinkToFit="false"/>
      <protection locked="true"/>
    </xf>
    <xf xfId="0" fontId="10" numFmtId="0" fillId="9" borderId="3" applyFont="1" applyNumberFormat="0" applyFill="1" applyBorder="1" applyAlignment="1" applyProtection="true">
      <alignment horizontal="left" vertical="center" textRotation="0" wrapText="false" shrinkToFit="false"/>
      <protection locked="true"/>
    </xf>
    <xf xfId="0" fontId="11" numFmtId="0" fillId="10" borderId="4" applyFont="1" applyNumberFormat="0" applyFill="1" applyBorder="1" applyAlignment="1" applyProtection="true">
      <alignment horizontal="left" vertical="center" textRotation="0" wrapText="false" shrinkToFit="false"/>
      <protection locked="true"/>
    </xf>
    <xf xfId="0" fontId="12" numFmtId="0" fillId="10" borderId="1" applyFont="1" applyNumberFormat="0" applyFill="1" applyBorder="1" applyAlignment="1" applyProtection="true">
      <alignment horizontal="left" vertical="center" textRotation="0" wrapText="false" shrinkToFit="false"/>
      <protection locked="true"/>
    </xf>
    <xf xfId="0" fontId="12" numFmtId="0" fillId="10" borderId="2" applyFont="1" applyNumberFormat="0" applyFill="1" applyBorder="1" applyAlignment="1" applyProtection="true">
      <alignment horizontal="left" vertical="center" textRotation="0" wrapText="false" shrinkToFit="false"/>
      <protection locked="true"/>
    </xf>
    <xf xfId="0" fontId="12" numFmtId="0" fillId="10" borderId="3" applyFont="1" applyNumberFormat="0" applyFill="1" applyBorder="1" applyAlignment="1" applyProtection="true">
      <alignment horizontal="left" vertical="center" textRotation="0" wrapText="false" shrinkToFit="false"/>
      <protection locked="true"/>
    </xf>
    <xf xfId="0" fontId="13" numFmtId="0" fillId="0" borderId="4" applyFont="1" applyNumberFormat="0" applyFill="0" applyBorder="1" applyAlignment="1" applyProtection="true">
      <alignment horizontal="left" vertical="center" textRotation="0" wrapText="true" shrinkToFit="false"/>
      <protection locked="true"/>
    </xf>
    <xf xfId="0" fontId="1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true"/>
    </xf>
    <xf xfId="0" fontId="13" numFmtId="164" fillId="0" borderId="4" applyFont="1" applyNumberFormat="1" applyFill="0" applyBorder="1" applyAlignment="1" applyProtection="true">
      <alignment horizontal="center" vertical="center" textRotation="0" wrapText="true" shrinkToFit="false"/>
      <protection locked="true"/>
    </xf>
    <xf xfId="0" fontId="13" numFmtId="4" fillId="0" borderId="4" applyFont="1" applyNumberFormat="1" applyFill="0" applyBorder="1" applyAlignment="1" applyProtection="true">
      <alignment horizontal="center" vertical="center" textRotation="0" wrapText="true" shrinkToFit="false"/>
      <protection locked="true"/>
    </xf>
    <xf xfId="0" fontId="13" numFmtId="4" fillId="3" borderId="4" applyFont="1" applyNumberFormat="1" applyFill="1" applyBorder="1" applyAlignment="1" applyProtection="true">
      <alignment horizontal="center" vertical="center" textRotation="0" wrapText="true" shrinkToFit="false"/>
      <protection locked="true"/>
    </xf>
    <xf xfId="0" fontId="13" numFmtId="4" fillId="3" borderId="4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13" numFmtId="10" fillId="0" borderId="4" applyFont="1" applyNumberFormat="1" applyFill="0" applyBorder="1" applyAlignment="1" applyProtection="true">
      <alignment horizontal="center" vertical="center" textRotation="0" wrapText="true" shrinkToFit="false"/>
      <protection locked="true"/>
    </xf>
    <xf xfId="0" fontId="14" numFmtId="0" fillId="0" borderId="4" applyFont="1" applyNumberFormat="0" applyFill="0" applyBorder="1" applyAlignment="1" applyProtection="true">
      <alignment horizontal="right" vertical="center" textRotation="0" wrapText="true" shrinkToFit="false"/>
      <protection locked="true"/>
    </xf>
    <xf xfId="0" fontId="1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true"/>
    </xf>
    <xf xfId="0" fontId="13" numFmtId="164" fillId="0" borderId="4" applyFont="1" applyNumberFormat="1" applyFill="0" applyBorder="1" applyAlignment="1" applyProtection="true">
      <alignment horizontal="center" vertical="center" textRotation="0" wrapText="false" shrinkToFit="false"/>
      <protection locked="true"/>
    </xf>
    <xf xfId="0" fontId="13" numFmtId="4" fillId="3" borderId="4" applyFont="1" applyNumberFormat="1" applyFill="1" applyBorder="1" applyAlignment="1" applyProtection="true">
      <alignment horizontal="center" vertical="center" textRotation="0" wrapText="false" shrinkToFit="false"/>
      <protection locked="true"/>
    </xf>
    <xf xfId="0" fontId="13" numFmtId="4" fillId="0" borderId="4" applyFont="1" applyNumberFormat="1" applyFill="0" applyBorder="1" applyAlignment="1" applyProtection="true">
      <alignment horizontal="center" vertical="center" textRotation="0" wrapText="false" shrinkToFit="false"/>
      <protection locked="true"/>
    </xf>
    <xf xfId="0" fontId="13" numFmtId="4" fillId="3" borderId="4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13" numFmtId="10" fillId="0" borderId="4" applyFont="1" applyNumberFormat="1" applyFill="0" applyBorder="1" applyAlignment="1" applyProtection="true">
      <alignment horizontal="center" vertical="center" textRotation="0" wrapText="false" shrinkToFit="false"/>
      <protection locked="true"/>
    </xf>
    <xf xfId="0" fontId="14" numFmtId="0" fillId="11" borderId="4" applyFont="1" applyNumberFormat="0" applyFill="1" applyBorder="1" applyAlignment="1" applyProtection="true">
      <alignment horizontal="right" vertical="center" textRotation="0" wrapText="true" shrinkToFit="false"/>
      <protection locked="true"/>
    </xf>
    <xf xfId="0" fontId="15" numFmtId="164" fillId="0" borderId="4" applyFont="1" applyNumberFormat="1" applyFill="0" applyBorder="1" applyAlignment="1" applyProtection="true">
      <alignment horizontal="center" vertical="center" textRotation="0" wrapText="false" shrinkToFit="false"/>
      <protection locked="true"/>
    </xf>
    <xf xfId="0" fontId="0" numFmtId="0" fillId="3" borderId="0" applyFont="0" applyNumberFormat="0" applyFill="1" applyBorder="0" applyAlignment="0" applyProtection="true">
      <protection locked="true"/>
    </xf>
    <xf xfId="0" fontId="16" numFmtId="0" fillId="3" borderId="4" applyFont="1" applyNumberFormat="0" applyFill="1" applyBorder="1" applyAlignment="1" applyProtection="true">
      <alignment horizontal="right" vertical="center" textRotation="0" wrapText="false" shrinkToFit="false"/>
      <protection locked="true"/>
    </xf>
    <xf xfId="0" fontId="16" numFmtId="4" fillId="3" borderId="4" applyFont="1" applyNumberFormat="1" applyFill="1" applyBorder="1" applyAlignment="1" applyProtection="true">
      <alignment horizontal="center" vertical="center" textRotation="0" wrapText="false" shrinkToFit="false"/>
      <protection locked="true"/>
    </xf>
    <xf xfId="0" fontId="16" numFmtId="10" fillId="3" borderId="4" applyFont="1" applyNumberFormat="1" applyFill="1" applyBorder="1" applyAlignment="1" applyProtection="true">
      <alignment horizontal="center" vertical="center" textRotation="0" wrapText="false" shrinkToFit="false"/>
      <protection locked="true"/>
    </xf>
    <xf xfId="0" fontId="4" numFmtId="0" fillId="0" borderId="4" applyFont="1" applyNumberFormat="0" applyFill="0" applyBorder="1" applyAlignment="1" applyProtection="true">
      <alignment horizontal="left" vertical="center" textRotation="0" wrapText="true" shrinkToFit="false"/>
      <protection locked="true"/>
    </xf>
    <xf xfId="0" fontId="4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true"/>
    </xf>
    <xf xfId="0" fontId="0" numFmtId="0" fillId="0" borderId="1" applyFont="0" applyNumberFormat="0" applyFill="0" applyBorder="1" applyAlignment="0" applyProtection="true">
      <protection locked="true"/>
    </xf>
    <xf xfId="0" fontId="0" numFmtId="0" fillId="0" borderId="2" applyFont="0" applyNumberFormat="0" applyFill="0" applyBorder="1" applyAlignment="0" applyProtection="true">
      <protection locked="tru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P127"/>
  <sheetViews>
    <sheetView tabSelected="1" workbookViewId="0" zoomScale="85" showGridLines="true" showRowColHeaders="1">
      <pane xSplit="9" ySplit="7" activePane="bottomRight" state="frozen" topLeftCell="J8"/>
      <selection pane="bottomRight" activeCell="H127" sqref="H127"/>
    </sheetView>
  </sheetViews>
  <sheetFormatPr defaultRowHeight="14.4" outlineLevelRow="0" outlineLevelCol="0"/>
  <cols>
    <col min="1" max="1" width="20" customWidth="true" style="0"/>
    <col min="2" max="2" width="21.709" bestFit="true" customWidth="true" style="0"/>
    <col min="3" max="3" width="55.67" customWidth="true" style="0"/>
    <col min="4" max="4" width="38" customWidth="true" style="0"/>
    <col min="5" max="5" width="38" customWidth="true" style="0"/>
    <col min="6" max="6" width="16.5" customWidth="true" style="0"/>
    <col min="7" max="7" width="16.5" customWidth="true" style="0"/>
    <col min="8" max="8" width="16" customWidth="true" style="0"/>
    <col min="9" max="9" width="16.82" customWidth="true" style="0"/>
    <col min="10" max="10" width="16" customWidth="true" style="0"/>
    <col min="11" max="11" width="17" customWidth="true" style="0"/>
    <col min="12" max="12" width="17.67" customWidth="true" style="0"/>
    <col min="13" max="13" width="18" customWidth="true" style="0"/>
    <col min="14" max="14" width="18.83" customWidth="true" style="0"/>
    <col min="15" max="15" width="23.67" customWidth="true" style="0"/>
    <col min="16" max="16" width="16" customWidth="true" style="0"/>
    <col min="17" max="17" width="17" customWidth="true" style="0"/>
    <col min="18" max="18" width="17.67" customWidth="true" style="0"/>
    <col min="19" max="19" width="18" customWidth="true" style="0"/>
    <col min="20" max="20" width="18.83" customWidth="true" style="0"/>
    <col min="21" max="21" width="23.67" customWidth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  <col min="27" max="27" width="9.10" hidden="true" style="0"/>
    <col min="28" max="28" width="9.10" hidden="true" style="0"/>
    <col min="29" max="29" width="9.10" hidden="true" style="0"/>
    <col min="30" max="30" width="9.10" hidden="true" style="0"/>
    <col min="31" max="31" width="9.10" hidden="true" style="0"/>
    <col min="32" max="32" width="9.10" hidden="true" style="0"/>
    <col min="33" max="33" width="9.10" hidden="true" style="0"/>
    <col min="34" max="34" width="9.10" hidden="true" style="0"/>
    <col min="35" max="35" width="9.10" hidden="true" style="0"/>
    <col min="37" max="37" width="17.22" customWidth="true" style="0"/>
    <col min="38" max="38" width="17.22" customWidth="true" style="0"/>
    <col min="39" max="39" width="22.89" customWidth="true" style="0"/>
    <col min="40" max="40" width="17.22" customWidth="true" style="0"/>
    <col min="41" max="41" width="17.22" customWidth="true" style="0"/>
    <col min="42" max="42" width="22.89" customWidth="true" style="0"/>
  </cols>
  <sheetData>
    <row r="1" spans="1:42" customHeight="1" ht="15">
      <c r="A1" s="1" t="s">
        <v>0</v>
      </c>
      <c r="B1" s="19"/>
      <c r="C1" s="19"/>
      <c r="D1" s="2" t="s">
        <v>1</v>
      </c>
      <c r="E1" s="2" t="s">
        <v>3</v>
      </c>
      <c r="F1" s="2" t="s">
        <v>2</v>
      </c>
      <c r="G1" s="2" t="s">
        <v>16</v>
      </c>
      <c r="H1" s="2" t="s">
        <v>17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AC1" s="21" t="s">
        <v>18</v>
      </c>
      <c r="AD1" s="21" t="s">
        <v>19</v>
      </c>
      <c r="AE1" s="21" t="s">
        <v>20</v>
      </c>
      <c r="AF1" s="21" t="s">
        <v>21</v>
      </c>
      <c r="AG1" s="21" t="s">
        <v>22</v>
      </c>
      <c r="AH1" s="21" t="s">
        <v>23</v>
      </c>
      <c r="AI1" s="21" t="s">
        <v>24</v>
      </c>
    </row>
    <row r="2" spans="1:42" customHeight="1" ht="30.75">
      <c r="A2" s="3" t="s">
        <v>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42" customHeight="1" ht="15">
      <c r="A3" s="20" t="s">
        <v>5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</row>
    <row r="4" spans="1:42" customHeight="1" ht="15">
      <c r="A4" s="4" t="s">
        <v>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42" customHeight="1" ht="40.75">
      <c r="A5" s="17" t="s">
        <v>25</v>
      </c>
      <c r="B5" s="17" t="s">
        <v>26</v>
      </c>
      <c r="C5" s="17" t="s">
        <v>27</v>
      </c>
      <c r="D5" s="17" t="s">
        <v>28</v>
      </c>
      <c r="E5" s="17" t="s">
        <v>29</v>
      </c>
      <c r="F5" s="17" t="s">
        <v>30</v>
      </c>
      <c r="G5" s="17" t="s">
        <v>31</v>
      </c>
      <c r="H5" s="17" t="s">
        <v>32</v>
      </c>
      <c r="I5" s="17" t="s">
        <v>33</v>
      </c>
      <c r="J5" s="5" t="s">
        <v>7</v>
      </c>
      <c r="K5" s="6"/>
      <c r="L5" s="6"/>
      <c r="M5" s="6"/>
      <c r="N5" s="6"/>
      <c r="O5" s="7"/>
      <c r="P5" s="8" t="s">
        <v>8</v>
      </c>
      <c r="Q5" s="9"/>
      <c r="R5" s="10"/>
      <c r="S5" s="8" t="s">
        <v>9</v>
      </c>
      <c r="T5" s="9"/>
      <c r="U5" s="10"/>
      <c r="AK5" s="11" t="s">
        <v>10</v>
      </c>
      <c r="AL5" s="12"/>
      <c r="AM5" s="12"/>
      <c r="AN5" s="12"/>
      <c r="AO5" s="12"/>
      <c r="AP5" s="13"/>
    </row>
    <row r="6" spans="1:42" customHeight="1" ht="15.75">
      <c r="A6" s="22"/>
      <c r="B6" s="22"/>
      <c r="C6" s="22"/>
      <c r="D6" s="22"/>
      <c r="E6" s="22"/>
      <c r="F6" s="22"/>
      <c r="G6" s="22"/>
      <c r="H6" s="22"/>
      <c r="I6" s="22"/>
      <c r="J6" s="14" t="s">
        <v>34</v>
      </c>
      <c r="K6" s="15"/>
      <c r="L6" s="17" t="s">
        <v>34</v>
      </c>
      <c r="M6" s="14" t="s">
        <v>35</v>
      </c>
      <c r="N6" s="15"/>
      <c r="O6" s="17" t="s">
        <v>36</v>
      </c>
      <c r="P6" s="14" t="s">
        <v>34</v>
      </c>
      <c r="Q6" s="15"/>
      <c r="R6" s="17" t="s">
        <v>34</v>
      </c>
      <c r="S6" s="14" t="s">
        <v>35</v>
      </c>
      <c r="T6" s="15"/>
      <c r="U6" s="17" t="s">
        <v>36</v>
      </c>
      <c r="AK6" s="14" t="s">
        <v>11</v>
      </c>
      <c r="AL6" s="15"/>
      <c r="AM6" s="17" t="s">
        <v>14</v>
      </c>
      <c r="AN6" s="14" t="s">
        <v>15</v>
      </c>
      <c r="AO6" s="15"/>
      <c r="AP6" s="17" t="s">
        <v>14</v>
      </c>
    </row>
    <row r="7" spans="1:42" customHeight="1" ht="31.25">
      <c r="A7" s="18"/>
      <c r="B7" s="18"/>
      <c r="C7" s="18"/>
      <c r="D7" s="18"/>
      <c r="E7" s="18"/>
      <c r="F7" s="18"/>
      <c r="G7" s="18"/>
      <c r="H7" s="18"/>
      <c r="I7" s="18"/>
      <c r="J7" s="16" t="s">
        <v>12</v>
      </c>
      <c r="K7" s="16" t="s">
        <v>13</v>
      </c>
      <c r="L7" s="18"/>
      <c r="M7" s="16" t="s">
        <v>12</v>
      </c>
      <c r="N7" s="16" t="s">
        <v>13</v>
      </c>
      <c r="O7" s="18"/>
      <c r="P7" s="16" t="s">
        <v>12</v>
      </c>
      <c r="Q7" s="16" t="s">
        <v>13</v>
      </c>
      <c r="R7" s="18"/>
      <c r="S7" s="16" t="s">
        <v>12</v>
      </c>
      <c r="T7" s="16" t="s">
        <v>13</v>
      </c>
      <c r="U7" s="18"/>
      <c r="AK7" s="16" t="s">
        <v>12</v>
      </c>
      <c r="AL7" s="16" t="s">
        <v>13</v>
      </c>
      <c r="AM7" s="18"/>
      <c r="AN7" s="16" t="s">
        <v>12</v>
      </c>
      <c r="AO7" s="16" t="s">
        <v>13</v>
      </c>
      <c r="AP7" s="18"/>
    </row>
    <row r="8" spans="1:42" customHeight="1" ht="30">
      <c r="A8" s="24" t="s">
        <v>37</v>
      </c>
      <c r="B8" s="25"/>
      <c r="C8" s="25"/>
      <c r="D8" s="25"/>
      <c r="E8" s="25"/>
      <c r="F8" s="25"/>
      <c r="G8" s="25"/>
      <c r="H8" s="25"/>
      <c r="I8" s="26"/>
      <c r="J8" s="27"/>
      <c r="K8" s="27"/>
      <c r="L8" s="27"/>
      <c r="M8" s="28">
        <f>SUM(M9)</f>
        <v>1371627.66</v>
      </c>
      <c r="N8" s="28">
        <f>SUM(N9)</f>
        <v>3880750.28</v>
      </c>
      <c r="O8" s="28">
        <f>SUM(O9)</f>
        <v>5252377.94</v>
      </c>
      <c r="P8" s="27"/>
      <c r="Q8" s="27"/>
      <c r="R8" s="27"/>
      <c r="S8" s="28">
        <f>SUM(S9)</f>
        <v>1473854.21</v>
      </c>
      <c r="T8" s="28">
        <f>SUM(T9)</f>
        <v>5131493.34</v>
      </c>
      <c r="U8" s="28">
        <f>SUM(U9)</f>
        <v>6605347.55</v>
      </c>
      <c r="Y8" s="29">
        <f>SUM(Y9)</f>
        <v>1228211.87</v>
      </c>
      <c r="Z8" s="29">
        <f>SUM(Z9)</f>
        <v>4276244.49</v>
      </c>
      <c r="AA8" s="29" t="e">
        <f>SUM(AA9)</f>
        <v>#VALUE!</v>
      </c>
      <c r="AC8" s="21" t="s">
        <v>38</v>
      </c>
      <c r="AK8" s="28">
        <f>S8-M8</f>
        <v>102226.55</v>
      </c>
      <c r="AL8" s="28">
        <f>T8-N8</f>
        <v>1250743.06</v>
      </c>
      <c r="AM8" s="28">
        <f>U8-O8</f>
        <v>1352969.61</v>
      </c>
      <c r="AN8" s="31">
        <f>IFERROR(AK8/M8,0)</f>
        <v>0.074529373372363</v>
      </c>
      <c r="AO8" s="31">
        <f>IFERROR(AL8/N8,0)</f>
        <v>0.32229413638025</v>
      </c>
      <c r="AP8" s="31">
        <f>IFERROR(AM8/O8,0)</f>
        <v>0.25759182325711</v>
      </c>
    </row>
    <row r="9" spans="1:42" customHeight="1" ht="17">
      <c r="A9" s="32" t="s">
        <v>39</v>
      </c>
      <c r="B9" s="33" t="s">
        <v>40</v>
      </c>
      <c r="C9" s="34" t="s">
        <v>41</v>
      </c>
      <c r="D9" s="35"/>
      <c r="E9" s="35"/>
      <c r="F9" s="35"/>
      <c r="G9" s="35"/>
      <c r="H9" s="35"/>
      <c r="I9" s="36"/>
      <c r="M9" s="23">
        <f>SUM(M10)</f>
        <v>1371627.66</v>
      </c>
      <c r="N9" s="23">
        <f>SUM(N10)</f>
        <v>3880750.28</v>
      </c>
      <c r="O9" s="23">
        <f>SUM(O10)</f>
        <v>5252377.94</v>
      </c>
      <c r="S9" s="23">
        <f>SUM(S10)</f>
        <v>1473854.21</v>
      </c>
      <c r="T9" s="23">
        <f>SUM(T10)</f>
        <v>5131493.34</v>
      </c>
      <c r="U9" s="23">
        <f>SUM(U10)</f>
        <v>6605347.55</v>
      </c>
      <c r="Y9" s="29">
        <f>SUM(Y10)</f>
        <v>1228211.87</v>
      </c>
      <c r="Z9" s="29">
        <f>SUM(Z10)</f>
        <v>4276244.49</v>
      </c>
      <c r="AA9" s="29" t="e">
        <f>SUM(AA10)</f>
        <v>#VALUE!</v>
      </c>
      <c r="AD9" s="21">
        <v>406711458</v>
      </c>
      <c r="AE9" s="21">
        <v>21662432</v>
      </c>
      <c r="AK9" s="23">
        <f>S9-M9</f>
        <v>102226.55</v>
      </c>
      <c r="AL9" s="23">
        <f>T9-N9</f>
        <v>1250743.06</v>
      </c>
      <c r="AM9" s="23">
        <f>U9-O9</f>
        <v>1352969.61</v>
      </c>
      <c r="AN9" s="30">
        <f>IFERROR(AK9/M9,0)</f>
        <v>0.074529373372363</v>
      </c>
      <c r="AO9" s="30">
        <f>IFERROR(AL9/N9,0)</f>
        <v>0.32229413638025</v>
      </c>
      <c r="AP9" s="30">
        <f>IFERROR(AM9/O9,0)</f>
        <v>0.25759182325711</v>
      </c>
    </row>
    <row r="10" spans="1:42" customHeight="1" ht="17">
      <c r="A10" s="32" t="s">
        <v>42</v>
      </c>
      <c r="B10" s="37" t="s">
        <v>43</v>
      </c>
      <c r="C10" s="38" t="s">
        <v>44</v>
      </c>
      <c r="D10" s="39"/>
      <c r="E10" s="39"/>
      <c r="F10" s="39"/>
      <c r="G10" s="39"/>
      <c r="H10" s="39"/>
      <c r="I10" s="40"/>
      <c r="M10" s="23">
        <f>SUM(M11,M37)</f>
        <v>1371627.66</v>
      </c>
      <c r="N10" s="23">
        <f>SUM(N11,N37)</f>
        <v>3880750.28</v>
      </c>
      <c r="O10" s="23">
        <f>SUM(O11,O37)</f>
        <v>5252377.94</v>
      </c>
      <c r="S10" s="23">
        <f>SUM(S11,S37)</f>
        <v>1473854.21</v>
      </c>
      <c r="T10" s="23">
        <f>SUM(T11,T37)</f>
        <v>5131493.34</v>
      </c>
      <c r="U10" s="23">
        <f>SUM(U11,U37)</f>
        <v>6605347.55</v>
      </c>
      <c r="Y10" s="29">
        <f>SUM(Y11,Y37)</f>
        <v>1228211.87</v>
      </c>
      <c r="Z10" s="29">
        <f>SUM(Z11,Z37)</f>
        <v>4276244.49</v>
      </c>
      <c r="AA10" s="29" t="e">
        <f>SUM(AA11,AA37)</f>
        <v>#VALUE!</v>
      </c>
      <c r="AD10" s="21">
        <v>406711459</v>
      </c>
      <c r="AE10" s="21">
        <v>21662434</v>
      </c>
      <c r="AK10" s="23">
        <f>S10-M10</f>
        <v>102226.55</v>
      </c>
      <c r="AL10" s="23">
        <f>T10-N10</f>
        <v>1250743.06</v>
      </c>
      <c r="AM10" s="23">
        <f>U10-O10</f>
        <v>1352969.61</v>
      </c>
      <c r="AN10" s="30">
        <f>IFERROR(AK10/M10,0)</f>
        <v>0.074529373372363</v>
      </c>
      <c r="AO10" s="30">
        <f>IFERROR(AL10/N10,0)</f>
        <v>0.32229413638025</v>
      </c>
      <c r="AP10" s="30">
        <f>IFERROR(AM10/O10,0)</f>
        <v>0.25759182325711</v>
      </c>
    </row>
    <row r="11" spans="1:42" customHeight="1" ht="17">
      <c r="A11" s="32" t="s">
        <v>45</v>
      </c>
      <c r="B11" s="41" t="s">
        <v>46</v>
      </c>
      <c r="C11" s="42" t="s">
        <v>47</v>
      </c>
      <c r="D11" s="43"/>
      <c r="E11" s="43"/>
      <c r="F11" s="43"/>
      <c r="G11" s="43"/>
      <c r="H11" s="43"/>
      <c r="I11" s="44"/>
      <c r="M11" s="23">
        <f>SUM(M12,M21,M34)</f>
        <v>78521.16</v>
      </c>
      <c r="N11" s="23">
        <f>SUM(N12,N21,N34)</f>
        <v>140765.32</v>
      </c>
      <c r="O11" s="23">
        <f>SUM(O12,O21,O34)</f>
        <v>219286.48</v>
      </c>
      <c r="S11" s="23">
        <f>SUM(S12,S21,S34)</f>
        <v>78521.16</v>
      </c>
      <c r="T11" s="23">
        <f>SUM(T12,T21,T34)</f>
        <v>182994.56</v>
      </c>
      <c r="U11" s="23">
        <f>SUM(U12,U21,U34)</f>
        <v>261515.72</v>
      </c>
      <c r="Y11" s="29">
        <f>SUM(Y12,Y21,Y34)</f>
        <v>65434.3</v>
      </c>
      <c r="Z11" s="29">
        <f>SUM(Z12,Z21,Z34)</f>
        <v>152495.49</v>
      </c>
      <c r="AA11" s="29" t="e">
        <f>SUM(AA12,AA21,AA34)</f>
        <v>#VALUE!</v>
      </c>
      <c r="AD11" s="21">
        <v>406711460</v>
      </c>
      <c r="AE11" s="21">
        <v>21662440</v>
      </c>
      <c r="AK11" s="23">
        <f>S11-M11</f>
        <v>0</v>
      </c>
      <c r="AL11" s="23">
        <f>T11-N11</f>
        <v>42229.24</v>
      </c>
      <c r="AM11" s="23">
        <f>U11-O11</f>
        <v>42229.24</v>
      </c>
      <c r="AN11" s="30">
        <f>IFERROR(AK11/M11,0)</f>
        <v>0</v>
      </c>
      <c r="AO11" s="30">
        <f>IFERROR(AL11/N11,0)</f>
        <v>0.29999747096799</v>
      </c>
      <c r="AP11" s="30">
        <f>IFERROR(AM11/O11,0)</f>
        <v>0.19257566631559</v>
      </c>
    </row>
    <row r="12" spans="1:42" customHeight="1" ht="17">
      <c r="A12" s="32" t="s">
        <v>48</v>
      </c>
      <c r="B12" s="45" t="s">
        <v>49</v>
      </c>
      <c r="C12" s="46" t="s">
        <v>50</v>
      </c>
      <c r="D12" s="47"/>
      <c r="E12" s="47"/>
      <c r="F12" s="47"/>
      <c r="G12" s="47"/>
      <c r="H12" s="47"/>
      <c r="I12" s="48"/>
      <c r="M12" s="23">
        <f>SUM(M13,M19)</f>
        <v>40136.44</v>
      </c>
      <c r="N12" s="23">
        <f>SUM(N13,N19)</f>
        <v>65610.41</v>
      </c>
      <c r="O12" s="23">
        <f>SUM(O13,O19)</f>
        <v>105746.85</v>
      </c>
      <c r="S12" s="23">
        <f>SUM(S13,S19)</f>
        <v>40136.44</v>
      </c>
      <c r="T12" s="23">
        <f>SUM(T13,T19)</f>
        <v>85293.52</v>
      </c>
      <c r="U12" s="23">
        <f>SUM(U13,U19)</f>
        <v>125429.96</v>
      </c>
      <c r="Y12" s="29">
        <f>SUM(Y13,Y19)</f>
        <v>33447.03</v>
      </c>
      <c r="Z12" s="29">
        <f>SUM(Z13,Z19)</f>
        <v>71077.94</v>
      </c>
      <c r="AA12" s="29" t="e">
        <f>SUM(AA13,AA19)</f>
        <v>#VALUE!</v>
      </c>
      <c r="AD12" s="21">
        <v>406711461</v>
      </c>
      <c r="AE12" s="21">
        <v>21662437</v>
      </c>
      <c r="AK12" s="23">
        <f>S12-M12</f>
        <v>0</v>
      </c>
      <c r="AL12" s="23">
        <f>T12-N12</f>
        <v>19683.11</v>
      </c>
      <c r="AM12" s="23">
        <f>U12-O12</f>
        <v>19683.11</v>
      </c>
      <c r="AN12" s="30">
        <f>IFERROR(AK12/M12,0)</f>
        <v>0</v>
      </c>
      <c r="AO12" s="30">
        <f>IFERROR(AL12/N12,0)</f>
        <v>0.29999980186071</v>
      </c>
      <c r="AP12" s="30">
        <f>IFERROR(AM12/O12,0)</f>
        <v>0.18613424418789</v>
      </c>
    </row>
    <row r="13" spans="1:42" customHeight="1" ht="17">
      <c r="A13" s="32" t="s">
        <v>51</v>
      </c>
      <c r="B13" s="49" t="s">
        <v>52</v>
      </c>
      <c r="C13" s="50" t="s">
        <v>53</v>
      </c>
      <c r="D13" s="51"/>
      <c r="E13" s="51"/>
      <c r="F13" s="51"/>
      <c r="G13" s="51"/>
      <c r="H13" s="51"/>
      <c r="I13" s="52"/>
      <c r="M13" s="23">
        <f>SUM(M14)</f>
        <v>40136.44</v>
      </c>
      <c r="N13" s="23">
        <f>SUM(N14)</f>
        <v>46494.29</v>
      </c>
      <c r="O13" s="23">
        <f>SUM(O14)</f>
        <v>86630.73</v>
      </c>
      <c r="S13" s="23">
        <f>SUM(S14)</f>
        <v>40136.44</v>
      </c>
      <c r="T13" s="23">
        <f>SUM(T14)</f>
        <v>60442.57</v>
      </c>
      <c r="U13" s="23">
        <f>SUM(U14)</f>
        <v>100579.01</v>
      </c>
      <c r="Y13" s="29">
        <f>SUM(Y14)</f>
        <v>33447.03</v>
      </c>
      <c r="Z13" s="29">
        <f>SUM(Z14)</f>
        <v>50368.81</v>
      </c>
      <c r="AA13" s="29">
        <f>SUM(AA14)</f>
        <v>83815.84</v>
      </c>
      <c r="AD13" s="21">
        <v>406711462</v>
      </c>
      <c r="AE13" s="21">
        <v>36662402</v>
      </c>
      <c r="AK13" s="23">
        <f>S13-M13</f>
        <v>0</v>
      </c>
      <c r="AL13" s="23">
        <f>T13-N13</f>
        <v>13948.28</v>
      </c>
      <c r="AM13" s="23">
        <f>U13-O13</f>
        <v>13948.28</v>
      </c>
      <c r="AN13" s="30">
        <f>IFERROR(AK13/M13,0)</f>
        <v>0</v>
      </c>
      <c r="AO13" s="30">
        <f>IFERROR(AL13/N13,0)</f>
        <v>0.29999984944388</v>
      </c>
      <c r="AP13" s="30">
        <f>IFERROR(AM13/O13,0)</f>
        <v>0.16100845508286</v>
      </c>
    </row>
    <row r="14" spans="1:42">
      <c r="A14" s="32" t="s">
        <v>54</v>
      </c>
      <c r="B14" s="32" t="s">
        <v>55</v>
      </c>
      <c r="C14" s="53" t="s">
        <v>56</v>
      </c>
      <c r="D14" s="54"/>
      <c r="E14" s="54"/>
      <c r="F14" s="54" t="s">
        <v>57</v>
      </c>
      <c r="G14" s="55">
        <v>1.0</v>
      </c>
      <c r="H14" s="55"/>
      <c r="I14" s="55">
        <v>23.143</v>
      </c>
      <c r="J14" s="56">
        <f>IFERROR(ROUND(SUM(M15,M16,M17,M18)/I14, 2),0)</f>
        <v>1734.28</v>
      </c>
      <c r="K14" s="57">
        <v>2009.0</v>
      </c>
      <c r="L14" s="56">
        <f>J14+ROUND(K14, 2)</f>
        <v>3743.28</v>
      </c>
      <c r="M14" s="56">
        <f>ROUND(J14*I14, 2)</f>
        <v>40136.44</v>
      </c>
      <c r="N14" s="56">
        <f>ROUND(I14*ROUND(K14, 2), 2)</f>
        <v>46494.29</v>
      </c>
      <c r="O14" s="56">
        <f>M14+N14</f>
        <v>86630.73</v>
      </c>
      <c r="P14" s="56">
        <f>IFERROR(ROUND(SUM(S15,S16,S17,S18)/I14, 2),0)</f>
        <v>1734.28</v>
      </c>
      <c r="Q14" s="58">
        <v>2611.7</v>
      </c>
      <c r="R14" s="56">
        <f>P14+ROUND(Q14, 2)</f>
        <v>4345.98</v>
      </c>
      <c r="S14" s="56">
        <f>ROUND(P14*I14, 2)</f>
        <v>40136.44</v>
      </c>
      <c r="T14" s="56">
        <f>ROUND(I14*ROUND(Q14, 2), 2)</f>
        <v>60442.57</v>
      </c>
      <c r="U14" s="56">
        <f>S14+T14</f>
        <v>100579.01</v>
      </c>
      <c r="V14" s="29">
        <f>ROUND(P14 / 1.2, 2)</f>
        <v>1445.23</v>
      </c>
      <c r="W14" s="29">
        <f>ROUND(Q14 / 1.2, 2)</f>
        <v>2176.42</v>
      </c>
      <c r="X14" s="29">
        <f>ROUND(R14 / 1.2, 2)</f>
        <v>3621.65</v>
      </c>
      <c r="Y14" s="29">
        <f>ROUND(S14 / 1.2, 2)</f>
        <v>33447.03</v>
      </c>
      <c r="Z14" s="29">
        <f>ROUND(T14 / 1.2, 2)</f>
        <v>50368.81</v>
      </c>
      <c r="AA14" s="29">
        <f>Y14+Z14</f>
        <v>83815.84</v>
      </c>
      <c r="AD14" s="21">
        <v>406711464</v>
      </c>
      <c r="AE14" s="21">
        <v>36662397</v>
      </c>
      <c r="AG14" s="21" t="s">
        <v>58</v>
      </c>
      <c r="AH14" s="21" t="s">
        <v>59</v>
      </c>
      <c r="AI14" s="21" t="s">
        <v>60</v>
      </c>
      <c r="AK14" s="56">
        <f>S14-M14</f>
        <v>0</v>
      </c>
      <c r="AL14" s="56">
        <f>T14-N14</f>
        <v>13948.28</v>
      </c>
      <c r="AM14" s="56">
        <f>U14-O14</f>
        <v>13948.28</v>
      </c>
      <c r="AN14" s="59">
        <f>IFERROR(AK14/M14,0)</f>
        <v>0</v>
      </c>
      <c r="AO14" s="59">
        <f>IFERROR(AL14/N14,0)</f>
        <v>0.29999984944388</v>
      </c>
      <c r="AP14" s="59">
        <f>IFERROR(AM14/O14,0)</f>
        <v>0.16100845508286</v>
      </c>
    </row>
    <row r="15" spans="1:42">
      <c r="A15" s="32" t="s">
        <v>61</v>
      </c>
      <c r="B15" s="32"/>
      <c r="C15" s="60" t="s">
        <v>62</v>
      </c>
      <c r="D15" s="54"/>
      <c r="E15" s="54"/>
      <c r="F15" s="61" t="s">
        <v>63</v>
      </c>
      <c r="G15" s="62">
        <v>0.15</v>
      </c>
      <c r="H15" s="62"/>
      <c r="I15" s="62">
        <v>3.471</v>
      </c>
      <c r="J15" s="63">
        <v>90.28</v>
      </c>
      <c r="M15" s="64">
        <f>ROUND(ROUND(J15, 2)*I15, 2)</f>
        <v>313.36</v>
      </c>
      <c r="P15" s="65">
        <v>90.28</v>
      </c>
      <c r="S15" s="64">
        <f>ROUND(ROUND(P15, 2)*I15, 2)</f>
        <v>313.36</v>
      </c>
      <c r="V15" s="29">
        <f>ROUND(ROUND(P15, 2)/1.2, 2)</f>
        <v>75.23</v>
      </c>
      <c r="Y15" s="29">
        <f>ROUND(S15 / 1.2, 2)</f>
        <v>261.13</v>
      </c>
      <c r="AD15" s="21" t="s">
        <v>64</v>
      </c>
      <c r="AE15" s="21" t="s">
        <v>65</v>
      </c>
      <c r="AF15" s="21" t="s">
        <v>66</v>
      </c>
      <c r="AK15" s="64">
        <f>S15-M15</f>
        <v>0</v>
      </c>
      <c r="AL15" s="64"/>
      <c r="AM15" s="64"/>
      <c r="AN15" s="66">
        <f>IFERROR(AK15/M15,0)</f>
        <v>0</v>
      </c>
      <c r="AO15" s="64"/>
      <c r="AP15" s="64"/>
    </row>
    <row r="16" spans="1:42">
      <c r="A16" s="32" t="s">
        <v>67</v>
      </c>
      <c r="B16" s="32"/>
      <c r="C16" s="60" t="s">
        <v>68</v>
      </c>
      <c r="D16" s="54"/>
      <c r="E16" s="54"/>
      <c r="F16" s="61" t="s">
        <v>63</v>
      </c>
      <c r="G16" s="62">
        <v>0.25</v>
      </c>
      <c r="H16" s="62"/>
      <c r="I16" s="62">
        <v>5.786</v>
      </c>
      <c r="J16" s="63">
        <v>48.23</v>
      </c>
      <c r="M16" s="64">
        <f>ROUND(ROUND(J16, 2)*I16, 2)</f>
        <v>279.06</v>
      </c>
      <c r="P16" s="65">
        <v>48.23</v>
      </c>
      <c r="S16" s="64">
        <f>ROUND(ROUND(P16, 2)*I16, 2)</f>
        <v>279.06</v>
      </c>
      <c r="V16" s="29">
        <f>ROUND(ROUND(P16, 2)/1.2, 2)</f>
        <v>40.19</v>
      </c>
      <c r="Y16" s="29">
        <f>ROUND(S16 / 1.2, 2)</f>
        <v>232.55</v>
      </c>
      <c r="AD16" s="21" t="s">
        <v>69</v>
      </c>
      <c r="AE16" s="21" t="s">
        <v>70</v>
      </c>
      <c r="AF16" s="21" t="s">
        <v>71</v>
      </c>
      <c r="AK16" s="64">
        <f>S16-M16</f>
        <v>0</v>
      </c>
      <c r="AL16" s="64"/>
      <c r="AM16" s="64"/>
      <c r="AN16" s="66">
        <f>IFERROR(AK16/M16,0)</f>
        <v>0</v>
      </c>
      <c r="AO16" s="64"/>
      <c r="AP16" s="64"/>
    </row>
    <row r="17" spans="1:42">
      <c r="A17" s="32" t="s">
        <v>72</v>
      </c>
      <c r="B17" s="32"/>
      <c r="C17" s="67" t="s">
        <v>73</v>
      </c>
      <c r="D17" s="54"/>
      <c r="E17" s="54"/>
      <c r="F17" s="61" t="s">
        <v>63</v>
      </c>
      <c r="G17" s="62">
        <v>1.2</v>
      </c>
      <c r="H17" s="68"/>
      <c r="I17" s="68">
        <v>138.858</v>
      </c>
      <c r="J17" s="63">
        <v>16.38</v>
      </c>
      <c r="M17" s="64">
        <f>ROUND(ROUND(J17, 2)*I17, 2)</f>
        <v>2274.49</v>
      </c>
      <c r="P17" s="65">
        <v>16.38</v>
      </c>
      <c r="S17" s="64">
        <f>ROUND(ROUND(P17, 2)*I17, 2)</f>
        <v>2274.49</v>
      </c>
      <c r="V17" s="29">
        <f>ROUND(ROUND(P17, 2)/1.2, 2)</f>
        <v>13.65</v>
      </c>
      <c r="Y17" s="29">
        <f>ROUND(S17 / 1.2, 2)</f>
        <v>1895.41</v>
      </c>
      <c r="AD17" s="21" t="s">
        <v>74</v>
      </c>
      <c r="AE17" s="21" t="s">
        <v>75</v>
      </c>
      <c r="AF17" s="21" t="s">
        <v>76</v>
      </c>
      <c r="AK17" s="64">
        <f>S17-M17</f>
        <v>0</v>
      </c>
      <c r="AL17" s="64"/>
      <c r="AM17" s="64"/>
      <c r="AN17" s="66">
        <f>IFERROR(AK17/M17,0)</f>
        <v>0</v>
      </c>
      <c r="AO17" s="64"/>
      <c r="AP17" s="64"/>
    </row>
    <row r="18" spans="1:42">
      <c r="A18" s="32" t="s">
        <v>77</v>
      </c>
      <c r="B18" s="32"/>
      <c r="C18" s="67" t="s">
        <v>78</v>
      </c>
      <c r="D18" s="54"/>
      <c r="E18" s="54" t="s">
        <v>79</v>
      </c>
      <c r="F18" s="61" t="s">
        <v>80</v>
      </c>
      <c r="G18" s="62">
        <v>4</v>
      </c>
      <c r="H18" s="62"/>
      <c r="I18" s="62">
        <v>92.572</v>
      </c>
      <c r="J18" s="63">
        <v>402.6</v>
      </c>
      <c r="M18" s="64">
        <f>ROUND(ROUND(J18, 2)*I18, 2)</f>
        <v>37269.49</v>
      </c>
      <c r="P18" s="65">
        <v>402.6</v>
      </c>
      <c r="S18" s="64">
        <f>ROUND(ROUND(P18, 2)*I18, 2)</f>
        <v>37269.49</v>
      </c>
      <c r="V18" s="29">
        <f>ROUND(ROUND(P18, 2)/1.2, 2)</f>
        <v>335.5</v>
      </c>
      <c r="Y18" s="29">
        <f>ROUND(S18 / 1.2, 2)</f>
        <v>31057.91</v>
      </c>
      <c r="AD18" s="21" t="s">
        <v>81</v>
      </c>
      <c r="AE18" s="21" t="s">
        <v>82</v>
      </c>
      <c r="AF18" s="21" t="s">
        <v>83</v>
      </c>
      <c r="AK18" s="64">
        <f>S18-M18</f>
        <v>0</v>
      </c>
      <c r="AL18" s="64"/>
      <c r="AM18" s="64"/>
      <c r="AN18" s="66">
        <f>IFERROR(AK18/M18,0)</f>
        <v>0</v>
      </c>
      <c r="AO18" s="64"/>
      <c r="AP18" s="64"/>
    </row>
    <row r="19" spans="1:42" customHeight="1" ht="17">
      <c r="A19" s="32" t="s">
        <v>84</v>
      </c>
      <c r="B19" s="49" t="s">
        <v>85</v>
      </c>
      <c r="C19" s="50" t="s">
        <v>86</v>
      </c>
      <c r="D19" s="51"/>
      <c r="E19" s="51"/>
      <c r="F19" s="51"/>
      <c r="G19" s="51"/>
      <c r="H19" s="51"/>
      <c r="I19" s="52"/>
      <c r="M19" s="23">
        <f>SUM(M20)</f>
        <v>0</v>
      </c>
      <c r="N19" s="23">
        <f>SUM(N20)</f>
        <v>19116.12</v>
      </c>
      <c r="O19" s="23">
        <f>SUM(O20)</f>
        <v>19116.12</v>
      </c>
      <c r="S19" s="23">
        <f>SUM(S20)</f>
        <v>0</v>
      </c>
      <c r="T19" s="23">
        <f>SUM(T20)</f>
        <v>24850.95</v>
      </c>
      <c r="U19" s="23">
        <f>SUM(U20)</f>
        <v>24850.95</v>
      </c>
      <c r="Y19" s="29">
        <f>SUM(Y20)</f>
        <v>0</v>
      </c>
      <c r="Z19" s="29">
        <f>SUM(Z20)</f>
        <v>20709.13</v>
      </c>
      <c r="AA19" s="29" t="e">
        <f>SUM(AA20)</f>
        <v>#VALUE!</v>
      </c>
      <c r="AD19" s="21">
        <v>406711465</v>
      </c>
      <c r="AE19" s="21">
        <v>21662438</v>
      </c>
      <c r="AK19" s="23">
        <f>S19-M19</f>
        <v>0</v>
      </c>
      <c r="AL19" s="23">
        <f>T19-N19</f>
        <v>5734.83</v>
      </c>
      <c r="AM19" s="23">
        <f>U19-O19</f>
        <v>5734.83</v>
      </c>
      <c r="AN19" s="30">
        <f>IFERROR(AK19/M19,0)</f>
        <v>0</v>
      </c>
      <c r="AO19" s="30">
        <f>IFERROR(AL19/N19,0)</f>
        <v>0.29999968612878</v>
      </c>
      <c r="AP19" s="30">
        <f>IFERROR(AM19/O19,0)</f>
        <v>0.29999968612878</v>
      </c>
    </row>
    <row r="20" spans="1:42">
      <c r="A20" s="32" t="s">
        <v>87</v>
      </c>
      <c r="B20" s="32" t="s">
        <v>88</v>
      </c>
      <c r="C20" s="53" t="s">
        <v>89</v>
      </c>
      <c r="D20" s="54"/>
      <c r="E20" s="54"/>
      <c r="F20" s="54" t="s">
        <v>57</v>
      </c>
      <c r="G20" s="55">
        <v>1.0</v>
      </c>
      <c r="H20" s="55"/>
      <c r="I20" s="55">
        <v>23.143</v>
      </c>
      <c r="J20" s="56">
        <v>0.0</v>
      </c>
      <c r="K20" s="57">
        <v>826.0</v>
      </c>
      <c r="L20" s="56">
        <f>J20+ROUND(K20, 2)</f>
        <v>826</v>
      </c>
      <c r="M20" s="56">
        <v>0.0</v>
      </c>
      <c r="N20" s="56">
        <f>ROUND(I20*ROUND(K20, 2), 2)</f>
        <v>19116.12</v>
      </c>
      <c r="O20" s="56">
        <f>M20+N20</f>
        <v>19116.12</v>
      </c>
      <c r="P20" s="56">
        <v>0.0</v>
      </c>
      <c r="Q20" s="58">
        <v>1073.8</v>
      </c>
      <c r="R20" s="56">
        <f>P20+ROUND(Q20, 2)</f>
        <v>1073.8</v>
      </c>
      <c r="S20" s="56">
        <v>0.0</v>
      </c>
      <c r="T20" s="56">
        <f>ROUND(I20*ROUND(Q20, 2), 2)</f>
        <v>24850.95</v>
      </c>
      <c r="U20" s="56">
        <f>S20+T20</f>
        <v>24850.95</v>
      </c>
      <c r="V20" s="29"/>
      <c r="W20" s="29">
        <f>ROUND(Q20 / 1.2, 2)</f>
        <v>894.83</v>
      </c>
      <c r="X20" s="29">
        <f>ROUND(R20 / 1.2, 2)</f>
        <v>894.83</v>
      </c>
      <c r="Y20" s="29"/>
      <c r="Z20" s="29">
        <f>ROUND(T20 / 1.2, 2)</f>
        <v>20709.13</v>
      </c>
      <c r="AA20" s="29" t="e">
        <f>Y20+Z20</f>
        <v>#VALUE!</v>
      </c>
      <c r="AD20" s="21">
        <v>406711467</v>
      </c>
      <c r="AE20" s="21">
        <v>36662401</v>
      </c>
      <c r="AG20" s="21" t="s">
        <v>90</v>
      </c>
      <c r="AH20" s="21" t="s">
        <v>91</v>
      </c>
      <c r="AI20" s="21" t="s">
        <v>60</v>
      </c>
      <c r="AK20" s="56">
        <f>S20-M20</f>
        <v>0</v>
      </c>
      <c r="AL20" s="56">
        <f>T20-N20</f>
        <v>5734.83</v>
      </c>
      <c r="AM20" s="56">
        <f>U20-O20</f>
        <v>5734.83</v>
      </c>
      <c r="AN20" s="59">
        <f>IFERROR(AK20/M20,0)</f>
        <v>0</v>
      </c>
      <c r="AO20" s="59">
        <f>IFERROR(AL20/N20,0)</f>
        <v>0.29999968612878</v>
      </c>
      <c r="AP20" s="59">
        <f>IFERROR(AM20/O20,0)</f>
        <v>0.29999968612878</v>
      </c>
    </row>
    <row r="21" spans="1:42" customHeight="1" ht="17">
      <c r="A21" s="32" t="s">
        <v>92</v>
      </c>
      <c r="B21" s="45" t="s">
        <v>93</v>
      </c>
      <c r="C21" s="46" t="s">
        <v>94</v>
      </c>
      <c r="D21" s="47"/>
      <c r="E21" s="47"/>
      <c r="F21" s="47"/>
      <c r="G21" s="47"/>
      <c r="H21" s="47"/>
      <c r="I21" s="48"/>
      <c r="M21" s="23">
        <f>SUM(M22,M32)</f>
        <v>38384.72</v>
      </c>
      <c r="N21" s="23">
        <f>SUM(N22,N32)</f>
        <v>67539.94</v>
      </c>
      <c r="O21" s="23">
        <f>SUM(O22,O32)</f>
        <v>105924.66</v>
      </c>
      <c r="S21" s="23">
        <f>SUM(S22,S32)</f>
        <v>38384.72</v>
      </c>
      <c r="T21" s="23">
        <f>SUM(T22,T32)</f>
        <v>87801.57</v>
      </c>
      <c r="U21" s="23">
        <f>SUM(U22,U32)</f>
        <v>126186.29</v>
      </c>
      <c r="Y21" s="29">
        <f>SUM(Y22,Y32)</f>
        <v>31987.27</v>
      </c>
      <c r="Z21" s="29">
        <f>SUM(Z22,Z32)</f>
        <v>73167.99</v>
      </c>
      <c r="AA21" s="29" t="e">
        <f>SUM(AA22,AA32)</f>
        <v>#VALUE!</v>
      </c>
      <c r="AD21" s="21">
        <v>406711468</v>
      </c>
      <c r="AE21" s="21">
        <v>36660150</v>
      </c>
      <c r="AK21" s="23">
        <f>S21-M21</f>
        <v>0</v>
      </c>
      <c r="AL21" s="23">
        <f>T21-N21</f>
        <v>20261.63</v>
      </c>
      <c r="AM21" s="23">
        <f>U21-O21</f>
        <v>20261.63</v>
      </c>
      <c r="AN21" s="30">
        <f>IFERROR(AK21/M21,0)</f>
        <v>0</v>
      </c>
      <c r="AO21" s="30">
        <f>IFERROR(AL21/N21,0)</f>
        <v>0.29999478826899</v>
      </c>
      <c r="AP21" s="30">
        <f>IFERROR(AM21/O21,0)</f>
        <v>0.191283408415</v>
      </c>
    </row>
    <row r="22" spans="1:42" customHeight="1" ht="17">
      <c r="A22" s="32" t="s">
        <v>95</v>
      </c>
      <c r="B22" s="49" t="s">
        <v>96</v>
      </c>
      <c r="C22" s="50" t="s">
        <v>53</v>
      </c>
      <c r="D22" s="51"/>
      <c r="E22" s="51"/>
      <c r="F22" s="51"/>
      <c r="G22" s="51"/>
      <c r="H22" s="51"/>
      <c r="I22" s="52"/>
      <c r="M22" s="23">
        <f>SUM(M23,M28)</f>
        <v>38384.72</v>
      </c>
      <c r="N22" s="23">
        <f>SUM(N23,N28)</f>
        <v>46265.34</v>
      </c>
      <c r="O22" s="23">
        <f>SUM(O23,O28)</f>
        <v>84650.06</v>
      </c>
      <c r="S22" s="23">
        <f>SUM(S23,S28)</f>
        <v>38384.72</v>
      </c>
      <c r="T22" s="23">
        <f>SUM(T23,T28)</f>
        <v>60144.6</v>
      </c>
      <c r="U22" s="23">
        <f>SUM(U23,U28)</f>
        <v>98529.32</v>
      </c>
      <c r="Y22" s="29">
        <f>SUM(Y23,Y28)</f>
        <v>31987.27</v>
      </c>
      <c r="Z22" s="29">
        <f>SUM(Z23,Z28)</f>
        <v>50120.51</v>
      </c>
      <c r="AA22" s="29">
        <f>SUM(AA23,AA28)</f>
        <v>82107.78</v>
      </c>
      <c r="AD22" s="21">
        <v>406711469</v>
      </c>
      <c r="AE22" s="21">
        <v>36660160</v>
      </c>
      <c r="AK22" s="23">
        <f>S22-M22</f>
        <v>0</v>
      </c>
      <c r="AL22" s="23">
        <f>T22-N22</f>
        <v>13879.26</v>
      </c>
      <c r="AM22" s="23">
        <f>U22-O22</f>
        <v>13879.26</v>
      </c>
      <c r="AN22" s="30">
        <f>IFERROR(AK22/M22,0)</f>
        <v>0</v>
      </c>
      <c r="AO22" s="30">
        <f>IFERROR(AL22/N22,0)</f>
        <v>0.2999926078572</v>
      </c>
      <c r="AP22" s="30">
        <f>IFERROR(AM22/O22,0)</f>
        <v>0.16396042719875</v>
      </c>
    </row>
    <row r="23" spans="1:42">
      <c r="A23" s="32" t="s">
        <v>97</v>
      </c>
      <c r="B23" s="32" t="s">
        <v>98</v>
      </c>
      <c r="C23" s="53" t="s">
        <v>99</v>
      </c>
      <c r="D23" s="54"/>
      <c r="E23" s="54" t="s">
        <v>100</v>
      </c>
      <c r="F23" s="54" t="s">
        <v>101</v>
      </c>
      <c r="G23" s="55">
        <v>1.0</v>
      </c>
      <c r="H23" s="55"/>
      <c r="I23" s="55">
        <v>98.462</v>
      </c>
      <c r="J23" s="56">
        <f>IFERROR(ROUND(SUM(M24,M25,M26,M27)/I23, 2),0)</f>
        <v>381.08</v>
      </c>
      <c r="K23" s="57">
        <v>411.01</v>
      </c>
      <c r="L23" s="56">
        <f>J23+ROUND(K23, 2)</f>
        <v>792.09</v>
      </c>
      <c r="M23" s="56">
        <f>ROUND(J23*I23, 2)</f>
        <v>37521.9</v>
      </c>
      <c r="N23" s="56">
        <f>ROUND(I23*ROUND(K23, 2), 2)</f>
        <v>40468.87</v>
      </c>
      <c r="O23" s="56">
        <f>M23+N23</f>
        <v>77990.77</v>
      </c>
      <c r="P23" s="56">
        <f>IFERROR(ROUND(SUM(S24,S25,S26,S27)/I23, 2),0)</f>
        <v>381.08</v>
      </c>
      <c r="Q23" s="58">
        <v>534.31</v>
      </c>
      <c r="R23" s="56">
        <f>P23+ROUND(Q23, 2)</f>
        <v>915.39</v>
      </c>
      <c r="S23" s="56">
        <f>ROUND(P23*I23, 2)</f>
        <v>37521.9</v>
      </c>
      <c r="T23" s="56">
        <f>ROUND(I23*ROUND(Q23, 2), 2)</f>
        <v>52609.23</v>
      </c>
      <c r="U23" s="56">
        <f>S23+T23</f>
        <v>90131.13</v>
      </c>
      <c r="V23" s="29">
        <f>ROUND(P23 / 1.2, 2)</f>
        <v>317.57</v>
      </c>
      <c r="W23" s="29">
        <f>ROUND(Q23 / 1.2, 2)</f>
        <v>445.26</v>
      </c>
      <c r="X23" s="29">
        <f>ROUND(R23 / 1.2, 2)</f>
        <v>762.83</v>
      </c>
      <c r="Y23" s="29">
        <f>ROUND(S23 / 1.2, 2)</f>
        <v>31268.25</v>
      </c>
      <c r="Z23" s="29">
        <f>ROUND(T23 / 1.2, 2)</f>
        <v>43841.03</v>
      </c>
      <c r="AA23" s="29">
        <f>Y23+Z23</f>
        <v>75109.28</v>
      </c>
      <c r="AD23" s="21">
        <v>406711471</v>
      </c>
      <c r="AE23" s="21">
        <v>36660162</v>
      </c>
      <c r="AG23" s="21" t="s">
        <v>102</v>
      </c>
      <c r="AH23" s="21" t="s">
        <v>103</v>
      </c>
      <c r="AI23" s="21" t="s">
        <v>60</v>
      </c>
      <c r="AK23" s="56">
        <f>S23-M23</f>
        <v>0</v>
      </c>
      <c r="AL23" s="56">
        <f>T23-N23</f>
        <v>12140.36</v>
      </c>
      <c r="AM23" s="56">
        <f>U23-O23</f>
        <v>12140.36</v>
      </c>
      <c r="AN23" s="59">
        <f>IFERROR(AK23/M23,0)</f>
        <v>0</v>
      </c>
      <c r="AO23" s="59">
        <f>IFERROR(AL23/N23,0)</f>
        <v>0.29999256218422</v>
      </c>
      <c r="AP23" s="59">
        <f>IFERROR(AM23/O23,0)</f>
        <v>0.15566406127289</v>
      </c>
    </row>
    <row r="24" spans="1:42">
      <c r="A24" s="32" t="s">
        <v>104</v>
      </c>
      <c r="B24" s="32"/>
      <c r="C24" s="60" t="s">
        <v>68</v>
      </c>
      <c r="D24" s="54"/>
      <c r="E24" s="54"/>
      <c r="F24" s="61" t="s">
        <v>63</v>
      </c>
      <c r="G24" s="62">
        <v>0.04</v>
      </c>
      <c r="H24" s="62"/>
      <c r="I24" s="62">
        <v>3.938</v>
      </c>
      <c r="J24" s="63">
        <v>48.23</v>
      </c>
      <c r="M24" s="64">
        <f>ROUND(ROUND(J24, 2)*I24, 2)</f>
        <v>189.93</v>
      </c>
      <c r="P24" s="65">
        <v>48.23</v>
      </c>
      <c r="S24" s="64">
        <f>ROUND(ROUND(P24, 2)*I24, 2)</f>
        <v>189.93</v>
      </c>
      <c r="V24" s="29">
        <f>ROUND(ROUND(P24, 2)/1.2, 2)</f>
        <v>40.19</v>
      </c>
      <c r="Y24" s="29">
        <f>ROUND(S24 / 1.2, 2)</f>
        <v>158.28</v>
      </c>
      <c r="AD24" s="21" t="s">
        <v>105</v>
      </c>
      <c r="AE24" s="21" t="s">
        <v>106</v>
      </c>
      <c r="AF24" s="21" t="s">
        <v>71</v>
      </c>
      <c r="AK24" s="64">
        <f>S24-M24</f>
        <v>0</v>
      </c>
      <c r="AL24" s="64"/>
      <c r="AM24" s="64"/>
      <c r="AN24" s="66">
        <f>IFERROR(AK24/M24,0)</f>
        <v>0</v>
      </c>
      <c r="AO24" s="64"/>
      <c r="AP24" s="64"/>
    </row>
    <row r="25" spans="1:42">
      <c r="A25" s="32" t="s">
        <v>107</v>
      </c>
      <c r="B25" s="32"/>
      <c r="C25" s="60" t="s">
        <v>108</v>
      </c>
      <c r="D25" s="54"/>
      <c r="E25" s="54"/>
      <c r="F25" s="61" t="s">
        <v>63</v>
      </c>
      <c r="G25" s="62">
        <v>0.015</v>
      </c>
      <c r="H25" s="62"/>
      <c r="I25" s="62">
        <v>1.477</v>
      </c>
      <c r="J25" s="63">
        <v>69.54</v>
      </c>
      <c r="M25" s="64">
        <f>ROUND(ROUND(J25, 2)*I25, 2)</f>
        <v>102.71</v>
      </c>
      <c r="P25" s="65">
        <v>69.54</v>
      </c>
      <c r="S25" s="64">
        <f>ROUND(ROUND(P25, 2)*I25, 2)</f>
        <v>102.71</v>
      </c>
      <c r="V25" s="29">
        <f>ROUND(ROUND(P25, 2)/1.2, 2)</f>
        <v>57.95</v>
      </c>
      <c r="Y25" s="29">
        <f>ROUND(S25 / 1.2, 2)</f>
        <v>85.59</v>
      </c>
      <c r="AD25" s="21" t="s">
        <v>109</v>
      </c>
      <c r="AE25" s="21" t="s">
        <v>110</v>
      </c>
      <c r="AF25" s="21" t="s">
        <v>111</v>
      </c>
      <c r="AK25" s="64">
        <f>S25-M25</f>
        <v>0</v>
      </c>
      <c r="AL25" s="64"/>
      <c r="AM25" s="64"/>
      <c r="AN25" s="66">
        <f>IFERROR(AK25/M25,0)</f>
        <v>0</v>
      </c>
      <c r="AO25" s="64"/>
      <c r="AP25" s="64"/>
    </row>
    <row r="26" spans="1:42">
      <c r="A26" s="32" t="s">
        <v>112</v>
      </c>
      <c r="B26" s="32"/>
      <c r="C26" s="60" t="s">
        <v>113</v>
      </c>
      <c r="D26" s="54"/>
      <c r="E26" s="54"/>
      <c r="F26" s="61" t="s">
        <v>80</v>
      </c>
      <c r="G26" s="62">
        <v>1.84</v>
      </c>
      <c r="H26" s="62"/>
      <c r="I26" s="62">
        <v>181.17</v>
      </c>
      <c r="J26" s="63">
        <v>199.26</v>
      </c>
      <c r="M26" s="64">
        <f>ROUND(ROUND(J26, 2)*I26, 2)</f>
        <v>36099.93</v>
      </c>
      <c r="P26" s="65">
        <v>199.26</v>
      </c>
      <c r="S26" s="64">
        <f>ROUND(ROUND(P26, 2)*I26, 2)</f>
        <v>36099.93</v>
      </c>
      <c r="V26" s="29">
        <f>ROUND(ROUND(P26, 2)/1.2, 2)</f>
        <v>166.05</v>
      </c>
      <c r="Y26" s="29">
        <f>ROUND(S26 / 1.2, 2)</f>
        <v>30083.28</v>
      </c>
      <c r="AD26" s="21" t="s">
        <v>114</v>
      </c>
      <c r="AE26" s="21" t="s">
        <v>115</v>
      </c>
      <c r="AF26" s="21" t="s">
        <v>116</v>
      </c>
      <c r="AK26" s="64">
        <f>S26-M26</f>
        <v>0</v>
      </c>
      <c r="AL26" s="64"/>
      <c r="AM26" s="64"/>
      <c r="AN26" s="66">
        <f>IFERROR(AK26/M26,0)</f>
        <v>0</v>
      </c>
      <c r="AO26" s="64"/>
      <c r="AP26" s="64"/>
    </row>
    <row r="27" spans="1:42">
      <c r="A27" s="32" t="s">
        <v>117</v>
      </c>
      <c r="B27" s="32"/>
      <c r="C27" s="67" t="s">
        <v>118</v>
      </c>
      <c r="D27" s="54"/>
      <c r="E27" s="54"/>
      <c r="F27" s="61" t="s">
        <v>63</v>
      </c>
      <c r="G27" s="62">
        <v>0.7</v>
      </c>
      <c r="H27" s="68"/>
      <c r="I27" s="68">
        <v>68.923</v>
      </c>
      <c r="J27" s="63">
        <v>16.38</v>
      </c>
      <c r="M27" s="64">
        <f>ROUND(ROUND(J27, 2)*I27, 2)</f>
        <v>1128.96</v>
      </c>
      <c r="P27" s="65">
        <v>16.38</v>
      </c>
      <c r="S27" s="64">
        <f>ROUND(ROUND(P27, 2)*I27, 2)</f>
        <v>1128.96</v>
      </c>
      <c r="V27" s="29">
        <f>ROUND(ROUND(P27, 2)/1.2, 2)</f>
        <v>13.65</v>
      </c>
      <c r="Y27" s="29">
        <f>ROUND(S27 / 1.2, 2)</f>
        <v>940.8</v>
      </c>
      <c r="AD27" s="21" t="s">
        <v>119</v>
      </c>
      <c r="AE27" s="21" t="s">
        <v>120</v>
      </c>
      <c r="AF27" s="21" t="s">
        <v>121</v>
      </c>
      <c r="AK27" s="64">
        <f>S27-M27</f>
        <v>0</v>
      </c>
      <c r="AL27" s="64"/>
      <c r="AM27" s="64"/>
      <c r="AN27" s="66">
        <f>IFERROR(AK27/M27,0)</f>
        <v>0</v>
      </c>
      <c r="AO27" s="64"/>
      <c r="AP27" s="64"/>
    </row>
    <row r="28" spans="1:42">
      <c r="A28" s="32" t="s">
        <v>122</v>
      </c>
      <c r="B28" s="32" t="s">
        <v>98</v>
      </c>
      <c r="C28" s="53" t="s">
        <v>99</v>
      </c>
      <c r="D28" s="54"/>
      <c r="E28" s="54" t="s">
        <v>123</v>
      </c>
      <c r="F28" s="54" t="s">
        <v>101</v>
      </c>
      <c r="G28" s="55">
        <v>1.0</v>
      </c>
      <c r="H28" s="55"/>
      <c r="I28" s="55">
        <v>14.103</v>
      </c>
      <c r="J28" s="56">
        <f>IFERROR(ROUND(SUM(M29,M30,M31)/I28, 2),0)</f>
        <v>61.18</v>
      </c>
      <c r="K28" s="57">
        <v>411.01</v>
      </c>
      <c r="L28" s="56">
        <f>J28+ROUND(K28, 2)</f>
        <v>472.19</v>
      </c>
      <c r="M28" s="56">
        <f>ROUND(J28*I28, 2)</f>
        <v>862.82</v>
      </c>
      <c r="N28" s="56">
        <f>ROUND(I28*ROUND(K28, 2), 2)</f>
        <v>5796.47</v>
      </c>
      <c r="O28" s="56">
        <f>M28+N28</f>
        <v>6659.29</v>
      </c>
      <c r="P28" s="56">
        <f>IFERROR(ROUND(SUM(S29,S30,S31)/I28, 2),0)</f>
        <v>61.18</v>
      </c>
      <c r="Q28" s="58">
        <v>534.31</v>
      </c>
      <c r="R28" s="56">
        <f>P28+ROUND(Q28, 2)</f>
        <v>595.49</v>
      </c>
      <c r="S28" s="56">
        <f>ROUND(P28*I28, 2)</f>
        <v>862.82</v>
      </c>
      <c r="T28" s="56">
        <f>ROUND(I28*ROUND(Q28, 2), 2)</f>
        <v>7535.37</v>
      </c>
      <c r="U28" s="56">
        <f>S28+T28</f>
        <v>8398.19</v>
      </c>
      <c r="V28" s="29">
        <f>ROUND(P28 / 1.2, 2)</f>
        <v>50.98</v>
      </c>
      <c r="W28" s="29">
        <f>ROUND(Q28 / 1.2, 2)</f>
        <v>445.26</v>
      </c>
      <c r="X28" s="29">
        <f>ROUND(R28 / 1.2, 2)</f>
        <v>496.24</v>
      </c>
      <c r="Y28" s="29">
        <f>ROUND(S28 / 1.2, 2)</f>
        <v>719.02</v>
      </c>
      <c r="Z28" s="29">
        <f>ROUND(T28 / 1.2, 2)</f>
        <v>6279.48</v>
      </c>
      <c r="AA28" s="29">
        <f>Y28+Z28</f>
        <v>6998.5</v>
      </c>
      <c r="AD28" s="21">
        <v>406711514</v>
      </c>
      <c r="AE28" s="21">
        <v>36660716</v>
      </c>
      <c r="AG28" s="21" t="s">
        <v>102</v>
      </c>
      <c r="AH28" s="21" t="s">
        <v>103</v>
      </c>
      <c r="AI28" s="21" t="s">
        <v>60</v>
      </c>
      <c r="AK28" s="56">
        <f>S28-M28</f>
        <v>0</v>
      </c>
      <c r="AL28" s="56">
        <f>T28-N28</f>
        <v>1738.9</v>
      </c>
      <c r="AM28" s="56">
        <f>U28-O28</f>
        <v>1738.9</v>
      </c>
      <c r="AN28" s="59">
        <f>IFERROR(AK28/M28,0)</f>
        <v>0</v>
      </c>
      <c r="AO28" s="59">
        <f>IFERROR(AL28/N28,0)</f>
        <v>0.29999292672954</v>
      </c>
      <c r="AP28" s="59">
        <f>IFERROR(AM28/O28,0)</f>
        <v>0.26112393363256</v>
      </c>
    </row>
    <row r="29" spans="1:42">
      <c r="A29" s="32" t="s">
        <v>124</v>
      </c>
      <c r="B29" s="32"/>
      <c r="C29" s="67" t="s">
        <v>118</v>
      </c>
      <c r="D29" s="54"/>
      <c r="E29" s="54"/>
      <c r="F29" s="61" t="s">
        <v>63</v>
      </c>
      <c r="G29" s="62">
        <v>0.7</v>
      </c>
      <c r="H29" s="68"/>
      <c r="I29" s="68">
        <v>9.872</v>
      </c>
      <c r="J29" s="63">
        <v>16.38</v>
      </c>
      <c r="M29" s="64">
        <f>ROUND(ROUND(J29, 2)*I29, 2)</f>
        <v>161.7</v>
      </c>
      <c r="P29" s="65">
        <v>16.38</v>
      </c>
      <c r="S29" s="64">
        <f>ROUND(ROUND(P29, 2)*I29, 2)</f>
        <v>161.7</v>
      </c>
      <c r="V29" s="29">
        <f>ROUND(ROUND(P29, 2)/1.2, 2)</f>
        <v>13.65</v>
      </c>
      <c r="Y29" s="29">
        <f>ROUND(S29 / 1.2, 2)</f>
        <v>134.75</v>
      </c>
      <c r="AD29" s="21" t="s">
        <v>125</v>
      </c>
      <c r="AE29" s="21" t="s">
        <v>126</v>
      </c>
      <c r="AF29" s="21" t="s">
        <v>121</v>
      </c>
      <c r="AK29" s="64">
        <f>S29-M29</f>
        <v>0</v>
      </c>
      <c r="AL29" s="64"/>
      <c r="AM29" s="64"/>
      <c r="AN29" s="66">
        <f>IFERROR(AK29/M29,0)</f>
        <v>0</v>
      </c>
      <c r="AO29" s="64"/>
      <c r="AP29" s="64"/>
    </row>
    <row r="30" spans="1:42">
      <c r="A30" s="32" t="s">
        <v>127</v>
      </c>
      <c r="B30" s="32"/>
      <c r="C30" s="67" t="s">
        <v>128</v>
      </c>
      <c r="D30" s="54"/>
      <c r="E30" s="54"/>
      <c r="F30" s="61" t="s">
        <v>57</v>
      </c>
      <c r="G30" s="62">
        <v>0.107</v>
      </c>
      <c r="H30" s="62"/>
      <c r="I30" s="62">
        <v>1.509</v>
      </c>
      <c r="J30" s="63">
        <v>454.86</v>
      </c>
      <c r="M30" s="64">
        <f>ROUND(ROUND(J30, 2)*I30, 2)</f>
        <v>686.38</v>
      </c>
      <c r="P30" s="65">
        <v>454.86</v>
      </c>
      <c r="S30" s="64">
        <f>ROUND(ROUND(P30, 2)*I30, 2)</f>
        <v>686.38</v>
      </c>
      <c r="V30" s="29">
        <f>ROUND(ROUND(P30, 2)/1.2, 2)</f>
        <v>379.05</v>
      </c>
      <c r="Y30" s="29">
        <f>ROUND(S30 / 1.2, 2)</f>
        <v>571.98</v>
      </c>
      <c r="AD30" s="21" t="s">
        <v>129</v>
      </c>
      <c r="AE30" s="21" t="s">
        <v>130</v>
      </c>
      <c r="AF30" s="21" t="s">
        <v>131</v>
      </c>
      <c r="AK30" s="64">
        <f>S30-M30</f>
        <v>0</v>
      </c>
      <c r="AL30" s="64"/>
      <c r="AM30" s="64"/>
      <c r="AN30" s="66">
        <f>IFERROR(AK30/M30,0)</f>
        <v>0</v>
      </c>
      <c r="AO30" s="64"/>
      <c r="AP30" s="64"/>
    </row>
    <row r="31" spans="1:42">
      <c r="A31" s="32" t="s">
        <v>132</v>
      </c>
      <c r="B31" s="32"/>
      <c r="C31" s="60" t="s">
        <v>108</v>
      </c>
      <c r="D31" s="54"/>
      <c r="E31" s="54"/>
      <c r="F31" s="61" t="s">
        <v>63</v>
      </c>
      <c r="G31" s="62">
        <v>0.015</v>
      </c>
      <c r="H31" s="62"/>
      <c r="I31" s="62">
        <v>0.212</v>
      </c>
      <c r="J31" s="63">
        <v>69.54</v>
      </c>
      <c r="M31" s="64">
        <f>ROUND(ROUND(J31, 2)*I31, 2)</f>
        <v>14.74</v>
      </c>
      <c r="P31" s="65">
        <v>69.54</v>
      </c>
      <c r="S31" s="64">
        <f>ROUND(ROUND(P31, 2)*I31, 2)</f>
        <v>14.74</v>
      </c>
      <c r="V31" s="29">
        <f>ROUND(ROUND(P31, 2)/1.2, 2)</f>
        <v>57.95</v>
      </c>
      <c r="Y31" s="29">
        <f>ROUND(S31 / 1.2, 2)</f>
        <v>12.28</v>
      </c>
      <c r="AD31" s="21" t="s">
        <v>133</v>
      </c>
      <c r="AE31" s="21" t="s">
        <v>134</v>
      </c>
      <c r="AF31" s="21" t="s">
        <v>111</v>
      </c>
      <c r="AK31" s="64">
        <f>S31-M31</f>
        <v>0</v>
      </c>
      <c r="AL31" s="64"/>
      <c r="AM31" s="64"/>
      <c r="AN31" s="66">
        <f>IFERROR(AK31/M31,0)</f>
        <v>0</v>
      </c>
      <c r="AO31" s="64"/>
      <c r="AP31" s="64"/>
    </row>
    <row r="32" spans="1:42" customHeight="1" ht="17">
      <c r="A32" s="32" t="s">
        <v>135</v>
      </c>
      <c r="B32" s="49" t="s">
        <v>136</v>
      </c>
      <c r="C32" s="50" t="s">
        <v>86</v>
      </c>
      <c r="D32" s="51"/>
      <c r="E32" s="51"/>
      <c r="F32" s="51"/>
      <c r="G32" s="51"/>
      <c r="H32" s="51"/>
      <c r="I32" s="52"/>
      <c r="M32" s="23">
        <f>SUM(M33)</f>
        <v>0</v>
      </c>
      <c r="N32" s="23">
        <f>SUM(N33)</f>
        <v>21274.6</v>
      </c>
      <c r="O32" s="23">
        <f>SUM(O33)</f>
        <v>21274.6</v>
      </c>
      <c r="S32" s="23">
        <f>SUM(S33)</f>
        <v>0</v>
      </c>
      <c r="T32" s="23">
        <f>SUM(T33)</f>
        <v>27656.97</v>
      </c>
      <c r="U32" s="23">
        <f>SUM(U33)</f>
        <v>27656.97</v>
      </c>
      <c r="Y32" s="29">
        <f>SUM(Y33)</f>
        <v>0</v>
      </c>
      <c r="Z32" s="29">
        <f>SUM(Z33)</f>
        <v>23047.48</v>
      </c>
      <c r="AA32" s="29" t="e">
        <f>SUM(AA33)</f>
        <v>#VALUE!</v>
      </c>
      <c r="AD32" s="21">
        <v>406711472</v>
      </c>
      <c r="AE32" s="21">
        <v>36660149</v>
      </c>
      <c r="AK32" s="23">
        <f>S32-M32</f>
        <v>0</v>
      </c>
      <c r="AL32" s="23">
        <f>T32-N32</f>
        <v>6382.37</v>
      </c>
      <c r="AM32" s="23">
        <f>U32-O32</f>
        <v>6382.37</v>
      </c>
      <c r="AN32" s="30">
        <f>IFERROR(AK32/M32,0)</f>
        <v>0</v>
      </c>
      <c r="AO32" s="30">
        <f>IFERROR(AL32/N32,0)</f>
        <v>0.29999952995591</v>
      </c>
      <c r="AP32" s="30">
        <f>IFERROR(AM32/O32,0)</f>
        <v>0.29999952995591</v>
      </c>
    </row>
    <row r="33" spans="1:42">
      <c r="A33" s="32" t="s">
        <v>137</v>
      </c>
      <c r="B33" s="32" t="s">
        <v>138</v>
      </c>
      <c r="C33" s="53" t="s">
        <v>139</v>
      </c>
      <c r="D33" s="54"/>
      <c r="E33" s="54"/>
      <c r="F33" s="54" t="s">
        <v>101</v>
      </c>
      <c r="G33" s="55">
        <v>1.0</v>
      </c>
      <c r="H33" s="55"/>
      <c r="I33" s="55">
        <v>112.564</v>
      </c>
      <c r="J33" s="56">
        <v>0.0</v>
      </c>
      <c r="K33" s="57">
        <v>189.0</v>
      </c>
      <c r="L33" s="56">
        <f>J33+ROUND(K33, 2)</f>
        <v>189</v>
      </c>
      <c r="M33" s="56">
        <v>0.0</v>
      </c>
      <c r="N33" s="56">
        <f>ROUND(I33*ROUND(K33, 2), 2)</f>
        <v>21274.6</v>
      </c>
      <c r="O33" s="56">
        <f>M33+N33</f>
        <v>21274.6</v>
      </c>
      <c r="P33" s="56">
        <v>0.0</v>
      </c>
      <c r="Q33" s="58">
        <v>245.7</v>
      </c>
      <c r="R33" s="56">
        <f>P33+ROUND(Q33, 2)</f>
        <v>245.7</v>
      </c>
      <c r="S33" s="56">
        <v>0.0</v>
      </c>
      <c r="T33" s="56">
        <f>ROUND(I33*ROUND(Q33, 2), 2)</f>
        <v>27656.97</v>
      </c>
      <c r="U33" s="56">
        <f>S33+T33</f>
        <v>27656.97</v>
      </c>
      <c r="V33" s="29"/>
      <c r="W33" s="29">
        <f>ROUND(Q33 / 1.2, 2)</f>
        <v>204.75</v>
      </c>
      <c r="X33" s="29">
        <f>ROUND(R33 / 1.2, 2)</f>
        <v>204.75</v>
      </c>
      <c r="Y33" s="29"/>
      <c r="Z33" s="29">
        <f>ROUND(T33 / 1.2, 2)</f>
        <v>23047.48</v>
      </c>
      <c r="AA33" s="29" t="e">
        <f>Y33+Z33</f>
        <v>#VALUE!</v>
      </c>
      <c r="AD33" s="21">
        <v>406711474</v>
      </c>
      <c r="AE33" s="21">
        <v>36660158</v>
      </c>
      <c r="AG33" s="21" t="s">
        <v>140</v>
      </c>
      <c r="AH33" s="21" t="s">
        <v>141</v>
      </c>
      <c r="AI33" s="21" t="s">
        <v>60</v>
      </c>
      <c r="AK33" s="56">
        <f>S33-M33</f>
        <v>0</v>
      </c>
      <c r="AL33" s="56">
        <f>T33-N33</f>
        <v>6382.37</v>
      </c>
      <c r="AM33" s="56">
        <f>U33-O33</f>
        <v>6382.37</v>
      </c>
      <c r="AN33" s="59">
        <f>IFERROR(AK33/M33,0)</f>
        <v>0</v>
      </c>
      <c r="AO33" s="59">
        <f>IFERROR(AL33/N33,0)</f>
        <v>0.29999952995591</v>
      </c>
      <c r="AP33" s="59">
        <f>IFERROR(AM33/O33,0)</f>
        <v>0.29999952995591</v>
      </c>
    </row>
    <row r="34" spans="1:42" customHeight="1" ht="17">
      <c r="A34" s="32" t="s">
        <v>142</v>
      </c>
      <c r="B34" s="45" t="s">
        <v>143</v>
      </c>
      <c r="C34" s="46" t="s">
        <v>144</v>
      </c>
      <c r="D34" s="47"/>
      <c r="E34" s="47"/>
      <c r="F34" s="47"/>
      <c r="G34" s="47"/>
      <c r="H34" s="47"/>
      <c r="I34" s="48"/>
      <c r="M34" s="23">
        <f>SUM(M35,M36)</f>
        <v>0</v>
      </c>
      <c r="N34" s="23">
        <f>SUM(N35,N36)</f>
        <v>7614.97</v>
      </c>
      <c r="O34" s="23">
        <f>SUM(O35,O36)</f>
        <v>7614.97</v>
      </c>
      <c r="S34" s="23">
        <f>SUM(S35,S36)</f>
        <v>0</v>
      </c>
      <c r="T34" s="23">
        <f>SUM(T35,T36)</f>
        <v>9899.47</v>
      </c>
      <c r="U34" s="23">
        <f>SUM(U35,U36)</f>
        <v>9899.47</v>
      </c>
      <c r="Y34" s="29">
        <f>SUM(Y35,Y36)</f>
        <v>0</v>
      </c>
      <c r="Z34" s="29">
        <f>SUM(Z35,Z36)</f>
        <v>8249.56</v>
      </c>
      <c r="AA34" s="29" t="e">
        <f>SUM(AA35,AA36)</f>
        <v>#VALUE!</v>
      </c>
      <c r="AD34" s="21">
        <v>406711475</v>
      </c>
      <c r="AE34" s="21">
        <v>21662442</v>
      </c>
      <c r="AK34" s="23">
        <f>S34-M34</f>
        <v>0</v>
      </c>
      <c r="AL34" s="23">
        <f>T34-N34</f>
        <v>2284.5</v>
      </c>
      <c r="AM34" s="23">
        <f>U34-O34</f>
        <v>2284.5</v>
      </c>
      <c r="AN34" s="30">
        <f>IFERROR(AK34/M34,0)</f>
        <v>0</v>
      </c>
      <c r="AO34" s="30">
        <f>IFERROR(AL34/N34,0)</f>
        <v>0.30000118188253</v>
      </c>
      <c r="AP34" s="30">
        <f>IFERROR(AM34/O34,0)</f>
        <v>0.30000118188253</v>
      </c>
    </row>
    <row r="35" spans="1:42">
      <c r="A35" s="32" t="s">
        <v>145</v>
      </c>
      <c r="B35" s="32" t="s">
        <v>146</v>
      </c>
      <c r="C35" s="53" t="s">
        <v>147</v>
      </c>
      <c r="D35" s="54"/>
      <c r="E35" s="54"/>
      <c r="F35" s="54" t="s">
        <v>148</v>
      </c>
      <c r="G35" s="55">
        <v>1.0</v>
      </c>
      <c r="H35" s="55"/>
      <c r="I35" s="55">
        <v>2.8</v>
      </c>
      <c r="J35" s="56">
        <v>0.0</v>
      </c>
      <c r="K35" s="57">
        <v>1883.0</v>
      </c>
      <c r="L35" s="56">
        <f>J35+ROUND(K35, 2)</f>
        <v>1883</v>
      </c>
      <c r="M35" s="56">
        <v>0.0</v>
      </c>
      <c r="N35" s="56">
        <f>ROUND(I35*ROUND(K35, 2), 2)</f>
        <v>5272.4</v>
      </c>
      <c r="O35" s="56">
        <f>M35+N35</f>
        <v>5272.4</v>
      </c>
      <c r="P35" s="56">
        <v>0.0</v>
      </c>
      <c r="Q35" s="58">
        <v>2447.9</v>
      </c>
      <c r="R35" s="56">
        <f>P35+ROUND(Q35, 2)</f>
        <v>2447.9</v>
      </c>
      <c r="S35" s="56">
        <v>0.0</v>
      </c>
      <c r="T35" s="56">
        <f>ROUND(I35*ROUND(Q35, 2), 2)</f>
        <v>6854.12</v>
      </c>
      <c r="U35" s="56">
        <f>S35+T35</f>
        <v>6854.12</v>
      </c>
      <c r="V35" s="29"/>
      <c r="W35" s="29">
        <f>ROUND(Q35 / 1.2, 2)</f>
        <v>2039.92</v>
      </c>
      <c r="X35" s="29">
        <f>ROUND(R35 / 1.2, 2)</f>
        <v>2039.92</v>
      </c>
      <c r="Y35" s="29"/>
      <c r="Z35" s="29">
        <f>ROUND(T35 / 1.2, 2)</f>
        <v>5711.77</v>
      </c>
      <c r="AA35" s="29" t="e">
        <f>Y35+Z35</f>
        <v>#VALUE!</v>
      </c>
      <c r="AD35" s="21">
        <v>406711477</v>
      </c>
      <c r="AE35" s="21">
        <v>21662439</v>
      </c>
      <c r="AG35" s="21" t="s">
        <v>149</v>
      </c>
      <c r="AH35" s="21" t="s">
        <v>150</v>
      </c>
      <c r="AI35" s="21" t="s">
        <v>60</v>
      </c>
      <c r="AK35" s="56">
        <f>S35-M35</f>
        <v>0</v>
      </c>
      <c r="AL35" s="56">
        <f>T35-N35</f>
        <v>1581.72</v>
      </c>
      <c r="AM35" s="56">
        <f>U35-O35</f>
        <v>1581.72</v>
      </c>
      <c r="AN35" s="59">
        <f>IFERROR(AK35/M35,0)</f>
        <v>0</v>
      </c>
      <c r="AO35" s="59">
        <f>IFERROR(AL35/N35,0)</f>
        <v>0.3</v>
      </c>
      <c r="AP35" s="59">
        <f>IFERROR(AM35/O35,0)</f>
        <v>0.3</v>
      </c>
    </row>
    <row r="36" spans="1:42">
      <c r="A36" s="32" t="s">
        <v>151</v>
      </c>
      <c r="B36" s="32" t="s">
        <v>152</v>
      </c>
      <c r="C36" s="53" t="s">
        <v>153</v>
      </c>
      <c r="D36" s="54"/>
      <c r="E36" s="54"/>
      <c r="F36" s="54" t="s">
        <v>148</v>
      </c>
      <c r="G36" s="55">
        <v>1.0</v>
      </c>
      <c r="H36" s="55"/>
      <c r="I36" s="55">
        <v>2.6</v>
      </c>
      <c r="J36" s="56">
        <v>0.0</v>
      </c>
      <c r="K36" s="57">
        <v>900.99</v>
      </c>
      <c r="L36" s="56">
        <f>J36+ROUND(K36, 2)</f>
        <v>900.99</v>
      </c>
      <c r="M36" s="56">
        <v>0.0</v>
      </c>
      <c r="N36" s="56">
        <f>ROUND(I36*ROUND(K36, 2), 2)</f>
        <v>2342.57</v>
      </c>
      <c r="O36" s="56">
        <f>M36+N36</f>
        <v>2342.57</v>
      </c>
      <c r="P36" s="56">
        <v>0.0</v>
      </c>
      <c r="Q36" s="58">
        <v>1171.29</v>
      </c>
      <c r="R36" s="56">
        <f>P36+ROUND(Q36, 2)</f>
        <v>1171.29</v>
      </c>
      <c r="S36" s="56">
        <v>0.0</v>
      </c>
      <c r="T36" s="56">
        <f>ROUND(I36*ROUND(Q36, 2), 2)</f>
        <v>3045.35</v>
      </c>
      <c r="U36" s="56">
        <f>S36+T36</f>
        <v>3045.35</v>
      </c>
      <c r="V36" s="29"/>
      <c r="W36" s="29">
        <f>ROUND(Q36 / 1.2, 2)</f>
        <v>976.08</v>
      </c>
      <c r="X36" s="29">
        <f>ROUND(R36 / 1.2, 2)</f>
        <v>976.08</v>
      </c>
      <c r="Y36" s="29"/>
      <c r="Z36" s="29">
        <f>ROUND(T36 / 1.2, 2)</f>
        <v>2537.79</v>
      </c>
      <c r="AA36" s="29" t="e">
        <f>Y36+Z36</f>
        <v>#VALUE!</v>
      </c>
      <c r="AD36" s="21">
        <v>406711479</v>
      </c>
      <c r="AE36" s="21">
        <v>21662433</v>
      </c>
      <c r="AG36" s="21" t="s">
        <v>154</v>
      </c>
      <c r="AH36" s="21" t="s">
        <v>155</v>
      </c>
      <c r="AI36" s="21" t="s">
        <v>60</v>
      </c>
      <c r="AK36" s="56">
        <f>S36-M36</f>
        <v>0</v>
      </c>
      <c r="AL36" s="56">
        <f>T36-N36</f>
        <v>702.78</v>
      </c>
      <c r="AM36" s="56">
        <f>U36-O36</f>
        <v>702.78</v>
      </c>
      <c r="AN36" s="59">
        <f>IFERROR(AK36/M36,0)</f>
        <v>0</v>
      </c>
      <c r="AO36" s="59">
        <f>IFERROR(AL36/N36,0)</f>
        <v>0.30000384193429</v>
      </c>
      <c r="AP36" s="59">
        <f>IFERROR(AM36/O36,0)</f>
        <v>0.30000384193429</v>
      </c>
    </row>
    <row r="37" spans="1:42" customHeight="1" ht="17">
      <c r="A37" s="32" t="s">
        <v>156</v>
      </c>
      <c r="B37" s="41" t="s">
        <v>157</v>
      </c>
      <c r="C37" s="42" t="s">
        <v>158</v>
      </c>
      <c r="D37" s="43"/>
      <c r="E37" s="43"/>
      <c r="F37" s="43"/>
      <c r="G37" s="43"/>
      <c r="H37" s="43"/>
      <c r="I37" s="44"/>
      <c r="M37" s="23">
        <f>SUM(M38,M60,M101)</f>
        <v>1293106.5</v>
      </c>
      <c r="N37" s="23">
        <f>SUM(N38,N60,N101)</f>
        <v>3739984.96</v>
      </c>
      <c r="O37" s="23">
        <f>SUM(O38,O60,O101)</f>
        <v>5033091.46</v>
      </c>
      <c r="S37" s="23">
        <f>SUM(S38,S60,S101)</f>
        <v>1395333.05</v>
      </c>
      <c r="T37" s="23">
        <f>SUM(T38,T60,T101)</f>
        <v>4948498.78</v>
      </c>
      <c r="U37" s="23">
        <f>SUM(U38,U60,U101)</f>
        <v>6343831.83</v>
      </c>
      <c r="Y37" s="29">
        <f>SUM(Y38,Y60,Y101)</f>
        <v>1162777.57</v>
      </c>
      <c r="Z37" s="29">
        <f>SUM(Z38,Z60,Z101)</f>
        <v>4123749</v>
      </c>
      <c r="AA37" s="29" t="e">
        <f>SUM(AA38,AA60,AA101)</f>
        <v>#VALUE!</v>
      </c>
      <c r="AD37" s="21">
        <v>406711480</v>
      </c>
      <c r="AE37" s="21">
        <v>36659757</v>
      </c>
      <c r="AK37" s="23">
        <f>S37-M37</f>
        <v>102226.55</v>
      </c>
      <c r="AL37" s="23">
        <f>T37-N37</f>
        <v>1208513.82</v>
      </c>
      <c r="AM37" s="23">
        <f>U37-O37</f>
        <v>1310740.37</v>
      </c>
      <c r="AN37" s="30">
        <f>IFERROR(AK37/M37,0)</f>
        <v>0.079055012096838</v>
      </c>
      <c r="AO37" s="30">
        <f>IFERROR(AL37/N37,0)</f>
        <v>0.32313333687845</v>
      </c>
      <c r="AP37" s="30">
        <f>IFERROR(AM37/O37,0)</f>
        <v>0.2604245085584</v>
      </c>
    </row>
    <row r="38" spans="1:42" customHeight="1" ht="17">
      <c r="A38" s="32" t="s">
        <v>159</v>
      </c>
      <c r="B38" s="45" t="s">
        <v>160</v>
      </c>
      <c r="C38" s="46" t="s">
        <v>53</v>
      </c>
      <c r="D38" s="47"/>
      <c r="E38" s="47"/>
      <c r="F38" s="47"/>
      <c r="G38" s="47"/>
      <c r="H38" s="47"/>
      <c r="I38" s="48"/>
      <c r="M38" s="23">
        <f>SUM(M39,M44,M49,M54,M56)</f>
        <v>580993.9</v>
      </c>
      <c r="N38" s="23">
        <f>SUM(N39,N44,N49,N54,N56)</f>
        <v>477223.95</v>
      </c>
      <c r="O38" s="23">
        <f>SUM(O39,O44,O49,O54,O56)</f>
        <v>1058217.85</v>
      </c>
      <c r="S38" s="23">
        <f>SUM(S39,S44,S49,S54,S56)</f>
        <v>608099.66</v>
      </c>
      <c r="T38" s="23">
        <f>SUM(T39,T44,T49,T54,T56)</f>
        <v>706908.87</v>
      </c>
      <c r="U38" s="23">
        <f>SUM(U39,U44,U49,U54,U56)</f>
        <v>1315008.53</v>
      </c>
      <c r="Y38" s="29">
        <f>SUM(Y39,Y44,Y49,Y54,Y56)</f>
        <v>506749.71</v>
      </c>
      <c r="Z38" s="29">
        <f>SUM(Z39,Z44,Z49,Z54,Z56)</f>
        <v>589090.73</v>
      </c>
      <c r="AA38" s="29">
        <f>SUM(AA39,AA44,AA49,AA54,AA56)</f>
        <v>1095840.44</v>
      </c>
      <c r="AD38" s="21">
        <v>406711481</v>
      </c>
      <c r="AE38" s="21">
        <v>36659762</v>
      </c>
      <c r="AK38" s="23">
        <f>S38-M38</f>
        <v>27105.76</v>
      </c>
      <c r="AL38" s="23">
        <f>T38-N38</f>
        <v>229684.92</v>
      </c>
      <c r="AM38" s="23">
        <f>U38-O38</f>
        <v>256790.68</v>
      </c>
      <c r="AN38" s="30">
        <f>IFERROR(AK38/M38,0)</f>
        <v>0.046654121497661</v>
      </c>
      <c r="AO38" s="30">
        <f>IFERROR(AL38/N38,0)</f>
        <v>0.48129378251029</v>
      </c>
      <c r="AP38" s="30">
        <f>IFERROR(AM38/O38,0)</f>
        <v>0.24266334195742</v>
      </c>
    </row>
    <row r="39" spans="1:42">
      <c r="A39" s="32" t="s">
        <v>161</v>
      </c>
      <c r="B39" s="32" t="s">
        <v>162</v>
      </c>
      <c r="C39" s="53" t="s">
        <v>163</v>
      </c>
      <c r="D39" s="54"/>
      <c r="E39" s="54" t="s">
        <v>164</v>
      </c>
      <c r="F39" s="54" t="s">
        <v>57</v>
      </c>
      <c r="G39" s="55">
        <v>1.0</v>
      </c>
      <c r="H39" s="55"/>
      <c r="I39" s="55">
        <v>236.36</v>
      </c>
      <c r="J39" s="56">
        <f>IFERROR(ROUND(SUM(M40,M41,M42,M43)/I39, 2),0)</f>
        <v>1272.1</v>
      </c>
      <c r="K39" s="57">
        <v>556.0</v>
      </c>
      <c r="L39" s="56">
        <f>J39+ROUND(K39, 2)</f>
        <v>1828.1</v>
      </c>
      <c r="M39" s="56">
        <f>ROUND(J39*I39, 2)</f>
        <v>300673.56</v>
      </c>
      <c r="N39" s="56">
        <f>ROUND(I39*ROUND(K39, 2), 2)</f>
        <v>131416.16</v>
      </c>
      <c r="O39" s="56">
        <f>M39+N39</f>
        <v>432089.72</v>
      </c>
      <c r="P39" s="56">
        <f>IFERROR(ROUND(SUM(S40,S41,S42,S43)/I39, 2),0)</f>
        <v>1386.78</v>
      </c>
      <c r="Q39" s="58">
        <v>722.8</v>
      </c>
      <c r="R39" s="56">
        <f>P39+ROUND(Q39, 2)</f>
        <v>2109.58</v>
      </c>
      <c r="S39" s="56">
        <f>ROUND(P39*I39, 2)</f>
        <v>327779.32</v>
      </c>
      <c r="T39" s="56">
        <f>ROUND(I39*ROUND(Q39, 2), 2)</f>
        <v>170841.01</v>
      </c>
      <c r="U39" s="56">
        <f>S39+T39</f>
        <v>498620.33</v>
      </c>
      <c r="V39" s="29">
        <f>ROUND(P39 / 1.2, 2)</f>
        <v>1155.65</v>
      </c>
      <c r="W39" s="29">
        <f>ROUND(Q39 / 1.2, 2)</f>
        <v>602.33</v>
      </c>
      <c r="X39" s="29">
        <f>ROUND(R39 / 1.2, 2)</f>
        <v>1757.98</v>
      </c>
      <c r="Y39" s="29">
        <f>ROUND(S39 / 1.2, 2)</f>
        <v>273149.43</v>
      </c>
      <c r="Z39" s="29">
        <f>ROUND(T39 / 1.2, 2)</f>
        <v>142367.51</v>
      </c>
      <c r="AA39" s="29">
        <f>Y39+Z39</f>
        <v>415516.94</v>
      </c>
      <c r="AD39" s="21">
        <v>406711483</v>
      </c>
      <c r="AE39" s="21">
        <v>36659764</v>
      </c>
      <c r="AG39" s="21" t="s">
        <v>165</v>
      </c>
      <c r="AH39" s="21" t="s">
        <v>166</v>
      </c>
      <c r="AI39" s="21" t="s">
        <v>60</v>
      </c>
      <c r="AK39" s="56">
        <f>S39-M39</f>
        <v>27105.76</v>
      </c>
      <c r="AL39" s="56">
        <f>T39-N39</f>
        <v>39424.85</v>
      </c>
      <c r="AM39" s="56">
        <f>U39-O39</f>
        <v>66530.61</v>
      </c>
      <c r="AN39" s="59">
        <f>IFERROR(AK39/M39,0)</f>
        <v>0.090150128265352</v>
      </c>
      <c r="AO39" s="59">
        <f>IFERROR(AL39/N39,0)</f>
        <v>0.30000001521883</v>
      </c>
      <c r="AP39" s="59">
        <f>IFERROR(AM39/O39,0)</f>
        <v>0.15397406353477</v>
      </c>
    </row>
    <row r="40" spans="1:42">
      <c r="A40" s="32" t="s">
        <v>167</v>
      </c>
      <c r="B40" s="32"/>
      <c r="C40" s="67" t="s">
        <v>168</v>
      </c>
      <c r="D40" s="54"/>
      <c r="E40" s="54"/>
      <c r="F40" s="61" t="s">
        <v>57</v>
      </c>
      <c r="G40" s="62">
        <v>1.1</v>
      </c>
      <c r="H40" s="68"/>
      <c r="I40" s="68">
        <v>259.996</v>
      </c>
      <c r="J40" s="63">
        <v>1062.41</v>
      </c>
      <c r="M40" s="64">
        <f>ROUND(ROUND(J40, 2)*I40, 2)</f>
        <v>276222.35</v>
      </c>
      <c r="P40" s="65">
        <v>1062.41</v>
      </c>
      <c r="S40" s="64">
        <f>ROUND(ROUND(P40, 2)*I40, 2)</f>
        <v>276222.35</v>
      </c>
      <c r="V40" s="29">
        <f>ROUND(ROUND(P40, 2)/1.2, 2)</f>
        <v>885.34</v>
      </c>
      <c r="Y40" s="29">
        <f>ROUND(S40 / 1.2, 2)</f>
        <v>230185.29</v>
      </c>
      <c r="AD40" s="21" t="s">
        <v>169</v>
      </c>
      <c r="AE40" s="21" t="s">
        <v>170</v>
      </c>
      <c r="AF40" s="21" t="s">
        <v>171</v>
      </c>
      <c r="AK40" s="64">
        <f>S40-M40</f>
        <v>0</v>
      </c>
      <c r="AL40" s="64"/>
      <c r="AM40" s="64"/>
      <c r="AN40" s="66">
        <f>IFERROR(AK40/M40,0)</f>
        <v>0</v>
      </c>
      <c r="AO40" s="64"/>
      <c r="AP40" s="64"/>
    </row>
    <row r="41" spans="1:42">
      <c r="A41" s="32" t="s">
        <v>172</v>
      </c>
      <c r="B41" s="32"/>
      <c r="C41" s="67" t="s">
        <v>173</v>
      </c>
      <c r="D41" s="54"/>
      <c r="E41" s="54"/>
      <c r="F41" s="61" t="s">
        <v>101</v>
      </c>
      <c r="G41" s="62">
        <v>1</v>
      </c>
      <c r="H41" s="68"/>
      <c r="I41" s="68">
        <v>118.18</v>
      </c>
      <c r="J41" s="63">
        <v>51.85</v>
      </c>
      <c r="M41" s="64">
        <f>ROUND(ROUND(J41, 2)*I41, 2)</f>
        <v>6127.63</v>
      </c>
      <c r="P41" s="65">
        <v>51.85</v>
      </c>
      <c r="S41" s="64">
        <f>ROUND(ROUND(P41, 2)*I41, 2)</f>
        <v>6127.63</v>
      </c>
      <c r="V41" s="29">
        <f>ROUND(ROUND(P41, 2)/1.2, 2)</f>
        <v>43.21</v>
      </c>
      <c r="Y41" s="29">
        <f>ROUND(S41 / 1.2, 2)</f>
        <v>5106.36</v>
      </c>
      <c r="AD41" s="21" t="s">
        <v>174</v>
      </c>
      <c r="AE41" s="21" t="s">
        <v>175</v>
      </c>
      <c r="AF41" s="21" t="s">
        <v>176</v>
      </c>
      <c r="AK41" s="64">
        <f>S41-M41</f>
        <v>0</v>
      </c>
      <c r="AL41" s="64"/>
      <c r="AM41" s="64"/>
      <c r="AN41" s="66">
        <f>IFERROR(AK41/M41,0)</f>
        <v>0</v>
      </c>
      <c r="AO41" s="64"/>
      <c r="AP41" s="64"/>
    </row>
    <row r="42" spans="1:42">
      <c r="A42" s="32" t="s">
        <v>177</v>
      </c>
      <c r="B42" s="32"/>
      <c r="C42" s="60" t="s">
        <v>108</v>
      </c>
      <c r="D42" s="54"/>
      <c r="E42" s="54"/>
      <c r="F42" s="61" t="s">
        <v>63</v>
      </c>
      <c r="G42" s="62">
        <v>0.15</v>
      </c>
      <c r="H42" s="62"/>
      <c r="I42" s="62">
        <v>35.454</v>
      </c>
      <c r="J42" s="63">
        <v>69.54</v>
      </c>
      <c r="M42" s="64">
        <f>ROUND(ROUND(J42, 2)*I42, 2)</f>
        <v>2465.47</v>
      </c>
      <c r="P42" s="65">
        <v>69.54</v>
      </c>
      <c r="S42" s="64">
        <f>ROUND(ROUND(P42, 2)*I42, 2)</f>
        <v>2465.47</v>
      </c>
      <c r="V42" s="29">
        <f>ROUND(ROUND(P42, 2)/1.2, 2)</f>
        <v>57.95</v>
      </c>
      <c r="Y42" s="29">
        <f>ROUND(S42 / 1.2, 2)</f>
        <v>2054.56</v>
      </c>
      <c r="AD42" s="21" t="s">
        <v>178</v>
      </c>
      <c r="AE42" s="21" t="s">
        <v>179</v>
      </c>
      <c r="AF42" s="21" t="s">
        <v>111</v>
      </c>
      <c r="AK42" s="64">
        <f>S42-M42</f>
        <v>0</v>
      </c>
      <c r="AL42" s="64"/>
      <c r="AM42" s="64"/>
      <c r="AN42" s="66">
        <f>IFERROR(AK42/M42,0)</f>
        <v>0</v>
      </c>
      <c r="AO42" s="64"/>
      <c r="AP42" s="64"/>
    </row>
    <row r="43" spans="1:42">
      <c r="A43" s="32" t="s">
        <v>180</v>
      </c>
      <c r="B43" s="32"/>
      <c r="C43" s="60" t="s">
        <v>181</v>
      </c>
      <c r="D43" s="54"/>
      <c r="E43" s="54" t="s">
        <v>182</v>
      </c>
      <c r="F43" s="61" t="s">
        <v>63</v>
      </c>
      <c r="G43" s="62">
        <v>0.3</v>
      </c>
      <c r="H43" s="62"/>
      <c r="I43" s="62">
        <v>70.908</v>
      </c>
      <c r="J43" s="63">
        <v>223.66</v>
      </c>
      <c r="M43" s="64">
        <f>ROUND(ROUND(J43, 2)*I43, 2)</f>
        <v>15859.28</v>
      </c>
      <c r="P43" s="65">
        <v>605.9</v>
      </c>
      <c r="S43" s="64">
        <f>ROUND(ROUND(P43, 2)*I43, 2)</f>
        <v>42963.16</v>
      </c>
      <c r="V43" s="29">
        <f>ROUND(ROUND(P43, 2)/1.2, 2)</f>
        <v>504.92</v>
      </c>
      <c r="Y43" s="29">
        <f>ROUND(S43 / 1.2, 2)</f>
        <v>35802.63</v>
      </c>
      <c r="AD43" s="21" t="s">
        <v>183</v>
      </c>
      <c r="AE43" s="21" t="s">
        <v>184</v>
      </c>
      <c r="AF43" s="21" t="s">
        <v>185</v>
      </c>
      <c r="AK43" s="64">
        <f>S43-M43</f>
        <v>27103.88</v>
      </c>
      <c r="AL43" s="64"/>
      <c r="AM43" s="64"/>
      <c r="AN43" s="66">
        <f>IFERROR(AK43/M43,0)</f>
        <v>1.7090233604552</v>
      </c>
      <c r="AO43" s="64"/>
      <c r="AP43" s="64"/>
    </row>
    <row r="44" spans="1:42">
      <c r="A44" s="32" t="s">
        <v>186</v>
      </c>
      <c r="B44" s="32" t="s">
        <v>187</v>
      </c>
      <c r="C44" s="53" t="s">
        <v>188</v>
      </c>
      <c r="D44" s="54"/>
      <c r="E44" s="54"/>
      <c r="F44" s="54" t="s">
        <v>57</v>
      </c>
      <c r="G44" s="55">
        <v>1.0</v>
      </c>
      <c r="H44" s="55"/>
      <c r="I44" s="55">
        <v>84.87</v>
      </c>
      <c r="J44" s="56">
        <f>IFERROR(ROUND(SUM(M45,M46,M47,M48)/I44, 2),0)</f>
        <v>1483.45</v>
      </c>
      <c r="K44" s="57">
        <v>1439.0</v>
      </c>
      <c r="L44" s="56">
        <f>J44+ROUND(K44, 2)</f>
        <v>2922.45</v>
      </c>
      <c r="M44" s="56">
        <f>ROUND(J44*I44, 2)</f>
        <v>125900.4</v>
      </c>
      <c r="N44" s="56">
        <f>ROUND(I44*ROUND(K44, 2), 2)</f>
        <v>122127.93</v>
      </c>
      <c r="O44" s="56">
        <f>M44+N44</f>
        <v>248028.33</v>
      </c>
      <c r="P44" s="56">
        <f>IFERROR(ROUND(SUM(S45,S46,S47,S48)/I44, 2),0)</f>
        <v>1483.45</v>
      </c>
      <c r="Q44" s="58">
        <v>1870.7</v>
      </c>
      <c r="R44" s="56">
        <f>P44+ROUND(Q44, 2)</f>
        <v>3354.15</v>
      </c>
      <c r="S44" s="56">
        <f>ROUND(P44*I44, 2)</f>
        <v>125900.4</v>
      </c>
      <c r="T44" s="56">
        <f>ROUND(I44*ROUND(Q44, 2), 2)</f>
        <v>158766.31</v>
      </c>
      <c r="U44" s="56">
        <f>S44+T44</f>
        <v>284666.71</v>
      </c>
      <c r="V44" s="29">
        <f>ROUND(P44 / 1.2, 2)</f>
        <v>1236.21</v>
      </c>
      <c r="W44" s="29">
        <f>ROUND(Q44 / 1.2, 2)</f>
        <v>1558.92</v>
      </c>
      <c r="X44" s="29">
        <f>ROUND(R44 / 1.2, 2)</f>
        <v>2795.13</v>
      </c>
      <c r="Y44" s="29">
        <f>ROUND(S44 / 1.2, 2)</f>
        <v>104917</v>
      </c>
      <c r="Z44" s="29">
        <f>ROUND(T44 / 1.2, 2)</f>
        <v>132305.26</v>
      </c>
      <c r="AA44" s="29">
        <f>Y44+Z44</f>
        <v>237222.26</v>
      </c>
      <c r="AD44" s="21">
        <v>406711485</v>
      </c>
      <c r="AE44" s="21">
        <v>36659754</v>
      </c>
      <c r="AG44" s="21" t="s">
        <v>189</v>
      </c>
      <c r="AH44" s="21" t="s">
        <v>190</v>
      </c>
      <c r="AI44" s="21" t="s">
        <v>60</v>
      </c>
      <c r="AK44" s="56">
        <f>S44-M44</f>
        <v>0</v>
      </c>
      <c r="AL44" s="56">
        <f>T44-N44</f>
        <v>36638.38</v>
      </c>
      <c r="AM44" s="56">
        <f>U44-O44</f>
        <v>36638.38</v>
      </c>
      <c r="AN44" s="59">
        <f>IFERROR(AK44/M44,0)</f>
        <v>0</v>
      </c>
      <c r="AO44" s="59">
        <f>IFERROR(AL44/N44,0)</f>
        <v>0.30000000818814</v>
      </c>
      <c r="AP44" s="59">
        <f>IFERROR(AM44/O44,0)</f>
        <v>0.14771852876645</v>
      </c>
    </row>
    <row r="45" spans="1:42">
      <c r="A45" s="32" t="s">
        <v>191</v>
      </c>
      <c r="B45" s="32"/>
      <c r="C45" s="60" t="s">
        <v>68</v>
      </c>
      <c r="D45" s="54"/>
      <c r="E45" s="54"/>
      <c r="F45" s="61" t="s">
        <v>63</v>
      </c>
      <c r="G45" s="62">
        <v>0.25</v>
      </c>
      <c r="H45" s="68"/>
      <c r="I45" s="68">
        <v>21.218</v>
      </c>
      <c r="J45" s="63">
        <v>48.23</v>
      </c>
      <c r="M45" s="64">
        <f>ROUND(ROUND(J45, 2)*I45, 2)</f>
        <v>1023.34</v>
      </c>
      <c r="P45" s="65">
        <v>48.23</v>
      </c>
      <c r="S45" s="64">
        <f>ROUND(ROUND(P45, 2)*I45, 2)</f>
        <v>1023.34</v>
      </c>
      <c r="V45" s="29">
        <f>ROUND(ROUND(P45, 2)/1.2, 2)</f>
        <v>40.19</v>
      </c>
      <c r="Y45" s="29">
        <f>ROUND(S45 / 1.2, 2)</f>
        <v>852.78</v>
      </c>
      <c r="AD45" s="21" t="s">
        <v>192</v>
      </c>
      <c r="AE45" s="21" t="s">
        <v>193</v>
      </c>
      <c r="AF45" s="21" t="s">
        <v>71</v>
      </c>
      <c r="AK45" s="64">
        <f>S45-M45</f>
        <v>0</v>
      </c>
      <c r="AL45" s="64"/>
      <c r="AM45" s="64"/>
      <c r="AN45" s="66">
        <f>IFERROR(AK45/M45,0)</f>
        <v>0</v>
      </c>
      <c r="AO45" s="64"/>
      <c r="AP45" s="64"/>
    </row>
    <row r="46" spans="1:42">
      <c r="A46" s="32" t="s">
        <v>194</v>
      </c>
      <c r="B46" s="32"/>
      <c r="C46" s="67" t="s">
        <v>195</v>
      </c>
      <c r="D46" s="54"/>
      <c r="E46" s="54"/>
      <c r="F46" s="61" t="s">
        <v>63</v>
      </c>
      <c r="G46" s="62">
        <v>1.2</v>
      </c>
      <c r="H46" s="68"/>
      <c r="I46" s="68">
        <v>509.22</v>
      </c>
      <c r="J46" s="63">
        <v>16.38</v>
      </c>
      <c r="M46" s="64">
        <f>ROUND(ROUND(J46, 2)*I46, 2)</f>
        <v>8341.02</v>
      </c>
      <c r="P46" s="65">
        <v>16.38</v>
      </c>
      <c r="S46" s="64">
        <f>ROUND(ROUND(P46, 2)*I46, 2)</f>
        <v>8341.02</v>
      </c>
      <c r="V46" s="29">
        <f>ROUND(ROUND(P46, 2)/1.2, 2)</f>
        <v>13.65</v>
      </c>
      <c r="Y46" s="29">
        <f>ROUND(S46 / 1.2, 2)</f>
        <v>6950.85</v>
      </c>
      <c r="AD46" s="21" t="s">
        <v>196</v>
      </c>
      <c r="AE46" s="21" t="s">
        <v>197</v>
      </c>
      <c r="AF46" s="21" t="s">
        <v>198</v>
      </c>
      <c r="AK46" s="64">
        <f>S46-M46</f>
        <v>0</v>
      </c>
      <c r="AL46" s="64"/>
      <c r="AM46" s="64"/>
      <c r="AN46" s="66">
        <f>IFERROR(AK46/M46,0)</f>
        <v>0</v>
      </c>
      <c r="AO46" s="64"/>
      <c r="AP46" s="64"/>
    </row>
    <row r="47" spans="1:42">
      <c r="A47" s="32" t="s">
        <v>199</v>
      </c>
      <c r="B47" s="32"/>
      <c r="C47" s="60" t="s">
        <v>200</v>
      </c>
      <c r="D47" s="54"/>
      <c r="E47" s="54"/>
      <c r="F47" s="61" t="s">
        <v>57</v>
      </c>
      <c r="G47" s="62">
        <v>1.07</v>
      </c>
      <c r="H47" s="68"/>
      <c r="I47" s="68">
        <v>90.811</v>
      </c>
      <c r="J47" s="63">
        <v>1273.53</v>
      </c>
      <c r="M47" s="64">
        <f>ROUND(ROUND(J47, 2)*I47, 2)</f>
        <v>115650.53</v>
      </c>
      <c r="P47" s="65">
        <v>1273.53</v>
      </c>
      <c r="S47" s="64">
        <f>ROUND(ROUND(P47, 2)*I47, 2)</f>
        <v>115650.53</v>
      </c>
      <c r="V47" s="29">
        <f>ROUND(ROUND(P47, 2)/1.2, 2)</f>
        <v>1061.28</v>
      </c>
      <c r="Y47" s="29">
        <f>ROUND(S47 / 1.2, 2)</f>
        <v>96375.44</v>
      </c>
      <c r="AD47" s="21" t="s">
        <v>201</v>
      </c>
      <c r="AE47" s="21" t="s">
        <v>202</v>
      </c>
      <c r="AF47" s="21" t="s">
        <v>203</v>
      </c>
      <c r="AK47" s="64">
        <f>S47-M47</f>
        <v>0</v>
      </c>
      <c r="AL47" s="64"/>
      <c r="AM47" s="64"/>
      <c r="AN47" s="66">
        <f>IFERROR(AK47/M47,0)</f>
        <v>0</v>
      </c>
      <c r="AO47" s="64"/>
      <c r="AP47" s="64"/>
    </row>
    <row r="48" spans="1:42">
      <c r="A48" s="32" t="s">
        <v>204</v>
      </c>
      <c r="B48" s="32"/>
      <c r="C48" s="60" t="s">
        <v>108</v>
      </c>
      <c r="D48" s="54"/>
      <c r="E48" s="54"/>
      <c r="F48" s="61" t="s">
        <v>63</v>
      </c>
      <c r="G48" s="62">
        <v>0.15</v>
      </c>
      <c r="H48" s="62"/>
      <c r="I48" s="62">
        <v>12.731</v>
      </c>
      <c r="J48" s="63">
        <v>69.54</v>
      </c>
      <c r="M48" s="64">
        <f>ROUND(ROUND(J48, 2)*I48, 2)</f>
        <v>885.31</v>
      </c>
      <c r="P48" s="65">
        <v>69.54</v>
      </c>
      <c r="S48" s="64">
        <f>ROUND(ROUND(P48, 2)*I48, 2)</f>
        <v>885.31</v>
      </c>
      <c r="V48" s="29">
        <f>ROUND(ROUND(P48, 2)/1.2, 2)</f>
        <v>57.95</v>
      </c>
      <c r="Y48" s="29">
        <f>ROUND(S48 / 1.2, 2)</f>
        <v>737.76</v>
      </c>
      <c r="AD48" s="21" t="s">
        <v>205</v>
      </c>
      <c r="AE48" s="21" t="s">
        <v>206</v>
      </c>
      <c r="AF48" s="21" t="s">
        <v>111</v>
      </c>
      <c r="AK48" s="64">
        <f>S48-M48</f>
        <v>0</v>
      </c>
      <c r="AL48" s="64"/>
      <c r="AM48" s="64"/>
      <c r="AN48" s="66">
        <f>IFERROR(AK48/M48,0)</f>
        <v>0</v>
      </c>
      <c r="AO48" s="64"/>
      <c r="AP48" s="64"/>
    </row>
    <row r="49" spans="1:42">
      <c r="A49" s="32" t="s">
        <v>207</v>
      </c>
      <c r="B49" s="32" t="s">
        <v>187</v>
      </c>
      <c r="C49" s="53" t="s">
        <v>188</v>
      </c>
      <c r="D49" s="54"/>
      <c r="E49" s="54"/>
      <c r="F49" s="54" t="s">
        <v>57</v>
      </c>
      <c r="G49" s="55">
        <v>1.0</v>
      </c>
      <c r="H49" s="55"/>
      <c r="I49" s="55">
        <v>89.74</v>
      </c>
      <c r="J49" s="56">
        <f>IFERROR(ROUND(SUM(M50,M51,M52,M53)/I49, 2),0)</f>
        <v>607.47</v>
      </c>
      <c r="K49" s="57">
        <v>1439.0</v>
      </c>
      <c r="L49" s="56">
        <f>J49+ROUND(K49, 2)</f>
        <v>2046.47</v>
      </c>
      <c r="M49" s="56">
        <f>ROUND(J49*I49, 2)</f>
        <v>54514.36</v>
      </c>
      <c r="N49" s="56">
        <f>ROUND(I49*ROUND(K49, 2), 2)</f>
        <v>129135.86</v>
      </c>
      <c r="O49" s="56">
        <f>M49+N49</f>
        <v>183650.22</v>
      </c>
      <c r="P49" s="56">
        <f>IFERROR(ROUND(SUM(S50,S51,S52,S53)/I49, 2),0)</f>
        <v>607.47</v>
      </c>
      <c r="Q49" s="58">
        <v>1870.7</v>
      </c>
      <c r="R49" s="56">
        <f>P49+ROUND(Q49, 2)</f>
        <v>2478.17</v>
      </c>
      <c r="S49" s="56">
        <f>ROUND(P49*I49, 2)</f>
        <v>54514.36</v>
      </c>
      <c r="T49" s="56">
        <f>ROUND(I49*ROUND(Q49, 2), 2)</f>
        <v>167876.62</v>
      </c>
      <c r="U49" s="56">
        <f>S49+T49</f>
        <v>222390.98</v>
      </c>
      <c r="V49" s="29">
        <f>ROUND(P49 / 1.2, 2)</f>
        <v>506.23</v>
      </c>
      <c r="W49" s="29">
        <f>ROUND(Q49 / 1.2, 2)</f>
        <v>1558.92</v>
      </c>
      <c r="X49" s="29">
        <f>ROUND(R49 / 1.2, 2)</f>
        <v>2065.14</v>
      </c>
      <c r="Y49" s="29">
        <f>ROUND(S49 / 1.2, 2)</f>
        <v>45428.63</v>
      </c>
      <c r="Z49" s="29">
        <f>ROUND(T49 / 1.2, 2)</f>
        <v>139897.18</v>
      </c>
      <c r="AA49" s="29">
        <f>Y49+Z49</f>
        <v>185325.81</v>
      </c>
      <c r="AD49" s="21">
        <v>406711515</v>
      </c>
      <c r="AE49" s="21">
        <v>36659755</v>
      </c>
      <c r="AG49" s="21" t="s">
        <v>189</v>
      </c>
      <c r="AH49" s="21" t="s">
        <v>190</v>
      </c>
      <c r="AI49" s="21" t="s">
        <v>60</v>
      </c>
      <c r="AK49" s="56">
        <f>S49-M49</f>
        <v>0</v>
      </c>
      <c r="AL49" s="56">
        <f>T49-N49</f>
        <v>38740.76</v>
      </c>
      <c r="AM49" s="56">
        <f>U49-O49</f>
        <v>38740.76</v>
      </c>
      <c r="AN49" s="59">
        <f>IFERROR(AK49/M49,0)</f>
        <v>0</v>
      </c>
      <c r="AO49" s="59">
        <f>IFERROR(AL49/N49,0)</f>
        <v>0.30000001548756</v>
      </c>
      <c r="AP49" s="59">
        <f>IFERROR(AM49/O49,0)</f>
        <v>0.21094861743155</v>
      </c>
    </row>
    <row r="50" spans="1:42">
      <c r="A50" s="32" t="s">
        <v>208</v>
      </c>
      <c r="B50" s="32"/>
      <c r="C50" s="60" t="s">
        <v>108</v>
      </c>
      <c r="D50" s="54"/>
      <c r="E50" s="54"/>
      <c r="F50" s="61" t="s">
        <v>63</v>
      </c>
      <c r="G50" s="62">
        <v>0.15</v>
      </c>
      <c r="H50" s="62"/>
      <c r="I50" s="62">
        <v>13.461</v>
      </c>
      <c r="J50" s="63">
        <v>69.54</v>
      </c>
      <c r="M50" s="64">
        <f>ROUND(ROUND(J50, 2)*I50, 2)</f>
        <v>936.08</v>
      </c>
      <c r="P50" s="65">
        <v>69.54</v>
      </c>
      <c r="S50" s="64">
        <f>ROUND(ROUND(P50, 2)*I50, 2)</f>
        <v>936.08</v>
      </c>
      <c r="V50" s="29">
        <f>ROUND(ROUND(P50, 2)/1.2, 2)</f>
        <v>57.95</v>
      </c>
      <c r="Y50" s="29">
        <f>ROUND(S50 / 1.2, 2)</f>
        <v>780.07</v>
      </c>
      <c r="AD50" s="21" t="s">
        <v>209</v>
      </c>
      <c r="AE50" s="21" t="s">
        <v>210</v>
      </c>
      <c r="AF50" s="21" t="s">
        <v>111</v>
      </c>
      <c r="AK50" s="64">
        <f>S50-M50</f>
        <v>0</v>
      </c>
      <c r="AL50" s="64"/>
      <c r="AM50" s="64"/>
      <c r="AN50" s="66">
        <f>IFERROR(AK50/M50,0)</f>
        <v>0</v>
      </c>
      <c r="AO50" s="64"/>
      <c r="AP50" s="64"/>
    </row>
    <row r="51" spans="1:42">
      <c r="A51" s="32" t="s">
        <v>211</v>
      </c>
      <c r="B51" s="32"/>
      <c r="C51" s="67" t="s">
        <v>195</v>
      </c>
      <c r="D51" s="54"/>
      <c r="E51" s="54"/>
      <c r="F51" s="61" t="s">
        <v>63</v>
      </c>
      <c r="G51" s="62">
        <v>1.2</v>
      </c>
      <c r="H51" s="68"/>
      <c r="I51" s="68">
        <v>538.44</v>
      </c>
      <c r="J51" s="63">
        <v>16.38</v>
      </c>
      <c r="M51" s="64">
        <f>ROUND(ROUND(J51, 2)*I51, 2)</f>
        <v>8819.65</v>
      </c>
      <c r="P51" s="65">
        <v>16.38</v>
      </c>
      <c r="S51" s="64">
        <f>ROUND(ROUND(P51, 2)*I51, 2)</f>
        <v>8819.65</v>
      </c>
      <c r="V51" s="29">
        <f>ROUND(ROUND(P51, 2)/1.2, 2)</f>
        <v>13.65</v>
      </c>
      <c r="Y51" s="29">
        <f>ROUND(S51 / 1.2, 2)</f>
        <v>7349.71</v>
      </c>
      <c r="AD51" s="21" t="s">
        <v>212</v>
      </c>
      <c r="AE51" s="21" t="s">
        <v>213</v>
      </c>
      <c r="AF51" s="21" t="s">
        <v>198</v>
      </c>
      <c r="AK51" s="64">
        <f>S51-M51</f>
        <v>0</v>
      </c>
      <c r="AL51" s="64"/>
      <c r="AM51" s="64"/>
      <c r="AN51" s="66">
        <f>IFERROR(AK51/M51,0)</f>
        <v>0</v>
      </c>
      <c r="AO51" s="64"/>
      <c r="AP51" s="64"/>
    </row>
    <row r="52" spans="1:42">
      <c r="A52" s="32" t="s">
        <v>214</v>
      </c>
      <c r="B52" s="32"/>
      <c r="C52" s="67" t="s">
        <v>128</v>
      </c>
      <c r="D52" s="54"/>
      <c r="E52" s="54"/>
      <c r="F52" s="61" t="s">
        <v>57</v>
      </c>
      <c r="G52" s="62">
        <v>1.07</v>
      </c>
      <c r="H52" s="68"/>
      <c r="I52" s="68">
        <v>96.022</v>
      </c>
      <c r="J52" s="63">
        <v>454.86</v>
      </c>
      <c r="M52" s="64">
        <f>ROUND(ROUND(J52, 2)*I52, 2)</f>
        <v>43676.57</v>
      </c>
      <c r="P52" s="65">
        <v>454.86</v>
      </c>
      <c r="S52" s="64">
        <f>ROUND(ROUND(P52, 2)*I52, 2)</f>
        <v>43676.57</v>
      </c>
      <c r="V52" s="29">
        <f>ROUND(ROUND(P52, 2)/1.2, 2)</f>
        <v>379.05</v>
      </c>
      <c r="Y52" s="29">
        <f>ROUND(S52 / 1.2, 2)</f>
        <v>36397.14</v>
      </c>
      <c r="AD52" s="21" t="s">
        <v>215</v>
      </c>
      <c r="AE52" s="21" t="s">
        <v>216</v>
      </c>
      <c r="AF52" s="21" t="s">
        <v>131</v>
      </c>
      <c r="AK52" s="64">
        <f>S52-M52</f>
        <v>0</v>
      </c>
      <c r="AL52" s="64"/>
      <c r="AM52" s="64"/>
      <c r="AN52" s="66">
        <f>IFERROR(AK52/M52,0)</f>
        <v>0</v>
      </c>
      <c r="AO52" s="64"/>
      <c r="AP52" s="64"/>
    </row>
    <row r="53" spans="1:42">
      <c r="A53" s="32" t="s">
        <v>217</v>
      </c>
      <c r="B53" s="32"/>
      <c r="C53" s="60" t="s">
        <v>68</v>
      </c>
      <c r="D53" s="54"/>
      <c r="E53" s="54"/>
      <c r="F53" s="61" t="s">
        <v>63</v>
      </c>
      <c r="G53" s="62">
        <v>0.25</v>
      </c>
      <c r="H53" s="68"/>
      <c r="I53" s="68">
        <v>22.435</v>
      </c>
      <c r="J53" s="63">
        <v>48.23</v>
      </c>
      <c r="M53" s="64">
        <f>ROUND(ROUND(J53, 2)*I53, 2)</f>
        <v>1082.04</v>
      </c>
      <c r="P53" s="65">
        <v>48.23</v>
      </c>
      <c r="S53" s="64">
        <f>ROUND(ROUND(P53, 2)*I53, 2)</f>
        <v>1082.04</v>
      </c>
      <c r="V53" s="29">
        <f>ROUND(ROUND(P53, 2)/1.2, 2)</f>
        <v>40.19</v>
      </c>
      <c r="Y53" s="29">
        <f>ROUND(S53 / 1.2, 2)</f>
        <v>901.7</v>
      </c>
      <c r="AD53" s="21" t="s">
        <v>218</v>
      </c>
      <c r="AE53" s="21" t="s">
        <v>219</v>
      </c>
      <c r="AF53" s="21" t="s">
        <v>71</v>
      </c>
      <c r="AK53" s="64">
        <f>S53-M53</f>
        <v>0</v>
      </c>
      <c r="AL53" s="64"/>
      <c r="AM53" s="64"/>
      <c r="AN53" s="66">
        <f>IFERROR(AK53/M53,0)</f>
        <v>0</v>
      </c>
      <c r="AO53" s="64"/>
      <c r="AP53" s="64"/>
    </row>
    <row r="54" spans="1:42">
      <c r="A54" s="32" t="s">
        <v>220</v>
      </c>
      <c r="B54" s="32" t="s">
        <v>221</v>
      </c>
      <c r="C54" s="53" t="s">
        <v>222</v>
      </c>
      <c r="D54" s="54"/>
      <c r="E54" s="54"/>
      <c r="F54" s="54" t="s">
        <v>101</v>
      </c>
      <c r="G54" s="55">
        <v>1.0</v>
      </c>
      <c r="H54" s="55"/>
      <c r="I54" s="55">
        <v>229.49</v>
      </c>
      <c r="J54" s="56">
        <f>IFERROR(ROUND(SUM(M55)/I54, 2),0)</f>
        <v>385.54</v>
      </c>
      <c r="K54" s="57">
        <v>0.0</v>
      </c>
      <c r="L54" s="56">
        <f>J54+ROUND(K54, 2)</f>
        <v>385.54</v>
      </c>
      <c r="M54" s="56">
        <f>ROUND(J54*I54, 2)</f>
        <v>88477.57</v>
      </c>
      <c r="N54" s="56">
        <f>ROUND(I54*ROUND(K54, 2), 2)</f>
        <v>0</v>
      </c>
      <c r="O54" s="56">
        <f>M54+N54</f>
        <v>88477.57</v>
      </c>
      <c r="P54" s="56">
        <f>IFERROR(ROUND(SUM(S55)/I54, 2),0)</f>
        <v>385.54</v>
      </c>
      <c r="Q54" s="58">
        <v>377.0</v>
      </c>
      <c r="R54" s="56">
        <f>P54+ROUND(Q54, 2)</f>
        <v>762.54</v>
      </c>
      <c r="S54" s="56">
        <f>ROUND(P54*I54, 2)</f>
        <v>88477.57</v>
      </c>
      <c r="T54" s="56">
        <f>ROUND(I54*ROUND(Q54, 2), 2)</f>
        <v>86517.73</v>
      </c>
      <c r="U54" s="56">
        <f>S54+T54</f>
        <v>174995.3</v>
      </c>
      <c r="V54" s="29">
        <f>ROUND(P54 / 1.2, 2)</f>
        <v>321.28</v>
      </c>
      <c r="W54" s="29">
        <f>ROUND(Q54 / 1.2, 2)</f>
        <v>314.17</v>
      </c>
      <c r="X54" s="29">
        <f>ROUND(R54 / 1.2, 2)</f>
        <v>635.45</v>
      </c>
      <c r="Y54" s="29">
        <f>ROUND(S54 / 1.2, 2)</f>
        <v>73731.31</v>
      </c>
      <c r="Z54" s="29">
        <f>ROUND(T54 / 1.2, 2)</f>
        <v>72098.11</v>
      </c>
      <c r="AA54" s="29">
        <f>Y54+Z54</f>
        <v>145829.42</v>
      </c>
      <c r="AD54" s="21">
        <v>406711487</v>
      </c>
      <c r="AE54" s="21">
        <v>36659747</v>
      </c>
      <c r="AG54" s="21" t="s">
        <v>223</v>
      </c>
      <c r="AH54" s="21" t="s">
        <v>224</v>
      </c>
      <c r="AI54" s="21" t="s">
        <v>60</v>
      </c>
      <c r="AK54" s="56">
        <f>S54-M54</f>
        <v>0</v>
      </c>
      <c r="AL54" s="56">
        <f>T54-N54</f>
        <v>86517.73</v>
      </c>
      <c r="AM54" s="56">
        <f>U54-O54</f>
        <v>86517.73</v>
      </c>
      <c r="AN54" s="59">
        <f>IFERROR(AK54/M54,0)</f>
        <v>0</v>
      </c>
      <c r="AO54" s="59">
        <f>IFERROR(AL54/N54,0)</f>
        <v>0</v>
      </c>
      <c r="AP54" s="59">
        <f>IFERROR(AM54/O54,0)</f>
        <v>0.97784930124098</v>
      </c>
    </row>
    <row r="55" spans="1:42">
      <c r="A55" s="32" t="s">
        <v>225</v>
      </c>
      <c r="B55" s="32"/>
      <c r="C55" s="60" t="s">
        <v>226</v>
      </c>
      <c r="D55" s="54"/>
      <c r="E55" s="54"/>
      <c r="F55" s="61" t="s">
        <v>101</v>
      </c>
      <c r="G55" s="62">
        <v>1.1</v>
      </c>
      <c r="H55" s="68"/>
      <c r="I55" s="68">
        <v>252.439</v>
      </c>
      <c r="J55" s="63">
        <v>350.49</v>
      </c>
      <c r="M55" s="64">
        <f>ROUND(ROUND(J55, 2)*I55, 2)</f>
        <v>88477.35</v>
      </c>
      <c r="P55" s="65">
        <v>350.49</v>
      </c>
      <c r="S55" s="64">
        <f>ROUND(ROUND(P55, 2)*I55, 2)</f>
        <v>88477.35</v>
      </c>
      <c r="V55" s="29">
        <f>ROUND(ROUND(P55, 2)/1.2, 2)</f>
        <v>292.08</v>
      </c>
      <c r="Y55" s="29">
        <f>ROUND(S55 / 1.2, 2)</f>
        <v>73731.13</v>
      </c>
      <c r="AD55" s="21" t="s">
        <v>227</v>
      </c>
      <c r="AE55" s="21" t="s">
        <v>228</v>
      </c>
      <c r="AF55" s="21" t="s">
        <v>229</v>
      </c>
      <c r="AK55" s="64">
        <f>S55-M55</f>
        <v>0</v>
      </c>
      <c r="AL55" s="64"/>
      <c r="AM55" s="64"/>
      <c r="AN55" s="66">
        <f>IFERROR(AK55/M55,0)</f>
        <v>0</v>
      </c>
      <c r="AO55" s="64"/>
      <c r="AP55" s="64"/>
    </row>
    <row r="56" spans="1:42">
      <c r="A56" s="32" t="s">
        <v>230</v>
      </c>
      <c r="B56" s="32" t="s">
        <v>231</v>
      </c>
      <c r="C56" s="53" t="s">
        <v>232</v>
      </c>
      <c r="D56" s="54" t="s">
        <v>233</v>
      </c>
      <c r="E56" s="54"/>
      <c r="F56" s="54" t="s">
        <v>57</v>
      </c>
      <c r="G56" s="55">
        <v>1.0</v>
      </c>
      <c r="H56" s="55"/>
      <c r="I56" s="55">
        <v>236.36</v>
      </c>
      <c r="J56" s="56">
        <f>IFERROR(ROUND(SUM(M57,M58,M59)/I56, 2),0)</f>
        <v>48.35</v>
      </c>
      <c r="K56" s="57">
        <v>400.0</v>
      </c>
      <c r="L56" s="56">
        <f>J56+ROUND(K56, 2)</f>
        <v>448.35</v>
      </c>
      <c r="M56" s="56">
        <f>ROUND(J56*I56, 2)</f>
        <v>11428.01</v>
      </c>
      <c r="N56" s="56">
        <f>ROUND(I56*ROUND(K56, 2), 2)</f>
        <v>94544</v>
      </c>
      <c r="O56" s="56">
        <f>M56+N56</f>
        <v>105972.01</v>
      </c>
      <c r="P56" s="56">
        <f>IFERROR(ROUND(SUM(S57,S58,S59)/I56, 2),0)</f>
        <v>48.35</v>
      </c>
      <c r="Q56" s="58">
        <v>520.0</v>
      </c>
      <c r="R56" s="56">
        <f>P56+ROUND(Q56, 2)</f>
        <v>568.35</v>
      </c>
      <c r="S56" s="56">
        <f>ROUND(P56*I56, 2)</f>
        <v>11428.01</v>
      </c>
      <c r="T56" s="56">
        <f>ROUND(I56*ROUND(Q56, 2), 2)</f>
        <v>122907.2</v>
      </c>
      <c r="U56" s="56">
        <f>S56+T56</f>
        <v>134335.21</v>
      </c>
      <c r="V56" s="29">
        <f>ROUND(P56 / 1.2, 2)</f>
        <v>40.29</v>
      </c>
      <c r="W56" s="29">
        <f>ROUND(Q56 / 1.2, 2)</f>
        <v>433.33</v>
      </c>
      <c r="X56" s="29">
        <f>ROUND(R56 / 1.2, 2)</f>
        <v>473.63</v>
      </c>
      <c r="Y56" s="29">
        <f>ROUND(S56 / 1.2, 2)</f>
        <v>9523.34</v>
      </c>
      <c r="Z56" s="29">
        <f>ROUND(T56 / 1.2, 2)</f>
        <v>102422.67</v>
      </c>
      <c r="AA56" s="29">
        <f>Y56+Z56</f>
        <v>111946.01</v>
      </c>
      <c r="AD56" s="21">
        <v>406711489</v>
      </c>
      <c r="AE56" s="21">
        <v>36659748</v>
      </c>
      <c r="AG56" s="21" t="s">
        <v>234</v>
      </c>
      <c r="AH56" s="21" t="s">
        <v>235</v>
      </c>
      <c r="AI56" s="21" t="s">
        <v>60</v>
      </c>
      <c r="AK56" s="56">
        <f>S56-M56</f>
        <v>0</v>
      </c>
      <c r="AL56" s="56">
        <f>T56-N56</f>
        <v>28363.2</v>
      </c>
      <c r="AM56" s="56">
        <f>U56-O56</f>
        <v>28363.2</v>
      </c>
      <c r="AN56" s="59">
        <f>IFERROR(AK56/M56,0)</f>
        <v>0</v>
      </c>
      <c r="AO56" s="59">
        <f>IFERROR(AL56/N56,0)</f>
        <v>0.3</v>
      </c>
      <c r="AP56" s="59">
        <f>IFERROR(AM56/O56,0)</f>
        <v>0.26764803272109</v>
      </c>
    </row>
    <row r="57" spans="1:42">
      <c r="A57" s="32" t="s">
        <v>236</v>
      </c>
      <c r="B57" s="32"/>
      <c r="C57" s="60" t="s">
        <v>62</v>
      </c>
      <c r="D57" s="54"/>
      <c r="E57" s="54"/>
      <c r="F57" s="61" t="s">
        <v>63</v>
      </c>
      <c r="G57" s="62">
        <v>0.255</v>
      </c>
      <c r="H57" s="68"/>
      <c r="I57" s="68">
        <v>60.272</v>
      </c>
      <c r="J57" s="63">
        <v>90.28</v>
      </c>
      <c r="M57" s="64">
        <f>ROUND(ROUND(J57, 2)*I57, 2)</f>
        <v>5441.36</v>
      </c>
      <c r="P57" s="65">
        <v>90.28</v>
      </c>
      <c r="S57" s="64">
        <f>ROUND(ROUND(P57, 2)*I57, 2)</f>
        <v>5441.36</v>
      </c>
      <c r="V57" s="29">
        <f>ROUND(ROUND(P57, 2)/1.2, 2)</f>
        <v>75.23</v>
      </c>
      <c r="Y57" s="29">
        <f>ROUND(S57 / 1.2, 2)</f>
        <v>4534.47</v>
      </c>
      <c r="AD57" s="21" t="s">
        <v>237</v>
      </c>
      <c r="AE57" s="21" t="s">
        <v>238</v>
      </c>
      <c r="AF57" s="21" t="s">
        <v>66</v>
      </c>
      <c r="AK57" s="64">
        <f>S57-M57</f>
        <v>0</v>
      </c>
      <c r="AL57" s="64"/>
      <c r="AM57" s="64"/>
      <c r="AN57" s="66">
        <f>IFERROR(AK57/M57,0)</f>
        <v>0</v>
      </c>
      <c r="AO57" s="64"/>
      <c r="AP57" s="64"/>
    </row>
    <row r="58" spans="1:42">
      <c r="A58" s="32" t="s">
        <v>239</v>
      </c>
      <c r="B58" s="32"/>
      <c r="C58" s="60" t="s">
        <v>240</v>
      </c>
      <c r="D58" s="54"/>
      <c r="E58" s="54"/>
      <c r="F58" s="61" t="s">
        <v>101</v>
      </c>
      <c r="G58" s="62">
        <v>1</v>
      </c>
      <c r="H58" s="68"/>
      <c r="I58" s="68">
        <v>236.36</v>
      </c>
      <c r="J58" s="63">
        <v>10.58</v>
      </c>
      <c r="M58" s="64">
        <f>ROUND(ROUND(J58, 2)*I58, 2)</f>
        <v>2500.69</v>
      </c>
      <c r="P58" s="65">
        <v>10.58</v>
      </c>
      <c r="S58" s="64">
        <f>ROUND(ROUND(P58, 2)*I58, 2)</f>
        <v>2500.69</v>
      </c>
      <c r="V58" s="29">
        <f>ROUND(ROUND(P58, 2)/1.2, 2)</f>
        <v>8.82</v>
      </c>
      <c r="Y58" s="29">
        <f>ROUND(S58 / 1.2, 2)</f>
        <v>2083.91</v>
      </c>
      <c r="AD58" s="21" t="s">
        <v>241</v>
      </c>
      <c r="AE58" s="21" t="s">
        <v>242</v>
      </c>
      <c r="AF58" s="21" t="s">
        <v>243</v>
      </c>
      <c r="AK58" s="64">
        <f>S58-M58</f>
        <v>0</v>
      </c>
      <c r="AL58" s="64"/>
      <c r="AM58" s="64"/>
      <c r="AN58" s="66">
        <f>IFERROR(AK58/M58,0)</f>
        <v>0</v>
      </c>
      <c r="AO58" s="64"/>
      <c r="AP58" s="64"/>
    </row>
    <row r="59" spans="1:42">
      <c r="A59" s="32" t="s">
        <v>244</v>
      </c>
      <c r="B59" s="32"/>
      <c r="C59" s="67" t="s">
        <v>245</v>
      </c>
      <c r="D59" s="54"/>
      <c r="E59" s="54"/>
      <c r="F59" s="61" t="s">
        <v>63</v>
      </c>
      <c r="G59" s="62">
        <v>1.6</v>
      </c>
      <c r="H59" s="68"/>
      <c r="I59" s="68">
        <v>378.176</v>
      </c>
      <c r="J59" s="63">
        <v>9.22</v>
      </c>
      <c r="M59" s="64">
        <f>ROUND(ROUND(J59, 2)*I59, 2)</f>
        <v>3486.78</v>
      </c>
      <c r="P59" s="65">
        <v>9.22</v>
      </c>
      <c r="S59" s="64">
        <f>ROUND(ROUND(P59, 2)*I59, 2)</f>
        <v>3486.78</v>
      </c>
      <c r="V59" s="29">
        <f>ROUND(ROUND(P59, 2)/1.2, 2)</f>
        <v>7.68</v>
      </c>
      <c r="Y59" s="29">
        <f>ROUND(S59 / 1.2, 2)</f>
        <v>2905.65</v>
      </c>
      <c r="AD59" s="21" t="s">
        <v>246</v>
      </c>
      <c r="AE59" s="21" t="s">
        <v>247</v>
      </c>
      <c r="AF59" s="21" t="s">
        <v>248</v>
      </c>
      <c r="AK59" s="64">
        <f>S59-M59</f>
        <v>0</v>
      </c>
      <c r="AL59" s="64"/>
      <c r="AM59" s="64"/>
      <c r="AN59" s="66">
        <f>IFERROR(AK59/M59,0)</f>
        <v>0</v>
      </c>
      <c r="AO59" s="64"/>
      <c r="AP59" s="64"/>
    </row>
    <row r="60" spans="1:42" customHeight="1" ht="17">
      <c r="A60" s="32" t="s">
        <v>249</v>
      </c>
      <c r="B60" s="45" t="s">
        <v>250</v>
      </c>
      <c r="C60" s="46" t="s">
        <v>251</v>
      </c>
      <c r="D60" s="47"/>
      <c r="E60" s="47"/>
      <c r="F60" s="47"/>
      <c r="G60" s="47"/>
      <c r="H60" s="47"/>
      <c r="I60" s="48"/>
      <c r="M60" s="23">
        <f>SUM(M61,M66,M71,M76,M79,M82,M85,M88,M92,M95,M98)</f>
        <v>712112.6</v>
      </c>
      <c r="N60" s="23">
        <f>SUM(N61,N66,N71,N76,N79,N82,N85,N88,N92,N95,N98)</f>
        <v>2710359.45</v>
      </c>
      <c r="O60" s="23">
        <f>SUM(O61,O66,O71,O76,O79,O82,O85,O88,O92,O95,O98)</f>
        <v>3422472.05</v>
      </c>
      <c r="S60" s="23">
        <f>SUM(S61,S66,S71,S76,S79,S82,S85,S88,S92,S95,S98)</f>
        <v>787233.39</v>
      </c>
      <c r="T60" s="23">
        <f>SUM(T61,T66,T71,T76,T79,T82,T85,T88,T92,T95,T98)</f>
        <v>3523466.29</v>
      </c>
      <c r="U60" s="23">
        <f>SUM(U61,U66,U71,U76,U79,U82,U85,U88,U92,U95,U98)</f>
        <v>4310699.68</v>
      </c>
      <c r="Y60" s="29">
        <f>SUM(Y61,Y66,Y71,Y76,Y79,Y82,Y85,Y88,Y92,Y95,Y98)</f>
        <v>656027.86</v>
      </c>
      <c r="Z60" s="29">
        <f>SUM(Z61,Z66,Z71,Z76,Z79,Z82,Z85,Z88,Z92,Z95,Z98)</f>
        <v>2936221.91</v>
      </c>
      <c r="AA60" s="29">
        <f>SUM(AA61,AA66,AA71,AA76,AA79,AA82,AA85,AA88,AA92,AA95,AA98)</f>
        <v>3592249.77</v>
      </c>
      <c r="AD60" s="21">
        <v>406711490</v>
      </c>
      <c r="AE60" s="21">
        <v>36662394</v>
      </c>
      <c r="AK60" s="23">
        <f>S60-M60</f>
        <v>75120.79</v>
      </c>
      <c r="AL60" s="23">
        <f>T60-N60</f>
        <v>813106.84</v>
      </c>
      <c r="AM60" s="23">
        <f>U60-O60</f>
        <v>888227.63</v>
      </c>
      <c r="AN60" s="30">
        <f>IFERROR(AK60/M60,0)</f>
        <v>0.10549004469237</v>
      </c>
      <c r="AO60" s="30">
        <f>IFERROR(AL60/N60,0)</f>
        <v>0.29999963289002</v>
      </c>
      <c r="AP60" s="30">
        <f>IFERROR(AM60/O60,0)</f>
        <v>0.25952808876847</v>
      </c>
    </row>
    <row r="61" spans="1:42">
      <c r="A61" s="32" t="s">
        <v>252</v>
      </c>
      <c r="B61" s="32" t="s">
        <v>253</v>
      </c>
      <c r="C61" s="53" t="s">
        <v>254</v>
      </c>
      <c r="D61" s="54"/>
      <c r="E61" s="54" t="s">
        <v>255</v>
      </c>
      <c r="F61" s="54" t="s">
        <v>57</v>
      </c>
      <c r="G61" s="55">
        <v>1.0</v>
      </c>
      <c r="H61" s="55"/>
      <c r="I61" s="55">
        <v>114</v>
      </c>
      <c r="J61" s="56">
        <f>IFERROR(ROUND(SUM(M62,M63,M64,M65)/I61, 2),0)</f>
        <v>1146.95</v>
      </c>
      <c r="K61" s="57">
        <v>2056.01</v>
      </c>
      <c r="L61" s="56">
        <f>J61+ROUND(K61, 2)</f>
        <v>3202.96</v>
      </c>
      <c r="M61" s="56">
        <f>ROUND(J61*I61, 2)</f>
        <v>130752.3</v>
      </c>
      <c r="N61" s="56">
        <f>ROUND(I61*ROUND(K61, 2), 2)</f>
        <v>234385.14</v>
      </c>
      <c r="O61" s="56">
        <f>M61+N61</f>
        <v>365137.44</v>
      </c>
      <c r="P61" s="56">
        <f>IFERROR(ROUND(SUM(S62,S63,S64,S65)/I61, 2),0)</f>
        <v>1146.95</v>
      </c>
      <c r="Q61" s="58">
        <v>2672.81</v>
      </c>
      <c r="R61" s="56">
        <f>P61+ROUND(Q61, 2)</f>
        <v>3819.76</v>
      </c>
      <c r="S61" s="56">
        <f>ROUND(P61*I61, 2)</f>
        <v>130752.3</v>
      </c>
      <c r="T61" s="56">
        <f>ROUND(I61*ROUND(Q61, 2), 2)</f>
        <v>304700.34</v>
      </c>
      <c r="U61" s="56">
        <f>S61+T61</f>
        <v>435452.64</v>
      </c>
      <c r="V61" s="29">
        <f>ROUND(P61 / 1.2, 2)</f>
        <v>955.79</v>
      </c>
      <c r="W61" s="29">
        <f>ROUND(Q61 / 1.2, 2)</f>
        <v>2227.34</v>
      </c>
      <c r="X61" s="29">
        <f>ROUND(R61 / 1.2, 2)</f>
        <v>3183.13</v>
      </c>
      <c r="Y61" s="29">
        <f>ROUND(S61 / 1.2, 2)</f>
        <v>108960.25</v>
      </c>
      <c r="Z61" s="29">
        <f>ROUND(T61 / 1.2, 2)</f>
        <v>253916.95</v>
      </c>
      <c r="AA61" s="29">
        <f>Y61+Z61</f>
        <v>362877.2</v>
      </c>
      <c r="AD61" s="21">
        <v>406711492</v>
      </c>
      <c r="AE61" s="21">
        <v>36664408</v>
      </c>
      <c r="AG61" s="21" t="s">
        <v>256</v>
      </c>
      <c r="AH61" s="21" t="s">
        <v>257</v>
      </c>
      <c r="AI61" s="21" t="s">
        <v>60</v>
      </c>
      <c r="AK61" s="56">
        <f>S61-M61</f>
        <v>0</v>
      </c>
      <c r="AL61" s="56">
        <f>T61-N61</f>
        <v>70315.2</v>
      </c>
      <c r="AM61" s="56">
        <f>U61-O61</f>
        <v>70315.2</v>
      </c>
      <c r="AN61" s="59">
        <f>IFERROR(AK61/M61,0)</f>
        <v>0</v>
      </c>
      <c r="AO61" s="59">
        <f>IFERROR(AL61/N61,0)</f>
        <v>0.29999854086313</v>
      </c>
      <c r="AP61" s="59">
        <f>IFERROR(AM61/O61,0)</f>
        <v>0.19257187101931</v>
      </c>
    </row>
    <row r="62" spans="1:42">
      <c r="A62" s="32" t="s">
        <v>258</v>
      </c>
      <c r="B62" s="32"/>
      <c r="C62" s="60" t="s">
        <v>108</v>
      </c>
      <c r="D62" s="54"/>
      <c r="E62" s="54"/>
      <c r="F62" s="61" t="s">
        <v>63</v>
      </c>
      <c r="G62" s="62">
        <v>0.15</v>
      </c>
      <c r="H62" s="62"/>
      <c r="I62" s="62">
        <v>17.1</v>
      </c>
      <c r="J62" s="63">
        <v>69.54</v>
      </c>
      <c r="M62" s="64">
        <f>ROUND(ROUND(J62, 2)*I62, 2)</f>
        <v>1189.13</v>
      </c>
      <c r="P62" s="65">
        <v>69.54</v>
      </c>
      <c r="S62" s="64">
        <f>ROUND(ROUND(P62, 2)*I62, 2)</f>
        <v>1189.13</v>
      </c>
      <c r="V62" s="29">
        <f>ROUND(ROUND(P62, 2)/1.2, 2)</f>
        <v>57.95</v>
      </c>
      <c r="Y62" s="29">
        <f>ROUND(S62 / 1.2, 2)</f>
        <v>990.94</v>
      </c>
      <c r="AD62" s="21" t="s">
        <v>259</v>
      </c>
      <c r="AE62" s="21" t="s">
        <v>260</v>
      </c>
      <c r="AF62" s="21" t="s">
        <v>111</v>
      </c>
      <c r="AK62" s="64">
        <f>S62-M62</f>
        <v>0</v>
      </c>
      <c r="AL62" s="64"/>
      <c r="AM62" s="64"/>
      <c r="AN62" s="66">
        <f>IFERROR(AK62/M62,0)</f>
        <v>0</v>
      </c>
      <c r="AO62" s="64"/>
      <c r="AP62" s="64"/>
    </row>
    <row r="63" spans="1:42">
      <c r="A63" s="32" t="s">
        <v>261</v>
      </c>
      <c r="B63" s="32"/>
      <c r="C63" s="60" t="s">
        <v>262</v>
      </c>
      <c r="D63" s="54"/>
      <c r="E63" s="54"/>
      <c r="F63" s="61" t="s">
        <v>63</v>
      </c>
      <c r="G63" s="62">
        <v>0.25</v>
      </c>
      <c r="H63" s="68"/>
      <c r="I63" s="68">
        <v>28.5</v>
      </c>
      <c r="J63" s="63">
        <v>40.94</v>
      </c>
      <c r="M63" s="64">
        <f>ROUND(ROUND(J63, 2)*I63, 2)</f>
        <v>1166.79</v>
      </c>
      <c r="P63" s="65">
        <v>40.94</v>
      </c>
      <c r="S63" s="64">
        <f>ROUND(ROUND(P63, 2)*I63, 2)</f>
        <v>1166.79</v>
      </c>
      <c r="V63" s="29">
        <f>ROUND(ROUND(P63, 2)/1.2, 2)</f>
        <v>34.12</v>
      </c>
      <c r="Y63" s="29">
        <f>ROUND(S63 / 1.2, 2)</f>
        <v>972.33</v>
      </c>
      <c r="AD63" s="21" t="s">
        <v>263</v>
      </c>
      <c r="AE63" s="21" t="s">
        <v>264</v>
      </c>
      <c r="AF63" s="21" t="s">
        <v>265</v>
      </c>
      <c r="AK63" s="64">
        <f>S63-M63</f>
        <v>0</v>
      </c>
      <c r="AL63" s="64"/>
      <c r="AM63" s="64"/>
      <c r="AN63" s="66">
        <f>IFERROR(AK63/M63,0)</f>
        <v>0</v>
      </c>
      <c r="AO63" s="64"/>
      <c r="AP63" s="64"/>
    </row>
    <row r="64" spans="1:42">
      <c r="A64" s="32" t="s">
        <v>266</v>
      </c>
      <c r="B64" s="32"/>
      <c r="C64" s="67" t="s">
        <v>267</v>
      </c>
      <c r="D64" s="54"/>
      <c r="E64" s="54"/>
      <c r="F64" s="61" t="s">
        <v>57</v>
      </c>
      <c r="G64" s="62">
        <v>1.07</v>
      </c>
      <c r="H64" s="68"/>
      <c r="I64" s="68">
        <v>121.98</v>
      </c>
      <c r="J64" s="63">
        <v>960.75</v>
      </c>
      <c r="M64" s="64">
        <f>ROUND(ROUND(J64, 2)*I64, 2)</f>
        <v>117192.29</v>
      </c>
      <c r="P64" s="65">
        <v>960.75</v>
      </c>
      <c r="S64" s="64">
        <f>ROUND(ROUND(P64, 2)*I64, 2)</f>
        <v>117192.29</v>
      </c>
      <c r="V64" s="29">
        <f>ROUND(ROUND(P64, 2)/1.2, 2)</f>
        <v>800.63</v>
      </c>
      <c r="Y64" s="29">
        <f>ROUND(S64 / 1.2, 2)</f>
        <v>97660.24</v>
      </c>
      <c r="AD64" s="21" t="s">
        <v>268</v>
      </c>
      <c r="AE64" s="21" t="s">
        <v>269</v>
      </c>
      <c r="AF64" s="21" t="s">
        <v>270</v>
      </c>
      <c r="AK64" s="64">
        <f>S64-M64</f>
        <v>0</v>
      </c>
      <c r="AL64" s="64"/>
      <c r="AM64" s="64"/>
      <c r="AN64" s="66">
        <f>IFERROR(AK64/M64,0)</f>
        <v>0</v>
      </c>
      <c r="AO64" s="64"/>
      <c r="AP64" s="64"/>
    </row>
    <row r="65" spans="1:42">
      <c r="A65" s="32" t="s">
        <v>271</v>
      </c>
      <c r="B65" s="32"/>
      <c r="C65" s="67" t="s">
        <v>118</v>
      </c>
      <c r="D65" s="54"/>
      <c r="E65" s="54"/>
      <c r="F65" s="61" t="s">
        <v>63</v>
      </c>
      <c r="G65" s="62">
        <v>1.2</v>
      </c>
      <c r="H65" s="68"/>
      <c r="I65" s="68">
        <v>684</v>
      </c>
      <c r="J65" s="63">
        <v>16.38</v>
      </c>
      <c r="M65" s="64">
        <f>ROUND(ROUND(J65, 2)*I65, 2)</f>
        <v>11203.92</v>
      </c>
      <c r="P65" s="65">
        <v>16.38</v>
      </c>
      <c r="S65" s="64">
        <f>ROUND(ROUND(P65, 2)*I65, 2)</f>
        <v>11203.92</v>
      </c>
      <c r="V65" s="29">
        <f>ROUND(ROUND(P65, 2)/1.2, 2)</f>
        <v>13.65</v>
      </c>
      <c r="Y65" s="29">
        <f>ROUND(S65 / 1.2, 2)</f>
        <v>9336.6</v>
      </c>
      <c r="AD65" s="21" t="s">
        <v>272</v>
      </c>
      <c r="AE65" s="21" t="s">
        <v>273</v>
      </c>
      <c r="AF65" s="21" t="s">
        <v>121</v>
      </c>
      <c r="AK65" s="64">
        <f>S65-M65</f>
        <v>0</v>
      </c>
      <c r="AL65" s="64"/>
      <c r="AM65" s="64"/>
      <c r="AN65" s="66">
        <f>IFERROR(AK65/M65,0)</f>
        <v>0</v>
      </c>
      <c r="AO65" s="64"/>
      <c r="AP65" s="64"/>
    </row>
    <row r="66" spans="1:42">
      <c r="A66" s="32" t="s">
        <v>274</v>
      </c>
      <c r="B66" s="32" t="s">
        <v>253</v>
      </c>
      <c r="C66" s="53" t="s">
        <v>254</v>
      </c>
      <c r="D66" s="54"/>
      <c r="E66" s="54" t="s">
        <v>275</v>
      </c>
      <c r="F66" s="54" t="s">
        <v>57</v>
      </c>
      <c r="G66" s="55">
        <v>1.0</v>
      </c>
      <c r="H66" s="55"/>
      <c r="I66" s="55">
        <v>216.87</v>
      </c>
      <c r="J66" s="56">
        <f>IFERROR(ROUND(SUM(M67,M68,M69,M70)/I66, 2),0)</f>
        <v>826.16</v>
      </c>
      <c r="K66" s="57">
        <v>2056.01</v>
      </c>
      <c r="L66" s="56">
        <f>J66+ROUND(K66, 2)</f>
        <v>2882.17</v>
      </c>
      <c r="M66" s="56">
        <f>ROUND(J66*I66, 2)</f>
        <v>179169.32</v>
      </c>
      <c r="N66" s="56">
        <f>ROUND(I66*ROUND(K66, 2), 2)</f>
        <v>445886.89</v>
      </c>
      <c r="O66" s="56">
        <f>M66+N66</f>
        <v>625056.21</v>
      </c>
      <c r="P66" s="56">
        <f>IFERROR(ROUND(SUM(S67,S68,S69,S70)/I66, 2),0)</f>
        <v>826.16</v>
      </c>
      <c r="Q66" s="58">
        <v>2672.81</v>
      </c>
      <c r="R66" s="56">
        <f>P66+ROUND(Q66, 2)</f>
        <v>3498.97</v>
      </c>
      <c r="S66" s="56">
        <f>ROUND(P66*I66, 2)</f>
        <v>179169.32</v>
      </c>
      <c r="T66" s="56">
        <f>ROUND(I66*ROUND(Q66, 2), 2)</f>
        <v>579652.3</v>
      </c>
      <c r="U66" s="56">
        <f>S66+T66</f>
        <v>758821.62</v>
      </c>
      <c r="V66" s="29">
        <f>ROUND(P66 / 1.2, 2)</f>
        <v>688.47</v>
      </c>
      <c r="W66" s="29">
        <f>ROUND(Q66 / 1.2, 2)</f>
        <v>2227.34</v>
      </c>
      <c r="X66" s="29">
        <f>ROUND(R66 / 1.2, 2)</f>
        <v>2915.81</v>
      </c>
      <c r="Y66" s="29">
        <f>ROUND(S66 / 1.2, 2)</f>
        <v>149307.77</v>
      </c>
      <c r="Z66" s="29">
        <f>ROUND(T66 / 1.2, 2)</f>
        <v>483043.58</v>
      </c>
      <c r="AA66" s="29">
        <f>Y66+Z66</f>
        <v>632351.35</v>
      </c>
      <c r="AD66" s="21">
        <v>406711516</v>
      </c>
      <c r="AE66" s="21">
        <v>36664409</v>
      </c>
      <c r="AG66" s="21" t="s">
        <v>256</v>
      </c>
      <c r="AH66" s="21" t="s">
        <v>257</v>
      </c>
      <c r="AI66" s="21" t="s">
        <v>60</v>
      </c>
      <c r="AK66" s="56">
        <f>S66-M66</f>
        <v>0</v>
      </c>
      <c r="AL66" s="56">
        <f>T66-N66</f>
        <v>133765.41</v>
      </c>
      <c r="AM66" s="56">
        <f>U66-O66</f>
        <v>133765.41</v>
      </c>
      <c r="AN66" s="59">
        <f>IFERROR(AK66/M66,0)</f>
        <v>0</v>
      </c>
      <c r="AO66" s="59">
        <f>IFERROR(AL66/N66,0)</f>
        <v>0.29999852653214</v>
      </c>
      <c r="AP66" s="59">
        <f>IFERROR(AM66/O66,0)</f>
        <v>0.21400540920952</v>
      </c>
    </row>
    <row r="67" spans="1:42">
      <c r="A67" s="32" t="s">
        <v>276</v>
      </c>
      <c r="B67" s="32"/>
      <c r="C67" s="67" t="s">
        <v>277</v>
      </c>
      <c r="D67" s="54"/>
      <c r="E67" s="54"/>
      <c r="F67" s="61" t="s">
        <v>57</v>
      </c>
      <c r="G67" s="62">
        <v>1.03</v>
      </c>
      <c r="H67" s="68"/>
      <c r="I67" s="68">
        <v>223.376</v>
      </c>
      <c r="J67" s="63">
        <v>686.62</v>
      </c>
      <c r="M67" s="64">
        <f>ROUND(ROUND(J67, 2)*I67, 2)</f>
        <v>153374.43</v>
      </c>
      <c r="P67" s="65">
        <v>686.62</v>
      </c>
      <c r="S67" s="64">
        <f>ROUND(ROUND(P67, 2)*I67, 2)</f>
        <v>153374.43</v>
      </c>
      <c r="V67" s="29">
        <f>ROUND(ROUND(P67, 2)/1.2, 2)</f>
        <v>572.18</v>
      </c>
      <c r="Y67" s="29">
        <f>ROUND(S67 / 1.2, 2)</f>
        <v>127812.03</v>
      </c>
      <c r="AD67" s="21" t="s">
        <v>278</v>
      </c>
      <c r="AE67" s="21" t="s">
        <v>279</v>
      </c>
      <c r="AF67" s="21" t="s">
        <v>280</v>
      </c>
      <c r="AK67" s="64">
        <f>S67-M67</f>
        <v>0</v>
      </c>
      <c r="AL67" s="64"/>
      <c r="AM67" s="64"/>
      <c r="AN67" s="66">
        <f>IFERROR(AK67/M67,0)</f>
        <v>0</v>
      </c>
      <c r="AO67" s="64"/>
      <c r="AP67" s="64"/>
    </row>
    <row r="68" spans="1:42">
      <c r="A68" s="32" t="s">
        <v>281</v>
      </c>
      <c r="B68" s="32"/>
      <c r="C68" s="67" t="s">
        <v>118</v>
      </c>
      <c r="D68" s="54"/>
      <c r="E68" s="54"/>
      <c r="F68" s="61" t="s">
        <v>63</v>
      </c>
      <c r="G68" s="62">
        <v>1.2</v>
      </c>
      <c r="H68" s="68"/>
      <c r="I68" s="68">
        <v>1301.22</v>
      </c>
      <c r="J68" s="63">
        <v>16.38</v>
      </c>
      <c r="M68" s="64">
        <f>ROUND(ROUND(J68, 2)*I68, 2)</f>
        <v>21313.98</v>
      </c>
      <c r="P68" s="65">
        <v>16.38</v>
      </c>
      <c r="S68" s="64">
        <f>ROUND(ROUND(P68, 2)*I68, 2)</f>
        <v>21313.98</v>
      </c>
      <c r="V68" s="29">
        <f>ROUND(ROUND(P68, 2)/1.2, 2)</f>
        <v>13.65</v>
      </c>
      <c r="Y68" s="29">
        <f>ROUND(S68 / 1.2, 2)</f>
        <v>17761.65</v>
      </c>
      <c r="AD68" s="21" t="s">
        <v>282</v>
      </c>
      <c r="AE68" s="21" t="s">
        <v>283</v>
      </c>
      <c r="AF68" s="21" t="s">
        <v>121</v>
      </c>
      <c r="AK68" s="64">
        <f>S68-M68</f>
        <v>0</v>
      </c>
      <c r="AL68" s="64"/>
      <c r="AM68" s="64"/>
      <c r="AN68" s="66">
        <f>IFERROR(AK68/M68,0)</f>
        <v>0</v>
      </c>
      <c r="AO68" s="64"/>
      <c r="AP68" s="64"/>
    </row>
    <row r="69" spans="1:42">
      <c r="A69" s="32" t="s">
        <v>284</v>
      </c>
      <c r="B69" s="32"/>
      <c r="C69" s="60" t="s">
        <v>262</v>
      </c>
      <c r="D69" s="54"/>
      <c r="E69" s="54"/>
      <c r="F69" s="61" t="s">
        <v>63</v>
      </c>
      <c r="G69" s="62">
        <v>0.25</v>
      </c>
      <c r="H69" s="68"/>
      <c r="I69" s="68">
        <v>54.218</v>
      </c>
      <c r="J69" s="63">
        <v>40.94</v>
      </c>
      <c r="M69" s="64">
        <f>ROUND(ROUND(J69, 2)*I69, 2)</f>
        <v>2219.68</v>
      </c>
      <c r="P69" s="65">
        <v>40.94</v>
      </c>
      <c r="S69" s="64">
        <f>ROUND(ROUND(P69, 2)*I69, 2)</f>
        <v>2219.68</v>
      </c>
      <c r="V69" s="29">
        <f>ROUND(ROUND(P69, 2)/1.2, 2)</f>
        <v>34.12</v>
      </c>
      <c r="Y69" s="29">
        <f>ROUND(S69 / 1.2, 2)</f>
        <v>1849.73</v>
      </c>
      <c r="AD69" s="21" t="s">
        <v>285</v>
      </c>
      <c r="AE69" s="21" t="s">
        <v>286</v>
      </c>
      <c r="AF69" s="21" t="s">
        <v>265</v>
      </c>
      <c r="AK69" s="64">
        <f>S69-M69</f>
        <v>0</v>
      </c>
      <c r="AL69" s="64"/>
      <c r="AM69" s="64"/>
      <c r="AN69" s="66">
        <f>IFERROR(AK69/M69,0)</f>
        <v>0</v>
      </c>
      <c r="AO69" s="64"/>
      <c r="AP69" s="64"/>
    </row>
    <row r="70" spans="1:42">
      <c r="A70" s="32" t="s">
        <v>287</v>
      </c>
      <c r="B70" s="32"/>
      <c r="C70" s="60" t="s">
        <v>108</v>
      </c>
      <c r="D70" s="54"/>
      <c r="E70" s="54"/>
      <c r="F70" s="61" t="s">
        <v>63</v>
      </c>
      <c r="G70" s="62">
        <v>0.15</v>
      </c>
      <c r="H70" s="62"/>
      <c r="I70" s="62">
        <v>32.531</v>
      </c>
      <c r="J70" s="63">
        <v>69.54</v>
      </c>
      <c r="M70" s="64">
        <f>ROUND(ROUND(J70, 2)*I70, 2)</f>
        <v>2262.21</v>
      </c>
      <c r="P70" s="65">
        <v>69.54</v>
      </c>
      <c r="S70" s="64">
        <f>ROUND(ROUND(P70, 2)*I70, 2)</f>
        <v>2262.21</v>
      </c>
      <c r="V70" s="29">
        <f>ROUND(ROUND(P70, 2)/1.2, 2)</f>
        <v>57.95</v>
      </c>
      <c r="Y70" s="29">
        <f>ROUND(S70 / 1.2, 2)</f>
        <v>1885.18</v>
      </c>
      <c r="AD70" s="21" t="s">
        <v>288</v>
      </c>
      <c r="AE70" s="21" t="s">
        <v>289</v>
      </c>
      <c r="AF70" s="21" t="s">
        <v>111</v>
      </c>
      <c r="AK70" s="64">
        <f>S70-M70</f>
        <v>0</v>
      </c>
      <c r="AL70" s="64"/>
      <c r="AM70" s="64"/>
      <c r="AN70" s="66">
        <f>IFERROR(AK70/M70,0)</f>
        <v>0</v>
      </c>
      <c r="AO70" s="64"/>
      <c r="AP70" s="64"/>
    </row>
    <row r="71" spans="1:42">
      <c r="A71" s="32" t="s">
        <v>290</v>
      </c>
      <c r="B71" s="32" t="s">
        <v>291</v>
      </c>
      <c r="C71" s="53" t="s">
        <v>292</v>
      </c>
      <c r="D71" s="54"/>
      <c r="E71" s="54"/>
      <c r="F71" s="54" t="s">
        <v>57</v>
      </c>
      <c r="G71" s="55">
        <v>1.0</v>
      </c>
      <c r="H71" s="55"/>
      <c r="I71" s="55">
        <v>256.41</v>
      </c>
      <c r="J71" s="56">
        <f>IFERROR(ROUND(SUM(M72,M73,M74,M75)/I71, 2),0)</f>
        <v>312.02</v>
      </c>
      <c r="K71" s="57">
        <v>826.0</v>
      </c>
      <c r="L71" s="56">
        <f>J71+ROUND(K71, 2)</f>
        <v>1138.02</v>
      </c>
      <c r="M71" s="56">
        <f>ROUND(J71*I71, 2)</f>
        <v>80005.05</v>
      </c>
      <c r="N71" s="56">
        <f>ROUND(I71*ROUND(K71, 2), 2)</f>
        <v>211794.66</v>
      </c>
      <c r="O71" s="56">
        <f>M71+N71</f>
        <v>291799.71</v>
      </c>
      <c r="P71" s="56">
        <f>IFERROR(ROUND(SUM(S72,S73,S74,S75)/I71, 2),0)</f>
        <v>312.02</v>
      </c>
      <c r="Q71" s="58">
        <v>1073.8</v>
      </c>
      <c r="R71" s="56">
        <f>P71+ROUND(Q71, 2)</f>
        <v>1385.82</v>
      </c>
      <c r="S71" s="56">
        <f>ROUND(P71*I71, 2)</f>
        <v>80005.05</v>
      </c>
      <c r="T71" s="56">
        <f>ROUND(I71*ROUND(Q71, 2), 2)</f>
        <v>275333.06</v>
      </c>
      <c r="U71" s="56">
        <f>S71+T71</f>
        <v>355338.11</v>
      </c>
      <c r="V71" s="29">
        <f>ROUND(P71 / 1.2, 2)</f>
        <v>260.02</v>
      </c>
      <c r="W71" s="29">
        <f>ROUND(Q71 / 1.2, 2)</f>
        <v>894.83</v>
      </c>
      <c r="X71" s="29">
        <f>ROUND(R71 / 1.2, 2)</f>
        <v>1154.85</v>
      </c>
      <c r="Y71" s="29">
        <f>ROUND(S71 / 1.2, 2)</f>
        <v>66670.88</v>
      </c>
      <c r="Z71" s="29">
        <f>ROUND(T71 / 1.2, 2)</f>
        <v>229444.22</v>
      </c>
      <c r="AA71" s="29">
        <f>Y71+Z71</f>
        <v>296115.1</v>
      </c>
      <c r="AD71" s="21">
        <v>406711494</v>
      </c>
      <c r="AE71" s="21">
        <v>36662405</v>
      </c>
      <c r="AG71" s="21" t="s">
        <v>293</v>
      </c>
      <c r="AH71" s="21" t="s">
        <v>294</v>
      </c>
      <c r="AI71" s="21" t="s">
        <v>60</v>
      </c>
      <c r="AK71" s="56">
        <f>S71-M71</f>
        <v>0</v>
      </c>
      <c r="AL71" s="56">
        <f>T71-N71</f>
        <v>63538.4</v>
      </c>
      <c r="AM71" s="56">
        <f>U71-O71</f>
        <v>63538.4</v>
      </c>
      <c r="AN71" s="59">
        <f>IFERROR(AK71/M71,0)</f>
        <v>0</v>
      </c>
      <c r="AO71" s="59">
        <f>IFERROR(AL71/N71,0)</f>
        <v>0.30000000944311</v>
      </c>
      <c r="AP71" s="59">
        <f>IFERROR(AM71/O71,0)</f>
        <v>0.21774661804839</v>
      </c>
    </row>
    <row r="72" spans="1:42">
      <c r="A72" s="32" t="s">
        <v>295</v>
      </c>
      <c r="B72" s="32"/>
      <c r="C72" s="60" t="s">
        <v>296</v>
      </c>
      <c r="D72" s="54"/>
      <c r="E72" s="54"/>
      <c r="F72" s="61" t="s">
        <v>101</v>
      </c>
      <c r="G72" s="62">
        <v>1.05</v>
      </c>
      <c r="H72" s="68"/>
      <c r="I72" s="68">
        <v>269.231</v>
      </c>
      <c r="J72" s="63">
        <v>16.02</v>
      </c>
      <c r="M72" s="64">
        <f>ROUND(ROUND(J72, 2)*I72, 2)</f>
        <v>4313.08</v>
      </c>
      <c r="P72" s="65">
        <v>16.02</v>
      </c>
      <c r="S72" s="64">
        <f>ROUND(ROUND(P72, 2)*I72, 2)</f>
        <v>4313.08</v>
      </c>
      <c r="V72" s="29">
        <f>ROUND(ROUND(P72, 2)/1.2, 2)</f>
        <v>13.35</v>
      </c>
      <c r="Y72" s="29">
        <f>ROUND(S72 / 1.2, 2)</f>
        <v>3594.23</v>
      </c>
      <c r="AD72" s="21" t="s">
        <v>297</v>
      </c>
      <c r="AE72" s="21" t="s">
        <v>298</v>
      </c>
      <c r="AF72" s="21" t="s">
        <v>299</v>
      </c>
      <c r="AK72" s="64">
        <f>S72-M72</f>
        <v>0</v>
      </c>
      <c r="AL72" s="64"/>
      <c r="AM72" s="64"/>
      <c r="AN72" s="66">
        <f>IFERROR(AK72/M72,0)</f>
        <v>0</v>
      </c>
      <c r="AO72" s="64"/>
      <c r="AP72" s="64"/>
    </row>
    <row r="73" spans="1:42">
      <c r="A73" s="32" t="s">
        <v>300</v>
      </c>
      <c r="B73" s="32"/>
      <c r="C73" s="60" t="s">
        <v>301</v>
      </c>
      <c r="D73" s="54"/>
      <c r="E73" s="54"/>
      <c r="F73" s="61" t="s">
        <v>63</v>
      </c>
      <c r="G73" s="62">
        <v>0.25</v>
      </c>
      <c r="H73" s="62"/>
      <c r="I73" s="62">
        <v>64.103</v>
      </c>
      <c r="J73" s="63">
        <v>101.66</v>
      </c>
      <c r="M73" s="64">
        <f>ROUND(ROUND(J73, 2)*I73, 2)</f>
        <v>6516.71</v>
      </c>
      <c r="P73" s="65">
        <v>101.66</v>
      </c>
      <c r="S73" s="64">
        <f>ROUND(ROUND(P73, 2)*I73, 2)</f>
        <v>6516.71</v>
      </c>
      <c r="V73" s="29">
        <f>ROUND(ROUND(P73, 2)/1.2, 2)</f>
        <v>84.72</v>
      </c>
      <c r="Y73" s="29">
        <f>ROUND(S73 / 1.2, 2)</f>
        <v>5430.59</v>
      </c>
      <c r="AD73" s="21" t="s">
        <v>302</v>
      </c>
      <c r="AE73" s="21" t="s">
        <v>303</v>
      </c>
      <c r="AF73" s="21" t="s">
        <v>304</v>
      </c>
      <c r="AK73" s="64">
        <f>S73-M73</f>
        <v>0</v>
      </c>
      <c r="AL73" s="64"/>
      <c r="AM73" s="64"/>
      <c r="AN73" s="66">
        <f>IFERROR(AK73/M73,0)</f>
        <v>0</v>
      </c>
      <c r="AO73" s="64"/>
      <c r="AP73" s="64"/>
    </row>
    <row r="74" spans="1:42">
      <c r="A74" s="32" t="s">
        <v>305</v>
      </c>
      <c r="B74" s="32"/>
      <c r="C74" s="60" t="s">
        <v>306</v>
      </c>
      <c r="D74" s="54"/>
      <c r="E74" s="54"/>
      <c r="F74" s="61" t="s">
        <v>57</v>
      </c>
      <c r="G74" s="62">
        <v>1.1</v>
      </c>
      <c r="H74" s="62"/>
      <c r="I74" s="62">
        <v>282.051</v>
      </c>
      <c r="J74" s="63">
        <v>101.26</v>
      </c>
      <c r="M74" s="64">
        <f>ROUND(ROUND(J74, 2)*I74, 2)</f>
        <v>28560.48</v>
      </c>
      <c r="P74" s="65">
        <v>101.26</v>
      </c>
      <c r="S74" s="64">
        <f>ROUND(ROUND(P74, 2)*I74, 2)</f>
        <v>28560.48</v>
      </c>
      <c r="V74" s="29">
        <f>ROUND(ROUND(P74, 2)/1.2, 2)</f>
        <v>84.38</v>
      </c>
      <c r="Y74" s="29">
        <f>ROUND(S74 / 1.2, 2)</f>
        <v>23800.4</v>
      </c>
      <c r="AD74" s="21" t="s">
        <v>307</v>
      </c>
      <c r="AE74" s="21" t="s">
        <v>308</v>
      </c>
      <c r="AF74" s="21" t="s">
        <v>309</v>
      </c>
      <c r="AK74" s="64">
        <f>S74-M74</f>
        <v>0</v>
      </c>
      <c r="AL74" s="64"/>
      <c r="AM74" s="64"/>
      <c r="AN74" s="66">
        <f>IFERROR(AK74/M74,0)</f>
        <v>0</v>
      </c>
      <c r="AO74" s="64"/>
      <c r="AP74" s="64"/>
    </row>
    <row r="75" spans="1:42">
      <c r="A75" s="32" t="s">
        <v>310</v>
      </c>
      <c r="B75" s="32"/>
      <c r="C75" s="67" t="s">
        <v>311</v>
      </c>
      <c r="D75" s="54"/>
      <c r="E75" s="54"/>
      <c r="F75" s="61" t="s">
        <v>63</v>
      </c>
      <c r="G75" s="62">
        <v>1</v>
      </c>
      <c r="H75" s="68"/>
      <c r="I75" s="68">
        <v>5128.2</v>
      </c>
      <c r="J75" s="63">
        <v>7.92</v>
      </c>
      <c r="M75" s="64">
        <f>ROUND(ROUND(J75, 2)*I75, 2)</f>
        <v>40615.34</v>
      </c>
      <c r="P75" s="65">
        <v>7.92</v>
      </c>
      <c r="S75" s="64">
        <f>ROUND(ROUND(P75, 2)*I75, 2)</f>
        <v>40615.34</v>
      </c>
      <c r="V75" s="29">
        <f>ROUND(ROUND(P75, 2)/1.2, 2)</f>
        <v>6.6</v>
      </c>
      <c r="Y75" s="29">
        <f>ROUND(S75 / 1.2, 2)</f>
        <v>33846.12</v>
      </c>
      <c r="AD75" s="21" t="s">
        <v>312</v>
      </c>
      <c r="AE75" s="21" t="s">
        <v>313</v>
      </c>
      <c r="AF75" s="21" t="s">
        <v>314</v>
      </c>
      <c r="AK75" s="64">
        <f>S75-M75</f>
        <v>0</v>
      </c>
      <c r="AL75" s="64"/>
      <c r="AM75" s="64"/>
      <c r="AN75" s="66">
        <f>IFERROR(AK75/M75,0)</f>
        <v>0</v>
      </c>
      <c r="AO75" s="64"/>
      <c r="AP75" s="64"/>
    </row>
    <row r="76" spans="1:42">
      <c r="A76" s="32" t="s">
        <v>315</v>
      </c>
      <c r="B76" s="32" t="s">
        <v>316</v>
      </c>
      <c r="C76" s="53" t="s">
        <v>317</v>
      </c>
      <c r="D76" s="54"/>
      <c r="E76" s="54" t="s">
        <v>318</v>
      </c>
      <c r="F76" s="54" t="s">
        <v>57</v>
      </c>
      <c r="G76" s="55">
        <v>1.0</v>
      </c>
      <c r="H76" s="55"/>
      <c r="I76" s="55">
        <v>409.65</v>
      </c>
      <c r="J76" s="56">
        <f>IFERROR(ROUND(SUM(M77,M78)/I76, 2),0)</f>
        <v>299.87</v>
      </c>
      <c r="K76" s="57">
        <v>428.0</v>
      </c>
      <c r="L76" s="56">
        <f>J76+ROUND(K76, 2)</f>
        <v>727.87</v>
      </c>
      <c r="M76" s="56">
        <f>ROUND(J76*I76, 2)</f>
        <v>122841.75</v>
      </c>
      <c r="N76" s="56">
        <f>ROUND(I76*ROUND(K76, 2), 2)</f>
        <v>175330.2</v>
      </c>
      <c r="O76" s="56">
        <f>M76+N76</f>
        <v>298171.95</v>
      </c>
      <c r="P76" s="56">
        <f>IFERROR(ROUND(SUM(S77,S78)/I76, 2),0)</f>
        <v>299.87</v>
      </c>
      <c r="Q76" s="58">
        <v>556.4</v>
      </c>
      <c r="R76" s="56">
        <f>P76+ROUND(Q76, 2)</f>
        <v>856.27</v>
      </c>
      <c r="S76" s="56">
        <f>ROUND(P76*I76, 2)</f>
        <v>122841.75</v>
      </c>
      <c r="T76" s="56">
        <f>ROUND(I76*ROUND(Q76, 2), 2)</f>
        <v>227929.26</v>
      </c>
      <c r="U76" s="56">
        <f>S76+T76</f>
        <v>350771.01</v>
      </c>
      <c r="V76" s="29">
        <f>ROUND(P76 / 1.2, 2)</f>
        <v>249.89</v>
      </c>
      <c r="W76" s="29">
        <f>ROUND(Q76 / 1.2, 2)</f>
        <v>463.67</v>
      </c>
      <c r="X76" s="29">
        <f>ROUND(R76 / 1.2, 2)</f>
        <v>713.56</v>
      </c>
      <c r="Y76" s="29">
        <f>ROUND(S76 / 1.2, 2)</f>
        <v>102368.13</v>
      </c>
      <c r="Z76" s="29">
        <f>ROUND(T76 / 1.2, 2)</f>
        <v>189941.05</v>
      </c>
      <c r="AA76" s="29">
        <f>Y76+Z76</f>
        <v>292309.18</v>
      </c>
      <c r="AD76" s="21">
        <v>406711496</v>
      </c>
      <c r="AE76" s="21">
        <v>36663239</v>
      </c>
      <c r="AG76" s="21" t="s">
        <v>319</v>
      </c>
      <c r="AH76" s="21" t="s">
        <v>320</v>
      </c>
      <c r="AI76" s="21" t="s">
        <v>60</v>
      </c>
      <c r="AK76" s="56">
        <f>S76-M76</f>
        <v>0</v>
      </c>
      <c r="AL76" s="56">
        <f>T76-N76</f>
        <v>52599.06</v>
      </c>
      <c r="AM76" s="56">
        <f>U76-O76</f>
        <v>52599.06</v>
      </c>
      <c r="AN76" s="59">
        <f>IFERROR(AK76/M76,0)</f>
        <v>0</v>
      </c>
      <c r="AO76" s="59">
        <f>IFERROR(AL76/N76,0)</f>
        <v>0.3</v>
      </c>
      <c r="AP76" s="59">
        <f>IFERROR(AM76/O76,0)</f>
        <v>0.17640512462691</v>
      </c>
    </row>
    <row r="77" spans="1:42">
      <c r="A77" s="32" t="s">
        <v>321</v>
      </c>
      <c r="B77" s="32"/>
      <c r="C77" s="60" t="s">
        <v>322</v>
      </c>
      <c r="D77" s="54"/>
      <c r="E77" s="54"/>
      <c r="F77" s="61" t="s">
        <v>63</v>
      </c>
      <c r="G77" s="62">
        <v>0.3</v>
      </c>
      <c r="H77" s="62"/>
      <c r="I77" s="62">
        <v>122.895</v>
      </c>
      <c r="J77" s="63">
        <v>954.43</v>
      </c>
      <c r="M77" s="64">
        <f>ROUND(ROUND(J77, 2)*I77, 2)</f>
        <v>117294.67</v>
      </c>
      <c r="P77" s="65">
        <v>954.43</v>
      </c>
      <c r="S77" s="64">
        <f>ROUND(ROUND(P77, 2)*I77, 2)</f>
        <v>117294.67</v>
      </c>
      <c r="V77" s="29">
        <f>ROUND(ROUND(P77, 2)/1.2, 2)</f>
        <v>795.36</v>
      </c>
      <c r="Y77" s="29">
        <f>ROUND(S77 / 1.2, 2)</f>
        <v>97745.56</v>
      </c>
      <c r="AD77" s="21" t="s">
        <v>323</v>
      </c>
      <c r="AE77" s="21" t="s">
        <v>324</v>
      </c>
      <c r="AF77" s="21" t="s">
        <v>325</v>
      </c>
      <c r="AK77" s="64">
        <f>S77-M77</f>
        <v>0</v>
      </c>
      <c r="AL77" s="64"/>
      <c r="AM77" s="64"/>
      <c r="AN77" s="66">
        <f>IFERROR(AK77/M77,0)</f>
        <v>0</v>
      </c>
      <c r="AO77" s="64"/>
      <c r="AP77" s="64"/>
    </row>
    <row r="78" spans="1:42">
      <c r="A78" s="32" t="s">
        <v>326</v>
      </c>
      <c r="B78" s="32"/>
      <c r="C78" s="60" t="s">
        <v>327</v>
      </c>
      <c r="D78" s="54"/>
      <c r="E78" s="54"/>
      <c r="F78" s="61" t="s">
        <v>63</v>
      </c>
      <c r="G78" s="62">
        <v>0.15</v>
      </c>
      <c r="H78" s="62"/>
      <c r="I78" s="62">
        <v>61.448</v>
      </c>
      <c r="J78" s="63">
        <v>90.28</v>
      </c>
      <c r="M78" s="64">
        <f>ROUND(ROUND(J78, 2)*I78, 2)</f>
        <v>5547.53</v>
      </c>
      <c r="P78" s="65">
        <v>90.28</v>
      </c>
      <c r="S78" s="64">
        <f>ROUND(ROUND(P78, 2)*I78, 2)</f>
        <v>5547.53</v>
      </c>
      <c r="V78" s="29">
        <f>ROUND(ROUND(P78, 2)/1.2, 2)</f>
        <v>75.23</v>
      </c>
      <c r="Y78" s="29">
        <f>ROUND(S78 / 1.2, 2)</f>
        <v>4622.94</v>
      </c>
      <c r="AD78" s="21" t="s">
        <v>328</v>
      </c>
      <c r="AE78" s="21" t="s">
        <v>329</v>
      </c>
      <c r="AF78" s="21" t="s">
        <v>330</v>
      </c>
      <c r="AK78" s="64">
        <f>S78-M78</f>
        <v>0</v>
      </c>
      <c r="AL78" s="64"/>
      <c r="AM78" s="64"/>
      <c r="AN78" s="66">
        <f>IFERROR(AK78/M78,0)</f>
        <v>0</v>
      </c>
      <c r="AO78" s="64"/>
      <c r="AP78" s="64"/>
    </row>
    <row r="79" spans="1:42">
      <c r="A79" s="32" t="s">
        <v>331</v>
      </c>
      <c r="B79" s="32" t="s">
        <v>316</v>
      </c>
      <c r="C79" s="53" t="s">
        <v>317</v>
      </c>
      <c r="D79" s="54"/>
      <c r="E79" s="54" t="s">
        <v>332</v>
      </c>
      <c r="F79" s="54" t="s">
        <v>57</v>
      </c>
      <c r="G79" s="55">
        <v>1.0</v>
      </c>
      <c r="H79" s="55"/>
      <c r="I79" s="55">
        <v>330.97</v>
      </c>
      <c r="J79" s="56">
        <f>IFERROR(ROUND(SUM(M80,M81)/I79, 2),0)</f>
        <v>13.54</v>
      </c>
      <c r="K79" s="57">
        <v>428.0</v>
      </c>
      <c r="L79" s="56">
        <f>J79+ROUND(K79, 2)</f>
        <v>441.54</v>
      </c>
      <c r="M79" s="56">
        <f>ROUND(J79*I79, 2)</f>
        <v>4481.33</v>
      </c>
      <c r="N79" s="56">
        <f>ROUND(I79*ROUND(K79, 2), 2)</f>
        <v>141655.16</v>
      </c>
      <c r="O79" s="56">
        <f>M79+N79</f>
        <v>146136.49</v>
      </c>
      <c r="P79" s="56">
        <f>IFERROR(ROUND(SUM(S80,S81)/I79, 2),0)</f>
        <v>124.15</v>
      </c>
      <c r="Q79" s="58">
        <v>556.4</v>
      </c>
      <c r="R79" s="56">
        <f>P79+ROUND(Q79, 2)</f>
        <v>680.55</v>
      </c>
      <c r="S79" s="56">
        <f>ROUND(P79*I79, 2)</f>
        <v>41089.93</v>
      </c>
      <c r="T79" s="56">
        <f>ROUND(I79*ROUND(Q79, 2), 2)</f>
        <v>184151.71</v>
      </c>
      <c r="U79" s="56">
        <f>S79+T79</f>
        <v>225241.64</v>
      </c>
      <c r="V79" s="29">
        <f>ROUND(P79 / 1.2, 2)</f>
        <v>103.46</v>
      </c>
      <c r="W79" s="29">
        <f>ROUND(Q79 / 1.2, 2)</f>
        <v>463.67</v>
      </c>
      <c r="X79" s="29">
        <f>ROUND(R79 / 1.2, 2)</f>
        <v>567.13</v>
      </c>
      <c r="Y79" s="29">
        <f>ROUND(S79 / 1.2, 2)</f>
        <v>34241.61</v>
      </c>
      <c r="Z79" s="29">
        <f>ROUND(T79 / 1.2, 2)</f>
        <v>153459.76</v>
      </c>
      <c r="AA79" s="29">
        <f>Y79+Z79</f>
        <v>187701.37</v>
      </c>
      <c r="AD79" s="21">
        <v>406711517</v>
      </c>
      <c r="AE79" s="21">
        <v>36663240</v>
      </c>
      <c r="AG79" s="21" t="s">
        <v>319</v>
      </c>
      <c r="AH79" s="21" t="s">
        <v>320</v>
      </c>
      <c r="AI79" s="21" t="s">
        <v>60</v>
      </c>
      <c r="AK79" s="56">
        <f>S79-M79</f>
        <v>36608.6</v>
      </c>
      <c r="AL79" s="56">
        <f>T79-N79</f>
        <v>42496.55</v>
      </c>
      <c r="AM79" s="56">
        <f>U79-O79</f>
        <v>79105.15</v>
      </c>
      <c r="AN79" s="59">
        <f>IFERROR(AK79/M79,0)</f>
        <v>8.1691372873678</v>
      </c>
      <c r="AO79" s="59">
        <f>IFERROR(AL79/N79,0)</f>
        <v>0.30000001411879</v>
      </c>
      <c r="AP79" s="59">
        <f>IFERROR(AM79/O79,0)</f>
        <v>0.54131004515026</v>
      </c>
    </row>
    <row r="80" spans="1:42">
      <c r="A80" s="32" t="s">
        <v>333</v>
      </c>
      <c r="B80" s="32"/>
      <c r="C80" s="60" t="s">
        <v>334</v>
      </c>
      <c r="D80" s="54"/>
      <c r="E80" s="54"/>
      <c r="F80" s="61" t="s">
        <v>63</v>
      </c>
      <c r="G80" s="62">
        <v>0.3</v>
      </c>
      <c r="H80" s="62"/>
      <c r="I80" s="62">
        <v>99.291</v>
      </c>
      <c r="J80" s="63">
        <v>0.0</v>
      </c>
      <c r="M80" s="64">
        <f>ROUND(ROUND(J80, 2)*I80, 2)</f>
        <v>0</v>
      </c>
      <c r="P80" s="65">
        <v>368.7</v>
      </c>
      <c r="S80" s="64">
        <f>ROUND(ROUND(P80, 2)*I80, 2)</f>
        <v>36608.59</v>
      </c>
      <c r="V80" s="29">
        <f>ROUND(ROUND(P80, 2)/1.2, 2)</f>
        <v>307.25</v>
      </c>
      <c r="Y80" s="29">
        <f>ROUND(S80 / 1.2, 2)</f>
        <v>30507.16</v>
      </c>
      <c r="AD80" s="21" t="s">
        <v>335</v>
      </c>
      <c r="AE80" s="21" t="s">
        <v>336</v>
      </c>
      <c r="AF80" s="21" t="s">
        <v>337</v>
      </c>
      <c r="AK80" s="64">
        <f>S80-M80</f>
        <v>36608.59</v>
      </c>
      <c r="AL80" s="64"/>
      <c r="AM80" s="64"/>
      <c r="AN80" s="66">
        <f>IFERROR(AK80/M80,0)</f>
        <v>0</v>
      </c>
      <c r="AO80" s="64"/>
      <c r="AP80" s="64"/>
    </row>
    <row r="81" spans="1:42">
      <c r="A81" s="32" t="s">
        <v>338</v>
      </c>
      <c r="B81" s="32"/>
      <c r="C81" s="60" t="s">
        <v>327</v>
      </c>
      <c r="D81" s="54"/>
      <c r="E81" s="54"/>
      <c r="F81" s="61" t="s">
        <v>63</v>
      </c>
      <c r="G81" s="62">
        <v>0.15</v>
      </c>
      <c r="H81" s="62"/>
      <c r="I81" s="62">
        <v>49.646</v>
      </c>
      <c r="J81" s="63">
        <v>90.28</v>
      </c>
      <c r="M81" s="64">
        <f>ROUND(ROUND(J81, 2)*I81, 2)</f>
        <v>4482.04</v>
      </c>
      <c r="P81" s="65">
        <v>90.28</v>
      </c>
      <c r="S81" s="64">
        <f>ROUND(ROUND(P81, 2)*I81, 2)</f>
        <v>4482.04</v>
      </c>
      <c r="V81" s="29">
        <f>ROUND(ROUND(P81, 2)/1.2, 2)</f>
        <v>75.23</v>
      </c>
      <c r="Y81" s="29">
        <f>ROUND(S81 / 1.2, 2)</f>
        <v>3735.03</v>
      </c>
      <c r="AD81" s="21" t="s">
        <v>339</v>
      </c>
      <c r="AE81" s="21" t="s">
        <v>340</v>
      </c>
      <c r="AF81" s="21" t="s">
        <v>330</v>
      </c>
      <c r="AK81" s="64">
        <f>S81-M81</f>
        <v>0</v>
      </c>
      <c r="AL81" s="64"/>
      <c r="AM81" s="64"/>
      <c r="AN81" s="66">
        <f>IFERROR(AK81/M81,0)</f>
        <v>0</v>
      </c>
      <c r="AO81" s="64"/>
      <c r="AP81" s="64"/>
    </row>
    <row r="82" spans="1:42">
      <c r="A82" s="32" t="s">
        <v>341</v>
      </c>
      <c r="B82" s="32" t="s">
        <v>342</v>
      </c>
      <c r="C82" s="53" t="s">
        <v>343</v>
      </c>
      <c r="D82" s="54"/>
      <c r="E82" s="54" t="s">
        <v>344</v>
      </c>
      <c r="F82" s="54" t="s">
        <v>57</v>
      </c>
      <c r="G82" s="55">
        <v>1.0</v>
      </c>
      <c r="H82" s="55"/>
      <c r="I82" s="55">
        <v>270.77</v>
      </c>
      <c r="J82" s="56">
        <f>IFERROR(ROUND(SUM(M83,M84)/I82, 2),0)</f>
        <v>299.87</v>
      </c>
      <c r="K82" s="57">
        <v>464.0</v>
      </c>
      <c r="L82" s="56">
        <f>J82+ROUND(K82, 2)</f>
        <v>763.87</v>
      </c>
      <c r="M82" s="56">
        <f>ROUND(J82*I82, 2)</f>
        <v>81195.8</v>
      </c>
      <c r="N82" s="56">
        <f>ROUND(I82*ROUND(K82, 2), 2)</f>
        <v>125637.28</v>
      </c>
      <c r="O82" s="56">
        <f>M82+N82</f>
        <v>206833.08</v>
      </c>
      <c r="P82" s="56">
        <f>IFERROR(ROUND(SUM(S83,S84)/I82, 2),0)</f>
        <v>299.87</v>
      </c>
      <c r="Q82" s="58">
        <v>603.2</v>
      </c>
      <c r="R82" s="56">
        <f>P82+ROUND(Q82, 2)</f>
        <v>903.07</v>
      </c>
      <c r="S82" s="56">
        <f>ROUND(P82*I82, 2)</f>
        <v>81195.8</v>
      </c>
      <c r="T82" s="56">
        <f>ROUND(I82*ROUND(Q82, 2), 2)</f>
        <v>163328.46</v>
      </c>
      <c r="U82" s="56">
        <f>S82+T82</f>
        <v>244524.26</v>
      </c>
      <c r="V82" s="29">
        <f>ROUND(P82 / 1.2, 2)</f>
        <v>249.89</v>
      </c>
      <c r="W82" s="29">
        <f>ROUND(Q82 / 1.2, 2)</f>
        <v>502.67</v>
      </c>
      <c r="X82" s="29">
        <f>ROUND(R82 / 1.2, 2)</f>
        <v>752.56</v>
      </c>
      <c r="Y82" s="29">
        <f>ROUND(S82 / 1.2, 2)</f>
        <v>67663.17</v>
      </c>
      <c r="Z82" s="29">
        <f>ROUND(T82 / 1.2, 2)</f>
        <v>136107.05</v>
      </c>
      <c r="AA82" s="29">
        <f>Y82+Z82</f>
        <v>203770.22</v>
      </c>
      <c r="AD82" s="21">
        <v>406711497</v>
      </c>
      <c r="AE82" s="21">
        <v>36665012</v>
      </c>
      <c r="AG82" s="21" t="s">
        <v>345</v>
      </c>
      <c r="AH82" s="21" t="s">
        <v>346</v>
      </c>
      <c r="AI82" s="21" t="s">
        <v>60</v>
      </c>
      <c r="AK82" s="56">
        <f>S82-M82</f>
        <v>0</v>
      </c>
      <c r="AL82" s="56">
        <f>T82-N82</f>
        <v>37691.18</v>
      </c>
      <c r="AM82" s="56">
        <f>U82-O82</f>
        <v>37691.18</v>
      </c>
      <c r="AN82" s="59">
        <f>IFERROR(AK82/M82,0)</f>
        <v>0</v>
      </c>
      <c r="AO82" s="59">
        <f>IFERROR(AL82/N82,0)</f>
        <v>0.29999996816232</v>
      </c>
      <c r="AP82" s="59">
        <f>IFERROR(AM82/O82,0)</f>
        <v>0.18222994116802</v>
      </c>
    </row>
    <row r="83" spans="1:42">
      <c r="A83" s="32" t="s">
        <v>347</v>
      </c>
      <c r="B83" s="32"/>
      <c r="C83" s="60" t="s">
        <v>327</v>
      </c>
      <c r="D83" s="54"/>
      <c r="E83" s="54"/>
      <c r="F83" s="61" t="s">
        <v>63</v>
      </c>
      <c r="G83" s="62">
        <v>0.15</v>
      </c>
      <c r="H83" s="62"/>
      <c r="I83" s="62">
        <v>40.616</v>
      </c>
      <c r="J83" s="63">
        <v>90.28</v>
      </c>
      <c r="M83" s="64">
        <f>ROUND(ROUND(J83, 2)*I83, 2)</f>
        <v>3666.81</v>
      </c>
      <c r="P83" s="65">
        <v>90.28</v>
      </c>
      <c r="S83" s="64">
        <f>ROUND(ROUND(P83, 2)*I83, 2)</f>
        <v>3666.81</v>
      </c>
      <c r="V83" s="29">
        <f>ROUND(ROUND(P83, 2)/1.2, 2)</f>
        <v>75.23</v>
      </c>
      <c r="Y83" s="29">
        <f>ROUND(S83 / 1.2, 2)</f>
        <v>3055.68</v>
      </c>
      <c r="AD83" s="21" t="s">
        <v>348</v>
      </c>
      <c r="AE83" s="21" t="s">
        <v>349</v>
      </c>
      <c r="AF83" s="21" t="s">
        <v>330</v>
      </c>
      <c r="AK83" s="64">
        <f>S83-M83</f>
        <v>0</v>
      </c>
      <c r="AL83" s="64"/>
      <c r="AM83" s="64"/>
      <c r="AN83" s="66">
        <f>IFERROR(AK83/M83,0)</f>
        <v>0</v>
      </c>
      <c r="AO83" s="64"/>
      <c r="AP83" s="64"/>
    </row>
    <row r="84" spans="1:42">
      <c r="A84" s="32" t="s">
        <v>350</v>
      </c>
      <c r="B84" s="32"/>
      <c r="C84" s="60" t="s">
        <v>322</v>
      </c>
      <c r="D84" s="54"/>
      <c r="E84" s="54"/>
      <c r="F84" s="61" t="s">
        <v>63</v>
      </c>
      <c r="G84" s="62">
        <v>0.3</v>
      </c>
      <c r="H84" s="62"/>
      <c r="I84" s="62">
        <v>81.231</v>
      </c>
      <c r="J84" s="63">
        <v>954.43</v>
      </c>
      <c r="M84" s="64">
        <f>ROUND(ROUND(J84, 2)*I84, 2)</f>
        <v>77529.3</v>
      </c>
      <c r="P84" s="65">
        <v>954.43</v>
      </c>
      <c r="S84" s="64">
        <f>ROUND(ROUND(P84, 2)*I84, 2)</f>
        <v>77529.3</v>
      </c>
      <c r="V84" s="29">
        <f>ROUND(ROUND(P84, 2)/1.2, 2)</f>
        <v>795.36</v>
      </c>
      <c r="Y84" s="29">
        <f>ROUND(S84 / 1.2, 2)</f>
        <v>64607.75</v>
      </c>
      <c r="AD84" s="21" t="s">
        <v>351</v>
      </c>
      <c r="AE84" s="21" t="s">
        <v>352</v>
      </c>
      <c r="AF84" s="21" t="s">
        <v>325</v>
      </c>
      <c r="AK84" s="64">
        <f>S84-M84</f>
        <v>0</v>
      </c>
      <c r="AL84" s="64"/>
      <c r="AM84" s="64"/>
      <c r="AN84" s="66">
        <f>IFERROR(AK84/M84,0)</f>
        <v>0</v>
      </c>
      <c r="AO84" s="64"/>
      <c r="AP84" s="64"/>
    </row>
    <row r="85" spans="1:42">
      <c r="A85" s="32" t="s">
        <v>353</v>
      </c>
      <c r="B85" s="32" t="s">
        <v>342</v>
      </c>
      <c r="C85" s="53" t="s">
        <v>343</v>
      </c>
      <c r="D85" s="54"/>
      <c r="E85" s="54" t="s">
        <v>354</v>
      </c>
      <c r="F85" s="54" t="s">
        <v>57</v>
      </c>
      <c r="G85" s="55">
        <v>1.0</v>
      </c>
      <c r="H85" s="55"/>
      <c r="I85" s="55">
        <v>348.18</v>
      </c>
      <c r="J85" s="56">
        <f>IFERROR(ROUND(SUM(M86,M87)/I85, 2),0)</f>
        <v>13.54</v>
      </c>
      <c r="K85" s="57">
        <v>464.0</v>
      </c>
      <c r="L85" s="56">
        <f>J85+ROUND(K85, 2)</f>
        <v>477.54</v>
      </c>
      <c r="M85" s="56">
        <f>ROUND(J85*I85, 2)</f>
        <v>4714.36</v>
      </c>
      <c r="N85" s="56">
        <f>ROUND(I85*ROUND(K85, 2), 2)</f>
        <v>161555.52</v>
      </c>
      <c r="O85" s="56">
        <f>M85+N85</f>
        <v>166269.88</v>
      </c>
      <c r="P85" s="56">
        <f>IFERROR(ROUND(SUM(S86,S87)/I85, 2),0)</f>
        <v>124.15</v>
      </c>
      <c r="Q85" s="58">
        <v>603.2</v>
      </c>
      <c r="R85" s="56">
        <f>P85+ROUND(Q85, 2)</f>
        <v>727.35</v>
      </c>
      <c r="S85" s="56">
        <f>ROUND(P85*I85, 2)</f>
        <v>43226.55</v>
      </c>
      <c r="T85" s="56">
        <f>ROUND(I85*ROUND(Q85, 2), 2)</f>
        <v>210022.18</v>
      </c>
      <c r="U85" s="56">
        <f>S85+T85</f>
        <v>253248.73</v>
      </c>
      <c r="V85" s="29">
        <f>ROUND(P85 / 1.2, 2)</f>
        <v>103.46</v>
      </c>
      <c r="W85" s="29">
        <f>ROUND(Q85 / 1.2, 2)</f>
        <v>502.67</v>
      </c>
      <c r="X85" s="29">
        <f>ROUND(R85 / 1.2, 2)</f>
        <v>606.13</v>
      </c>
      <c r="Y85" s="29">
        <f>ROUND(S85 / 1.2, 2)</f>
        <v>36022.13</v>
      </c>
      <c r="Z85" s="29">
        <f>ROUND(T85 / 1.2, 2)</f>
        <v>175018.48</v>
      </c>
      <c r="AA85" s="29">
        <f>Y85+Z85</f>
        <v>211040.61</v>
      </c>
      <c r="AD85" s="21">
        <v>406711518</v>
      </c>
      <c r="AE85" s="21">
        <v>36665013</v>
      </c>
      <c r="AG85" s="21" t="s">
        <v>345</v>
      </c>
      <c r="AH85" s="21" t="s">
        <v>346</v>
      </c>
      <c r="AI85" s="21" t="s">
        <v>60</v>
      </c>
      <c r="AK85" s="56">
        <f>S85-M85</f>
        <v>38512.19</v>
      </c>
      <c r="AL85" s="56">
        <f>T85-N85</f>
        <v>48466.66</v>
      </c>
      <c r="AM85" s="56">
        <f>U85-O85</f>
        <v>86978.85</v>
      </c>
      <c r="AN85" s="59">
        <f>IFERROR(AK85/M85,0)</f>
        <v>8.1691236986569</v>
      </c>
      <c r="AO85" s="59">
        <f>IFERROR(AL85/N85,0)</f>
        <v>0.30000002475929</v>
      </c>
      <c r="AP85" s="59">
        <f>IFERROR(AM85/O85,0)</f>
        <v>0.52311849867216</v>
      </c>
    </row>
    <row r="86" spans="1:42">
      <c r="A86" s="32" t="s">
        <v>355</v>
      </c>
      <c r="B86" s="32"/>
      <c r="C86" s="60" t="s">
        <v>356</v>
      </c>
      <c r="D86" s="54"/>
      <c r="E86" s="54"/>
      <c r="F86" s="61" t="s">
        <v>63</v>
      </c>
      <c r="G86" s="62">
        <v>0.3</v>
      </c>
      <c r="H86" s="62"/>
      <c r="I86" s="62">
        <v>104.454</v>
      </c>
      <c r="J86" s="63">
        <v>0.0</v>
      </c>
      <c r="M86" s="64">
        <f>ROUND(ROUND(J86, 2)*I86, 2)</f>
        <v>0</v>
      </c>
      <c r="P86" s="65">
        <v>368.7</v>
      </c>
      <c r="S86" s="64">
        <f>ROUND(ROUND(P86, 2)*I86, 2)</f>
        <v>38512.19</v>
      </c>
      <c r="V86" s="29">
        <f>ROUND(ROUND(P86, 2)/1.2, 2)</f>
        <v>307.25</v>
      </c>
      <c r="Y86" s="29">
        <f>ROUND(S86 / 1.2, 2)</f>
        <v>32093.49</v>
      </c>
      <c r="AD86" s="21" t="s">
        <v>357</v>
      </c>
      <c r="AE86" s="21" t="s">
        <v>358</v>
      </c>
      <c r="AF86" s="21" t="s">
        <v>359</v>
      </c>
      <c r="AK86" s="64">
        <f>S86-M86</f>
        <v>38512.19</v>
      </c>
      <c r="AL86" s="64"/>
      <c r="AM86" s="64"/>
      <c r="AN86" s="66">
        <f>IFERROR(AK86/M86,0)</f>
        <v>0</v>
      </c>
      <c r="AO86" s="64"/>
      <c r="AP86" s="64"/>
    </row>
    <row r="87" spans="1:42">
      <c r="A87" s="32" t="s">
        <v>360</v>
      </c>
      <c r="B87" s="32"/>
      <c r="C87" s="60" t="s">
        <v>327</v>
      </c>
      <c r="D87" s="54"/>
      <c r="E87" s="54"/>
      <c r="F87" s="61" t="s">
        <v>63</v>
      </c>
      <c r="G87" s="62">
        <v>0.15</v>
      </c>
      <c r="H87" s="62"/>
      <c r="I87" s="62">
        <v>52.227</v>
      </c>
      <c r="J87" s="63">
        <v>90.28</v>
      </c>
      <c r="M87" s="64">
        <f>ROUND(ROUND(J87, 2)*I87, 2)</f>
        <v>4715.05</v>
      </c>
      <c r="P87" s="65">
        <v>90.28</v>
      </c>
      <c r="S87" s="64">
        <f>ROUND(ROUND(P87, 2)*I87, 2)</f>
        <v>4715.05</v>
      </c>
      <c r="V87" s="29">
        <f>ROUND(ROUND(P87, 2)/1.2, 2)</f>
        <v>75.23</v>
      </c>
      <c r="Y87" s="29">
        <f>ROUND(S87 / 1.2, 2)</f>
        <v>3929.21</v>
      </c>
      <c r="AD87" s="21" t="s">
        <v>361</v>
      </c>
      <c r="AE87" s="21" t="s">
        <v>362</v>
      </c>
      <c r="AF87" s="21" t="s">
        <v>330</v>
      </c>
      <c r="AK87" s="64">
        <f>S87-M87</f>
        <v>0</v>
      </c>
      <c r="AL87" s="64"/>
      <c r="AM87" s="64"/>
      <c r="AN87" s="66">
        <f>IFERROR(AK87/M87,0)</f>
        <v>0</v>
      </c>
      <c r="AO87" s="64"/>
      <c r="AP87" s="64"/>
    </row>
    <row r="88" spans="1:42">
      <c r="A88" s="32" t="s">
        <v>363</v>
      </c>
      <c r="B88" s="32" t="s">
        <v>364</v>
      </c>
      <c r="C88" s="53" t="s">
        <v>365</v>
      </c>
      <c r="D88" s="54"/>
      <c r="E88" s="54" t="s">
        <v>366</v>
      </c>
      <c r="F88" s="54" t="s">
        <v>57</v>
      </c>
      <c r="G88" s="55">
        <v>1.0</v>
      </c>
      <c r="H88" s="55"/>
      <c r="I88" s="55">
        <v>629.53</v>
      </c>
      <c r="J88" s="56">
        <f>IFERROR(ROUND(SUM(M89,M90,M91)/I88, 2),0)</f>
        <v>57.91</v>
      </c>
      <c r="K88" s="57">
        <v>508.0</v>
      </c>
      <c r="L88" s="56">
        <f>J88+ROUND(K88, 2)</f>
        <v>565.91</v>
      </c>
      <c r="M88" s="56">
        <f>ROUND(J88*I88, 2)</f>
        <v>36456.08</v>
      </c>
      <c r="N88" s="56">
        <f>ROUND(I88*ROUND(K88, 2), 2)</f>
        <v>319801.24</v>
      </c>
      <c r="O88" s="56">
        <f>M88+N88</f>
        <v>356257.32</v>
      </c>
      <c r="P88" s="56">
        <f>IFERROR(ROUND(SUM(S89,S90,S91)/I88, 2),0)</f>
        <v>57.91</v>
      </c>
      <c r="Q88" s="58">
        <v>660.4</v>
      </c>
      <c r="R88" s="56">
        <f>P88+ROUND(Q88, 2)</f>
        <v>718.31</v>
      </c>
      <c r="S88" s="56">
        <f>ROUND(P88*I88, 2)</f>
        <v>36456.08</v>
      </c>
      <c r="T88" s="56">
        <f>ROUND(I88*ROUND(Q88, 2), 2)</f>
        <v>415741.61</v>
      </c>
      <c r="U88" s="56">
        <f>S88+T88</f>
        <v>452197.69</v>
      </c>
      <c r="V88" s="29">
        <f>ROUND(P88 / 1.2, 2)</f>
        <v>48.26</v>
      </c>
      <c r="W88" s="29">
        <f>ROUND(Q88 / 1.2, 2)</f>
        <v>550.33</v>
      </c>
      <c r="X88" s="29">
        <f>ROUND(R88 / 1.2, 2)</f>
        <v>598.59</v>
      </c>
      <c r="Y88" s="29">
        <f>ROUND(S88 / 1.2, 2)</f>
        <v>30380.07</v>
      </c>
      <c r="Z88" s="29">
        <f>ROUND(T88 / 1.2, 2)</f>
        <v>346451.34</v>
      </c>
      <c r="AA88" s="29">
        <f>Y88+Z88</f>
        <v>376831.41</v>
      </c>
      <c r="AD88" s="21">
        <v>406711499</v>
      </c>
      <c r="AE88" s="21">
        <v>36662409</v>
      </c>
      <c r="AG88" s="21" t="s">
        <v>367</v>
      </c>
      <c r="AH88" s="21" t="s">
        <v>368</v>
      </c>
      <c r="AI88" s="21" t="s">
        <v>60</v>
      </c>
      <c r="AK88" s="56">
        <f>S88-M88</f>
        <v>0</v>
      </c>
      <c r="AL88" s="56">
        <f>T88-N88</f>
        <v>95940.37</v>
      </c>
      <c r="AM88" s="56">
        <f>U88-O88</f>
        <v>95940.37</v>
      </c>
      <c r="AN88" s="59">
        <f>IFERROR(AK88/M88,0)</f>
        <v>0</v>
      </c>
      <c r="AO88" s="59">
        <f>IFERROR(AL88/N88,0)</f>
        <v>0.29999999374612</v>
      </c>
      <c r="AP88" s="59">
        <f>IFERROR(AM88/O88,0)</f>
        <v>0.26930076833228</v>
      </c>
    </row>
    <row r="89" spans="1:42">
      <c r="A89" s="32" t="s">
        <v>369</v>
      </c>
      <c r="B89" s="32"/>
      <c r="C89" s="60" t="s">
        <v>327</v>
      </c>
      <c r="D89" s="54"/>
      <c r="E89" s="54"/>
      <c r="F89" s="61" t="s">
        <v>63</v>
      </c>
      <c r="G89" s="62">
        <v>0.15</v>
      </c>
      <c r="H89" s="62"/>
      <c r="I89" s="62">
        <v>94.43</v>
      </c>
      <c r="J89" s="63">
        <v>90.28</v>
      </c>
      <c r="M89" s="64">
        <f>ROUND(ROUND(J89, 2)*I89, 2)</f>
        <v>8525.14</v>
      </c>
      <c r="P89" s="65">
        <v>90.28</v>
      </c>
      <c r="S89" s="64">
        <f>ROUND(ROUND(P89, 2)*I89, 2)</f>
        <v>8525.14</v>
      </c>
      <c r="V89" s="29">
        <f>ROUND(ROUND(P89, 2)/1.2, 2)</f>
        <v>75.23</v>
      </c>
      <c r="Y89" s="29">
        <f>ROUND(S89 / 1.2, 2)</f>
        <v>7104.28</v>
      </c>
      <c r="AD89" s="21" t="s">
        <v>370</v>
      </c>
      <c r="AE89" s="21" t="s">
        <v>371</v>
      </c>
      <c r="AF89" s="21" t="s">
        <v>330</v>
      </c>
      <c r="AK89" s="64">
        <f>S89-M89</f>
        <v>0</v>
      </c>
      <c r="AL89" s="64"/>
      <c r="AM89" s="64"/>
      <c r="AN89" s="66">
        <f>IFERROR(AK89/M89,0)</f>
        <v>0</v>
      </c>
      <c r="AO89" s="64"/>
      <c r="AP89" s="64"/>
    </row>
    <row r="90" spans="1:42">
      <c r="A90" s="32" t="s">
        <v>372</v>
      </c>
      <c r="B90" s="32"/>
      <c r="C90" s="60" t="s">
        <v>373</v>
      </c>
      <c r="D90" s="54"/>
      <c r="E90" s="54"/>
      <c r="F90" s="61" t="s">
        <v>80</v>
      </c>
      <c r="G90" s="62">
        <v>0.3</v>
      </c>
      <c r="H90" s="62"/>
      <c r="I90" s="62">
        <v>188.859</v>
      </c>
      <c r="J90" s="63">
        <v>74.32</v>
      </c>
      <c r="M90" s="64">
        <f>ROUND(ROUND(J90, 2)*I90, 2)</f>
        <v>14036</v>
      </c>
      <c r="P90" s="65">
        <v>74.32</v>
      </c>
      <c r="S90" s="64">
        <f>ROUND(ROUND(P90, 2)*I90, 2)</f>
        <v>14036</v>
      </c>
      <c r="V90" s="29">
        <f>ROUND(ROUND(P90, 2)/1.2, 2)</f>
        <v>61.93</v>
      </c>
      <c r="Y90" s="29">
        <f>ROUND(S90 / 1.2, 2)</f>
        <v>11696.67</v>
      </c>
      <c r="AD90" s="21" t="s">
        <v>374</v>
      </c>
      <c r="AE90" s="21" t="s">
        <v>375</v>
      </c>
      <c r="AF90" s="21" t="s">
        <v>376</v>
      </c>
      <c r="AK90" s="64">
        <f>S90-M90</f>
        <v>0</v>
      </c>
      <c r="AL90" s="64"/>
      <c r="AM90" s="64"/>
      <c r="AN90" s="66">
        <f>IFERROR(AK90/M90,0)</f>
        <v>0</v>
      </c>
      <c r="AO90" s="64"/>
      <c r="AP90" s="64"/>
    </row>
    <row r="91" spans="1:42">
      <c r="A91" s="32" t="s">
        <v>377</v>
      </c>
      <c r="B91" s="32"/>
      <c r="C91" s="67" t="s">
        <v>378</v>
      </c>
      <c r="D91" s="54"/>
      <c r="E91" s="54"/>
      <c r="F91" s="61" t="s">
        <v>63</v>
      </c>
      <c r="G91" s="62">
        <v>1.8</v>
      </c>
      <c r="H91" s="62"/>
      <c r="I91" s="62">
        <v>1133.154</v>
      </c>
      <c r="J91" s="63">
        <v>12.26</v>
      </c>
      <c r="M91" s="64">
        <f>ROUND(ROUND(J91, 2)*I91, 2)</f>
        <v>13892.47</v>
      </c>
      <c r="P91" s="65">
        <v>12.26</v>
      </c>
      <c r="S91" s="64">
        <f>ROUND(ROUND(P91, 2)*I91, 2)</f>
        <v>13892.47</v>
      </c>
      <c r="V91" s="29">
        <f>ROUND(ROUND(P91, 2)/1.2, 2)</f>
        <v>10.22</v>
      </c>
      <c r="Y91" s="29">
        <f>ROUND(S91 / 1.2, 2)</f>
        <v>11577.06</v>
      </c>
      <c r="AD91" s="21" t="s">
        <v>379</v>
      </c>
      <c r="AE91" s="21" t="s">
        <v>380</v>
      </c>
      <c r="AF91" s="21" t="s">
        <v>381</v>
      </c>
      <c r="AK91" s="64">
        <f>S91-M91</f>
        <v>0</v>
      </c>
      <c r="AL91" s="64"/>
      <c r="AM91" s="64"/>
      <c r="AN91" s="66">
        <f>IFERROR(AK91/M91,0)</f>
        <v>0</v>
      </c>
      <c r="AO91" s="64"/>
      <c r="AP91" s="64"/>
    </row>
    <row r="92" spans="1:42">
      <c r="A92" s="32" t="s">
        <v>382</v>
      </c>
      <c r="B92" s="32" t="s">
        <v>364</v>
      </c>
      <c r="C92" s="53" t="s">
        <v>365</v>
      </c>
      <c r="D92" s="54"/>
      <c r="E92" s="54" t="s">
        <v>383</v>
      </c>
      <c r="F92" s="54" t="s">
        <v>57</v>
      </c>
      <c r="G92" s="55">
        <v>1.0</v>
      </c>
      <c r="H92" s="55"/>
      <c r="I92" s="55">
        <v>629.53</v>
      </c>
      <c r="J92" s="56">
        <f>IFERROR(ROUND(SUM(M93,M94)/I92, 2),0)</f>
        <v>55.64</v>
      </c>
      <c r="K92" s="57">
        <v>508.0</v>
      </c>
      <c r="L92" s="56">
        <f>J92+ROUND(K92, 2)</f>
        <v>563.64</v>
      </c>
      <c r="M92" s="56">
        <f>ROUND(J92*I92, 2)</f>
        <v>35027.05</v>
      </c>
      <c r="N92" s="56">
        <f>ROUND(I92*ROUND(K92, 2), 2)</f>
        <v>319801.24</v>
      </c>
      <c r="O92" s="56">
        <f>M92+N92</f>
        <v>354828.29</v>
      </c>
      <c r="P92" s="56">
        <f>IFERROR(ROUND(SUM(S93,S94)/I92, 2),0)</f>
        <v>55.64</v>
      </c>
      <c r="Q92" s="58">
        <v>660.4</v>
      </c>
      <c r="R92" s="56">
        <f>P92+ROUND(Q92, 2)</f>
        <v>716.04</v>
      </c>
      <c r="S92" s="56">
        <f>ROUND(P92*I92, 2)</f>
        <v>35027.05</v>
      </c>
      <c r="T92" s="56">
        <f>ROUND(I92*ROUND(Q92, 2), 2)</f>
        <v>415741.61</v>
      </c>
      <c r="U92" s="56">
        <f>S92+T92</f>
        <v>450768.66</v>
      </c>
      <c r="V92" s="29">
        <f>ROUND(P92 / 1.2, 2)</f>
        <v>46.37</v>
      </c>
      <c r="W92" s="29">
        <f>ROUND(Q92 / 1.2, 2)</f>
        <v>550.33</v>
      </c>
      <c r="X92" s="29">
        <f>ROUND(R92 / 1.2, 2)</f>
        <v>596.7</v>
      </c>
      <c r="Y92" s="29">
        <f>ROUND(S92 / 1.2, 2)</f>
        <v>29189.21</v>
      </c>
      <c r="Z92" s="29">
        <f>ROUND(T92 / 1.2, 2)</f>
        <v>346451.34</v>
      </c>
      <c r="AA92" s="29">
        <f>Y92+Z92</f>
        <v>375640.55</v>
      </c>
      <c r="AD92" s="21">
        <v>406711519</v>
      </c>
      <c r="AE92" s="21">
        <v>36662410</v>
      </c>
      <c r="AG92" s="21" t="s">
        <v>367</v>
      </c>
      <c r="AH92" s="21" t="s">
        <v>368</v>
      </c>
      <c r="AI92" s="21" t="s">
        <v>60</v>
      </c>
      <c r="AK92" s="56">
        <f>S92-M92</f>
        <v>0</v>
      </c>
      <c r="AL92" s="56">
        <f>T92-N92</f>
        <v>95940.37</v>
      </c>
      <c r="AM92" s="56">
        <f>U92-O92</f>
        <v>95940.37</v>
      </c>
      <c r="AN92" s="59">
        <f>IFERROR(AK92/M92,0)</f>
        <v>0</v>
      </c>
      <c r="AO92" s="59">
        <f>IFERROR(AL92/N92,0)</f>
        <v>0.29999999374612</v>
      </c>
      <c r="AP92" s="59">
        <f>IFERROR(AM92/O92,0)</f>
        <v>0.27038534610642</v>
      </c>
    </row>
    <row r="93" spans="1:42">
      <c r="A93" s="32" t="s">
        <v>384</v>
      </c>
      <c r="B93" s="32"/>
      <c r="C93" s="60" t="s">
        <v>385</v>
      </c>
      <c r="D93" s="54"/>
      <c r="E93" s="54"/>
      <c r="F93" s="61" t="s">
        <v>63</v>
      </c>
      <c r="G93" s="62">
        <v>1.8</v>
      </c>
      <c r="H93" s="62"/>
      <c r="I93" s="62">
        <v>1133.154</v>
      </c>
      <c r="J93" s="63">
        <v>23.39</v>
      </c>
      <c r="M93" s="64">
        <f>ROUND(ROUND(J93, 2)*I93, 2)</f>
        <v>26504.47</v>
      </c>
      <c r="P93" s="65">
        <v>23.39</v>
      </c>
      <c r="S93" s="64">
        <f>ROUND(ROUND(P93, 2)*I93, 2)</f>
        <v>26504.47</v>
      </c>
      <c r="V93" s="29">
        <f>ROUND(ROUND(P93, 2)/1.2, 2)</f>
        <v>19.49</v>
      </c>
      <c r="Y93" s="29">
        <f>ROUND(S93 / 1.2, 2)</f>
        <v>22087.06</v>
      </c>
      <c r="AD93" s="21" t="s">
        <v>386</v>
      </c>
      <c r="AE93" s="21" t="s">
        <v>387</v>
      </c>
      <c r="AF93" s="21" t="s">
        <v>388</v>
      </c>
      <c r="AK93" s="64">
        <f>S93-M93</f>
        <v>0</v>
      </c>
      <c r="AL93" s="64"/>
      <c r="AM93" s="64"/>
      <c r="AN93" s="66">
        <f>IFERROR(AK93/M93,0)</f>
        <v>0</v>
      </c>
      <c r="AO93" s="64"/>
      <c r="AP93" s="64"/>
    </row>
    <row r="94" spans="1:42">
      <c r="A94" s="32" t="s">
        <v>389</v>
      </c>
      <c r="B94" s="32"/>
      <c r="C94" s="60" t="s">
        <v>327</v>
      </c>
      <c r="D94" s="54"/>
      <c r="E94" s="54"/>
      <c r="F94" s="61" t="s">
        <v>63</v>
      </c>
      <c r="G94" s="62">
        <v>0.15</v>
      </c>
      <c r="H94" s="62"/>
      <c r="I94" s="62">
        <v>94.43</v>
      </c>
      <c r="J94" s="63">
        <v>90.28</v>
      </c>
      <c r="M94" s="64">
        <f>ROUND(ROUND(J94, 2)*I94, 2)</f>
        <v>8525.14</v>
      </c>
      <c r="P94" s="65">
        <v>90.28</v>
      </c>
      <c r="S94" s="64">
        <f>ROUND(ROUND(P94, 2)*I94, 2)</f>
        <v>8525.14</v>
      </c>
      <c r="V94" s="29">
        <f>ROUND(ROUND(P94, 2)/1.2, 2)</f>
        <v>75.23</v>
      </c>
      <c r="Y94" s="29">
        <f>ROUND(S94 / 1.2, 2)</f>
        <v>7104.28</v>
      </c>
      <c r="AD94" s="21" t="s">
        <v>390</v>
      </c>
      <c r="AE94" s="21" t="s">
        <v>391</v>
      </c>
      <c r="AF94" s="21" t="s">
        <v>330</v>
      </c>
      <c r="AK94" s="64">
        <f>S94-M94</f>
        <v>0</v>
      </c>
      <c r="AL94" s="64"/>
      <c r="AM94" s="64"/>
      <c r="AN94" s="66">
        <f>IFERROR(AK94/M94,0)</f>
        <v>0</v>
      </c>
      <c r="AO94" s="64"/>
      <c r="AP94" s="64"/>
    </row>
    <row r="95" spans="1:42">
      <c r="A95" s="32" t="s">
        <v>392</v>
      </c>
      <c r="B95" s="32" t="s">
        <v>393</v>
      </c>
      <c r="C95" s="53" t="s">
        <v>394</v>
      </c>
      <c r="D95" s="54"/>
      <c r="E95" s="54" t="s">
        <v>395</v>
      </c>
      <c r="F95" s="54" t="s">
        <v>57</v>
      </c>
      <c r="G95" s="55">
        <v>1.0</v>
      </c>
      <c r="H95" s="55"/>
      <c r="I95" s="55">
        <v>526.11</v>
      </c>
      <c r="J95" s="56">
        <f>IFERROR(ROUND(SUM(M96,M97)/I95, 2),0)</f>
        <v>35.61</v>
      </c>
      <c r="K95" s="57">
        <v>546.0</v>
      </c>
      <c r="L95" s="56">
        <f>J95+ROUND(K95, 2)</f>
        <v>581.61</v>
      </c>
      <c r="M95" s="56">
        <f>ROUND(J95*I95, 2)</f>
        <v>18734.78</v>
      </c>
      <c r="N95" s="56">
        <f>ROUND(I95*ROUND(K95, 2), 2)</f>
        <v>287256.06</v>
      </c>
      <c r="O95" s="56">
        <f>M95+N95</f>
        <v>305990.84</v>
      </c>
      <c r="P95" s="56">
        <f>IFERROR(ROUND(SUM(S96,S97)/I95, 2),0)</f>
        <v>35.61</v>
      </c>
      <c r="Q95" s="58">
        <v>709.8</v>
      </c>
      <c r="R95" s="56">
        <f>P95+ROUND(Q95, 2)</f>
        <v>745.41</v>
      </c>
      <c r="S95" s="56">
        <f>ROUND(P95*I95, 2)</f>
        <v>18734.78</v>
      </c>
      <c r="T95" s="56">
        <f>ROUND(I95*ROUND(Q95, 2), 2)</f>
        <v>373432.88</v>
      </c>
      <c r="U95" s="56">
        <f>S95+T95</f>
        <v>392167.66</v>
      </c>
      <c r="V95" s="29">
        <f>ROUND(P95 / 1.2, 2)</f>
        <v>29.68</v>
      </c>
      <c r="W95" s="29">
        <f>ROUND(Q95 / 1.2, 2)</f>
        <v>591.5</v>
      </c>
      <c r="X95" s="29">
        <f>ROUND(R95 / 1.2, 2)</f>
        <v>621.18</v>
      </c>
      <c r="Y95" s="29">
        <f>ROUND(S95 / 1.2, 2)</f>
        <v>15612.32</v>
      </c>
      <c r="Z95" s="29">
        <f>ROUND(T95 / 1.2, 2)</f>
        <v>311194.07</v>
      </c>
      <c r="AA95" s="29">
        <f>Y95+Z95</f>
        <v>326806.39</v>
      </c>
      <c r="AD95" s="21">
        <v>406711500</v>
      </c>
      <c r="AE95" s="21">
        <v>36665230</v>
      </c>
      <c r="AG95" s="21" t="s">
        <v>396</v>
      </c>
      <c r="AH95" s="21" t="s">
        <v>397</v>
      </c>
      <c r="AI95" s="21" t="s">
        <v>60</v>
      </c>
      <c r="AK95" s="56">
        <f>S95-M95</f>
        <v>0</v>
      </c>
      <c r="AL95" s="56">
        <f>T95-N95</f>
        <v>86176.82</v>
      </c>
      <c r="AM95" s="56">
        <f>U95-O95</f>
        <v>86176.82</v>
      </c>
      <c r="AN95" s="59">
        <f>IFERROR(AK95/M95,0)</f>
        <v>0</v>
      </c>
      <c r="AO95" s="59">
        <f>IFERROR(AL95/N95,0)</f>
        <v>0.30000000696243</v>
      </c>
      <c r="AP95" s="59">
        <f>IFERROR(AM95/O95,0)</f>
        <v>0.28163202532468</v>
      </c>
    </row>
    <row r="96" spans="1:42">
      <c r="A96" s="32" t="s">
        <v>398</v>
      </c>
      <c r="B96" s="32"/>
      <c r="C96" s="60" t="s">
        <v>62</v>
      </c>
      <c r="D96" s="54"/>
      <c r="E96" s="54"/>
      <c r="F96" s="61" t="s">
        <v>63</v>
      </c>
      <c r="G96" s="62">
        <v>0.15</v>
      </c>
      <c r="H96" s="62"/>
      <c r="I96" s="62">
        <v>78.917</v>
      </c>
      <c r="J96" s="63">
        <v>90.28</v>
      </c>
      <c r="M96" s="64">
        <f>ROUND(ROUND(J96, 2)*I96, 2)</f>
        <v>7124.63</v>
      </c>
      <c r="P96" s="65">
        <v>90.28</v>
      </c>
      <c r="S96" s="64">
        <f>ROUND(ROUND(P96, 2)*I96, 2)</f>
        <v>7124.63</v>
      </c>
      <c r="V96" s="29">
        <f>ROUND(ROUND(P96, 2)/1.2, 2)</f>
        <v>75.23</v>
      </c>
      <c r="Y96" s="29">
        <f>ROUND(S96 / 1.2, 2)</f>
        <v>5937.19</v>
      </c>
      <c r="AD96" s="21" t="s">
        <v>399</v>
      </c>
      <c r="AE96" s="21" t="s">
        <v>400</v>
      </c>
      <c r="AF96" s="21" t="s">
        <v>66</v>
      </c>
      <c r="AK96" s="64">
        <f>S96-M96</f>
        <v>0</v>
      </c>
      <c r="AL96" s="64"/>
      <c r="AM96" s="64"/>
      <c r="AN96" s="66">
        <f>IFERROR(AK96/M96,0)</f>
        <v>0</v>
      </c>
      <c r="AO96" s="64"/>
      <c r="AP96" s="64"/>
    </row>
    <row r="97" spans="1:42">
      <c r="A97" s="32" t="s">
        <v>401</v>
      </c>
      <c r="B97" s="32"/>
      <c r="C97" s="67" t="s">
        <v>402</v>
      </c>
      <c r="D97" s="54"/>
      <c r="E97" s="54"/>
      <c r="F97" s="61" t="s">
        <v>63</v>
      </c>
      <c r="G97" s="62">
        <v>1.8</v>
      </c>
      <c r="H97" s="62"/>
      <c r="I97" s="62">
        <v>946.998</v>
      </c>
      <c r="J97" s="63">
        <v>12.26</v>
      </c>
      <c r="M97" s="64">
        <f>ROUND(ROUND(J97, 2)*I97, 2)</f>
        <v>11610.2</v>
      </c>
      <c r="P97" s="65">
        <v>12.26</v>
      </c>
      <c r="S97" s="64">
        <f>ROUND(ROUND(P97, 2)*I97, 2)</f>
        <v>11610.2</v>
      </c>
      <c r="V97" s="29">
        <f>ROUND(ROUND(P97, 2)/1.2, 2)</f>
        <v>10.22</v>
      </c>
      <c r="Y97" s="29">
        <f>ROUND(S97 / 1.2, 2)</f>
        <v>9675.17</v>
      </c>
      <c r="AD97" s="21" t="s">
        <v>403</v>
      </c>
      <c r="AE97" s="21" t="s">
        <v>404</v>
      </c>
      <c r="AF97" s="21" t="s">
        <v>405</v>
      </c>
      <c r="AK97" s="64">
        <f>S97-M97</f>
        <v>0</v>
      </c>
      <c r="AL97" s="64"/>
      <c r="AM97" s="64"/>
      <c r="AN97" s="66">
        <f>IFERROR(AK97/M97,0)</f>
        <v>0</v>
      </c>
      <c r="AO97" s="64"/>
      <c r="AP97" s="64"/>
    </row>
    <row r="98" spans="1:42">
      <c r="A98" s="32" t="s">
        <v>406</v>
      </c>
      <c r="B98" s="32" t="s">
        <v>393</v>
      </c>
      <c r="C98" s="53" t="s">
        <v>394</v>
      </c>
      <c r="D98" s="54"/>
      <c r="E98" s="54" t="s">
        <v>407</v>
      </c>
      <c r="F98" s="54" t="s">
        <v>57</v>
      </c>
      <c r="G98" s="55">
        <v>1.0</v>
      </c>
      <c r="H98" s="55"/>
      <c r="I98" s="55">
        <v>526.11</v>
      </c>
      <c r="J98" s="56">
        <f>IFERROR(ROUND(SUM(M99,M100)/I98, 2),0)</f>
        <v>35.61</v>
      </c>
      <c r="K98" s="57">
        <v>546.0</v>
      </c>
      <c r="L98" s="56">
        <f>J98+ROUND(K98, 2)</f>
        <v>581.61</v>
      </c>
      <c r="M98" s="56">
        <f>ROUND(J98*I98, 2)</f>
        <v>18734.78</v>
      </c>
      <c r="N98" s="56">
        <f>ROUND(I98*ROUND(K98, 2), 2)</f>
        <v>287256.06</v>
      </c>
      <c r="O98" s="56">
        <f>M98+N98</f>
        <v>305990.84</v>
      </c>
      <c r="P98" s="56">
        <f>IFERROR(ROUND(SUM(S99,S100)/I98, 2),0)</f>
        <v>35.61</v>
      </c>
      <c r="Q98" s="58">
        <v>709.8</v>
      </c>
      <c r="R98" s="56">
        <f>P98+ROUND(Q98, 2)</f>
        <v>745.41</v>
      </c>
      <c r="S98" s="56">
        <f>ROUND(P98*I98, 2)</f>
        <v>18734.78</v>
      </c>
      <c r="T98" s="56">
        <f>ROUND(I98*ROUND(Q98, 2), 2)</f>
        <v>373432.88</v>
      </c>
      <c r="U98" s="56">
        <f>S98+T98</f>
        <v>392167.66</v>
      </c>
      <c r="V98" s="29">
        <f>ROUND(P98 / 1.2, 2)</f>
        <v>29.68</v>
      </c>
      <c r="W98" s="29">
        <f>ROUND(Q98 / 1.2, 2)</f>
        <v>591.5</v>
      </c>
      <c r="X98" s="29">
        <f>ROUND(R98 / 1.2, 2)</f>
        <v>621.18</v>
      </c>
      <c r="Y98" s="29">
        <f>ROUND(S98 / 1.2, 2)</f>
        <v>15612.32</v>
      </c>
      <c r="Z98" s="29">
        <f>ROUND(T98 / 1.2, 2)</f>
        <v>311194.07</v>
      </c>
      <c r="AA98" s="29">
        <f>Y98+Z98</f>
        <v>326806.39</v>
      </c>
      <c r="AD98" s="21">
        <v>406711520</v>
      </c>
      <c r="AE98" s="21">
        <v>36665231</v>
      </c>
      <c r="AG98" s="21" t="s">
        <v>396</v>
      </c>
      <c r="AH98" s="21" t="s">
        <v>397</v>
      </c>
      <c r="AI98" s="21" t="s">
        <v>60</v>
      </c>
      <c r="AK98" s="56">
        <f>S98-M98</f>
        <v>0</v>
      </c>
      <c r="AL98" s="56">
        <f>T98-N98</f>
        <v>86176.82</v>
      </c>
      <c r="AM98" s="56">
        <f>U98-O98</f>
        <v>86176.82</v>
      </c>
      <c r="AN98" s="59">
        <f>IFERROR(AK98/M98,0)</f>
        <v>0</v>
      </c>
      <c r="AO98" s="59">
        <f>IFERROR(AL98/N98,0)</f>
        <v>0.30000000696243</v>
      </c>
      <c r="AP98" s="59">
        <f>IFERROR(AM98/O98,0)</f>
        <v>0.28163202532468</v>
      </c>
    </row>
    <row r="99" spans="1:42">
      <c r="A99" s="32" t="s">
        <v>408</v>
      </c>
      <c r="B99" s="32"/>
      <c r="C99" s="67" t="s">
        <v>402</v>
      </c>
      <c r="D99" s="54"/>
      <c r="E99" s="54"/>
      <c r="F99" s="61" t="s">
        <v>63</v>
      </c>
      <c r="G99" s="62">
        <v>1.8</v>
      </c>
      <c r="H99" s="62"/>
      <c r="I99" s="62">
        <v>946.998</v>
      </c>
      <c r="J99" s="63">
        <v>12.26</v>
      </c>
      <c r="M99" s="64">
        <f>ROUND(ROUND(J99, 2)*I99, 2)</f>
        <v>11610.2</v>
      </c>
      <c r="P99" s="65">
        <v>12.26</v>
      </c>
      <c r="S99" s="64">
        <f>ROUND(ROUND(P99, 2)*I99, 2)</f>
        <v>11610.2</v>
      </c>
      <c r="V99" s="29">
        <f>ROUND(ROUND(P99, 2)/1.2, 2)</f>
        <v>10.22</v>
      </c>
      <c r="Y99" s="29">
        <f>ROUND(S99 / 1.2, 2)</f>
        <v>9675.17</v>
      </c>
      <c r="AD99" s="21" t="s">
        <v>409</v>
      </c>
      <c r="AE99" s="21" t="s">
        <v>410</v>
      </c>
      <c r="AF99" s="21" t="s">
        <v>405</v>
      </c>
      <c r="AK99" s="64">
        <f>S99-M99</f>
        <v>0</v>
      </c>
      <c r="AL99" s="64"/>
      <c r="AM99" s="64"/>
      <c r="AN99" s="66">
        <f>IFERROR(AK99/M99,0)</f>
        <v>0</v>
      </c>
      <c r="AO99" s="64"/>
      <c r="AP99" s="64"/>
    </row>
    <row r="100" spans="1:42">
      <c r="A100" s="32" t="s">
        <v>411</v>
      </c>
      <c r="B100" s="32"/>
      <c r="C100" s="60" t="s">
        <v>62</v>
      </c>
      <c r="D100" s="54"/>
      <c r="E100" s="54"/>
      <c r="F100" s="61" t="s">
        <v>63</v>
      </c>
      <c r="G100" s="62">
        <v>0.15</v>
      </c>
      <c r="H100" s="62"/>
      <c r="I100" s="62">
        <v>78.917</v>
      </c>
      <c r="J100" s="63">
        <v>90.28</v>
      </c>
      <c r="M100" s="64">
        <f>ROUND(ROUND(J100, 2)*I100, 2)</f>
        <v>7124.63</v>
      </c>
      <c r="P100" s="65">
        <v>90.28</v>
      </c>
      <c r="S100" s="64">
        <f>ROUND(ROUND(P100, 2)*I100, 2)</f>
        <v>7124.63</v>
      </c>
      <c r="V100" s="29">
        <f>ROUND(ROUND(P100, 2)/1.2, 2)</f>
        <v>75.23</v>
      </c>
      <c r="Y100" s="29">
        <f>ROUND(S100 / 1.2, 2)</f>
        <v>5937.19</v>
      </c>
      <c r="AD100" s="21" t="s">
        <v>412</v>
      </c>
      <c r="AE100" s="21" t="s">
        <v>413</v>
      </c>
      <c r="AF100" s="21" t="s">
        <v>66</v>
      </c>
      <c r="AK100" s="64">
        <f>S100-M100</f>
        <v>0</v>
      </c>
      <c r="AL100" s="64"/>
      <c r="AM100" s="64"/>
      <c r="AN100" s="66">
        <f>IFERROR(AK100/M100,0)</f>
        <v>0</v>
      </c>
      <c r="AO100" s="64"/>
      <c r="AP100" s="64"/>
    </row>
    <row r="101" spans="1:42" customHeight="1" ht="17">
      <c r="A101" s="32" t="s">
        <v>414</v>
      </c>
      <c r="B101" s="45" t="s">
        <v>415</v>
      </c>
      <c r="C101" s="46" t="s">
        <v>86</v>
      </c>
      <c r="D101" s="47"/>
      <c r="E101" s="47"/>
      <c r="F101" s="47"/>
      <c r="G101" s="47"/>
      <c r="H101" s="47"/>
      <c r="I101" s="48"/>
      <c r="M101" s="23">
        <f>SUM(M102,M103,M104,M105,M106,M107)</f>
        <v>0</v>
      </c>
      <c r="N101" s="23">
        <f>SUM(N102,N103,N104,N105,N106,N107)</f>
        <v>552401.56</v>
      </c>
      <c r="O101" s="23">
        <f>SUM(O102,O103,O104,O105,O106,O107)</f>
        <v>552401.56</v>
      </c>
      <c r="S101" s="23">
        <f>SUM(S102,S103,S104,S105,S106,S107)</f>
        <v>0</v>
      </c>
      <c r="T101" s="23">
        <f>SUM(T102,T103,T104,T105,T106,T107)</f>
        <v>718123.62</v>
      </c>
      <c r="U101" s="23">
        <f>SUM(U102,U103,U104,U105,U106,U107)</f>
        <v>718123.62</v>
      </c>
      <c r="Y101" s="29">
        <f>SUM(Y102,Y103,Y104,Y105,Y106,Y107)</f>
        <v>0</v>
      </c>
      <c r="Z101" s="29">
        <f>SUM(Z102,Z103,Z104,Z105,Z106,Z107)</f>
        <v>598436.36</v>
      </c>
      <c r="AA101" s="29" t="e">
        <f>SUM(AA102,AA103,AA104,AA105,AA106,AA107)</f>
        <v>#VALUE!</v>
      </c>
      <c r="AD101" s="21">
        <v>406711501</v>
      </c>
      <c r="AE101" s="21">
        <v>36659743</v>
      </c>
      <c r="AK101" s="23">
        <f>S101-M101</f>
        <v>0</v>
      </c>
      <c r="AL101" s="23">
        <f>T101-N101</f>
        <v>165722.06</v>
      </c>
      <c r="AM101" s="23">
        <f>U101-O101</f>
        <v>165722.06</v>
      </c>
      <c r="AN101" s="30">
        <f>IFERROR(AK101/M101,0)</f>
        <v>0</v>
      </c>
      <c r="AO101" s="30">
        <f>IFERROR(AL101/N101,0)</f>
        <v>0.30000288196145</v>
      </c>
      <c r="AP101" s="30">
        <f>IFERROR(AM101/O101,0)</f>
        <v>0.30000288196145</v>
      </c>
    </row>
    <row r="102" spans="1:42">
      <c r="A102" s="32" t="s">
        <v>416</v>
      </c>
      <c r="B102" s="32" t="s">
        <v>417</v>
      </c>
      <c r="C102" s="53" t="s">
        <v>418</v>
      </c>
      <c r="D102" s="54"/>
      <c r="E102" s="54"/>
      <c r="F102" s="54" t="s">
        <v>57</v>
      </c>
      <c r="G102" s="55">
        <v>1.0</v>
      </c>
      <c r="H102" s="55"/>
      <c r="I102" s="55">
        <v>174.62</v>
      </c>
      <c r="J102" s="56">
        <v>0.0</v>
      </c>
      <c r="K102" s="57">
        <v>629.0</v>
      </c>
      <c r="L102" s="56">
        <f>J102+ROUND(K102, 2)</f>
        <v>629</v>
      </c>
      <c r="M102" s="56">
        <v>0.0</v>
      </c>
      <c r="N102" s="56">
        <f>ROUND(I102*ROUND(K102, 2), 2)</f>
        <v>109835.98</v>
      </c>
      <c r="O102" s="56">
        <f>M102+N102</f>
        <v>109835.98</v>
      </c>
      <c r="P102" s="56">
        <v>0.0</v>
      </c>
      <c r="Q102" s="58">
        <v>817.7</v>
      </c>
      <c r="R102" s="56">
        <f>P102+ROUND(Q102, 2)</f>
        <v>817.7</v>
      </c>
      <c r="S102" s="56">
        <v>0.0</v>
      </c>
      <c r="T102" s="56">
        <f>ROUND(I102*ROUND(Q102, 2), 2)</f>
        <v>142786.77</v>
      </c>
      <c r="U102" s="56">
        <f>S102+T102</f>
        <v>142786.77</v>
      </c>
      <c r="V102" s="29"/>
      <c r="W102" s="29">
        <f>ROUND(Q102 / 1.2, 2)</f>
        <v>681.42</v>
      </c>
      <c r="X102" s="29">
        <f>ROUND(R102 / 1.2, 2)</f>
        <v>681.42</v>
      </c>
      <c r="Y102" s="29"/>
      <c r="Z102" s="29">
        <f>ROUND(T102 / 1.2, 2)</f>
        <v>118988.98</v>
      </c>
      <c r="AA102" s="29" t="e">
        <f>Y102+Z102</f>
        <v>#VALUE!</v>
      </c>
      <c r="AD102" s="21">
        <v>406711503</v>
      </c>
      <c r="AE102" s="21">
        <v>36659753</v>
      </c>
      <c r="AG102" s="21" t="s">
        <v>419</v>
      </c>
      <c r="AH102" s="21" t="s">
        <v>420</v>
      </c>
      <c r="AI102" s="21" t="s">
        <v>60</v>
      </c>
      <c r="AK102" s="56">
        <f>S102-M102</f>
        <v>0</v>
      </c>
      <c r="AL102" s="56">
        <f>T102-N102</f>
        <v>32950.79</v>
      </c>
      <c r="AM102" s="56">
        <f>U102-O102</f>
        <v>32950.79</v>
      </c>
      <c r="AN102" s="59">
        <f>IFERROR(AK102/M102,0)</f>
        <v>0</v>
      </c>
      <c r="AO102" s="59">
        <f>IFERROR(AL102/N102,0)</f>
        <v>0.29999996358206</v>
      </c>
      <c r="AP102" s="59">
        <f>IFERROR(AM102/O102,0)</f>
        <v>0.29999996358206</v>
      </c>
    </row>
    <row r="103" spans="1:42">
      <c r="A103" s="32" t="s">
        <v>421</v>
      </c>
      <c r="B103" s="32" t="s">
        <v>422</v>
      </c>
      <c r="C103" s="53" t="s">
        <v>423</v>
      </c>
      <c r="D103" s="54"/>
      <c r="E103" s="54"/>
      <c r="F103" s="54" t="s">
        <v>57</v>
      </c>
      <c r="G103" s="55">
        <v>1.0</v>
      </c>
      <c r="H103" s="55"/>
      <c r="I103" s="55">
        <v>236.36</v>
      </c>
      <c r="J103" s="56">
        <v>0.0</v>
      </c>
      <c r="K103" s="57">
        <v>153.0</v>
      </c>
      <c r="L103" s="56">
        <f>J103+ROUND(K103, 2)</f>
        <v>153</v>
      </c>
      <c r="M103" s="56">
        <v>0.0</v>
      </c>
      <c r="N103" s="56">
        <f>ROUND(I103*ROUND(K103, 2), 2)</f>
        <v>36163.08</v>
      </c>
      <c r="O103" s="56">
        <f>M103+N103</f>
        <v>36163.08</v>
      </c>
      <c r="P103" s="56">
        <v>0.0</v>
      </c>
      <c r="Q103" s="58">
        <v>198.9</v>
      </c>
      <c r="R103" s="56">
        <f>P103+ROUND(Q103, 2)</f>
        <v>198.9</v>
      </c>
      <c r="S103" s="56">
        <v>0.0</v>
      </c>
      <c r="T103" s="56">
        <f>ROUND(I103*ROUND(Q103, 2), 2)</f>
        <v>47012</v>
      </c>
      <c r="U103" s="56">
        <f>S103+T103</f>
        <v>47012</v>
      </c>
      <c r="V103" s="29"/>
      <c r="W103" s="29">
        <f>ROUND(Q103 / 1.2, 2)</f>
        <v>165.75</v>
      </c>
      <c r="X103" s="29">
        <f>ROUND(R103 / 1.2, 2)</f>
        <v>165.75</v>
      </c>
      <c r="Y103" s="29"/>
      <c r="Z103" s="29">
        <f>ROUND(T103 / 1.2, 2)</f>
        <v>39176.67</v>
      </c>
      <c r="AA103" s="29" t="e">
        <f>Y103+Z103</f>
        <v>#VALUE!</v>
      </c>
      <c r="AD103" s="21">
        <v>406711505</v>
      </c>
      <c r="AE103" s="21">
        <v>36663229</v>
      </c>
      <c r="AG103" s="21" t="s">
        <v>424</v>
      </c>
      <c r="AH103" s="21" t="s">
        <v>425</v>
      </c>
      <c r="AI103" s="21" t="s">
        <v>60</v>
      </c>
      <c r="AK103" s="56">
        <f>S103-M103</f>
        <v>0</v>
      </c>
      <c r="AL103" s="56">
        <f>T103-N103</f>
        <v>10848.92</v>
      </c>
      <c r="AM103" s="56">
        <f>U103-O103</f>
        <v>10848.92</v>
      </c>
      <c r="AN103" s="59">
        <f>IFERROR(AK103/M103,0)</f>
        <v>0</v>
      </c>
      <c r="AO103" s="59">
        <f>IFERROR(AL103/N103,0)</f>
        <v>0.29999988938995</v>
      </c>
      <c r="AP103" s="59">
        <f>IFERROR(AM103/O103,0)</f>
        <v>0.29999988938995</v>
      </c>
    </row>
    <row r="104" spans="1:42">
      <c r="A104" s="32" t="s">
        <v>426</v>
      </c>
      <c r="B104" s="32" t="s">
        <v>427</v>
      </c>
      <c r="C104" s="53" t="s">
        <v>428</v>
      </c>
      <c r="D104" s="54"/>
      <c r="E104" s="54"/>
      <c r="F104" s="54" t="s">
        <v>57</v>
      </c>
      <c r="G104" s="55">
        <v>1.0</v>
      </c>
      <c r="H104" s="55"/>
      <c r="I104" s="55">
        <v>236.36</v>
      </c>
      <c r="J104" s="56">
        <v>0.0</v>
      </c>
      <c r="K104" s="57">
        <v>198.01</v>
      </c>
      <c r="L104" s="56">
        <f>J104+ROUND(K104, 2)</f>
        <v>198.01</v>
      </c>
      <c r="M104" s="56">
        <v>0.0</v>
      </c>
      <c r="N104" s="56">
        <f>ROUND(I104*ROUND(K104, 2), 2)</f>
        <v>46801.64</v>
      </c>
      <c r="O104" s="56">
        <f>M104+N104</f>
        <v>46801.64</v>
      </c>
      <c r="P104" s="56">
        <v>0.0</v>
      </c>
      <c r="Q104" s="58">
        <v>257.41</v>
      </c>
      <c r="R104" s="56">
        <f>P104+ROUND(Q104, 2)</f>
        <v>257.41</v>
      </c>
      <c r="S104" s="56">
        <v>0.0</v>
      </c>
      <c r="T104" s="56">
        <f>ROUND(I104*ROUND(Q104, 2), 2)</f>
        <v>60841.43</v>
      </c>
      <c r="U104" s="56">
        <f>S104+T104</f>
        <v>60841.43</v>
      </c>
      <c r="V104" s="29"/>
      <c r="W104" s="29">
        <f>ROUND(Q104 / 1.2, 2)</f>
        <v>214.51</v>
      </c>
      <c r="X104" s="29">
        <f>ROUND(R104 / 1.2, 2)</f>
        <v>214.51</v>
      </c>
      <c r="Y104" s="29"/>
      <c r="Z104" s="29">
        <f>ROUND(T104 / 1.2, 2)</f>
        <v>50701.19</v>
      </c>
      <c r="AA104" s="29" t="e">
        <f>Y104+Z104</f>
        <v>#VALUE!</v>
      </c>
      <c r="AD104" s="21">
        <v>406711507</v>
      </c>
      <c r="AE104" s="21">
        <v>36659763</v>
      </c>
      <c r="AG104" s="21" t="s">
        <v>429</v>
      </c>
      <c r="AH104" s="21" t="s">
        <v>430</v>
      </c>
      <c r="AI104" s="21" t="s">
        <v>60</v>
      </c>
      <c r="AK104" s="56">
        <f>S104-M104</f>
        <v>0</v>
      </c>
      <c r="AL104" s="56">
        <f>T104-N104</f>
        <v>14039.79</v>
      </c>
      <c r="AM104" s="56">
        <f>U104-O104</f>
        <v>14039.79</v>
      </c>
      <c r="AN104" s="59">
        <f>IFERROR(AK104/M104,0)</f>
        <v>0</v>
      </c>
      <c r="AO104" s="59">
        <f>IFERROR(AL104/N104,0)</f>
        <v>0.29998500052562</v>
      </c>
      <c r="AP104" s="59">
        <f>IFERROR(AM104/O104,0)</f>
        <v>0.29998500052562</v>
      </c>
    </row>
    <row r="105" spans="1:42">
      <c r="A105" s="32" t="s">
        <v>431</v>
      </c>
      <c r="B105" s="32" t="s">
        <v>432</v>
      </c>
      <c r="C105" s="53" t="s">
        <v>433</v>
      </c>
      <c r="D105" s="54"/>
      <c r="E105" s="54"/>
      <c r="F105" s="54" t="s">
        <v>101</v>
      </c>
      <c r="G105" s="55">
        <v>1.0</v>
      </c>
      <c r="H105" s="55"/>
      <c r="I105" s="55">
        <v>229.49</v>
      </c>
      <c r="J105" s="56">
        <v>0.0</v>
      </c>
      <c r="K105" s="57">
        <v>106.99</v>
      </c>
      <c r="L105" s="56">
        <f>J105+ROUND(K105, 2)</f>
        <v>106.99</v>
      </c>
      <c r="M105" s="56">
        <v>0.0</v>
      </c>
      <c r="N105" s="56">
        <f>ROUND(I105*ROUND(K105, 2), 2)</f>
        <v>24553.14</v>
      </c>
      <c r="O105" s="56">
        <f>M105+N105</f>
        <v>24553.14</v>
      </c>
      <c r="P105" s="56">
        <v>0.0</v>
      </c>
      <c r="Q105" s="58">
        <v>139.09</v>
      </c>
      <c r="R105" s="56">
        <f>P105+ROUND(Q105, 2)</f>
        <v>139.09</v>
      </c>
      <c r="S105" s="56">
        <v>0.0</v>
      </c>
      <c r="T105" s="56">
        <f>ROUND(I105*ROUND(Q105, 2), 2)</f>
        <v>31919.76</v>
      </c>
      <c r="U105" s="56">
        <f>S105+T105</f>
        <v>31919.76</v>
      </c>
      <c r="V105" s="29"/>
      <c r="W105" s="29">
        <f>ROUND(Q105 / 1.2, 2)</f>
        <v>115.91</v>
      </c>
      <c r="X105" s="29">
        <f>ROUND(R105 / 1.2, 2)</f>
        <v>115.91</v>
      </c>
      <c r="Y105" s="29"/>
      <c r="Z105" s="29">
        <f>ROUND(T105 / 1.2, 2)</f>
        <v>26599.8</v>
      </c>
      <c r="AA105" s="29" t="e">
        <f>Y105+Z105</f>
        <v>#VALUE!</v>
      </c>
      <c r="AD105" s="21">
        <v>406711509</v>
      </c>
      <c r="AE105" s="21">
        <v>36659742</v>
      </c>
      <c r="AG105" s="21" t="s">
        <v>434</v>
      </c>
      <c r="AH105" s="21" t="s">
        <v>435</v>
      </c>
      <c r="AI105" s="21" t="s">
        <v>60</v>
      </c>
      <c r="AK105" s="56">
        <f>S105-M105</f>
        <v>0</v>
      </c>
      <c r="AL105" s="56">
        <f>T105-N105</f>
        <v>7366.62</v>
      </c>
      <c r="AM105" s="56">
        <f>U105-O105</f>
        <v>7366.62</v>
      </c>
      <c r="AN105" s="59">
        <f>IFERROR(AK105/M105,0)</f>
        <v>0</v>
      </c>
      <c r="AO105" s="59">
        <f>IFERROR(AL105/N105,0)</f>
        <v>0.3000276135761</v>
      </c>
      <c r="AP105" s="59">
        <f>IFERROR(AM105/O105,0)</f>
        <v>0.3000276135761</v>
      </c>
    </row>
    <row r="106" spans="1:42">
      <c r="A106" s="32" t="s">
        <v>436</v>
      </c>
      <c r="B106" s="32" t="s">
        <v>437</v>
      </c>
      <c r="C106" s="53" t="s">
        <v>438</v>
      </c>
      <c r="D106" s="54"/>
      <c r="E106" s="54"/>
      <c r="F106" s="54" t="s">
        <v>57</v>
      </c>
      <c r="G106" s="55">
        <v>1.0</v>
      </c>
      <c r="H106" s="55"/>
      <c r="I106" s="55">
        <v>330.86</v>
      </c>
      <c r="J106" s="56">
        <v>0.0</v>
      </c>
      <c r="K106" s="57">
        <v>737.0</v>
      </c>
      <c r="L106" s="56">
        <f>J106+ROUND(K106, 2)</f>
        <v>737</v>
      </c>
      <c r="M106" s="56">
        <v>0.0</v>
      </c>
      <c r="N106" s="56">
        <f>ROUND(I106*ROUND(K106, 2), 2)</f>
        <v>243843.82</v>
      </c>
      <c r="O106" s="56">
        <f>M106+N106</f>
        <v>243843.82</v>
      </c>
      <c r="P106" s="56">
        <v>0.0</v>
      </c>
      <c r="Q106" s="58">
        <v>958.1</v>
      </c>
      <c r="R106" s="56">
        <f>P106+ROUND(Q106, 2)</f>
        <v>958.1</v>
      </c>
      <c r="S106" s="56">
        <v>0.0</v>
      </c>
      <c r="T106" s="56">
        <f>ROUND(I106*ROUND(Q106, 2), 2)</f>
        <v>316996.97</v>
      </c>
      <c r="U106" s="56">
        <f>S106+T106</f>
        <v>316996.97</v>
      </c>
      <c r="V106" s="29"/>
      <c r="W106" s="29">
        <f>ROUND(Q106 / 1.2, 2)</f>
        <v>798.42</v>
      </c>
      <c r="X106" s="29">
        <f>ROUND(R106 / 1.2, 2)</f>
        <v>798.42</v>
      </c>
      <c r="Y106" s="29"/>
      <c r="Z106" s="29">
        <f>ROUND(T106 / 1.2, 2)</f>
        <v>264164.14</v>
      </c>
      <c r="AA106" s="29" t="e">
        <f>Y106+Z106</f>
        <v>#VALUE!</v>
      </c>
      <c r="AD106" s="21">
        <v>406711511</v>
      </c>
      <c r="AE106" s="21">
        <v>36660156</v>
      </c>
      <c r="AG106" s="21" t="s">
        <v>439</v>
      </c>
      <c r="AH106" s="21" t="s">
        <v>440</v>
      </c>
      <c r="AI106" s="21" t="s">
        <v>60</v>
      </c>
      <c r="AK106" s="56">
        <f>S106-M106</f>
        <v>0</v>
      </c>
      <c r="AL106" s="56">
        <f>T106-N106</f>
        <v>73153.15</v>
      </c>
      <c r="AM106" s="56">
        <f>U106-O106</f>
        <v>73153.15</v>
      </c>
      <c r="AN106" s="59">
        <f>IFERROR(AK106/M106,0)</f>
        <v>0</v>
      </c>
      <c r="AO106" s="59">
        <f>IFERROR(AL106/N106,0)</f>
        <v>0.30000001640394</v>
      </c>
      <c r="AP106" s="59">
        <f>IFERROR(AM106/O106,0)</f>
        <v>0.30000001640394</v>
      </c>
    </row>
    <row r="107" spans="1:42">
      <c r="A107" s="32" t="s">
        <v>441</v>
      </c>
      <c r="B107" s="32" t="s">
        <v>442</v>
      </c>
      <c r="C107" s="53" t="s">
        <v>443</v>
      </c>
      <c r="D107" s="54"/>
      <c r="E107" s="54"/>
      <c r="F107" s="54" t="s">
        <v>57</v>
      </c>
      <c r="G107" s="55">
        <v>1.0</v>
      </c>
      <c r="H107" s="55"/>
      <c r="I107" s="55">
        <v>539.7</v>
      </c>
      <c r="J107" s="56">
        <v>0.0</v>
      </c>
      <c r="K107" s="57">
        <v>168.99</v>
      </c>
      <c r="L107" s="56">
        <f>J107+ROUND(K107, 2)</f>
        <v>168.99</v>
      </c>
      <c r="M107" s="56">
        <v>0.0</v>
      </c>
      <c r="N107" s="56">
        <f>ROUND(I107*ROUND(K107, 2), 2)</f>
        <v>91203.9</v>
      </c>
      <c r="O107" s="56">
        <f>M107+N107</f>
        <v>91203.9</v>
      </c>
      <c r="P107" s="56">
        <v>0.0</v>
      </c>
      <c r="Q107" s="58">
        <v>219.69</v>
      </c>
      <c r="R107" s="56">
        <f>P107+ROUND(Q107, 2)</f>
        <v>219.69</v>
      </c>
      <c r="S107" s="56">
        <v>0.0</v>
      </c>
      <c r="T107" s="56">
        <f>ROUND(I107*ROUND(Q107, 2), 2)</f>
        <v>118566.69</v>
      </c>
      <c r="U107" s="56">
        <f>S107+T107</f>
        <v>118566.69</v>
      </c>
      <c r="V107" s="29"/>
      <c r="W107" s="29">
        <f>ROUND(Q107 / 1.2, 2)</f>
        <v>183.08</v>
      </c>
      <c r="X107" s="29">
        <f>ROUND(R107 / 1.2, 2)</f>
        <v>183.08</v>
      </c>
      <c r="Y107" s="29"/>
      <c r="Z107" s="29">
        <f>ROUND(T107 / 1.2, 2)</f>
        <v>98805.58</v>
      </c>
      <c r="AA107" s="29" t="e">
        <f>Y107+Z107</f>
        <v>#VALUE!</v>
      </c>
      <c r="AD107" s="21">
        <v>406711513</v>
      </c>
      <c r="AE107" s="21">
        <v>36663235</v>
      </c>
      <c r="AG107" s="21" t="s">
        <v>444</v>
      </c>
      <c r="AH107" s="21" t="s">
        <v>445</v>
      </c>
      <c r="AI107" s="21" t="s">
        <v>60</v>
      </c>
      <c r="AK107" s="56">
        <f>S107-M107</f>
        <v>0</v>
      </c>
      <c r="AL107" s="56">
        <f>T107-N107</f>
        <v>27362.79</v>
      </c>
      <c r="AM107" s="56">
        <f>U107-O107</f>
        <v>27362.79</v>
      </c>
      <c r="AN107" s="59">
        <f>IFERROR(AK107/M107,0)</f>
        <v>0</v>
      </c>
      <c r="AO107" s="59">
        <f>IFERROR(AL107/N107,0)</f>
        <v>0.30001776239832</v>
      </c>
      <c r="AP107" s="59">
        <f>IFERROR(AM107/O107,0)</f>
        <v>0.30001776239832</v>
      </c>
    </row>
    <row r="108" spans="1:42" customHeight="1" ht="24">
      <c r="A108" s="69"/>
      <c r="B108" s="69"/>
      <c r="C108" s="69"/>
      <c r="D108" s="70" t="s">
        <v>446</v>
      </c>
      <c r="E108" s="69"/>
      <c r="F108" s="69"/>
      <c r="G108" s="69"/>
      <c r="H108" s="69"/>
      <c r="I108" s="69"/>
      <c r="J108" s="69"/>
      <c r="K108" s="69"/>
      <c r="L108" s="69"/>
      <c r="M108" s="71">
        <f>SUM(M8)</f>
        <v>1371627.66</v>
      </c>
      <c r="N108" s="71">
        <f>SUM(N8)</f>
        <v>3880750.28</v>
      </c>
      <c r="O108" s="71">
        <f>M108+N108</f>
        <v>5252377.94</v>
      </c>
      <c r="P108" s="69"/>
      <c r="Q108" s="69"/>
      <c r="R108" s="69"/>
      <c r="S108" s="71">
        <f>SUM(S8)</f>
        <v>1473854.21</v>
      </c>
      <c r="T108" s="71">
        <f>SUM(T8)</f>
        <v>5131493.34</v>
      </c>
      <c r="U108" s="71">
        <f>S108+T108</f>
        <v>6605347.55</v>
      </c>
      <c r="Y108" s="29">
        <f>SUM(Y8)</f>
        <v>1228211.87</v>
      </c>
      <c r="Z108" s="29">
        <f>SUM(Z8)</f>
        <v>4276244.49</v>
      </c>
      <c r="AA108" s="29">
        <f>Y108+Z108</f>
        <v>5504456.36</v>
      </c>
      <c r="AK108" s="71">
        <f>S108-M108</f>
        <v>102226.55</v>
      </c>
      <c r="AL108" s="71">
        <f>T108-N108</f>
        <v>1250743.06</v>
      </c>
      <c r="AM108" s="71">
        <f>U108-O108</f>
        <v>1352969.61</v>
      </c>
      <c r="AN108" s="72">
        <f>IFERROR(AK108/M108,0)</f>
        <v>0.074529373372363</v>
      </c>
      <c r="AO108" s="72">
        <f>IFERROR(AL108/N108,0)</f>
        <v>0.32229413638025</v>
      </c>
      <c r="AP108" s="72">
        <f>IFERROR(AM108/O108,0)</f>
        <v>0.25759182325711</v>
      </c>
    </row>
    <row r="109" spans="1:42">
      <c r="A109" s="24" t="s">
        <v>447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6"/>
    </row>
    <row r="110" spans="1:42">
      <c r="A110" s="75"/>
      <c r="B110" s="16" t="s">
        <v>448</v>
      </c>
      <c r="C110" s="73" t="s">
        <v>449</v>
      </c>
      <c r="D110" s="73" t="s">
        <v>450</v>
      </c>
      <c r="E110" s="76"/>
      <c r="F110" s="76"/>
      <c r="G110" s="76"/>
      <c r="H110" s="1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15"/>
    </row>
    <row r="111" spans="1:42">
      <c r="A111" s="75"/>
      <c r="B111" s="16" t="s">
        <v>451</v>
      </c>
      <c r="C111" s="73" t="s">
        <v>452</v>
      </c>
      <c r="D111" s="73" t="s">
        <v>453</v>
      </c>
      <c r="E111" s="76"/>
      <c r="F111" s="76"/>
      <c r="G111" s="76"/>
      <c r="H111" s="1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15"/>
    </row>
    <row r="112" spans="1:42">
      <c r="A112" s="75"/>
      <c r="B112" s="16" t="s">
        <v>454</v>
      </c>
      <c r="C112" s="73" t="s">
        <v>455</v>
      </c>
      <c r="D112" s="73" t="s">
        <v>456</v>
      </c>
      <c r="E112" s="76"/>
      <c r="F112" s="76"/>
      <c r="G112" s="76"/>
      <c r="H112" s="1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15"/>
    </row>
    <row r="113" spans="1:42">
      <c r="A113" s="75"/>
      <c r="B113" s="16" t="s">
        <v>457</v>
      </c>
      <c r="C113" s="73" t="s">
        <v>458</v>
      </c>
      <c r="D113" s="73" t="s">
        <v>459</v>
      </c>
      <c r="E113" s="76"/>
      <c r="F113" s="76"/>
      <c r="G113" s="76"/>
      <c r="H113" s="1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15"/>
    </row>
    <row r="114" spans="1:42">
      <c r="A114" s="75"/>
      <c r="B114" s="16" t="s">
        <v>460</v>
      </c>
      <c r="C114" s="73" t="s">
        <v>461</v>
      </c>
      <c r="D114" s="73" t="s">
        <v>453</v>
      </c>
      <c r="E114" s="76"/>
      <c r="F114" s="76"/>
      <c r="G114" s="76"/>
      <c r="H114" s="1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15"/>
    </row>
    <row r="115" spans="1:42">
      <c r="A115" s="75"/>
      <c r="B115" s="16" t="s">
        <v>462</v>
      </c>
      <c r="C115" s="73" t="s">
        <v>463</v>
      </c>
      <c r="D115" s="73" t="s">
        <v>464</v>
      </c>
      <c r="E115" s="76"/>
      <c r="F115" s="76"/>
      <c r="G115" s="76"/>
      <c r="H115" s="1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15"/>
    </row>
    <row r="116" spans="1:42">
      <c r="A116" s="75"/>
      <c r="B116" s="16" t="s">
        <v>465</v>
      </c>
      <c r="C116" s="73" t="s">
        <v>466</v>
      </c>
      <c r="D116" s="73" t="s">
        <v>467</v>
      </c>
      <c r="E116" s="76"/>
      <c r="F116" s="76"/>
      <c r="G116" s="76"/>
      <c r="H116" s="1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15"/>
    </row>
    <row r="117" spans="1:42">
      <c r="A117" s="75"/>
      <c r="B117" s="16" t="s">
        <v>468</v>
      </c>
      <c r="C117" s="73" t="s">
        <v>469</v>
      </c>
      <c r="D117" s="73" t="s">
        <v>470</v>
      </c>
      <c r="E117" s="76"/>
      <c r="F117" s="76"/>
      <c r="G117" s="76"/>
      <c r="H117" s="1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15"/>
    </row>
    <row r="118" spans="1:42">
      <c r="A118" s="75"/>
      <c r="B118" s="16" t="s">
        <v>471</v>
      </c>
      <c r="C118" s="73" t="s">
        <v>472</v>
      </c>
      <c r="D118" s="73" t="s">
        <v>473</v>
      </c>
      <c r="E118" s="76"/>
      <c r="F118" s="76"/>
      <c r="G118" s="76"/>
      <c r="H118" s="1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15"/>
    </row>
    <row r="119" spans="1:42">
      <c r="A119" s="75"/>
      <c r="B119" s="16" t="s">
        <v>474</v>
      </c>
      <c r="C119" s="73" t="s">
        <v>475</v>
      </c>
      <c r="D119" s="73" t="s">
        <v>476</v>
      </c>
      <c r="E119" s="76"/>
      <c r="F119" s="76"/>
      <c r="G119" s="76"/>
      <c r="H119" s="1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15"/>
    </row>
    <row r="120" spans="1:42">
      <c r="A120" s="75"/>
      <c r="B120" s="16" t="s">
        <v>477</v>
      </c>
      <c r="C120" s="73" t="s">
        <v>478</v>
      </c>
      <c r="D120" s="73" t="s">
        <v>479</v>
      </c>
      <c r="E120" s="76"/>
      <c r="F120" s="76"/>
      <c r="G120" s="76"/>
      <c r="H120" s="1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15"/>
    </row>
    <row r="121" spans="1:42">
      <c r="A121" s="75"/>
      <c r="B121" s="16" t="s">
        <v>480</v>
      </c>
      <c r="C121" s="73" t="s">
        <v>481</v>
      </c>
      <c r="D121" s="73" t="s">
        <v>482</v>
      </c>
      <c r="E121" s="76"/>
      <c r="F121" s="76"/>
      <c r="G121" s="76"/>
      <c r="H121" s="1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15"/>
    </row>
    <row r="122" spans="1:42">
      <c r="A122" s="75"/>
      <c r="B122" s="16" t="s">
        <v>483</v>
      </c>
      <c r="C122" s="73" t="s">
        <v>484</v>
      </c>
      <c r="D122" s="73" t="s">
        <v>485</v>
      </c>
      <c r="E122" s="76"/>
      <c r="F122" s="76"/>
      <c r="G122" s="76"/>
      <c r="H122" s="1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15"/>
    </row>
    <row r="123" spans="1:42" customHeight="1" ht="48">
      <c r="A123" s="75"/>
      <c r="B123" s="16" t="s">
        <v>486</v>
      </c>
      <c r="C123" s="73" t="s">
        <v>487</v>
      </c>
      <c r="D123" s="73" t="s">
        <v>488</v>
      </c>
      <c r="E123" s="76"/>
      <c r="F123" s="76"/>
      <c r="G123" s="76"/>
      <c r="H123" s="14" t="s">
        <v>489</v>
      </c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15"/>
    </row>
    <row r="124" spans="1:42">
      <c r="A124" s="75"/>
      <c r="B124" s="16" t="s">
        <v>490</v>
      </c>
      <c r="C124" s="73" t="s">
        <v>491</v>
      </c>
      <c r="D124" s="73" t="s">
        <v>492</v>
      </c>
      <c r="E124" s="76"/>
      <c r="F124" s="76"/>
      <c r="G124" s="76"/>
      <c r="H124" s="1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15"/>
    </row>
    <row r="125" spans="1:42">
      <c r="A125" s="75"/>
      <c r="B125" s="16" t="s">
        <v>493</v>
      </c>
      <c r="C125" s="73" t="s">
        <v>494</v>
      </c>
      <c r="D125" s="76"/>
      <c r="E125" s="76"/>
      <c r="F125" s="76"/>
      <c r="G125" s="76"/>
      <c r="H125" s="1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15"/>
    </row>
    <row r="126" spans="1:42">
      <c r="A126" s="75"/>
      <c r="B126" s="16" t="s">
        <v>495</v>
      </c>
      <c r="C126" s="73" t="s">
        <v>496</v>
      </c>
      <c r="D126" s="76"/>
      <c r="E126" s="76"/>
      <c r="F126" s="76"/>
      <c r="G126" s="76"/>
      <c r="H126" s="1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15"/>
    </row>
    <row r="127" spans="1:42">
      <c r="A127" s="75"/>
      <c r="B127" s="16" t="s">
        <v>497</v>
      </c>
      <c r="C127" s="73" t="s">
        <v>498</v>
      </c>
      <c r="D127" s="76"/>
      <c r="E127" s="76"/>
      <c r="F127" s="76"/>
      <c r="G127" s="76"/>
      <c r="H127" s="1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15"/>
    </row>
  </sheetData>
  <sheetProtection password="C644" sheet="1" formatColumns="0" autoFilter="0"/>
  <autoFilter ref="A7:U7"/>
  <mergeCells>
    <mergeCell ref="A2:U2"/>
    <mergeCell ref="A3:U3"/>
    <mergeCell ref="A4:U4"/>
    <mergeCell ref="J5:O5"/>
    <mergeCell ref="P5:R5"/>
    <mergeCell ref="S5:U5"/>
    <mergeCell ref="AK5:AP5"/>
    <mergeCell ref="AK6:AL6"/>
    <mergeCell ref="AM6:AM7"/>
    <mergeCell ref="AN6:AO6"/>
    <mergeCell ref="AP6:AP7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  <mergeCell ref="L6:L7"/>
    <mergeCell ref="M6:N6"/>
    <mergeCell ref="O6:O7"/>
    <mergeCell ref="P6:Q6"/>
    <mergeCell ref="R6:R7"/>
    <mergeCell ref="S6:T6"/>
    <mergeCell ref="U6:U7"/>
    <mergeCell ref="A8:I8"/>
    <mergeCell ref="C9:I9"/>
    <mergeCell ref="C10:I10"/>
    <mergeCell ref="C11:I11"/>
    <mergeCell ref="C12:I12"/>
    <mergeCell ref="C13:I13"/>
    <mergeCell ref="C19:I19"/>
    <mergeCell ref="C21:I21"/>
    <mergeCell ref="C22:I22"/>
    <mergeCell ref="C32:I32"/>
    <mergeCell ref="C34:I34"/>
    <mergeCell ref="C37:I37"/>
    <mergeCell ref="C38:I38"/>
    <mergeCell ref="C60:I60"/>
    <mergeCell ref="C101:I101"/>
    <mergeCell ref="A109:U109"/>
    <mergeCell ref="H110:U110"/>
    <mergeCell ref="H111:U111"/>
    <mergeCell ref="H112:U112"/>
    <mergeCell ref="H113:U113"/>
    <mergeCell ref="H114:U114"/>
    <mergeCell ref="H115:U115"/>
    <mergeCell ref="H116:U116"/>
    <mergeCell ref="H117:U117"/>
    <mergeCell ref="H118:U118"/>
    <mergeCell ref="H119:U119"/>
    <mergeCell ref="H120:U120"/>
    <mergeCell ref="H121:U121"/>
    <mergeCell ref="H122:U122"/>
    <mergeCell ref="H123:U123"/>
    <mergeCell ref="H124:U124"/>
    <mergeCell ref="H125:U125"/>
    <mergeCell ref="H126:U126"/>
    <mergeCell ref="H127:U1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ТКП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2026-08-04T17:34:10+03:00</dcterms:created>
  <dcterms:modified xsi:type="dcterms:W3CDTF">2026-08-04T17:34:10+03:00</dcterms:modified>
  <dc:title>Untitled Spreadsheet</dc:title>
  <dc:description/>
  <dc:subject/>
  <cp:keywords/>
  <cp:category/>
</cp:coreProperties>
</file>