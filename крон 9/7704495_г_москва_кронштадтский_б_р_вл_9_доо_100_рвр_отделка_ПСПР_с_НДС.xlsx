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крон 9\"/>
    </mc:Choice>
  </mc:AlternateContent>
  <bookViews>
    <workbookView xWindow="0" yWindow="0" windowWidth="17580" windowHeight="6420" activeTab="1"/>
  </bookViews>
  <sheets>
    <sheet name="ТКП" sheetId="1" r:id="rId1"/>
    <sheet name="Лист1" sheetId="2" r:id="rId2"/>
  </sheets>
  <definedNames>
    <definedName name="_xlnm._FilterDatabase" localSheetId="0" hidden="1">ТКП!$A$7:$U$7</definedName>
  </definedNames>
  <calcPr calcId="152511"/>
</workbook>
</file>

<file path=xl/calcChain.xml><?xml version="1.0" encoding="utf-8"?>
<calcChain xmlns="http://schemas.openxmlformats.org/spreadsheetml/2006/main">
  <c r="AL107" i="2" l="1"/>
  <c r="AO107" i="2" s="1"/>
  <c r="AK107" i="2"/>
  <c r="AN107" i="2" s="1"/>
  <c r="Z107" i="2"/>
  <c r="AA107" i="2" s="1"/>
  <c r="W107" i="2"/>
  <c r="T107" i="2"/>
  <c r="U107" i="2" s="1"/>
  <c r="AM107" i="2" s="1"/>
  <c r="AP107" i="2" s="1"/>
  <c r="R107" i="2"/>
  <c r="X107" i="2" s="1"/>
  <c r="O107" i="2"/>
  <c r="N107" i="2"/>
  <c r="L107" i="2"/>
  <c r="AM106" i="2"/>
  <c r="AP106" i="2" s="1"/>
  <c r="AL106" i="2"/>
  <c r="AO106" i="2" s="1"/>
  <c r="AK106" i="2"/>
  <c r="AN106" i="2" s="1"/>
  <c r="Z106" i="2"/>
  <c r="AA106" i="2" s="1"/>
  <c r="X106" i="2"/>
  <c r="W106" i="2"/>
  <c r="U106" i="2"/>
  <c r="T106" i="2"/>
  <c r="R106" i="2"/>
  <c r="O106" i="2"/>
  <c r="N106" i="2"/>
  <c r="L106" i="2"/>
  <c r="AN105" i="2"/>
  <c r="AM105" i="2"/>
  <c r="AP105" i="2" s="1"/>
  <c r="AL105" i="2"/>
  <c r="AO105" i="2" s="1"/>
  <c r="AK105" i="2"/>
  <c r="Z105" i="2"/>
  <c r="AA105" i="2" s="1"/>
  <c r="X105" i="2"/>
  <c r="W105" i="2"/>
  <c r="T105" i="2"/>
  <c r="U105" i="2" s="1"/>
  <c r="R105" i="2"/>
  <c r="O105" i="2"/>
  <c r="N105" i="2"/>
  <c r="L105" i="2"/>
  <c r="AL104" i="2"/>
  <c r="AO104" i="2" s="1"/>
  <c r="AK104" i="2"/>
  <c r="AN104" i="2" s="1"/>
  <c r="Z104" i="2"/>
  <c r="AA104" i="2" s="1"/>
  <c r="X104" i="2"/>
  <c r="W104" i="2"/>
  <c r="T104" i="2"/>
  <c r="U104" i="2" s="1"/>
  <c r="AM104" i="2" s="1"/>
  <c r="AP104" i="2" s="1"/>
  <c r="R104" i="2"/>
  <c r="O104" i="2"/>
  <c r="N104" i="2"/>
  <c r="L104" i="2"/>
  <c r="AK103" i="2"/>
  <c r="AN103" i="2" s="1"/>
  <c r="W103" i="2"/>
  <c r="T103" i="2"/>
  <c r="AL103" i="2" s="1"/>
  <c r="AO103" i="2" s="1"/>
  <c r="R103" i="2"/>
  <c r="X103" i="2" s="1"/>
  <c r="O103" i="2"/>
  <c r="N103" i="2"/>
  <c r="L103" i="2"/>
  <c r="AN102" i="2"/>
  <c r="AK102" i="2"/>
  <c r="W102" i="2"/>
  <c r="T102" i="2"/>
  <c r="AL102" i="2" s="1"/>
  <c r="AO102" i="2" s="1"/>
  <c r="R102" i="2"/>
  <c r="X102" i="2" s="1"/>
  <c r="O102" i="2"/>
  <c r="O101" i="2" s="1"/>
  <c r="N102" i="2"/>
  <c r="L102" i="2"/>
  <c r="Y101" i="2"/>
  <c r="S101" i="2"/>
  <c r="AK101" i="2" s="1"/>
  <c r="AN101" i="2" s="1"/>
  <c r="N101" i="2"/>
  <c r="M101" i="2"/>
  <c r="V100" i="2"/>
  <c r="S100" i="2"/>
  <c r="M100" i="2"/>
  <c r="AK99" i="2"/>
  <c r="AN99" i="2" s="1"/>
  <c r="Y99" i="2"/>
  <c r="V99" i="2"/>
  <c r="S99" i="2"/>
  <c r="M99" i="2"/>
  <c r="AO98" i="2"/>
  <c r="Z98" i="2"/>
  <c r="W98" i="2"/>
  <c r="T98" i="2"/>
  <c r="AL98" i="2" s="1"/>
  <c r="N98" i="2"/>
  <c r="V97" i="2"/>
  <c r="S97" i="2"/>
  <c r="M97" i="2"/>
  <c r="V96" i="2"/>
  <c r="S96" i="2"/>
  <c r="P95" i="2" s="1"/>
  <c r="M96" i="2"/>
  <c r="J95" i="2" s="1"/>
  <c r="W95" i="2"/>
  <c r="T95" i="2"/>
  <c r="N95" i="2"/>
  <c r="AN94" i="2"/>
  <c r="AK94" i="2"/>
  <c r="Y94" i="2"/>
  <c r="V94" i="2"/>
  <c r="S94" i="2"/>
  <c r="M94" i="2"/>
  <c r="Y93" i="2"/>
  <c r="V93" i="2"/>
  <c r="S93" i="2"/>
  <c r="M93" i="2"/>
  <c r="AL92" i="2"/>
  <c r="AO92" i="2" s="1"/>
  <c r="Z92" i="2"/>
  <c r="W92" i="2"/>
  <c r="T92" i="2"/>
  <c r="N92" i="2"/>
  <c r="J92" i="2"/>
  <c r="M92" i="2" s="1"/>
  <c r="O92" i="2" s="1"/>
  <c r="AK91" i="2"/>
  <c r="AN91" i="2" s="1"/>
  <c r="V91" i="2"/>
  <c r="S91" i="2"/>
  <c r="Y91" i="2" s="1"/>
  <c r="M91" i="2"/>
  <c r="AN90" i="2"/>
  <c r="AK90" i="2"/>
  <c r="Y90" i="2"/>
  <c r="V90" i="2"/>
  <c r="S90" i="2"/>
  <c r="M90" i="2"/>
  <c r="V89" i="2"/>
  <c r="S89" i="2"/>
  <c r="Y89" i="2" s="1"/>
  <c r="M89" i="2"/>
  <c r="J88" i="2" s="1"/>
  <c r="W88" i="2"/>
  <c r="T88" i="2"/>
  <c r="Z88" i="2" s="1"/>
  <c r="N88" i="2"/>
  <c r="AN87" i="2"/>
  <c r="V87" i="2"/>
  <c r="S87" i="2"/>
  <c r="AK87" i="2" s="1"/>
  <c r="M87" i="2"/>
  <c r="V86" i="2"/>
  <c r="S86" i="2"/>
  <c r="M86" i="2"/>
  <c r="J85" i="2" s="1"/>
  <c r="W85" i="2"/>
  <c r="T85" i="2"/>
  <c r="Z85" i="2" s="1"/>
  <c r="N85" i="2"/>
  <c r="AL85" i="2" s="1"/>
  <c r="AO85" i="2" s="1"/>
  <c r="M85" i="2"/>
  <c r="O85" i="2" s="1"/>
  <c r="L85" i="2"/>
  <c r="V84" i="2"/>
  <c r="S84" i="2"/>
  <c r="M84" i="2"/>
  <c r="AK83" i="2"/>
  <c r="AN83" i="2" s="1"/>
  <c r="Y83" i="2"/>
  <c r="V83" i="2"/>
  <c r="S83" i="2"/>
  <c r="M83" i="2"/>
  <c r="W82" i="2"/>
  <c r="V82" i="2"/>
  <c r="T82" i="2"/>
  <c r="S82" i="2"/>
  <c r="U82" i="2" s="1"/>
  <c r="R82" i="2"/>
  <c r="X82" i="2" s="1"/>
  <c r="P82" i="2"/>
  <c r="N82" i="2"/>
  <c r="V81" i="2"/>
  <c r="S81" i="2"/>
  <c r="Y81" i="2" s="1"/>
  <c r="M81" i="2"/>
  <c r="AK81" i="2" s="1"/>
  <c r="AN81" i="2" s="1"/>
  <c r="V80" i="2"/>
  <c r="S80" i="2"/>
  <c r="P79" i="2" s="1"/>
  <c r="M80" i="2"/>
  <c r="J79" i="2" s="1"/>
  <c r="W79" i="2"/>
  <c r="T79" i="2"/>
  <c r="AL79" i="2" s="1"/>
  <c r="AO79" i="2" s="1"/>
  <c r="N79" i="2"/>
  <c r="AK78" i="2"/>
  <c r="AN78" i="2" s="1"/>
  <c r="Y78" i="2"/>
  <c r="V78" i="2"/>
  <c r="S78" i="2"/>
  <c r="M78" i="2"/>
  <c r="V77" i="2"/>
  <c r="S77" i="2"/>
  <c r="P76" i="2" s="1"/>
  <c r="R76" i="2" s="1"/>
  <c r="M77" i="2"/>
  <c r="AL76" i="2"/>
  <c r="AO76" i="2" s="1"/>
  <c r="Z76" i="2"/>
  <c r="X76" i="2"/>
  <c r="W76" i="2"/>
  <c r="T76" i="2"/>
  <c r="N76" i="2"/>
  <c r="J76" i="2"/>
  <c r="V75" i="2"/>
  <c r="S75" i="2"/>
  <c r="AK75" i="2" s="1"/>
  <c r="AN75" i="2" s="1"/>
  <c r="M75" i="2"/>
  <c r="AN74" i="2"/>
  <c r="AK74" i="2"/>
  <c r="Y74" i="2"/>
  <c r="V74" i="2"/>
  <c r="S74" i="2"/>
  <c r="M74" i="2"/>
  <c r="V73" i="2"/>
  <c r="S73" i="2"/>
  <c r="M73" i="2"/>
  <c r="V72" i="2"/>
  <c r="S72" i="2"/>
  <c r="Y72" i="2" s="1"/>
  <c r="M72" i="2"/>
  <c r="J71" i="2" s="1"/>
  <c r="W71" i="2"/>
  <c r="T71" i="2"/>
  <c r="N71" i="2"/>
  <c r="AK70" i="2"/>
  <c r="AN70" i="2" s="1"/>
  <c r="V70" i="2"/>
  <c r="S70" i="2"/>
  <c r="Y70" i="2" s="1"/>
  <c r="M70" i="2"/>
  <c r="V69" i="2"/>
  <c r="S69" i="2"/>
  <c r="M69" i="2"/>
  <c r="V68" i="2"/>
  <c r="S68" i="2"/>
  <c r="M68" i="2"/>
  <c r="V67" i="2"/>
  <c r="S67" i="2"/>
  <c r="P66" i="2" s="1"/>
  <c r="M67" i="2"/>
  <c r="W66" i="2"/>
  <c r="T66" i="2"/>
  <c r="N66" i="2"/>
  <c r="V65" i="2"/>
  <c r="S65" i="2"/>
  <c r="Y65" i="2" s="1"/>
  <c r="M65" i="2"/>
  <c r="AK65" i="2" s="1"/>
  <c r="AN65" i="2" s="1"/>
  <c r="V64" i="2"/>
  <c r="S64" i="2"/>
  <c r="Y64" i="2" s="1"/>
  <c r="M64" i="2"/>
  <c r="V63" i="2"/>
  <c r="S63" i="2"/>
  <c r="AK63" i="2" s="1"/>
  <c r="AN63" i="2" s="1"/>
  <c r="M63" i="2"/>
  <c r="V62" i="2"/>
  <c r="S62" i="2"/>
  <c r="Y62" i="2" s="1"/>
  <c r="M62" i="2"/>
  <c r="AL61" i="2"/>
  <c r="AO61" i="2" s="1"/>
  <c r="W61" i="2"/>
  <c r="T61" i="2"/>
  <c r="Z61" i="2" s="1"/>
  <c r="N61" i="2"/>
  <c r="N60" i="2" s="1"/>
  <c r="V59" i="2"/>
  <c r="S59" i="2"/>
  <c r="M59" i="2"/>
  <c r="AK58" i="2"/>
  <c r="AN58" i="2" s="1"/>
  <c r="Y58" i="2"/>
  <c r="V58" i="2"/>
  <c r="S58" i="2"/>
  <c r="M58" i="2"/>
  <c r="AK57" i="2"/>
  <c r="AN57" i="2" s="1"/>
  <c r="Y57" i="2"/>
  <c r="V57" i="2"/>
  <c r="S57" i="2"/>
  <c r="M57" i="2"/>
  <c r="AL56" i="2"/>
  <c r="AO56" i="2" s="1"/>
  <c r="Z56" i="2"/>
  <c r="W56" i="2"/>
  <c r="T56" i="2"/>
  <c r="N56" i="2"/>
  <c r="V55" i="2"/>
  <c r="S55" i="2"/>
  <c r="Y55" i="2" s="1"/>
  <c r="M55" i="2"/>
  <c r="J54" i="2" s="1"/>
  <c r="AO54" i="2"/>
  <c r="W54" i="2"/>
  <c r="T54" i="2"/>
  <c r="AL54" i="2" s="1"/>
  <c r="N54" i="2"/>
  <c r="V53" i="2"/>
  <c r="S53" i="2"/>
  <c r="AK53" i="2" s="1"/>
  <c r="AN53" i="2" s="1"/>
  <c r="M53" i="2"/>
  <c r="V52" i="2"/>
  <c r="S52" i="2"/>
  <c r="M52" i="2"/>
  <c r="V51" i="2"/>
  <c r="S51" i="2"/>
  <c r="M51" i="2"/>
  <c r="Y50" i="2"/>
  <c r="V50" i="2"/>
  <c r="S50" i="2"/>
  <c r="M50" i="2"/>
  <c r="AK50" i="2" s="1"/>
  <c r="AN50" i="2" s="1"/>
  <c r="W49" i="2"/>
  <c r="T49" i="2"/>
  <c r="N49" i="2"/>
  <c r="V48" i="2"/>
  <c r="S48" i="2"/>
  <c r="M48" i="2"/>
  <c r="V47" i="2"/>
  <c r="S47" i="2"/>
  <c r="AK47" i="2" s="1"/>
  <c r="AN47" i="2" s="1"/>
  <c r="M47" i="2"/>
  <c r="J44" i="2" s="1"/>
  <c r="AK46" i="2"/>
  <c r="AN46" i="2" s="1"/>
  <c r="Y46" i="2"/>
  <c r="V46" i="2"/>
  <c r="S46" i="2"/>
  <c r="M46" i="2"/>
  <c r="V45" i="2"/>
  <c r="S45" i="2"/>
  <c r="M45" i="2"/>
  <c r="W44" i="2"/>
  <c r="T44" i="2"/>
  <c r="Z44" i="2" s="1"/>
  <c r="P44" i="2"/>
  <c r="N44" i="2"/>
  <c r="AL44" i="2" s="1"/>
  <c r="AO44" i="2" s="1"/>
  <c r="V43" i="2"/>
  <c r="S43" i="2"/>
  <c r="M43" i="2"/>
  <c r="AK42" i="2"/>
  <c r="AN42" i="2" s="1"/>
  <c r="Y42" i="2"/>
  <c r="V42" i="2"/>
  <c r="S42" i="2"/>
  <c r="M42" i="2"/>
  <c r="AK41" i="2"/>
  <c r="AN41" i="2" s="1"/>
  <c r="Y41" i="2"/>
  <c r="V41" i="2"/>
  <c r="S41" i="2"/>
  <c r="M41" i="2"/>
  <c r="AK40" i="2"/>
  <c r="AN40" i="2" s="1"/>
  <c r="Y40" i="2"/>
  <c r="V40" i="2"/>
  <c r="S40" i="2"/>
  <c r="M40" i="2"/>
  <c r="W39" i="2"/>
  <c r="T39" i="2"/>
  <c r="T38" i="2" s="1"/>
  <c r="P39" i="2"/>
  <c r="V39" i="2" s="1"/>
  <c r="N39" i="2"/>
  <c r="N38" i="2" s="1"/>
  <c r="N37" i="2" s="1"/>
  <c r="AN36" i="2"/>
  <c r="AK36" i="2"/>
  <c r="W36" i="2"/>
  <c r="T36" i="2"/>
  <c r="R36" i="2"/>
  <c r="X36" i="2" s="1"/>
  <c r="N36" i="2"/>
  <c r="O36" i="2" s="1"/>
  <c r="L36" i="2"/>
  <c r="AN35" i="2"/>
  <c r="AK35" i="2"/>
  <c r="Z35" i="2"/>
  <c r="AA35" i="2" s="1"/>
  <c r="X35" i="2"/>
  <c r="W35" i="2"/>
  <c r="T35" i="2"/>
  <c r="R35" i="2"/>
  <c r="N35" i="2"/>
  <c r="L35" i="2"/>
  <c r="Y34" i="2"/>
  <c r="S34" i="2"/>
  <c r="AK34" i="2" s="1"/>
  <c r="AN34" i="2" s="1"/>
  <c r="M34" i="2"/>
  <c r="AN33" i="2"/>
  <c r="AK33" i="2"/>
  <c r="W33" i="2"/>
  <c r="T33" i="2"/>
  <c r="Z33" i="2" s="1"/>
  <c r="R33" i="2"/>
  <c r="X33" i="2" s="1"/>
  <c r="N33" i="2"/>
  <c r="O33" i="2" s="1"/>
  <c r="L33" i="2"/>
  <c r="Y32" i="2"/>
  <c r="T32" i="2"/>
  <c r="S32" i="2"/>
  <c r="AK32" i="2" s="1"/>
  <c r="AN32" i="2" s="1"/>
  <c r="O32" i="2"/>
  <c r="M32" i="2"/>
  <c r="AN31" i="2"/>
  <c r="AK31" i="2"/>
  <c r="Y31" i="2"/>
  <c r="V31" i="2"/>
  <c r="S31" i="2"/>
  <c r="M31" i="2"/>
  <c r="V30" i="2"/>
  <c r="S30" i="2"/>
  <c r="M30" i="2"/>
  <c r="V29" i="2"/>
  <c r="S29" i="2"/>
  <c r="AK29" i="2" s="1"/>
  <c r="AN29" i="2" s="1"/>
  <c r="M29" i="2"/>
  <c r="W28" i="2"/>
  <c r="T28" i="2"/>
  <c r="N28" i="2"/>
  <c r="AK27" i="2"/>
  <c r="AN27" i="2" s="1"/>
  <c r="V27" i="2"/>
  <c r="S27" i="2"/>
  <c r="Y27" i="2" s="1"/>
  <c r="M27" i="2"/>
  <c r="V26" i="2"/>
  <c r="S26" i="2"/>
  <c r="M26" i="2"/>
  <c r="Y25" i="2"/>
  <c r="V25" i="2"/>
  <c r="S25" i="2"/>
  <c r="M25" i="2"/>
  <c r="AK25" i="2" s="1"/>
  <c r="AN25" i="2" s="1"/>
  <c r="AK24" i="2"/>
  <c r="AN24" i="2" s="1"/>
  <c r="Y24" i="2"/>
  <c r="V24" i="2"/>
  <c r="S24" i="2"/>
  <c r="P23" i="2" s="1"/>
  <c r="R23" i="2" s="1"/>
  <c r="X23" i="2" s="1"/>
  <c r="M24" i="2"/>
  <c r="AO23" i="2"/>
  <c r="AL23" i="2"/>
  <c r="W23" i="2"/>
  <c r="T23" i="2"/>
  <c r="Z23" i="2" s="1"/>
  <c r="N23" i="2"/>
  <c r="J23" i="2"/>
  <c r="M23" i="2" s="1"/>
  <c r="AK20" i="2"/>
  <c r="AN20" i="2" s="1"/>
  <c r="W20" i="2"/>
  <c r="U20" i="2"/>
  <c r="T20" i="2"/>
  <c r="R20" i="2"/>
  <c r="X20" i="2" s="1"/>
  <c r="N20" i="2"/>
  <c r="O20" i="2" s="1"/>
  <c r="O19" i="2" s="1"/>
  <c r="L20" i="2"/>
  <c r="Y19" i="2"/>
  <c r="S19" i="2"/>
  <c r="N19" i="2"/>
  <c r="N12" i="2" s="1"/>
  <c r="M19" i="2"/>
  <c r="AN18" i="2"/>
  <c r="AK18" i="2"/>
  <c r="Y18" i="2"/>
  <c r="V18" i="2"/>
  <c r="S18" i="2"/>
  <c r="M18" i="2"/>
  <c r="AK17" i="2"/>
  <c r="AN17" i="2" s="1"/>
  <c r="Y17" i="2"/>
  <c r="V17" i="2"/>
  <c r="S17" i="2"/>
  <c r="M17" i="2"/>
  <c r="V16" i="2"/>
  <c r="S16" i="2"/>
  <c r="Y16" i="2" s="1"/>
  <c r="M16" i="2"/>
  <c r="V15" i="2"/>
  <c r="S15" i="2"/>
  <c r="M15" i="2"/>
  <c r="Z14" i="2"/>
  <c r="Z13" i="2" s="1"/>
  <c r="W14" i="2"/>
  <c r="T14" i="2"/>
  <c r="N14" i="2"/>
  <c r="AL14" i="2" s="1"/>
  <c r="AO14" i="2" s="1"/>
  <c r="T13" i="2"/>
  <c r="N13" i="2"/>
  <c r="AL13" i="2" s="1"/>
  <c r="AO13" i="2" s="1"/>
  <c r="AP108" i="1"/>
  <c r="AO108" i="1"/>
  <c r="AN108" i="1"/>
  <c r="AM108" i="1"/>
  <c r="AL108" i="1"/>
  <c r="AK108" i="1"/>
  <c r="AA108" i="1"/>
  <c r="Z108" i="1"/>
  <c r="Y108" i="1"/>
  <c r="U108" i="1"/>
  <c r="T108" i="1"/>
  <c r="S108" i="1"/>
  <c r="O108" i="1"/>
  <c r="N108" i="1"/>
  <c r="M108" i="1"/>
  <c r="AP107" i="1"/>
  <c r="AO107" i="1"/>
  <c r="AN107" i="1"/>
  <c r="AM107" i="1"/>
  <c r="AL107" i="1"/>
  <c r="AK107" i="1"/>
  <c r="AA107" i="1"/>
  <c r="Z107" i="1"/>
  <c r="X107" i="1"/>
  <c r="W107" i="1"/>
  <c r="U107" i="1"/>
  <c r="T107" i="1"/>
  <c r="R107" i="1"/>
  <c r="O107" i="1"/>
  <c r="N107" i="1"/>
  <c r="L107" i="1"/>
  <c r="AP106" i="1"/>
  <c r="AO106" i="1"/>
  <c r="AN106" i="1"/>
  <c r="AM106" i="1"/>
  <c r="AL106" i="1"/>
  <c r="AK106" i="1"/>
  <c r="AA106" i="1"/>
  <c r="Z106" i="1"/>
  <c r="X106" i="1"/>
  <c r="W106" i="1"/>
  <c r="U106" i="1"/>
  <c r="T106" i="1"/>
  <c r="R106" i="1"/>
  <c r="O106" i="1"/>
  <c r="N106" i="1"/>
  <c r="L106" i="1"/>
  <c r="AP105" i="1"/>
  <c r="AO105" i="1"/>
  <c r="AN105" i="1"/>
  <c r="AM105" i="1"/>
  <c r="AL105" i="1"/>
  <c r="AK105" i="1"/>
  <c r="AA105" i="1"/>
  <c r="Z105" i="1"/>
  <c r="X105" i="1"/>
  <c r="W105" i="1"/>
  <c r="U105" i="1"/>
  <c r="T105" i="1"/>
  <c r="R105" i="1"/>
  <c r="O105" i="1"/>
  <c r="N105" i="1"/>
  <c r="L105" i="1"/>
  <c r="AP104" i="1"/>
  <c r="AO104" i="1"/>
  <c r="AN104" i="1"/>
  <c r="AM104" i="1"/>
  <c r="AL104" i="1"/>
  <c r="AK104" i="1"/>
  <c r="AA104" i="1"/>
  <c r="Z104" i="1"/>
  <c r="X104" i="1"/>
  <c r="W104" i="1"/>
  <c r="U104" i="1"/>
  <c r="T104" i="1"/>
  <c r="R104" i="1"/>
  <c r="O104" i="1"/>
  <c r="N104" i="1"/>
  <c r="L104" i="1"/>
  <c r="AP103" i="1"/>
  <c r="AO103" i="1"/>
  <c r="AN103" i="1"/>
  <c r="AM103" i="1"/>
  <c r="AL103" i="1"/>
  <c r="AK103" i="1"/>
  <c r="AA103" i="1"/>
  <c r="Z103" i="1"/>
  <c r="X103" i="1"/>
  <c r="W103" i="1"/>
  <c r="U103" i="1"/>
  <c r="T103" i="1"/>
  <c r="R103" i="1"/>
  <c r="O103" i="1"/>
  <c r="N103" i="1"/>
  <c r="L103" i="1"/>
  <c r="AP102" i="1"/>
  <c r="AO102" i="1"/>
  <c r="AN102" i="1"/>
  <c r="AM102" i="1"/>
  <c r="AL102" i="1"/>
  <c r="AK102" i="1"/>
  <c r="AA102" i="1"/>
  <c r="Z102" i="1"/>
  <c r="X102" i="1"/>
  <c r="W102" i="1"/>
  <c r="U102" i="1"/>
  <c r="T102" i="1"/>
  <c r="R102" i="1"/>
  <c r="O102" i="1"/>
  <c r="N102" i="1"/>
  <c r="L102" i="1"/>
  <c r="AP101" i="1"/>
  <c r="AO101" i="1"/>
  <c r="AN101" i="1"/>
  <c r="AM101" i="1"/>
  <c r="AL101" i="1"/>
  <c r="AK101" i="1"/>
  <c r="AA101" i="1"/>
  <c r="Z101" i="1"/>
  <c r="Y101" i="1"/>
  <c r="U101" i="1"/>
  <c r="T101" i="1"/>
  <c r="S101" i="1"/>
  <c r="O101" i="1"/>
  <c r="N101" i="1"/>
  <c r="M101" i="1"/>
  <c r="AN100" i="1"/>
  <c r="AK100" i="1"/>
  <c r="Y100" i="1"/>
  <c r="V100" i="1"/>
  <c r="S100" i="1"/>
  <c r="M100" i="1"/>
  <c r="AN99" i="1"/>
  <c r="AK99" i="1"/>
  <c r="Y99" i="1"/>
  <c r="V99" i="1"/>
  <c r="S99" i="1"/>
  <c r="M99" i="1"/>
  <c r="AP98" i="1"/>
  <c r="AO98" i="1"/>
  <c r="AN98" i="1"/>
  <c r="AM98" i="1"/>
  <c r="AL98" i="1"/>
  <c r="AK98" i="1"/>
  <c r="AA98" i="1"/>
  <c r="Z98" i="1"/>
  <c r="Y98" i="1"/>
  <c r="X98" i="1"/>
  <c r="W98" i="1"/>
  <c r="V98" i="1"/>
  <c r="U98" i="1"/>
  <c r="T98" i="1"/>
  <c r="S98" i="1"/>
  <c r="R98" i="1"/>
  <c r="P98" i="1"/>
  <c r="O98" i="1"/>
  <c r="N98" i="1"/>
  <c r="M98" i="1"/>
  <c r="L98" i="1"/>
  <c r="J98" i="1"/>
  <c r="AN97" i="1"/>
  <c r="AK97" i="1"/>
  <c r="Y97" i="1"/>
  <c r="V97" i="1"/>
  <c r="S97" i="1"/>
  <c r="M97" i="1"/>
  <c r="AN96" i="1"/>
  <c r="AK96" i="1"/>
  <c r="Y96" i="1"/>
  <c r="V96" i="1"/>
  <c r="S96" i="1"/>
  <c r="M96" i="1"/>
  <c r="AP95" i="1"/>
  <c r="AO95" i="1"/>
  <c r="AN95" i="1"/>
  <c r="AM95" i="1"/>
  <c r="AL95" i="1"/>
  <c r="AK95" i="1"/>
  <c r="AA95" i="1"/>
  <c r="Z95" i="1"/>
  <c r="Y95" i="1"/>
  <c r="X95" i="1"/>
  <c r="W95" i="1"/>
  <c r="V95" i="1"/>
  <c r="U95" i="1"/>
  <c r="T95" i="1"/>
  <c r="S95" i="1"/>
  <c r="R95" i="1"/>
  <c r="P95" i="1"/>
  <c r="O95" i="1"/>
  <c r="N95" i="1"/>
  <c r="M95" i="1"/>
  <c r="L95" i="1"/>
  <c r="J95" i="1"/>
  <c r="AN94" i="1"/>
  <c r="AK94" i="1"/>
  <c r="Y94" i="1"/>
  <c r="V94" i="1"/>
  <c r="S94" i="1"/>
  <c r="M94" i="1"/>
  <c r="AN93" i="1"/>
  <c r="AK93" i="1"/>
  <c r="Y93" i="1"/>
  <c r="V93" i="1"/>
  <c r="S93" i="1"/>
  <c r="M93" i="1"/>
  <c r="AP92" i="1"/>
  <c r="AO92" i="1"/>
  <c r="AN92" i="1"/>
  <c r="AM92" i="1"/>
  <c r="AL92" i="1"/>
  <c r="AK92" i="1"/>
  <c r="AA92" i="1"/>
  <c r="Z92" i="1"/>
  <c r="Y92" i="1"/>
  <c r="X92" i="1"/>
  <c r="W92" i="1"/>
  <c r="V92" i="1"/>
  <c r="U92" i="1"/>
  <c r="T92" i="1"/>
  <c r="S92" i="1"/>
  <c r="R92" i="1"/>
  <c r="P92" i="1"/>
  <c r="O92" i="1"/>
  <c r="N92" i="1"/>
  <c r="M92" i="1"/>
  <c r="L92" i="1"/>
  <c r="J92" i="1"/>
  <c r="AN91" i="1"/>
  <c r="AK91" i="1"/>
  <c r="Y91" i="1"/>
  <c r="V91" i="1"/>
  <c r="S91" i="1"/>
  <c r="M91" i="1"/>
  <c r="AN90" i="1"/>
  <c r="AK90" i="1"/>
  <c r="Y90" i="1"/>
  <c r="V90" i="1"/>
  <c r="S90" i="1"/>
  <c r="M90" i="1"/>
  <c r="AN89" i="1"/>
  <c r="AK89" i="1"/>
  <c r="Y89" i="1"/>
  <c r="V89" i="1"/>
  <c r="S89" i="1"/>
  <c r="M89" i="1"/>
  <c r="AP88" i="1"/>
  <c r="AO88" i="1"/>
  <c r="AN88" i="1"/>
  <c r="AM88" i="1"/>
  <c r="AL88" i="1"/>
  <c r="AK88" i="1"/>
  <c r="AA88" i="1"/>
  <c r="Z88" i="1"/>
  <c r="Y88" i="1"/>
  <c r="X88" i="1"/>
  <c r="W88" i="1"/>
  <c r="V88" i="1"/>
  <c r="U88" i="1"/>
  <c r="T88" i="1"/>
  <c r="S88" i="1"/>
  <c r="R88" i="1"/>
  <c r="P88" i="1"/>
  <c r="O88" i="1"/>
  <c r="N88" i="1"/>
  <c r="M88" i="1"/>
  <c r="L88" i="1"/>
  <c r="J88" i="1"/>
  <c r="AN87" i="1"/>
  <c r="AK87" i="1"/>
  <c r="Y87" i="1"/>
  <c r="V87" i="1"/>
  <c r="S87" i="1"/>
  <c r="M87" i="1"/>
  <c r="AN86" i="1"/>
  <c r="AK86" i="1"/>
  <c r="Y86" i="1"/>
  <c r="V86" i="1"/>
  <c r="S86" i="1"/>
  <c r="M86" i="1"/>
  <c r="AP85" i="1"/>
  <c r="AO85" i="1"/>
  <c r="AN85" i="1"/>
  <c r="AM85" i="1"/>
  <c r="AL85" i="1"/>
  <c r="AK85" i="1"/>
  <c r="AA85" i="1"/>
  <c r="Z85" i="1"/>
  <c r="Y85" i="1"/>
  <c r="X85" i="1"/>
  <c r="W85" i="1"/>
  <c r="V85" i="1"/>
  <c r="U85" i="1"/>
  <c r="T85" i="1"/>
  <c r="S85" i="1"/>
  <c r="R85" i="1"/>
  <c r="P85" i="1"/>
  <c r="O85" i="1"/>
  <c r="N85" i="1"/>
  <c r="M85" i="1"/>
  <c r="L85" i="1"/>
  <c r="J85" i="1"/>
  <c r="AN84" i="1"/>
  <c r="AK84" i="1"/>
  <c r="Y84" i="1"/>
  <c r="V84" i="1"/>
  <c r="S84" i="1"/>
  <c r="M84" i="1"/>
  <c r="AN83" i="1"/>
  <c r="AK83" i="1"/>
  <c r="Y83" i="1"/>
  <c r="V83" i="1"/>
  <c r="S83" i="1"/>
  <c r="M83" i="1"/>
  <c r="AP82" i="1"/>
  <c r="AO82" i="1"/>
  <c r="AN82" i="1"/>
  <c r="AM82" i="1"/>
  <c r="AL82" i="1"/>
  <c r="AK82" i="1"/>
  <c r="AA82" i="1"/>
  <c r="Z82" i="1"/>
  <c r="Y82" i="1"/>
  <c r="X82" i="1"/>
  <c r="W82" i="1"/>
  <c r="V82" i="1"/>
  <c r="U82" i="1"/>
  <c r="T82" i="1"/>
  <c r="S82" i="1"/>
  <c r="R82" i="1"/>
  <c r="P82" i="1"/>
  <c r="O82" i="1"/>
  <c r="N82" i="1"/>
  <c r="M82" i="1"/>
  <c r="L82" i="1"/>
  <c r="J82" i="1"/>
  <c r="AN81" i="1"/>
  <c r="AK81" i="1"/>
  <c r="Y81" i="1"/>
  <c r="V81" i="1"/>
  <c r="S81" i="1"/>
  <c r="M81" i="1"/>
  <c r="AN80" i="1"/>
  <c r="AK80" i="1"/>
  <c r="Y80" i="1"/>
  <c r="V80" i="1"/>
  <c r="S80" i="1"/>
  <c r="M80" i="1"/>
  <c r="AP79" i="1"/>
  <c r="AO79" i="1"/>
  <c r="AN79" i="1"/>
  <c r="AM79" i="1"/>
  <c r="AL79" i="1"/>
  <c r="AK79" i="1"/>
  <c r="AA79" i="1"/>
  <c r="Z79" i="1"/>
  <c r="Y79" i="1"/>
  <c r="X79" i="1"/>
  <c r="W79" i="1"/>
  <c r="V79" i="1"/>
  <c r="U79" i="1"/>
  <c r="T79" i="1"/>
  <c r="S79" i="1"/>
  <c r="R79" i="1"/>
  <c r="P79" i="1"/>
  <c r="O79" i="1"/>
  <c r="N79" i="1"/>
  <c r="M79" i="1"/>
  <c r="L79" i="1"/>
  <c r="J79" i="1"/>
  <c r="AN78" i="1"/>
  <c r="AK78" i="1"/>
  <c r="Y78" i="1"/>
  <c r="V78" i="1"/>
  <c r="S78" i="1"/>
  <c r="M78" i="1"/>
  <c r="AN77" i="1"/>
  <c r="AK77" i="1"/>
  <c r="Y77" i="1"/>
  <c r="V77" i="1"/>
  <c r="S77" i="1"/>
  <c r="M77" i="1"/>
  <c r="AP76" i="1"/>
  <c r="AO76" i="1"/>
  <c r="AN76" i="1"/>
  <c r="AM76" i="1"/>
  <c r="AL76" i="1"/>
  <c r="AK76" i="1"/>
  <c r="AA76" i="1"/>
  <c r="Z76" i="1"/>
  <c r="Y76" i="1"/>
  <c r="X76" i="1"/>
  <c r="W76" i="1"/>
  <c r="V76" i="1"/>
  <c r="U76" i="1"/>
  <c r="T76" i="1"/>
  <c r="S76" i="1"/>
  <c r="R76" i="1"/>
  <c r="P76" i="1"/>
  <c r="O76" i="1"/>
  <c r="N76" i="1"/>
  <c r="M76" i="1"/>
  <c r="L76" i="1"/>
  <c r="J76" i="1"/>
  <c r="AN75" i="1"/>
  <c r="AK75" i="1"/>
  <c r="Y75" i="1"/>
  <c r="V75" i="1"/>
  <c r="S75" i="1"/>
  <c r="M75" i="1"/>
  <c r="AN74" i="1"/>
  <c r="AK74" i="1"/>
  <c r="Y74" i="1"/>
  <c r="V74" i="1"/>
  <c r="S74" i="1"/>
  <c r="M74" i="1"/>
  <c r="AN73" i="1"/>
  <c r="AK73" i="1"/>
  <c r="Y73" i="1"/>
  <c r="V73" i="1"/>
  <c r="S73" i="1"/>
  <c r="M73" i="1"/>
  <c r="AN72" i="1"/>
  <c r="AK72" i="1"/>
  <c r="Y72" i="1"/>
  <c r="V72" i="1"/>
  <c r="S72" i="1"/>
  <c r="M72" i="1"/>
  <c r="AP71" i="1"/>
  <c r="AO71" i="1"/>
  <c r="AN71" i="1"/>
  <c r="AM71" i="1"/>
  <c r="AL71" i="1"/>
  <c r="AK71" i="1"/>
  <c r="AA71" i="1"/>
  <c r="Z71" i="1"/>
  <c r="Y71" i="1"/>
  <c r="X71" i="1"/>
  <c r="W71" i="1"/>
  <c r="V71" i="1"/>
  <c r="U71" i="1"/>
  <c r="T71" i="1"/>
  <c r="S71" i="1"/>
  <c r="R71" i="1"/>
  <c r="P71" i="1"/>
  <c r="O71" i="1"/>
  <c r="N71" i="1"/>
  <c r="M71" i="1"/>
  <c r="L71" i="1"/>
  <c r="J71" i="1"/>
  <c r="AN70" i="1"/>
  <c r="AK70" i="1"/>
  <c r="Y70" i="1"/>
  <c r="V70" i="1"/>
  <c r="S70" i="1"/>
  <c r="M70" i="1"/>
  <c r="AN69" i="1"/>
  <c r="AK69" i="1"/>
  <c r="Y69" i="1"/>
  <c r="V69" i="1"/>
  <c r="S69" i="1"/>
  <c r="M69" i="1"/>
  <c r="AN68" i="1"/>
  <c r="AK68" i="1"/>
  <c r="Y68" i="1"/>
  <c r="V68" i="1"/>
  <c r="S68" i="1"/>
  <c r="M68" i="1"/>
  <c r="AN67" i="1"/>
  <c r="AK67" i="1"/>
  <c r="Y67" i="1"/>
  <c r="V67" i="1"/>
  <c r="S67" i="1"/>
  <c r="M67" i="1"/>
  <c r="AP66" i="1"/>
  <c r="AO66" i="1"/>
  <c r="AN66" i="1"/>
  <c r="AM66" i="1"/>
  <c r="AL66" i="1"/>
  <c r="AK66" i="1"/>
  <c r="AA66" i="1"/>
  <c r="Z66" i="1"/>
  <c r="Y66" i="1"/>
  <c r="X66" i="1"/>
  <c r="W66" i="1"/>
  <c r="V66" i="1"/>
  <c r="U66" i="1"/>
  <c r="T66" i="1"/>
  <c r="S66" i="1"/>
  <c r="R66" i="1"/>
  <c r="P66" i="1"/>
  <c r="O66" i="1"/>
  <c r="N66" i="1"/>
  <c r="M66" i="1"/>
  <c r="L66" i="1"/>
  <c r="J66" i="1"/>
  <c r="AN65" i="1"/>
  <c r="AK65" i="1"/>
  <c r="Y65" i="1"/>
  <c r="V65" i="1"/>
  <c r="S65" i="1"/>
  <c r="M65" i="1"/>
  <c r="AN64" i="1"/>
  <c r="AK64" i="1"/>
  <c r="Y64" i="1"/>
  <c r="V64" i="1"/>
  <c r="S64" i="1"/>
  <c r="M64" i="1"/>
  <c r="AN63" i="1"/>
  <c r="AK63" i="1"/>
  <c r="Y63" i="1"/>
  <c r="V63" i="1"/>
  <c r="S63" i="1"/>
  <c r="M63" i="1"/>
  <c r="AN62" i="1"/>
  <c r="AK62" i="1"/>
  <c r="Y62" i="1"/>
  <c r="V62" i="1"/>
  <c r="S62" i="1"/>
  <c r="M62" i="1"/>
  <c r="AP61" i="1"/>
  <c r="AO61" i="1"/>
  <c r="AN61" i="1"/>
  <c r="AM61" i="1"/>
  <c r="AL61" i="1"/>
  <c r="AK61" i="1"/>
  <c r="AA61" i="1"/>
  <c r="Z61" i="1"/>
  <c r="Y61" i="1"/>
  <c r="X61" i="1"/>
  <c r="W61" i="1"/>
  <c r="V61" i="1"/>
  <c r="U61" i="1"/>
  <c r="T61" i="1"/>
  <c r="S61" i="1"/>
  <c r="R61" i="1"/>
  <c r="P61" i="1"/>
  <c r="O61" i="1"/>
  <c r="N61" i="1"/>
  <c r="M61" i="1"/>
  <c r="L61" i="1"/>
  <c r="J61" i="1"/>
  <c r="AP60" i="1"/>
  <c r="AO60" i="1"/>
  <c r="AN60" i="1"/>
  <c r="AM60" i="1"/>
  <c r="AL60" i="1"/>
  <c r="AK60" i="1"/>
  <c r="AA60" i="1"/>
  <c r="Z60" i="1"/>
  <c r="Y60" i="1"/>
  <c r="U60" i="1"/>
  <c r="T60" i="1"/>
  <c r="S60" i="1"/>
  <c r="O60" i="1"/>
  <c r="N60" i="1"/>
  <c r="M60" i="1"/>
  <c r="AN59" i="1"/>
  <c r="AK59" i="1"/>
  <c r="Y59" i="1"/>
  <c r="V59" i="1"/>
  <c r="S59" i="1"/>
  <c r="M59" i="1"/>
  <c r="AN58" i="1"/>
  <c r="AK58" i="1"/>
  <c r="Y58" i="1"/>
  <c r="V58" i="1"/>
  <c r="S58" i="1"/>
  <c r="M58" i="1"/>
  <c r="AN57" i="1"/>
  <c r="AK57" i="1"/>
  <c r="Y57" i="1"/>
  <c r="V57" i="1"/>
  <c r="S57" i="1"/>
  <c r="M57" i="1"/>
  <c r="AP56" i="1"/>
  <c r="AO56" i="1"/>
  <c r="AN56" i="1"/>
  <c r="AM56" i="1"/>
  <c r="AL56" i="1"/>
  <c r="AK56" i="1"/>
  <c r="AA56" i="1"/>
  <c r="Z56" i="1"/>
  <c r="Y56" i="1"/>
  <c r="X56" i="1"/>
  <c r="W56" i="1"/>
  <c r="V56" i="1"/>
  <c r="U56" i="1"/>
  <c r="T56" i="1"/>
  <c r="S56" i="1"/>
  <c r="R56" i="1"/>
  <c r="P56" i="1"/>
  <c r="O56" i="1"/>
  <c r="N56" i="1"/>
  <c r="M56" i="1"/>
  <c r="L56" i="1"/>
  <c r="J56" i="1"/>
  <c r="AN55" i="1"/>
  <c r="AK55" i="1"/>
  <c r="Y55" i="1"/>
  <c r="V55" i="1"/>
  <c r="S55" i="1"/>
  <c r="M55" i="1"/>
  <c r="AP54" i="1"/>
  <c r="AO54" i="1"/>
  <c r="AN54" i="1"/>
  <c r="AM54" i="1"/>
  <c r="AL54" i="1"/>
  <c r="AK54" i="1"/>
  <c r="AA54" i="1"/>
  <c r="Z54" i="1"/>
  <c r="Y54" i="1"/>
  <c r="X54" i="1"/>
  <c r="W54" i="1"/>
  <c r="V54" i="1"/>
  <c r="U54" i="1"/>
  <c r="T54" i="1"/>
  <c r="S54" i="1"/>
  <c r="R54" i="1"/>
  <c r="P54" i="1"/>
  <c r="O54" i="1"/>
  <c r="N54" i="1"/>
  <c r="M54" i="1"/>
  <c r="L54" i="1"/>
  <c r="J54" i="1"/>
  <c r="AN53" i="1"/>
  <c r="AK53" i="1"/>
  <c r="Y53" i="1"/>
  <c r="V53" i="1"/>
  <c r="S53" i="1"/>
  <c r="M53" i="1"/>
  <c r="AN52" i="1"/>
  <c r="AK52" i="1"/>
  <c r="Y52" i="1"/>
  <c r="V52" i="1"/>
  <c r="S52" i="1"/>
  <c r="M52" i="1"/>
  <c r="AN51" i="1"/>
  <c r="AK51" i="1"/>
  <c r="Y51" i="1"/>
  <c r="V51" i="1"/>
  <c r="S51" i="1"/>
  <c r="M51" i="1"/>
  <c r="AN50" i="1"/>
  <c r="AK50" i="1"/>
  <c r="Y50" i="1"/>
  <c r="V50" i="1"/>
  <c r="S50" i="1"/>
  <c r="M50" i="1"/>
  <c r="AP49" i="1"/>
  <c r="AO49" i="1"/>
  <c r="AN49" i="1"/>
  <c r="AM49" i="1"/>
  <c r="AL49" i="1"/>
  <c r="AK49" i="1"/>
  <c r="AA49" i="1"/>
  <c r="Z49" i="1"/>
  <c r="Y49" i="1"/>
  <c r="X49" i="1"/>
  <c r="W49" i="1"/>
  <c r="V49" i="1"/>
  <c r="U49" i="1"/>
  <c r="T49" i="1"/>
  <c r="S49" i="1"/>
  <c r="R49" i="1"/>
  <c r="P49" i="1"/>
  <c r="O49" i="1"/>
  <c r="N49" i="1"/>
  <c r="M49" i="1"/>
  <c r="L49" i="1"/>
  <c r="J49" i="1"/>
  <c r="AN48" i="1"/>
  <c r="AK48" i="1"/>
  <c r="Y48" i="1"/>
  <c r="V48" i="1"/>
  <c r="S48" i="1"/>
  <c r="M48" i="1"/>
  <c r="AN47" i="1"/>
  <c r="AK47" i="1"/>
  <c r="Y47" i="1"/>
  <c r="V47" i="1"/>
  <c r="S47" i="1"/>
  <c r="M47" i="1"/>
  <c r="AN46" i="1"/>
  <c r="AK46" i="1"/>
  <c r="Y46" i="1"/>
  <c r="V46" i="1"/>
  <c r="S46" i="1"/>
  <c r="M46" i="1"/>
  <c r="AN45" i="1"/>
  <c r="AK45" i="1"/>
  <c r="Y45" i="1"/>
  <c r="V45" i="1"/>
  <c r="S45" i="1"/>
  <c r="M45" i="1"/>
  <c r="AP44" i="1"/>
  <c r="AO44" i="1"/>
  <c r="AN44" i="1"/>
  <c r="AM44" i="1"/>
  <c r="AL44" i="1"/>
  <c r="AK44" i="1"/>
  <c r="AA44" i="1"/>
  <c r="Z44" i="1"/>
  <c r="Y44" i="1"/>
  <c r="X44" i="1"/>
  <c r="W44" i="1"/>
  <c r="V44" i="1"/>
  <c r="U44" i="1"/>
  <c r="T44" i="1"/>
  <c r="S44" i="1"/>
  <c r="R44" i="1"/>
  <c r="P44" i="1"/>
  <c r="O44" i="1"/>
  <c r="N44" i="1"/>
  <c r="M44" i="1"/>
  <c r="L44" i="1"/>
  <c r="J44" i="1"/>
  <c r="AN43" i="1"/>
  <c r="AK43" i="1"/>
  <c r="Y43" i="1"/>
  <c r="V43" i="1"/>
  <c r="S43" i="1"/>
  <c r="M43" i="1"/>
  <c r="AN42" i="1"/>
  <c r="AK42" i="1"/>
  <c r="Y42" i="1"/>
  <c r="V42" i="1"/>
  <c r="S42" i="1"/>
  <c r="M42" i="1"/>
  <c r="AN41" i="1"/>
  <c r="AK41" i="1"/>
  <c r="Y41" i="1"/>
  <c r="V41" i="1"/>
  <c r="S41" i="1"/>
  <c r="M41" i="1"/>
  <c r="AN40" i="1"/>
  <c r="AK40" i="1"/>
  <c r="Y40" i="1"/>
  <c r="V40" i="1"/>
  <c r="S40" i="1"/>
  <c r="M40" i="1"/>
  <c r="AP39" i="1"/>
  <c r="AO39" i="1"/>
  <c r="AN39" i="1"/>
  <c r="AM39" i="1"/>
  <c r="AL39" i="1"/>
  <c r="AK39" i="1"/>
  <c r="AA39" i="1"/>
  <c r="Z39" i="1"/>
  <c r="Y39" i="1"/>
  <c r="X39" i="1"/>
  <c r="W39" i="1"/>
  <c r="V39" i="1"/>
  <c r="U39" i="1"/>
  <c r="T39" i="1"/>
  <c r="S39" i="1"/>
  <c r="R39" i="1"/>
  <c r="P39" i="1"/>
  <c r="O39" i="1"/>
  <c r="N39" i="1"/>
  <c r="M39" i="1"/>
  <c r="L39" i="1"/>
  <c r="J39" i="1"/>
  <c r="AP38" i="1"/>
  <c r="AO38" i="1"/>
  <c r="AN38" i="1"/>
  <c r="AM38" i="1"/>
  <c r="AL38" i="1"/>
  <c r="AK38" i="1"/>
  <c r="AA38" i="1"/>
  <c r="Z38" i="1"/>
  <c r="Y38" i="1"/>
  <c r="U38" i="1"/>
  <c r="T38" i="1"/>
  <c r="S38" i="1"/>
  <c r="O38" i="1"/>
  <c r="N38" i="1"/>
  <c r="M38" i="1"/>
  <c r="AP37" i="1"/>
  <c r="AO37" i="1"/>
  <c r="AN37" i="1"/>
  <c r="AM37" i="1"/>
  <c r="AL37" i="1"/>
  <c r="AK37" i="1"/>
  <c r="AA37" i="1"/>
  <c r="Z37" i="1"/>
  <c r="Y37" i="1"/>
  <c r="U37" i="1"/>
  <c r="T37" i="1"/>
  <c r="S37" i="1"/>
  <c r="O37" i="1"/>
  <c r="N37" i="1"/>
  <c r="M37" i="1"/>
  <c r="AP36" i="1"/>
  <c r="AO36" i="1"/>
  <c r="AN36" i="1"/>
  <c r="AM36" i="1"/>
  <c r="AL36" i="1"/>
  <c r="AK36" i="1"/>
  <c r="AA36" i="1"/>
  <c r="Z36" i="1"/>
  <c r="X36" i="1"/>
  <c r="W36" i="1"/>
  <c r="U36" i="1"/>
  <c r="T36" i="1"/>
  <c r="R36" i="1"/>
  <c r="O36" i="1"/>
  <c r="N36" i="1"/>
  <c r="L36" i="1"/>
  <c r="AP35" i="1"/>
  <c r="AO35" i="1"/>
  <c r="AN35" i="1"/>
  <c r="AM35" i="1"/>
  <c r="AL35" i="1"/>
  <c r="AK35" i="1"/>
  <c r="AA35" i="1"/>
  <c r="Z35" i="1"/>
  <c r="X35" i="1"/>
  <c r="W35" i="1"/>
  <c r="U35" i="1"/>
  <c r="T35" i="1"/>
  <c r="R35" i="1"/>
  <c r="O35" i="1"/>
  <c r="N35" i="1"/>
  <c r="L35" i="1"/>
  <c r="AP34" i="1"/>
  <c r="AO34" i="1"/>
  <c r="AN34" i="1"/>
  <c r="AM34" i="1"/>
  <c r="AL34" i="1"/>
  <c r="AK34" i="1"/>
  <c r="AA34" i="1"/>
  <c r="Z34" i="1"/>
  <c r="Y34" i="1"/>
  <c r="U34" i="1"/>
  <c r="T34" i="1"/>
  <c r="S34" i="1"/>
  <c r="O34" i="1"/>
  <c r="N34" i="1"/>
  <c r="M34" i="1"/>
  <c r="AP33" i="1"/>
  <c r="AO33" i="1"/>
  <c r="AN33" i="1"/>
  <c r="AM33" i="1"/>
  <c r="AL33" i="1"/>
  <c r="AK33" i="1"/>
  <c r="AA33" i="1"/>
  <c r="Z33" i="1"/>
  <c r="X33" i="1"/>
  <c r="W33" i="1"/>
  <c r="U33" i="1"/>
  <c r="T33" i="1"/>
  <c r="R33" i="1"/>
  <c r="O33" i="1"/>
  <c r="N33" i="1"/>
  <c r="L33" i="1"/>
  <c r="AP32" i="1"/>
  <c r="AO32" i="1"/>
  <c r="AN32" i="1"/>
  <c r="AM32" i="1"/>
  <c r="AL32" i="1"/>
  <c r="AK32" i="1"/>
  <c r="AA32" i="1"/>
  <c r="Z32" i="1"/>
  <c r="Y32" i="1"/>
  <c r="U32" i="1"/>
  <c r="T32" i="1"/>
  <c r="S32" i="1"/>
  <c r="O32" i="1"/>
  <c r="N32" i="1"/>
  <c r="M32" i="1"/>
  <c r="AN31" i="1"/>
  <c r="AK31" i="1"/>
  <c r="Y31" i="1"/>
  <c r="V31" i="1"/>
  <c r="S31" i="1"/>
  <c r="M31" i="1"/>
  <c r="AN30" i="1"/>
  <c r="AK30" i="1"/>
  <c r="Y30" i="1"/>
  <c r="V30" i="1"/>
  <c r="S30" i="1"/>
  <c r="M30" i="1"/>
  <c r="AN29" i="1"/>
  <c r="AK29" i="1"/>
  <c r="Y29" i="1"/>
  <c r="V29" i="1"/>
  <c r="S29" i="1"/>
  <c r="M29" i="1"/>
  <c r="AP28" i="1"/>
  <c r="AO28" i="1"/>
  <c r="AN28" i="1"/>
  <c r="AM28" i="1"/>
  <c r="AL28" i="1"/>
  <c r="AK28" i="1"/>
  <c r="AA28" i="1"/>
  <c r="Z28" i="1"/>
  <c r="Y28" i="1"/>
  <c r="X28" i="1"/>
  <c r="W28" i="1"/>
  <c r="V28" i="1"/>
  <c r="U28" i="1"/>
  <c r="T28" i="1"/>
  <c r="S28" i="1"/>
  <c r="R28" i="1"/>
  <c r="P28" i="1"/>
  <c r="O28" i="1"/>
  <c r="N28" i="1"/>
  <c r="M28" i="1"/>
  <c r="L28" i="1"/>
  <c r="J28" i="1"/>
  <c r="AN27" i="1"/>
  <c r="AK27" i="1"/>
  <c r="Y27" i="1"/>
  <c r="V27" i="1"/>
  <c r="S27" i="1"/>
  <c r="M27" i="1"/>
  <c r="AN26" i="1"/>
  <c r="AK26" i="1"/>
  <c r="Y26" i="1"/>
  <c r="V26" i="1"/>
  <c r="S26" i="1"/>
  <c r="M26" i="1"/>
  <c r="AN25" i="1"/>
  <c r="AK25" i="1"/>
  <c r="Y25" i="1"/>
  <c r="V25" i="1"/>
  <c r="S25" i="1"/>
  <c r="M25" i="1"/>
  <c r="AN24" i="1"/>
  <c r="AK24" i="1"/>
  <c r="Y24" i="1"/>
  <c r="V24" i="1"/>
  <c r="S24" i="1"/>
  <c r="M24" i="1"/>
  <c r="AP23" i="1"/>
  <c r="AO23" i="1"/>
  <c r="AN23" i="1"/>
  <c r="AM23" i="1"/>
  <c r="AL23" i="1"/>
  <c r="AK23" i="1"/>
  <c r="AA23" i="1"/>
  <c r="Z23" i="1"/>
  <c r="Y23" i="1"/>
  <c r="X23" i="1"/>
  <c r="W23" i="1"/>
  <c r="V23" i="1"/>
  <c r="U23" i="1"/>
  <c r="T23" i="1"/>
  <c r="S23" i="1"/>
  <c r="R23" i="1"/>
  <c r="P23" i="1"/>
  <c r="O23" i="1"/>
  <c r="N23" i="1"/>
  <c r="M23" i="1"/>
  <c r="L23" i="1"/>
  <c r="J23" i="1"/>
  <c r="AP22" i="1"/>
  <c r="AO22" i="1"/>
  <c r="AN22" i="1"/>
  <c r="AM22" i="1"/>
  <c r="AL22" i="1"/>
  <c r="AK22" i="1"/>
  <c r="AA22" i="1"/>
  <c r="Z22" i="1"/>
  <c r="Y22" i="1"/>
  <c r="U22" i="1"/>
  <c r="T22" i="1"/>
  <c r="S22" i="1"/>
  <c r="O22" i="1"/>
  <c r="N22" i="1"/>
  <c r="M22" i="1"/>
  <c r="AP21" i="1"/>
  <c r="AO21" i="1"/>
  <c r="AN21" i="1"/>
  <c r="AM21" i="1"/>
  <c r="AL21" i="1"/>
  <c r="AK21" i="1"/>
  <c r="AA21" i="1"/>
  <c r="Z21" i="1"/>
  <c r="Y21" i="1"/>
  <c r="U21" i="1"/>
  <c r="T21" i="1"/>
  <c r="S21" i="1"/>
  <c r="O21" i="1"/>
  <c r="N21" i="1"/>
  <c r="M21" i="1"/>
  <c r="AP20" i="1"/>
  <c r="AO20" i="1"/>
  <c r="AN20" i="1"/>
  <c r="AM20" i="1"/>
  <c r="AL20" i="1"/>
  <c r="AK20" i="1"/>
  <c r="AA20" i="1"/>
  <c r="Z20" i="1"/>
  <c r="X20" i="1"/>
  <c r="W20" i="1"/>
  <c r="U20" i="1"/>
  <c r="T20" i="1"/>
  <c r="R20" i="1"/>
  <c r="O20" i="1"/>
  <c r="N20" i="1"/>
  <c r="L20" i="1"/>
  <c r="AP19" i="1"/>
  <c r="AO19" i="1"/>
  <c r="AN19" i="1"/>
  <c r="AM19" i="1"/>
  <c r="AL19" i="1"/>
  <c r="AK19" i="1"/>
  <c r="AA19" i="1"/>
  <c r="Z19" i="1"/>
  <c r="Y19" i="1"/>
  <c r="U19" i="1"/>
  <c r="T19" i="1"/>
  <c r="S19" i="1"/>
  <c r="O19" i="1"/>
  <c r="N19" i="1"/>
  <c r="M19" i="1"/>
  <c r="AN18" i="1"/>
  <c r="AK18" i="1"/>
  <c r="Y18" i="1"/>
  <c r="V18" i="1"/>
  <c r="S18" i="1"/>
  <c r="M18" i="1"/>
  <c r="AN17" i="1"/>
  <c r="AK17" i="1"/>
  <c r="Y17" i="1"/>
  <c r="V17" i="1"/>
  <c r="S17" i="1"/>
  <c r="M17" i="1"/>
  <c r="AN16" i="1"/>
  <c r="AK16" i="1"/>
  <c r="Y16" i="1"/>
  <c r="V16" i="1"/>
  <c r="S16" i="1"/>
  <c r="M16" i="1"/>
  <c r="AN15" i="1"/>
  <c r="AK15" i="1"/>
  <c r="Y15" i="1"/>
  <c r="V15" i="1"/>
  <c r="S15" i="1"/>
  <c r="M15" i="1"/>
  <c r="AP14" i="1"/>
  <c r="AO14" i="1"/>
  <c r="AN14" i="1"/>
  <c r="AM14" i="1"/>
  <c r="AL14" i="1"/>
  <c r="AK14" i="1"/>
  <c r="AA14" i="1"/>
  <c r="Z14" i="1"/>
  <c r="Y14" i="1"/>
  <c r="X14" i="1"/>
  <c r="W14" i="1"/>
  <c r="V14" i="1"/>
  <c r="U14" i="1"/>
  <c r="T14" i="1"/>
  <c r="S14" i="1"/>
  <c r="R14" i="1"/>
  <c r="P14" i="1"/>
  <c r="O14" i="1"/>
  <c r="N14" i="1"/>
  <c r="M14" i="1"/>
  <c r="L14" i="1"/>
  <c r="J14" i="1"/>
  <c r="AP13" i="1"/>
  <c r="AO13" i="1"/>
  <c r="AN13" i="1"/>
  <c r="AM13" i="1"/>
  <c r="AL13" i="1"/>
  <c r="AK13" i="1"/>
  <c r="AA13" i="1"/>
  <c r="Z13" i="1"/>
  <c r="Y13" i="1"/>
  <c r="U13" i="1"/>
  <c r="T13" i="1"/>
  <c r="S13" i="1"/>
  <c r="O13" i="1"/>
  <c r="N13" i="1"/>
  <c r="M13" i="1"/>
  <c r="AP12" i="1"/>
  <c r="AO12" i="1"/>
  <c r="AN12" i="1"/>
  <c r="AM12" i="1"/>
  <c r="AL12" i="1"/>
  <c r="AK12" i="1"/>
  <c r="AA12" i="1"/>
  <c r="Z12" i="1"/>
  <c r="Y12" i="1"/>
  <c r="U12" i="1"/>
  <c r="T12" i="1"/>
  <c r="S12" i="1"/>
  <c r="O12" i="1"/>
  <c r="N12" i="1"/>
  <c r="M12" i="1"/>
  <c r="AP11" i="1"/>
  <c r="AO11" i="1"/>
  <c r="AN11" i="1"/>
  <c r="AM11" i="1"/>
  <c r="AL11" i="1"/>
  <c r="AK11" i="1"/>
  <c r="AA11" i="1"/>
  <c r="Z11" i="1"/>
  <c r="Y11" i="1"/>
  <c r="U11" i="1"/>
  <c r="T11" i="1"/>
  <c r="S11" i="1"/>
  <c r="O11" i="1"/>
  <c r="N11" i="1"/>
  <c r="M11" i="1"/>
  <c r="AP10" i="1"/>
  <c r="AO10" i="1"/>
  <c r="AN10" i="1"/>
  <c r="AM10" i="1"/>
  <c r="AL10" i="1"/>
  <c r="AK10" i="1"/>
  <c r="AA10" i="1"/>
  <c r="Z10" i="1"/>
  <c r="Y10" i="1"/>
  <c r="U10" i="1"/>
  <c r="T10" i="1"/>
  <c r="S10" i="1"/>
  <c r="O10" i="1"/>
  <c r="N10" i="1"/>
  <c r="M10" i="1"/>
  <c r="AP9" i="1"/>
  <c r="AO9" i="1"/>
  <c r="AN9" i="1"/>
  <c r="AM9" i="1"/>
  <c r="AL9" i="1"/>
  <c r="AK9" i="1"/>
  <c r="AA9" i="1"/>
  <c r="Z9" i="1"/>
  <c r="Y9" i="1"/>
  <c r="U9" i="1"/>
  <c r="T9" i="1"/>
  <c r="S9" i="1"/>
  <c r="O9" i="1"/>
  <c r="N9" i="1"/>
  <c r="M9" i="1"/>
  <c r="AP8" i="1"/>
  <c r="AO8" i="1"/>
  <c r="AN8" i="1"/>
  <c r="AM8" i="1"/>
  <c r="AL8" i="1"/>
  <c r="AK8" i="1"/>
  <c r="AA8" i="1"/>
  <c r="Z8" i="1"/>
  <c r="Y8" i="1"/>
  <c r="U8" i="1"/>
  <c r="T8" i="1"/>
  <c r="S8" i="1"/>
  <c r="O8" i="1"/>
  <c r="N8" i="1"/>
  <c r="M8" i="1"/>
  <c r="V66" i="2" l="1"/>
  <c r="R66" i="2"/>
  <c r="X66" i="2" s="1"/>
  <c r="S66" i="2"/>
  <c r="L79" i="2"/>
  <c r="M79" i="2"/>
  <c r="O79" i="2" s="1"/>
  <c r="M54" i="2"/>
  <c r="O54" i="2" s="1"/>
  <c r="L54" i="2"/>
  <c r="M71" i="2"/>
  <c r="O71" i="2" s="1"/>
  <c r="L71" i="2"/>
  <c r="V79" i="2"/>
  <c r="S79" i="2"/>
  <c r="R79" i="2"/>
  <c r="X79" i="2" s="1"/>
  <c r="L44" i="2"/>
  <c r="M44" i="2"/>
  <c r="O44" i="2" s="1"/>
  <c r="V95" i="2"/>
  <c r="R95" i="2"/>
  <c r="X95" i="2" s="1"/>
  <c r="S95" i="2"/>
  <c r="AL38" i="2"/>
  <c r="AO38" i="2" s="1"/>
  <c r="M88" i="2"/>
  <c r="O88" i="2" s="1"/>
  <c r="L88" i="2"/>
  <c r="M95" i="2"/>
  <c r="O95" i="2" s="1"/>
  <c r="L95" i="2"/>
  <c r="Y29" i="2"/>
  <c r="AK69" i="2"/>
  <c r="AN69" i="2" s="1"/>
  <c r="Y69" i="2"/>
  <c r="O23" i="2"/>
  <c r="V44" i="2"/>
  <c r="S44" i="2"/>
  <c r="R44" i="2"/>
  <c r="X44" i="2" s="1"/>
  <c r="Y96" i="2"/>
  <c r="N22" i="2"/>
  <c r="P28" i="2"/>
  <c r="AL28" i="2"/>
  <c r="AO28" i="2" s="1"/>
  <c r="T22" i="2"/>
  <c r="Z28" i="2"/>
  <c r="Z22" i="2" s="1"/>
  <c r="Z21" i="2" s="1"/>
  <c r="Z39" i="2"/>
  <c r="AK55" i="2"/>
  <c r="AN55" i="2" s="1"/>
  <c r="Y67" i="2"/>
  <c r="P71" i="2"/>
  <c r="AL66" i="2"/>
  <c r="AO66" i="2" s="1"/>
  <c r="T60" i="2"/>
  <c r="AL60" i="2" s="1"/>
  <c r="AO60" i="2" s="1"/>
  <c r="Z66" i="2"/>
  <c r="Z60" i="2" s="1"/>
  <c r="U103" i="2"/>
  <c r="AM103" i="2" s="1"/>
  <c r="AP103" i="2" s="1"/>
  <c r="Y75" i="2"/>
  <c r="AK89" i="2"/>
  <c r="AN89" i="2" s="1"/>
  <c r="Z103" i="2"/>
  <c r="AA103" i="2" s="1"/>
  <c r="U102" i="2"/>
  <c r="Y47" i="2"/>
  <c r="Y80" i="2"/>
  <c r="P88" i="2"/>
  <c r="V23" i="2"/>
  <c r="N34" i="2"/>
  <c r="O35" i="2"/>
  <c r="O34" i="2" s="1"/>
  <c r="J39" i="2"/>
  <c r="AK43" i="2"/>
  <c r="AN43" i="2" s="1"/>
  <c r="Y43" i="2"/>
  <c r="AK48" i="2"/>
  <c r="AN48" i="2" s="1"/>
  <c r="AK67" i="2"/>
  <c r="AN67" i="2" s="1"/>
  <c r="AL95" i="2"/>
  <c r="AO95" i="2" s="1"/>
  <c r="Z95" i="2"/>
  <c r="AK52" i="2"/>
  <c r="AN52" i="2" s="1"/>
  <c r="Y52" i="2"/>
  <c r="R39" i="2"/>
  <c r="X39" i="2" s="1"/>
  <c r="AK19" i="2"/>
  <c r="AN19" i="2" s="1"/>
  <c r="S39" i="2"/>
  <c r="AK16" i="2"/>
  <c r="AN16" i="2" s="1"/>
  <c r="AK72" i="2"/>
  <c r="AN72" i="2" s="1"/>
  <c r="Y53" i="2"/>
  <c r="L76" i="2"/>
  <c r="M76" i="2"/>
  <c r="O76" i="2" s="1"/>
  <c r="J49" i="2"/>
  <c r="AK64" i="2"/>
  <c r="AN64" i="2" s="1"/>
  <c r="AK80" i="2"/>
  <c r="AN80" i="2" s="1"/>
  <c r="J14" i="2"/>
  <c r="AL20" i="2"/>
  <c r="AO20" i="2" s="1"/>
  <c r="T19" i="2"/>
  <c r="Z20" i="2"/>
  <c r="AK26" i="2"/>
  <c r="AN26" i="2" s="1"/>
  <c r="Y26" i="2"/>
  <c r="AK45" i="2"/>
  <c r="AN45" i="2" s="1"/>
  <c r="Y45" i="2"/>
  <c r="P54" i="2"/>
  <c r="Y86" i="2"/>
  <c r="P85" i="2"/>
  <c r="AK86" i="2"/>
  <c r="AN86" i="2" s="1"/>
  <c r="AL82" i="2"/>
  <c r="AO82" i="2" s="1"/>
  <c r="Z82" i="2"/>
  <c r="P14" i="2"/>
  <c r="L23" i="2"/>
  <c r="AK96" i="2"/>
  <c r="AN96" i="2" s="1"/>
  <c r="AL39" i="2"/>
  <c r="AO39" i="2" s="1"/>
  <c r="AK97" i="2"/>
  <c r="AN97" i="2" s="1"/>
  <c r="Y97" i="2"/>
  <c r="AA33" i="2"/>
  <c r="AA32" i="2" s="1"/>
  <c r="Z32" i="2"/>
  <c r="AK73" i="2"/>
  <c r="AN73" i="2" s="1"/>
  <c r="Y73" i="2"/>
  <c r="AK100" i="2"/>
  <c r="AN100" i="2" s="1"/>
  <c r="Y100" i="2"/>
  <c r="P98" i="2"/>
  <c r="AK15" i="2"/>
  <c r="AN15" i="2" s="1"/>
  <c r="Y15" i="2"/>
  <c r="AM20" i="2"/>
  <c r="AP20" i="2" s="1"/>
  <c r="U19" i="2"/>
  <c r="AM19" i="2" s="1"/>
  <c r="AP19" i="2" s="1"/>
  <c r="AL33" i="2"/>
  <c r="AO33" i="2" s="1"/>
  <c r="J56" i="2"/>
  <c r="AL71" i="2"/>
  <c r="AO71" i="2" s="1"/>
  <c r="Z71" i="2"/>
  <c r="P92" i="2"/>
  <c r="AK93" i="2"/>
  <c r="AN93" i="2" s="1"/>
  <c r="AL49" i="2"/>
  <c r="AO49" i="2" s="1"/>
  <c r="Z49" i="2"/>
  <c r="L92" i="2"/>
  <c r="S23" i="2"/>
  <c r="Y82" i="2"/>
  <c r="U33" i="2"/>
  <c r="Z102" i="2"/>
  <c r="J28" i="2"/>
  <c r="N32" i="2"/>
  <c r="AL32" i="2" s="1"/>
  <c r="AO32" i="2" s="1"/>
  <c r="P49" i="2"/>
  <c r="AK51" i="2"/>
  <c r="AN51" i="2" s="1"/>
  <c r="Y51" i="2"/>
  <c r="AK68" i="2"/>
  <c r="AN68" i="2" s="1"/>
  <c r="Y68" i="2"/>
  <c r="Y84" i="2"/>
  <c r="AK84" i="2"/>
  <c r="AN84" i="2" s="1"/>
  <c r="T101" i="2"/>
  <c r="AL101" i="2" s="1"/>
  <c r="AO101" i="2" s="1"/>
  <c r="J61" i="2"/>
  <c r="AL35" i="2"/>
  <c r="AO35" i="2" s="1"/>
  <c r="Y48" i="2"/>
  <c r="Y77" i="2"/>
  <c r="AK30" i="2"/>
  <c r="AN30" i="2" s="1"/>
  <c r="Y30" i="2"/>
  <c r="AL36" i="2"/>
  <c r="AO36" i="2" s="1"/>
  <c r="AK59" i="2"/>
  <c r="AN59" i="2" s="1"/>
  <c r="Y59" i="2"/>
  <c r="U36" i="2"/>
  <c r="AM36" i="2" s="1"/>
  <c r="AP36" i="2" s="1"/>
  <c r="J98" i="2"/>
  <c r="U35" i="2"/>
  <c r="P61" i="2"/>
  <c r="S76" i="2"/>
  <c r="AK77" i="2"/>
  <c r="AN77" i="2" s="1"/>
  <c r="Z36" i="2"/>
  <c r="P56" i="2"/>
  <c r="AK62" i="2"/>
  <c r="AN62" i="2" s="1"/>
  <c r="J66" i="2"/>
  <c r="J82" i="2"/>
  <c r="T34" i="2"/>
  <c r="AL34" i="2" s="1"/>
  <c r="AO34" i="2" s="1"/>
  <c r="Z54" i="2"/>
  <c r="V76" i="2"/>
  <c r="Z79" i="2"/>
  <c r="AL88" i="2"/>
  <c r="AO88" i="2" s="1"/>
  <c r="Y63" i="2"/>
  <c r="Y87" i="2"/>
  <c r="L14" i="2" l="1"/>
  <c r="M14" i="2"/>
  <c r="R49" i="2"/>
  <c r="X49" i="2" s="1"/>
  <c r="S49" i="2"/>
  <c r="V49" i="2"/>
  <c r="AM33" i="2"/>
  <c r="AP33" i="2" s="1"/>
  <c r="U32" i="2"/>
  <c r="AM32" i="2" s="1"/>
  <c r="AP32" i="2" s="1"/>
  <c r="AA82" i="2"/>
  <c r="M66" i="2"/>
  <c r="O66" i="2" s="1"/>
  <c r="L66" i="2"/>
  <c r="V54" i="2"/>
  <c r="S54" i="2"/>
  <c r="R54" i="2"/>
  <c r="X54" i="2" s="1"/>
  <c r="M56" i="2"/>
  <c r="O56" i="2" s="1"/>
  <c r="L56" i="2"/>
  <c r="L28" i="2"/>
  <c r="M28" i="2"/>
  <c r="V71" i="2"/>
  <c r="S71" i="2"/>
  <c r="R71" i="2"/>
  <c r="X71" i="2" s="1"/>
  <c r="S56" i="2"/>
  <c r="R56" i="2"/>
  <c r="X56" i="2" s="1"/>
  <c r="V56" i="2"/>
  <c r="Y39" i="2"/>
  <c r="AK39" i="2"/>
  <c r="AN39" i="2" s="1"/>
  <c r="U39" i="2"/>
  <c r="T21" i="2"/>
  <c r="AL21" i="2" s="1"/>
  <c r="AO21" i="2" s="1"/>
  <c r="AL22" i="2"/>
  <c r="AO22" i="2" s="1"/>
  <c r="AM102" i="2"/>
  <c r="AP102" i="2" s="1"/>
  <c r="U101" i="2"/>
  <c r="AM101" i="2" s="1"/>
  <c r="AP101" i="2" s="1"/>
  <c r="N21" i="2"/>
  <c r="N11" i="2" s="1"/>
  <c r="N10" i="2" s="1"/>
  <c r="N9" i="2" s="1"/>
  <c r="N8" i="2" s="1"/>
  <c r="N108" i="2" s="1"/>
  <c r="AK95" i="2"/>
  <c r="AN95" i="2" s="1"/>
  <c r="Y95" i="2"/>
  <c r="AA95" i="2" s="1"/>
  <c r="U95" i="2"/>
  <c r="AM95" i="2" s="1"/>
  <c r="AP95" i="2" s="1"/>
  <c r="Y66" i="2"/>
  <c r="AA66" i="2" s="1"/>
  <c r="U66" i="2"/>
  <c r="M39" i="2"/>
  <c r="L39" i="2"/>
  <c r="M82" i="2"/>
  <c r="L82" i="2"/>
  <c r="V28" i="2"/>
  <c r="S28" i="2"/>
  <c r="R28" i="2"/>
  <c r="X28" i="2" s="1"/>
  <c r="U76" i="2"/>
  <c r="AM76" i="2" s="1"/>
  <c r="AP76" i="2" s="1"/>
  <c r="AK76" i="2"/>
  <c r="AN76" i="2" s="1"/>
  <c r="Y76" i="2"/>
  <c r="AA76" i="2" s="1"/>
  <c r="R61" i="2"/>
  <c r="X61" i="2" s="1"/>
  <c r="V61" i="2"/>
  <c r="S61" i="2"/>
  <c r="Z19" i="2"/>
  <c r="Z12" i="2" s="1"/>
  <c r="Z11" i="2" s="1"/>
  <c r="AA20" i="2"/>
  <c r="AA19" i="2" s="1"/>
  <c r="V14" i="2"/>
  <c r="S14" i="2"/>
  <c r="R14" i="2"/>
  <c r="X14" i="2" s="1"/>
  <c r="Z101" i="2"/>
  <c r="AA102" i="2"/>
  <c r="AA101" i="2" s="1"/>
  <c r="S98" i="2"/>
  <c r="R98" i="2"/>
  <c r="X98" i="2" s="1"/>
  <c r="V98" i="2"/>
  <c r="Z38" i="2"/>
  <c r="Z37" i="2" s="1"/>
  <c r="M61" i="2"/>
  <c r="L61" i="2"/>
  <c r="AA36" i="2"/>
  <c r="AA34" i="2" s="1"/>
  <c r="Z34" i="2"/>
  <c r="T37" i="2"/>
  <c r="AL37" i="2" s="1"/>
  <c r="AO37" i="2" s="1"/>
  <c r="AL19" i="2"/>
  <c r="AO19" i="2" s="1"/>
  <c r="T12" i="2"/>
  <c r="Y79" i="2"/>
  <c r="AA79" i="2" s="1"/>
  <c r="U79" i="2"/>
  <c r="AM79" i="2" s="1"/>
  <c r="AP79" i="2" s="1"/>
  <c r="AK79" i="2"/>
  <c r="AN79" i="2" s="1"/>
  <c r="L49" i="2"/>
  <c r="M49" i="2"/>
  <c r="O49" i="2" s="1"/>
  <c r="V85" i="2"/>
  <c r="S85" i="2"/>
  <c r="R85" i="2"/>
  <c r="X85" i="2" s="1"/>
  <c r="Y23" i="2"/>
  <c r="U23" i="2"/>
  <c r="AK23" i="2"/>
  <c r="AN23" i="2" s="1"/>
  <c r="V88" i="2"/>
  <c r="R88" i="2"/>
  <c r="X88" i="2" s="1"/>
  <c r="S88" i="2"/>
  <c r="R92" i="2"/>
  <c r="X92" i="2" s="1"/>
  <c r="V92" i="2"/>
  <c r="S92" i="2"/>
  <c r="U34" i="2"/>
  <c r="AM34" i="2" s="1"/>
  <c r="AP34" i="2" s="1"/>
  <c r="AM35" i="2"/>
  <c r="AP35" i="2" s="1"/>
  <c r="M98" i="2"/>
  <c r="O98" i="2" s="1"/>
  <c r="L98" i="2"/>
  <c r="Y44" i="2"/>
  <c r="AA44" i="2" s="1"/>
  <c r="U44" i="2"/>
  <c r="AM44" i="2" s="1"/>
  <c r="AP44" i="2" s="1"/>
  <c r="AK44" i="2"/>
  <c r="AN44" i="2" s="1"/>
  <c r="AA23" i="2" l="1"/>
  <c r="U14" i="2"/>
  <c r="AK14" i="2"/>
  <c r="AN14" i="2" s="1"/>
  <c r="S13" i="2"/>
  <c r="Y14" i="2"/>
  <c r="O39" i="2"/>
  <c r="O38" i="2" s="1"/>
  <c r="M38" i="2"/>
  <c r="M37" i="2" s="1"/>
  <c r="U56" i="2"/>
  <c r="AM56" i="2" s="1"/>
  <c r="AP56" i="2" s="1"/>
  <c r="AK56" i="2"/>
  <c r="AN56" i="2" s="1"/>
  <c r="Y56" i="2"/>
  <c r="AA56" i="2" s="1"/>
  <c r="Y88" i="2"/>
  <c r="AA88" i="2" s="1"/>
  <c r="AK88" i="2"/>
  <c r="AN88" i="2" s="1"/>
  <c r="U88" i="2"/>
  <c r="AM88" i="2" s="1"/>
  <c r="AP88" i="2" s="1"/>
  <c r="AK66" i="2"/>
  <c r="AN66" i="2" s="1"/>
  <c r="AK61" i="2"/>
  <c r="AN61" i="2" s="1"/>
  <c r="Y61" i="2"/>
  <c r="S60" i="2"/>
  <c r="AK60" i="2" s="1"/>
  <c r="AN60" i="2" s="1"/>
  <c r="U61" i="2"/>
  <c r="AK71" i="2"/>
  <c r="AN71" i="2" s="1"/>
  <c r="Y71" i="2"/>
  <c r="AA71" i="2" s="1"/>
  <c r="U71" i="2"/>
  <c r="AM71" i="2" s="1"/>
  <c r="AP71" i="2" s="1"/>
  <c r="AK49" i="2"/>
  <c r="AN49" i="2" s="1"/>
  <c r="U49" i="2"/>
  <c r="AM49" i="2" s="1"/>
  <c r="AP49" i="2" s="1"/>
  <c r="Y49" i="2"/>
  <c r="AA49" i="2" s="1"/>
  <c r="AM23" i="2"/>
  <c r="AP23" i="2" s="1"/>
  <c r="U54" i="2"/>
  <c r="AM54" i="2" s="1"/>
  <c r="AP54" i="2" s="1"/>
  <c r="Y54" i="2"/>
  <c r="AA54" i="2" s="1"/>
  <c r="AK54" i="2"/>
  <c r="AN54" i="2" s="1"/>
  <c r="S38" i="2"/>
  <c r="O82" i="2"/>
  <c r="AM82" i="2" s="1"/>
  <c r="AP82" i="2" s="1"/>
  <c r="AK82" i="2"/>
  <c r="AN82" i="2" s="1"/>
  <c r="Y92" i="2"/>
  <c r="AA92" i="2" s="1"/>
  <c r="U92" i="2"/>
  <c r="AM92" i="2" s="1"/>
  <c r="AP92" i="2" s="1"/>
  <c r="AK92" i="2"/>
  <c r="AN92" i="2" s="1"/>
  <c r="Z10" i="2"/>
  <c r="Z9" i="2" s="1"/>
  <c r="Z8" i="2" s="1"/>
  <c r="Z108" i="2" s="1"/>
  <c r="O61" i="2"/>
  <c r="M60" i="2"/>
  <c r="AK85" i="2"/>
  <c r="AN85" i="2" s="1"/>
  <c r="Y85" i="2"/>
  <c r="AA85" i="2" s="1"/>
  <c r="U85" i="2"/>
  <c r="AM85" i="2" s="1"/>
  <c r="AP85" i="2" s="1"/>
  <c r="AK28" i="2"/>
  <c r="AN28" i="2" s="1"/>
  <c r="Y28" i="2"/>
  <c r="AA28" i="2" s="1"/>
  <c r="U28" i="2"/>
  <c r="AM28" i="2" s="1"/>
  <c r="AP28" i="2" s="1"/>
  <c r="AK98" i="2"/>
  <c r="AN98" i="2" s="1"/>
  <c r="Y98" i="2"/>
  <c r="AA98" i="2" s="1"/>
  <c r="U98" i="2"/>
  <c r="AM98" i="2" s="1"/>
  <c r="AP98" i="2" s="1"/>
  <c r="AA39" i="2"/>
  <c r="AM66" i="2"/>
  <c r="AP66" i="2" s="1"/>
  <c r="T11" i="2"/>
  <c r="AL12" i="2"/>
  <c r="AO12" i="2" s="1"/>
  <c r="S22" i="2"/>
  <c r="O28" i="2"/>
  <c r="O22" i="2" s="1"/>
  <c r="O21" i="2" s="1"/>
  <c r="M22" i="2"/>
  <c r="M21" i="2" s="1"/>
  <c r="M13" i="2"/>
  <c r="M12" i="2" s="1"/>
  <c r="M11" i="2" s="1"/>
  <c r="M10" i="2" s="1"/>
  <c r="M9" i="2" s="1"/>
  <c r="M8" i="2" s="1"/>
  <c r="M108" i="2" s="1"/>
  <c r="O108" i="2" s="1"/>
  <c r="O14" i="2"/>
  <c r="O13" i="2" s="1"/>
  <c r="O12" i="2" s="1"/>
  <c r="O11" i="2" s="1"/>
  <c r="U22" i="2" l="1"/>
  <c r="S37" i="2"/>
  <c r="AK37" i="2" s="1"/>
  <c r="AN37" i="2" s="1"/>
  <c r="AK38" i="2"/>
  <c r="AN38" i="2" s="1"/>
  <c r="S21" i="2"/>
  <c r="AK21" i="2" s="1"/>
  <c r="AN21" i="2" s="1"/>
  <c r="AK22" i="2"/>
  <c r="AN22" i="2" s="1"/>
  <c r="T10" i="2"/>
  <c r="AL11" i="2"/>
  <c r="AO11" i="2" s="1"/>
  <c r="O60" i="2"/>
  <c r="O37" i="2" s="1"/>
  <c r="O10" i="2" s="1"/>
  <c r="O9" i="2" s="1"/>
  <c r="O8" i="2" s="1"/>
  <c r="AA14" i="2"/>
  <c r="AA13" i="2" s="1"/>
  <c r="AA12" i="2" s="1"/>
  <c r="AA11" i="2" s="1"/>
  <c r="Y13" i="2"/>
  <c r="Y12" i="2" s="1"/>
  <c r="Y11" i="2" s="1"/>
  <c r="AK13" i="2"/>
  <c r="AN13" i="2" s="1"/>
  <c r="S12" i="2"/>
  <c r="AA38" i="2"/>
  <c r="AA37" i="2" s="1"/>
  <c r="Y38" i="2"/>
  <c r="Y37" i="2" s="1"/>
  <c r="AM61" i="2"/>
  <c r="AP61" i="2" s="1"/>
  <c r="U60" i="2"/>
  <c r="AM14" i="2"/>
  <c r="AP14" i="2" s="1"/>
  <c r="U13" i="2"/>
  <c r="U38" i="2"/>
  <c r="Y22" i="2"/>
  <c r="Y21" i="2" s="1"/>
  <c r="AM39" i="2"/>
  <c r="AP39" i="2" s="1"/>
  <c r="AA61" i="2"/>
  <c r="AA60" i="2" s="1"/>
  <c r="Y60" i="2"/>
  <c r="AA22" i="2"/>
  <c r="AA21" i="2" s="1"/>
  <c r="AA10" i="2" l="1"/>
  <c r="AA9" i="2" s="1"/>
  <c r="AA8" i="2" s="1"/>
  <c r="T9" i="2"/>
  <c r="AL10" i="2"/>
  <c r="AO10" i="2" s="1"/>
  <c r="AM38" i="2"/>
  <c r="AP38" i="2" s="1"/>
  <c r="U37" i="2"/>
  <c r="AM37" i="2" s="1"/>
  <c r="AP37" i="2" s="1"/>
  <c r="Y10" i="2"/>
  <c r="Y9" i="2" s="1"/>
  <c r="Y8" i="2" s="1"/>
  <c r="Y108" i="2" s="1"/>
  <c r="AA108" i="2" s="1"/>
  <c r="U12" i="2"/>
  <c r="AM13" i="2"/>
  <c r="AP13" i="2" s="1"/>
  <c r="AK12" i="2"/>
  <c r="AN12" i="2" s="1"/>
  <c r="S11" i="2"/>
  <c r="AM60" i="2"/>
  <c r="AP60" i="2" s="1"/>
  <c r="AM22" i="2"/>
  <c r="AP22" i="2" s="1"/>
  <c r="U21" i="2"/>
  <c r="AM21" i="2" s="1"/>
  <c r="AP21" i="2" s="1"/>
  <c r="S10" i="2" l="1"/>
  <c r="AK11" i="2"/>
  <c r="AN11" i="2" s="1"/>
  <c r="U11" i="2"/>
  <c r="AM12" i="2"/>
  <c r="AP12" i="2" s="1"/>
  <c r="T8" i="2"/>
  <c r="AL9" i="2"/>
  <c r="AO9" i="2" s="1"/>
  <c r="S9" i="2" l="1"/>
  <c r="AK10" i="2"/>
  <c r="AN10" i="2" s="1"/>
  <c r="AL8" i="2"/>
  <c r="AO8" i="2" s="1"/>
  <c r="T108" i="2"/>
  <c r="AL108" i="2" s="1"/>
  <c r="AO108" i="2" s="1"/>
  <c r="U10" i="2"/>
  <c r="AM11" i="2"/>
  <c r="AP11" i="2" s="1"/>
  <c r="S8" i="2" l="1"/>
  <c r="AK9" i="2"/>
  <c r="AN9" i="2" s="1"/>
  <c r="U9" i="2"/>
  <c r="AM10" i="2"/>
  <c r="AP10" i="2" s="1"/>
  <c r="U8" i="2" l="1"/>
  <c r="AM8" i="2" s="1"/>
  <c r="AP8" i="2" s="1"/>
  <c r="AM9" i="2"/>
  <c r="AP9" i="2" s="1"/>
  <c r="AK8" i="2"/>
  <c r="AN8" i="2" s="1"/>
  <c r="S108" i="2"/>
  <c r="AK108" i="2" l="1"/>
  <c r="AN108" i="2" s="1"/>
  <c r="U108" i="2"/>
  <c r="AM108" i="2" s="1"/>
  <c r="AP108" i="2" s="1"/>
</calcChain>
</file>

<file path=xl/sharedStrings.xml><?xml version="1.0" encoding="utf-8"?>
<sst xmlns="http://schemas.openxmlformats.org/spreadsheetml/2006/main" count="1414" uniqueCount="500">
  <si>
    <t>Указать название организации (на бланке организации)</t>
  </si>
  <si>
    <t>{"estimateId":5149114,"estimateVersionId":7704495}</t>
  </si>
  <si>
    <t>2</t>
  </si>
  <si>
    <t>mFd1vcrn5fmpt353MD9f3Qm4KLgNGkKe6MEQ8+l+4nfr2lXjPWuTTEYBnrNsugLJIfM92UwpIP2bJR6KzL9DirQ0GF+jjCV55FySD4KfTkdVPBlLTAmihN9PQJAnleeTOY4buCKTwjxnhSOM3XMYEXyaUOPzKPI/al3XPVvqo14=</t>
  </si>
  <si>
    <t>ТЕХНИКО-КОММЕРЧЕСКОЕ ПРЕДЛОЖЕНИЕ (ТКП)</t>
  </si>
  <si>
    <t>г. Москва, Кронштадтский б-р, вл. 9, ДОО на 100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</si>
  <si>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</si>
  <si>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</si>
  <si>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</si>
  <si>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</si>
  <si>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Разница</t>
  </si>
  <si>
    <t>Цена подрядчика - ПСПР</t>
  </si>
  <si>
    <t>Материалы/
оборудование</t>
  </si>
  <si>
    <t>СМР, ПНР</t>
  </si>
  <si>
    <t>Общая стоимость руб.</t>
  </si>
  <si>
    <t>%</t>
  </si>
  <si>
    <t>eF7tvWtzHMeRLvxXJhSxETIwPadv1RdG7AcQgrigiAvRA5HA4QnHXL0M86KXovbiDUfoYq3t1a4tr+VdvbIlmfK5fXk3KIpc0SRF/YWef/RWdfcMgZmq7sycyW4wYmXjygHwPFnVmU9WZlX9wyt3//6t0SvnXrnZe+uV9it/07vxzqibfefWOzdutF8Z/d1gdCP/xitvT18gP/+Ha68Mbt+8efvWtVfO/Xf5hfot8tMX321fe/HLrhW/7dqLX5e99u0XL8u+Tv+UPknvp9+m9yfvT/65lX6XffFAvv8ufZw+aqXPJ++m3xRfqlf9o/z4uPWqemEr/Tp9mv3TE+Mrf5D9vcHt23eG12/17uZ/dMPJvjt6++71m/J7B7f/dnt4AvCtu9fv/v2Fd65Pv/fT9mm2t8bXf0Rj+w/Xrr34s/Jvyq/OCcePHcdvn/ynN0d33r5++1bxijC0fT8WP9VReW0ZKnIC0HjokLy+DJK3r/+IOIF0ULaWgbLUbP4q/V36v9LP00/Tz9IvLPUu/YP83+/SP6b/R76/l33nd630S/mN36WfpL+XX/6b/Ez9xO/krP5KvuBL/Zx1zx26TdH6ptOSLJ5P3pNPmnw22630M/mwPU+/m/xi8r585B7Kh1f92+P0z/KhtCbvylc8SJ92WrH85BPJ8YvsyW45tt1Kn6WPJu9N3teS9M4dek2RvCepPJcUnimiyhu1W5MPpt5JwpcEJr+WvFrp95L8o/ShdD7P0/+UnymP8zij/CR9OvnV5Ofy9Y8m76vXSrM8Sr/Ofk59qszwSP7U15MP5fuH6q9NPlLfzh3gu9n7j3JjyZ/4KP1evuxp9kOFP5x+47n0dc9b8g8+l4C/l996lD6Rf+F+S/0S6RifqyFpyYn1SXqv5bp/oTW3f+7Qb8rcXxZGfCRN9s+FcZXdT49BbuznmUt/oEyWveTBKZ7yuflSPlrymdI+ORfFuT3RFMs/pP/Tkti+ks/7F+n/21KPQvqFDuW+OHfQFMo4tB3XcaMg1CFLxLnDppBJs6nHT859Gc7va+fwG+Lcxn5j+P539mTez5/Lh5N3J7+W738up6v0Gy2rNZ2YeuTBuY1LQVPI/6B8jXRT70qw9+Uz+JHUGv/t2rVbyjspLSV930P5+UyK6SmETcG/Jwn8sa0M/LnBvJcaw/aF9O+/NDm0zLJfd7SQd+SM2GkK9l9oIe1KSHsv9yTdbcqigEm61xg28iTdlzNivzHYn2eCR84I6XLVZJDvdSBlUGgM4mcqFCjt+K1KT1tS2t/Tj/55ce58Yyg/l8+MGvJHmZg8kXGfkKI60Jvi3GZjoD/LRj8DrRKPzC/8OQu+JWZ+TZx77QwinpcLOuhb4txWY9B/lz6UeZ9S3s+0nuB1ce71xsBJu07+ZfKzTjZR3yvSKa0NL4hzF5qEmT61VOrSSn+jV/5/Jc79VWP48ijwSD33T2ZQdSi3xbntxlAWKrs9jUuVme3F4NwbL7VoudiYrSs1S3OaHz0NLgXnmssCdOtJQNwyD9h9qadvY0lM9fRtLhsoU9xtaWDo7NgLzjWXNqCfQZkuXH6p53JzuU7lXL7cGDT0NDgIzh00hnYJV5wE57ov9fRNmrN61fTtNgZtVa74MDh3uAyJu7fv9m4scLj2yq3ezVH+a+k8TlRI4NP9NceOGPi89fZbd7rq33bkr7xzvXdj6/955/pbN+Vv07Acz7H8y+Rw59WdSFvc2WHGm9y8s3/rDhTkrh7kLjPI/TvXB7rpsoBRWWt9hmZeVvCgvLvUsCd6iyaMWHFD3tUD7DICBA+3stJ61zDchzwI//r6cDi6tdyzfqS36RE7YtzQH+thHrPDBE8AZbH1Y8ME2NhYDuhSAfizTLQ8TR9PfpavfmbtWs9ftFk8zhekskXT9Il8P/2+/NbPsl6vZ/kPTX6tJefY8Tk5xeOmCH6sQ3XeceymAH1e2Pvn+Sr//Vw1Tt6T33r3hYbUW3OzQdwP0/utV//iB62s2POd6qvRIXytOYQ6OH8l4cjp1xim9DeG6ddYZ9xvlQ7N5tl3p3t7HmdffJB+Lz/LvvnkhHAtOp5UMe1B1i2kiilP826oya8MU7UxjmqqVk7TptAZpqmjpmlTmNJ/NUzTxjodjdM0m3xZkqU8ZzFVvy66j59n3X1PJh9MftVSPcjZBFahS07S1qv5NM97m6ce+PFJD3xfqyM2GzSDnMmvTtkBXG9TOA1z2lVzuilM6W8Nc9prCtC9LMA/aSlXe7qhVAmq6eRWTRXvq77K97N/e5gtO2kLqpsNcsmahzuGadgUKsM09NQ0bApT+olhGvpNAfrtSb+Y/ll+/Cj9s1q3ymenaKnAbug5aRA2KKg3hc4w83w185rCtGWYeKIhPOmniyljS/VjfJ/taHiU9T98l8dk1Zn/T1krvXKFMgTKOSpD9nT8W9Nv/CDr9n+eN6fLKfxRIVOVK/1WitWnk3/Oun2UWni28JeMSVZjJjLxVLUG1VZTNf+bAm6Y/0LN/6Ywpf9meAAaKyP9q5zcD+UcPVkQyPaM5Cm/Kg08mm5EeaLZdyJFrJzjH8gfPdG2lvnvZ9lDM1nYeCdfIP/JMMsbs8MDZYcTVrAySa5pgjTM8qaAG2Z5oGZ5U5jSfzfM8mXKYUsB0qduWV/g95n0LbaYqkWEb7LXPVddxA9ahQBWy4z57tL039UX8u3bst7MzQa5QnxyU+AMszVUs7UpTOmnhtna2AL43HLsPbVBzDDLGsOYLb1mnl91MN8HLAQ0BdUw5yI155rClH5mmHON1SS+kHr1o8n7J7eISlHwXku6zs9Um8an8oNhtSpbFVALXL+U3/pwuiszF8rSlVontspmXvYvcq+a/YqK3fibDVrkhN5Xc7u1IBHUd/9CJ4m0Ev615qgYngBVBGsMU/p7/RPgNlYWOfEELEzOqVhQvVVS26pZns0GNb9P7jZWPzFN6Z5myiHfOONaXisTFrnbPP08FFlVNoVUt71ozfaKP1KzS/21k8mn+psKUvawfTsnR+Q/Gp6k5iw79yTNY86+lxlH/9w0Blz/3LiqetcYpvQPhuemsTrN/8kEdF54e6GuT9Tp7supXISG7KCD7HSCzKWq8V/8WV0Cmhf4H8rH4tdaj0tbq27OaCc21KjZX76/5rXmgBoeAVUZbAxT+rnhEWisrPNJvpyXh45virL1uy+Cx/QkjnwJwbD20Rz8h9LzqlkolXzhi78xTMOmIBqmoSrmNYZJn5PJaeg1Bijv/C5VImU65PmJn381Ux7S+0ofLbX9D4qNtA+zOZwt76mF4A8mH2bLe0/zVvTsoJ/nag+ryh9+nnniwq2rx0BBcm3HV5NMfhTFx6CAZNItjdkzQ2W9SHJfCJWqb0rb5k3V0qKP0m+LxmotwdeaI6jGwLp27ZYag+JjaBkeNVWwbAxo+qXhUfObAnRPTvo/q8cM5tqbwiln5HtZtcawTvlac9AM80yVJxvDZDiKwXFFU4B+m4nYTMLmZ2FlhXHphh9nWiNLByfvts610v/ZST/tpF90ThwDlsvpya/auRh+2mm3RtbN3vUbhlnaFEvDVFCVusYwpfcMU6Gxooo6LuBky/NztWrwNDv96vlqxr8paobxVzWsxjClXxnGv7EyhToUL6tHZmcIFgeyPGnl50IW+e+LpDefKoaBboqDYaBV+QeL6X9kv2k42u/d/Wv5PYkw6A/cfr9nWyN/LCw/ssdWFIVjq+d7ds8TvjMc9vJX3rn9t/kncf5hxm10YzTbi3KSHHjTnSMfv38tsr/n01UNNU6PNd+3TvQ4z71cHQaqbdPeiM5tw4sWUKP8VP6g6kYDGmMFO/Zi/Y49Jmo+nhpuu8+uns8uEx+B5wPeF6To7Onp7DHRgT+GS24Y1NNKeGipJWIMLdyM6+q5dJm4ODguqNl2qKdyyEAlm27utdNRYJ7b26PB3euaECejwDs3+yPdEC3GAUdHaUNfbfMd27VtEYbzvPLoK80PRqhC4g/fymJiNUhXh/E8EeP8Q1xiRVgsTT+RsXCqZR/nCrbIgB6dKlO3swqaWqkq5E/+kmzpK2/dKtarThemn+nYb8bntokGWAigZgusIIA6tj6CUsHPh0gAeJzD2jUg3qUiFnjEKLe0ZwC8RwUMf0KWDHMG4AkR+EIgqwCOmxddA9ouFS3cnRNClQHsIQVsNimu1RGLDNHIsAV1ijoymhgMEheO9DDPU2HCn7ezEpGyu0seZbsHvs0y/V/K31m0XxuqI/a5bap9ag5YTnvHC/VBi8yghqjltHcNsHfJsAUeNspN7UnUewbUe2TU8Odp2fjltBMD+oSKnjuIOe2uAXKXDBkeDCiRzGkfGhAfkhCfhMwez0wRTd+TMgUeG00NhomNaB3XENSISOEPITSofSFjT3bVSnYvRfqH9At9uXXTcWSsIcKuOda47R1XxRvfEG+oLGqIN25711UxRw99lwxd4KGjHMqeRL7nqrijR75HRg6f8svGHbeduCr26BkkVAbcscdtd10Vf/Swu2TYcOdNiT9u+9BVMUiP+pCEus6UyhyE9B1pBfLINtobDJQQhEy5FREr/JmEhqEs7rQcS+37/5eszP2fOsSbjiujEBF1zVHIa+84hkIXmUENEchr7xpg75JhCzxslDvZk6j3DKj3yKjhs3zZyOO1EwP6hIqeO+p47a4BcpcMGe6rKRHHax8aEB+SENcdbUzxxivF7hitDYZKijemiENEC38WoRHnS7WSN/lIh3LT8WSUISKtOcqYchwq+hoijCm3oUIWeMgo17FnQLxHRgyfzctGFlMuQ0TOHVVMOQwVLtwfUyKKKXehoM3mRXhtFkX+e1lY+dvbd36s4UCJKaao4pdy8IwWhyElhpSOE5riChHvvLM2WRYYVL7ILp7PmnKzO5/vt2ZnmGad3Kp7+0nR0P1Mvuab7LO8nPRdvnfm++wXvF9spVF78LMdOlnLd/G9X2Q1ogft7F+nOx8f5FfIvahL5b8u+xsSwHfFCShPpn9FfaE27Xz4Yo+OzrKbVMvOBxLjTLipPNoPr78Nmbg6hK9REQoUQiK6LSq6AIbu5qj39jt3QJPzmasD+DoVYAgDOPq7t0a33tYBvDUH0OnYtq2DeIEKMYJB/JvbN94BPd86cH9FBTcvAgzgssAEsJ7ndnwdvm0qPmc+1hsAKlGVBU6STNl+fevgYO/g1YO9w93XXs01rWjvOIF8C+Vb9AO1xU6SaLfcH7T1/RcXyRSBgXVG0ahn5kdD/t24o5/Nb5DRAoPrDC3E/tJ267nt38htrIN8iQwZGF+Xy4Ry/JLJ2raZww6Zg4/kABe9OXAJeu3UEJgo7JIpCCQF8PSRVl2fwlpIj6hogaHvrRU6nUQ6nUQ6nUQ6nQTkdPbJ9ICB8y2cwwkcpxNqHc5lMlJg/HwLOlv2Z87msvlBPSDDxURU0rzJse+XO5qEin8huS7DT3cyl8udTJcMHxhMkZm2nDJdvYM5JCFVUPv9wag39mJL+P7A8sNobPUCW1i+04+GTr839EQxFsYU/GYxfzQEaWm4KREXOI5QcrpkvYQTJmHX8TjPyWNeZJSNDTCR/+1c0nxfHWOndl0+KE66OLUh+/fpx+m99Kv00/QP8u3zH+bnG6V/Sj9PP0u/kO+/Uq/5D/nFvdalfeG09JcAbXIaScCNtGzGy8hiXhqUsEBkxk/0R968zslkXgWUMIGn0HangLyQQTMymVcJJUyWzLQZScxrhxIS0Izc70SBjsc2J4+FrL2ECCpzn2cX2x1Xe3vcRVZ6CF+/iqRymloKJZek6hPm9JKTNcLtgbMi8IDus1LDPngQaqWDuV89mAkb47xPWoiR2x8JKx70HcvvC9eK/KFr+bHnO27kDKK48Kk1yk/t4vCG4RT5EkPAyNUuPxl5IFwSVH7++4mSz/1Wdqf6t/lt3+rUqXtbnvdDJTEdr5Wd3lYcNmi6IoeRu4BzX1ZVMrJAuNdVqEpGJkyqsjiIaUFVMjKpT1UyksAGN8BgRPqFgm1OGrWJSj/qFMcMLohKTnoID75KURkUOiQwi0pO1givRxaVxgHdZ6WGfe4g1CpEZeVgJmyMM1E5isPQjuLYCsQgsnzX61s9qUDla8ejKPJ7o2g4vla3qNQO/YbhspcSQ8DI1S4qGXkgXBJUVH6WHQV8osXo+eTn+Qpmdortn7I+pJ9l3Usnb/4u1jizA4Czm0CsbK3z4+xU24/TP+rPytvkNI6AG2dZ1cnIAuF/V6E6GZmwqE5DSnqBk0h9opORBDb4QcYi9k3dRYxEapOdTtDxDGuZnPQQPn6VsjMslEpolp2crBFujyw7jQO6z0oN++RBqFXIzsrBTNgYZ7KzF3vjnh/2rCiMpDB1RGz1AhFaYdjz/bjXF8OwapPU6mWn1lVtGO57KzEEjFztspORB8IlQWXnvRMN8I+zlvXv0vvZpcc/zy6gyG6KfayuSXjRGf84uz4iv09C3Rd0qlH+fis7DVl+914mYj9Iv2vlFXfPticfBuqd47TUXQz5t197TX5P/tuBzpybnOYUcHPChaoU34/T78+1pKD/oyXUB9OGguzapBcbCu6fMFCc2afdemN0p3ez19rp3en95CfXW+oym/TP2T1N36n9BVm/w/vyNzxvZUP2bpYMJBdcx3GVQeV/Fw46167d0pl2i9O0iDACV8+TX+jX0F/nZMKinrUu8AInjfq0MyMJbAQHjITjxp1AR2Sbk0ht2tm33U6g7Tu9yMoPEalWKZ6jQm9FZvHMyRrh9cji2Tyi+6zcsM8ehFuFeq4czYSNsfzvf/z0hN80yuOVniFgqPLHpST9eZJ1nSGgTeHOU9HCd11Dpe0n6njOdHoxy39qzgLVEdh04nPbVBL1Hi/gGs6ZJqP38ejhne7Z8QIGyLtkyAIPGd7dro4XMCDeIyOGT3S6H802zRiQJ1TkzMcLGOB2yXDhrhq56UEdL2BAe0hCe8L/1Xi6gOFM5w3D/clTCoHR4DCkxGDTiQ2HC1DhzrvqJQ8XmIs2mqMF5lZRns8tm+jIbVLJzXtyvv39VIQChZCIbouKbl7Js+3vpwIEblOEL0mY9/dTIc4vObDs76eCm4/CXPv7qfhY9vcvtg7qh/wiGTUwWuG37EduYNqxTwYLDFi4HfuuPd2x79rGHftkyMCghUouoLNih4waGI0ISUWxfda1104Z3bhHn0xBICmAJ4y06voU1nyOQUYLDF/kRSjTFNknIwbGM9y2e8cOvU6kRXqZjBQY1uDb7mce47LZYxyQ4WIC3SqnQkJFzLvRfuYpLpd7ii4ZPjAEInNOOUm6ei9xSEKarW+eSIPqWODUL28WlzCY4Nd+8V6ecXo6rOepWOFrPtB0Mz+SW21Dyk+Ly9c2i8O5DYfFuc65bSqDmlc23faOZ6jgkBnMqxAAA7h7yVc33fauAfYuGbbAw4a7lWyF023vGVDvkVHDZzw48hhWOd12YkCfUNFzr3S67a4BcpcMGe63kZEnW+1024cGxIckxNkcuVZf5DEtdbql2Bu4ZS+LPaaVTiJa+LMIjT5lx3O7rowyRKQ1RxmvveNGhihDZVBDlPHauwbYu2TYAg8b5UL2JOo9A+o9Mmr4zF42ynjtxIA+oaLnjjJeu2uA3CVDhvtoSpTx2ocGxIckxBnkwqXUVlhTTtwQbbwyDrFttDoMKTHUdFxjvCHiBS5SQoPNn7JSmtry9ufsJOwHqrk465tVxbbJB+q8r4rq2sLp3Y/PwNndVPPORxjG2h4RoUAhBKCbNVV/mf7e0k7WLSpW4FIpotKnZsA3nZb+EvvXqTiBC6QrKfgRIQJXRpcs+BHBYdZBIdYTnqFvmAqQpeK3EGg1J3q7vpTBQr4F8i3MD9eVobjkRG8yRWDMxZcHfUdOZ61jeIMMFhh2keVBb1Ye9MzlQSpkYORdLncqmq1db23bzGGHzAEY3gjZ07QE4K2dGgJzsZBKQSApgKePtOr6FNZCEkVFC4yA4GIhwOck0uck0uck0uckIJ+zT6YHDJy4yqLw/I6n9TeXyUCB4RNRWPRmhUXjc3pAhosJqKRpU2wDKPczCRU/c5nRWztlenOZkQofGEqRabicMl29fzkkIc2ggs7JUWSMufnN3uo2Ibv5Rx3HDdfHcYSS02XxJZwwmbyOx3lOHvMao2xsgBn+Sg9U5OQu4Nzhya2OxRYni/mAX8ICkfaajrbhZMKyOdfu2L6OyQVOJrXtz+UkMS8JSkhA8+yg4/ja0djmJFLf/lzjkYqs9BA+fBW54jRj9PMNna75GihW1gi/B052wAO6z0oN++RBqJUO5n71YCZsjDNZGfjDMByMPKvvRJHlB/K1PW/Ul6/tDZ1+0BtGYnCtblnp6gyxURzQizAEjFztspKRB8IlQWXl4jUxxd0v+tti8gNZVAHooarcWPLDY/mv3xeveqw2d+Wv0hlnk9M4Am6cZXUnIwuE/12F7mRkwqU7DffDcFKpT3gyksCGP8BouB1PnwZscxKpTXgGcUdo6V1kpYfw8qsUnsWdIq75ghhW1gjHRxaexgHdZ6WGffIg1CqEZ+VgJmyMM+E59N1QhKFjee4gshxnNLJ68jdbQycInN7A7vfjYprXKDy1OceGG2ANASNXu/Bk5IFwSVDh+eXJ5qSSrqT87O4Th/qdOrvvv3nnu638OECRHZd48sA/68WBfzqLbXJaTMAttqwaZWSBcMpwNWo8opCTCYsadTqRNpxc4GRSnxhlJIENiYDBcCO3E7ja8djmpFKbHHXiuONq+6kusvJDOP9V6tHiOhLXfLcMK2uE6yPrUfOI7rNywz59EG4VgrRyNBM2xvmF2aMw6Idj2xpGrmP5ruNZPbsvrKE/jPt2FDnRuGqv1eoFqdZZbbilx53rDAEjV7sgZeSB8EkoQXryThklSrP7Zl7chr3S+2U47SPg9llWfjKyQPhguPw0L4YyMmGRn3Yn1BG5wEmkPvXJSAIb/wBj4dhhR2grW9ucTOoTn8YLZljpIfz8KrVncSeJa75ghpU1wu/RtafxghlWathHD0KtQnpWDmbCxlhpzzJJucr9lIayelRCLfAWTv9ufD8lEe+8o/iv/ZQ6825SzevDzLuK/ZREhAKFEIDu1H5KT4d1i4p13r+z76ck4gRuC4Er1pL9lESI83qUZz8lERxm+wfAeq5BXxLRNbeZMm7veLZ8c4pNTVHpRkoqPWCwXe1GSipYYLxFbqSMZhspjfeDXCJDBobcVehyyWRt28xhh8wBGNeW2EgZrZ0aAvNGSioFgaQAnj7SqutTWHNo98hogaEPnNYA/E0i/U0i/U0C8jf7ZGrAaLm6TZRUoMCYidhEGc02URqf0QMyXEwUJU2ZaaJY6mMSKn7mTZTR2inTmzdRUuEDwyh2E2W03tX7lkMS0jNa4zEeqhfjOELJ1V7jYeSBWPuDpvX113gY7SPg9oFnvToWW5wsEGudiHzYWONhZFJvjYeRSH01HkYS2IVmwFg4wnSBCSOPs1Dh4aSH8PKryCSn+WRcFAVic07JyRrh9cCpEHhA91mpYR88CLWKCk/lYCZsjPNu99FARGEvsoKxP7L83rhv9YfyXdwLQtuJBr3QHVyrW3jq60Fe2UUIWkPAyNUtPDl5IFwSVHi+uOH+sZSejybvqa2W83fby1c9l1+qIpOSnM+nmvTe7Nr67OvkQux4tm3v5l/KT9fUW6T633W22uS0lYDbakkRyskC4Y4RItRwnR0nESYN6th6FcpJpTYVykkCGwwBo+F2PP0mtm1OIrXJUF/4nUjf5c7KD+H0V6hDPTuXLp7xVqsdVtYIx0fWoeYR3Wflhn32INzKhWj1aCZsjM/qeR+uYdtlUdRAGAJGrnYhysgD4ZOgQrTe8z44jSPgxllWeTKyQDhghPI0LX9yMmGSnqbzPjip1Cc9GUlgwx9oNDytM9/m5FGb8jQf98FKD+HkVyk8nUKqOGbhycka4ffIwtN83AcrNeyDB6FWoTsrBzNhY5zfktqeOU2jsFzpVXWGxU23hKSInXmSpmb3VV9Vp12FP09FOz+/lr+q7pP0Uda+/l1xNep3+U2pasHy6/T55H3DLXaee26bSqLeW+w8z+DiqOh9PHp4a092g50B8i4ZssBDhrfzqNvrDIj3yIjhE53uR7MGQQPyhIqc+dY6A9wuGS7cVSO7vNSNdQa0hyS0JxINBbqmy+pMXVyFGjZRWAiqtWyuijqhYW8VFe68q15yb9VctMHuq7rf0pHbpJKb9+R8O5uoCAUKIRHdFhUdsKEbsXhRvpeJihPYnQ1fmjDvZaJCBPZlL7nkQAQ3H4yX3MvkhMJwNxwVIMt2Js16lHbML5JRA6MWfpeSE8UGsG+QwQIDF26Xkje77s0zX/dGhgwMXqgkAzordsiogVGJkFwU+wa82QVvXvkFb2QKAkkBPGGkVdensBZyDSpaYBgjr0WZpsg+GTEwoOG2G7m+6IRaoJfJQIFhDb7daOYwLpsdxgEZLibQrXImJFTEvBuMZo7icrmj6JLhAyMgMvWUk6SrdxKHJKTZMmcmhIoJUsdCpxb/hueX4veNlgYDpWSecawDe54KFr74A807v1TbeSY/l9klZG3TP7dNhV7z2qZo73iBYX2TymBefwAYwD1Lvr4p2rsG2Ltk2AIPG+5RsjVO0d4zoN4jo4ZPdXDQMaxzinZiQJ9Q0XOvdYp21wC5S4YM99jIoJOtd4r2oQHxIQnxiSW42tY8DcczbXiilEBgNDkMJy3umNCep6IF5ozQwJNf3Xl/enXns+zL7OpO1WalvvVAdWVle1I/mPxKR2WTSmXekTMubxIRChRCIrotKjpgXghf3jScfU/FB8wCV7KsSYQIzP+WXNYkgsNkexDraUv921R0Da9pUlEDoxJlTTPyjIuaVLTA2IRc1BSzRU3jHTyXyJCBAQqVXUCnxQ4ZNTAWETKK6VqFWDtldPOiJpWCQFIATxhp1fUprIXEgooWGLwYFjWpiIHhDLuo6Yed2LCqSUUKjGqIVU0xW9U0eowDMlxMnFvlVEioiJlXNcXaKWObVzWp8IExEJlgyknS1XuJQxJStarZnkm0GtNLV8dhwwtKOURGa8NwEtPLyJReEtECozc0vfxTtpA5TS6zHhr1pfzi+eT9Vvpwsblz8uGJBdD83OHZ0cLfTg8VfqAy1UeTX2QnF6v/P2hl//Rddijxn9Pv8l3pOstsUi0DVAi4bDVb+H2syEjsv1aXw03eU7uaHqZP1Yfn6deTf8psNG++/DDmB9Jev5Ap+68mv5RffaMOgJr9SLul0vbMILMjoh5Um1z+tvxLCeTn2W119zut9PP0Uf43NVifnPijkw/mcD5e+AO6QXmNOigCNSiAAdGh26KiA2qc5RN0Ij6gollJgk6ECJQySyboRHAY4QKxniFBJ6JrOEGnogbGdXyCHtu2oRD4BhksMLgj8/Nglp8bryS7RIYMjPBM+TkVNTD6LpGfB2unjG7Oz6kUBJICeMJIq65PYS3k51S0wNjFkJ9TEQOjGS4/d5xQSm2t17hMRgoMaoj8PJjl50aPcUCGiwlzq5wKCRUxc34erJ0ytjk/p8IHhkBsfh6sd/Ve4pCEdNZ15BYhxZiar6zryJCZl1+RFBvtDIaJT8613VHnqUjhXRjQxPwLmdipVPBpnprfSz9Lf6ODvOmF57apsGtuNoraO4Hd3nFsx9BxRKUxLz4ANOBeJe84itq7EvuuCfsuGbvAY4e7lKztKGrvSeh7Juh7ZOjwWQ8OPVoKiaSQSAqJiUJCpcDdgBS1uxJ314S7S8YN9+DIIJR1IUXtQwn70AT7kAQ7mzLX6gpEph6k0vsBbNtocDBQQigyLRETscIfS2gw+lKdLWparo1k/CEirTn+xO0d35dv8qOQH4Wp8ZXKpoYwFLd3JYVdSWFXUtg1UNglUxB4CijfsicZ7EkGe5LBnmSwZ2CwR2YAn/3LBqW4nUgmiWSSSCaJgUlCZcIdm+J2V8LvSvhdCb9rgN8lw4f7dkqIituHEv2hRH8o0R8a0B+S0Cv49TbNqjhgCFhxKQHXaH4YTlK0MvfMEsEClzyh4cpwAevz9IkqOmY3qP46/8bT2YkB2SkC2XceTT5Q9TwdwU0qwfnIsJLapA7ha1SEAoUQgG52BervLTm35YfTBm51e3d+PLp7t9Pqjm6+dbu1f+Odt1uObXvqQMko9pygrc40/4N2RWGLyhK4aAov+BnP6SYCBK6RrqTiR4QIXBxdsuJHBIdZCgVYz/PijqNdKtqmImSp+i0ESc3Nqb4tpa8j31z55uW3GXrZrRem21PJFIFBEl8iFCIwtvBSwQIjJbJEGM9KhMaLRS6RIQPj5XI50/Swx3ht28xhh8wBGBIJmdK0DBCvnRoCc8GQSkEgKYCnj7Tq+hTWQmJERQuMfeCCIcDnJNLnJNLnJNLnJCCfs0+mB4ycuOpi6LqdyND8SwUKjJ+I4mI8Ky4an9MDMlxMRCVNm+k5pKV+JqHiZy41xmunTG8uNVLhA0MpMoWWU6ar9y+HJKRZEtcburEztq0osnuWP/Qdqx8GI2sUuLHruyLuR0WoNSbTN3vG024pCbUhpfZtHEMoNV3aXcIIk3rreJzn5DGvMMpGBpiVzyeAr8430T7JLxYoip0/KO4WcNtCNRM/m91n9SBren2aPrcm752+3CrLJBcTyeIf83yzuPfKL37dPKj0y/Rf0//VUq26+eGBJ7tzC7wP89barKFZtfRmNx48NKwYcA6SgA8SPG/XsdjiZDGvS0pYLJ+XcxJhucTA4MQucBKp7QoDThLzuqWEBHg1IPQ6tq9fDuCkUtstBo4duB1fO+EushJEhJtVJLVFausXVy755gu0WFkjPB84K0MM6T4rOezzByFXOpz71cOZsDHOFHC/b7ti6ISW549iyxc934oGgbBiO3ZD1+kFnjO+Vq8C1kbBjWI+IMwAo1a7AmbkgXBJUAWstOv94iCxXFJOfpEd2/LuTFsulKGgMnkqb0/IZPSfKsSv1LMzjd2yWrnKLrRulQbO/3zsRI7W5WxyjpiAj9iycpiRBSIoIORw+bnYnHx4VLGOxgVOGvVpYkYS2JgMGQl1UVIgdFS2OanUpomF04m09C6y0kOEn1Uq4uIyKN98sxcra4TzIyti44Dus1LDPnsQahV6uHIwEzbGZ+9GWbfkUFzfxZoBRq12PczIA+GQoHq43vtkOY0j4MZZVnoyskB4X4T0NN0ny8mERXTaHcN1spxM6tOdjCSwsQ8wGMLuRKGOyDYnkdpUp/k+WVZ6CCe/StXpFkLFNatOTtYIv0dWneb7ZFmpYZ88CLUK1Vk5mAkb43yPmfwXzxXCEv1eIF8xCq1+fxBZbhiPnL7jRnGveIprU53agd8oKkkIM8Co1a46GXkgHBJUdX6mVjxPlPNhnf+cJAWcJFw9zni+fvtO/3Zr6507twe3b7REHGefv90bj1rJO2+N7rSsVt5h0c7OaJv8y+RnneJ8sQ8zrX2/9Zctu+0L9c/ftFthZMtPHnTSZ2vZd/+y5QnHpPK2OO2G8Nur0KuMTJj0qqcjcoGTSH1ylZEENmgCxsKxnU6o77jb5qRSm2B1Xa8TBDp+F1n5IQLEKhWrV4gc4x1iO6ysEZ6PrlhtYTj4eJ+VG/bpg3CrkKyVo5mwMZ6eoluMaI37TQ2tAX4pUfD9YCvdbxoY9ptSwc47jVr3m2ZH5manwz4sivSPs0Ng8zXO7Pjc6Xm6L5ZGs29/n32hVjs/VK/M/tbjouBfeu31d9Off5p9qQ7lVSi+zS6TeZwd//s8bxFQq6sPdLbepNrah9l6BVtfqQgFCiER3RYV3byrZ9uySgUI3HgD163mLatUiMAtN0sqUiI4zAYbiPUcqfu1wn+birC5LauiveMH8i2Ub1G+fcz3y7askikC4yx+y6rje8a7tMlogdEWt2fV96d7VnMb6yBfIkMGxtxViHTJZG3bzGGHzMFHckDvJ5PATw2Bcc8qmYJAUgBPH2nV9SmsObR7ZLTA4AfOcQBOJ5FOJ5FOJ5FOJwE5nX0yPWDoxO1ZdaLQNt3DTUYKjKDwTaszZ3PZ/KAekOFiYipp3kwzx1JHk1Dx825anTmZy+VOpkuGDwymyE2rcsp09Q7mkIQ0gyrEyO2PhBUP+o7l94VrRf7Qlfm658sc3RlEcTH1jRl5yfoEJSs3bVoVOIZQarrcvYQRJn/X8TjPyQOxFghN7f/9RIp8v5X+b5mnf5tfv6qux7m35Xk/VAHC8VrqhVnZ5B/Vv+m4b3JyF3DuyyayjCwQ65qIhNdY0WFkwlTRcYWOyQVOJvWVdBhJYBeVAYPhhh0RGRJtRia1VXT8yHBK+kVWeggnvopccZoxiqIEYLw+cYeVNcLxgZMd8IDus1LDPnoQahX1nMrBTNgY56oy7vVj2/Ys0fc91aQUWlG/p34gCNzIFv4wHF2rV1Uaqj0B2gwgarWrSkYeCIcEVZWzFqRpRWa2TTMv5vwpq9v8TL79Y6Y9Vdnn/otzSL5X9aUv00/Tz6z0XvpV+nH6efqJfP/H9CuddTY5rSPg1llWdzKyQLjfVehORiYsutNQLL7ASaQ+2clIAhv7AGMRBE4njnRMtjmZ1CY7naDjaeldZKWH8PKrlJ1BoVSMt4LtsLJG+D2y7DQO6D4rNeyjB6FWITsrBzNhY3w291u6pv2WZffHaM0Ao1a77GTkgXBIUNlZ835LRuMIuHGWVZ2MLBDedxWqk5EJi+o077dkZFKf7GQkgY19gMGQUVxoR2Obk0htqrNkvyUnPYSTX6XqDAuhEppVJydrhN8jq86S/Zac1LBPHoRaheqsHMyEjXGmOof9gTt0nMDqx4PQ8nvu2Ip9+QNjJ/L6sRcM3Kh3rV7VqR34DT/CmgFGrXbVycgD4ZCgqvOzWVP648nP5efq0LjHahnzRId6K/1EfvpnddRc+l1WUU8uBI7t2bb6/OSBdCcOfVb/FNj25MPsnenAOUZjCbixllWhjCwQ3hihQk1N5oxEWESo07G1x0xc4GRSnwhlJIENhZDBcKKOLbRrCtucVGqToY4beh09wYusBBF+f5VCNCq0S2QWopysEa6PLERLhnSflRz2+YOQq5CilcOZsDFWWrRMYq5u36R2KDf8uIyYt0Cs2X2TRLDzXuK/9k0C9k0Sbe3DbL2KfZNEhAKFkIhui4pu3rfz7ZskAgRu/kBJVdO+SSLEeR3Ks2+SCA6zxwNiPV90TO2cRISN7ZsUdntHOPLNlW/FtXt+6VWfZIrAOLvifZNUtMBoi9w3Obvr0zff9UmGDIy5q1DlksnatpnDDpkDMJYtsW9ydtenX37XJ5mCQFIATx9p1fUprDm0e2S0wOAHTmoATieRTieRTieRTicBOZ19Mj1g6FzhvkkqUmAEReybnF32aX5QD8hwMTGVNG+mmWKpo0mo+Jn3Tc4u+yx3Ml0yfGAwxe6bjNe7egdzSEKaqWtQgUiRMWbkJesRlKzcsG9S2DiGUGp1F304eSAW/6Cpfb2tRpzGEXDjLJnpcrJArHQiMmJTqxEnE5Yqj7HViJNJbVUeThLziqGEBDQTd51OFGqHY5uTSW1FHnOvESs9hJdfRTJZpJSiuJRRmO/YZGWNcHzgbAg8oPus1LCPHoRaeYGnejATNsZnc2OlZ9hYKRysGWDUapedjDwQDgkqO2veWMlpHQG3zrK6k5EFwv2uQncyMmHRnaaNlZxE6pOdjCSwsQ8wFlHomzZWcjKpTXaaN1ay0kN4+VXKzuLuQ2G+yJKVNcLvkWWneWMlKzXsowehViE7KwczYWOct7iPBiIKe5EVjP2R5ffGfas/lO/iXhDaTjTohW7dq52ezgwbwsWaAUatdtnJyAPhkOCyc7HF/X7euzTtHLrfkq9SjUzquiElOZ//cHZVe9HPnn+dXIgdz7bt3fxL+emaeovUDT06W21y2krAbbWsCGVkgXDGCBFqaAfiJMKkQQ0d7pxM6hOhjCSwkRAyGCLo2Pqovs1JpTYV6gu/EwU6fhdZ+SG8/iplaHEZojDfbMnKGuH5yDLUPKL7rNywTx+EW4UOrRzNhI3x2Tyt2DNstSz2OyDMAKNWuw5l5IHwSFAdutLTijm5Czj3ZXUlIwuEd0XoSuPiJiMTFmFpPK2Yk0l9wpKRBDa0AQbDCzq+MOhKRib16UrjacWs9BBOfJWysriwUJivn2RljXB8dFlpPK2YlRr20YNQq1CVlYOZsDGe3j45fUyVWqzp+kmDcPTLmNrBPNNatlE6tmEfJRXtvNdYxT7KfFGxaLYsNk0+Tp9l8k/9wzfp81bWcKk2OT7Jbjv/1eSXUiF+k+2InC5Wqp7NyQfqha1X08/TR62iEfN51qj5bV4xly/5Z7UT0lZrRx3XdkX6jXbmblIt5MMstILdj1SEAoWQiG6Lig64AQQhS9UU+KbT0i9Cv07FCdzJARed5k2QVIjALRxLqkkiOMyGDYD1vCjumFoviQib2wQp8j1IovTCSDItYGTEb3y0TbseyVCBwRG361HMbosU5tsiyZCBEXIVmloyWds2c9ghc/CRHNAbksTstkhRflskmYJAUgBPH2nV9SmsObR7ZLTAoAdOSQBeJgF5mX0yJWB8xO109MLQ4GMuk4ECoyR8o+PMv1w2P5sHZLiYuEmaKtPkrtS3JFT8vBsdZ37lcrlf6ZLhA4MncqOjnDJdvU85JCFVUIcjxw2G47HluUPbcpzRyOrJH7KGThA4vYHd78dFrDLmzCVLCJS82bTRUeAYQqnpsusSRpgMW8fjPCcPxGodNPf+8mTS3EofyjRZptLZ97IU/NHkA5lxq2S6+Kfn6deTf5Jp95N8b6Tq//ks/c0PWo5tt1SPT+vKpezz13p3fty6cKf39zLL9oPWa7dv3Pjx6FYL/Aen//JQnZyZdSSdWAN4qF7wWB1cpL79VDcQm5wDIeADsWwCzcgCsQy6ukSbkQ9LFcjR+6sLnETqKwIxksCuRAPGwnejju1rV9W3OanUVgXyhN3RH3VwkZUfIrCsImWdJq7FPYfCfGklK2uE/wPnXPAR3Wflhn36INwq6kCVo5mwMZ7VgQqlV2MdSOiYboiglGk0z7SeOpDhcvbzVLTAVS6oFtWep/mdOmMjO3Hju8lHkw+npSElPZV+RB2Zqf7/ffYHnuQbLacvlyJTis7vJz+blZv+3Mpekf/aorU9+/zp5Jcd9QPPpcptmZvaiRb1YRbF1Y3Sf5WUHmXnfkqjPM4OJHn2wijPJ++38hqZfC/lvdLWDyYfFYb+TlkhO8k02yLwdfbyrC73YX7OqPy1J7eiPldnkj5Vv/eBGphs/+oHk191dGZ6jWomgTITwEQ6dFtUdMB1PISmNvXqEwECV+UwItlYtSJCBK7HLSl/ieAwq28A63le3HEMqpaIsLmqVdjeEZF8i4t15aC0ekWlB4zn+OqVb5vrV1SwwKCOrF8Fs/qV8b7GS2TIwMi+imRAMlnbNnPYIXMAxtIl6lfB2qkhMNevqBQEkgJ4+kirrk9hzaHdI6MFxj1wLgXwN4n0N4n0NwnI3+yTqQEjJq6OJVyTr7lMBgqMm4g6VjCrYxmf0QMyXEwkJU2ZaXJa6mMSKn7mOlawdsr05joWFT4wjGLrWMF6V+9bDklIFdR+fzDqjb3YEr4/sPwwGlu9wBaW7/SjodPvDT1RjIUx5y9ZAqHk/aY6VvlldQsModR0qwMljDArBDoe5zl5IJYboWsHiwd26k/qzA9K+n36cXZA0qfpH+Tb59Ot7H9KP08/S7+Q779Sr/kP+cW91qV94bTSj3VG2uQ0koAbadk8l5HFvCYoYYHIh417jBiZsFSX1B4joaNygZNKffUlRhLYFW7AaERBR/5FHZNtTia1lZdiOd0MRyhx0kO4+1UklNO0srhYVphvCWZljfB84IwIPKD7rNSwjx6EWulg7lcPZsLGONOfvjMO7bAfW6EzCuUrbMeKgrFrhb2xGw8DMRbj0bV69ad2TXij2CSJMAOMWu36k5EHwiFB9efvi2LR/Za6/U2K0Gf52Z35OUrz9SX5zWwne7Tm2HZWRJJfuLapmMRoCgE3xbIqk5EFwtciVGZFJxMjHxataehjYqRRn85kJIENdoCRKCv4MDKpTWc6dke/V/8iKz2EW1+lzixujRXmS4BZWSN8H1lnGgd0n5Ua9tGDUKvQmZWDmbAxzvv1x/4wCp2eFTliZPl2EFjRYOBYI+kzxt7YG8S160yto9oQMdYMMGq160xGHgiHBNWZn79oh3rR6fT0xQLmas+HZ7SNgNtmWeHJyALhfBHC07i8yciER3J2tGWgC5xE6hOdjCSwkQ8wFsJ3OxKVjso2J5XaVGfccbVLIhdZ2SF8/CpFZ1zoFPNtt6ysEX6PLDpN47nPygz75EGYVWjOyrFM2BhnjfMnJJdRVL49Gty9fvuWxgpoTalftwzsUorxPEVTx7wZKEYqTpvmtVjPU7HOz60SowLl4L3J+9nC40c6nJuBfW6binXBsZnBLufXsrbRwGnvBEF7J5QfQ/Uxbu9ErnwT8i1q78Ty81h+Hkd6Z0dm6eNZwvt4FLVdSW1XUtuV1HZD9TFu70pqu5LarqS2K6ntSmq7Bmq7ZGoCTw3e4yOZ7Ulme5LZnmS2F6qPcXtPMtuTzPYksz3JbE8y2zMw2yMzgz9HdBeddRdKholkmEiGSag+xu1EMkwkw0QyTCTDRDJMDAwTKsOFvrIKhrgp2ZW0upJWV9Lqhupj3O5KWl1JqytpdSWtrqTVNdDqkmnBowqy5UyyOpSsDiWrQ8nqMFQf4/ahZHUoWR1KVoeS1aFkdWhgdUhidSIE1bbpzLCNayMovUTGcYzDAsNJip8msOepYOfD0pJ7zr5Iv87uOPnHWd+YYe9Y9kGG2mzXmdpE9ih9mJ0lmJ1OLb/KL4LO1mQMm9IeZ1uwZidcq+9NfpHdGv2gWL95ormI5fnJ+wCzL3X23KTacz4ArmTHmQ7ha1SEAoUQgC79Kn2cfn9OHV3xleV3nBboApy2etn9Yt/gw2yznBqN71vCtuOWpDD5MHsXdOL8IIw3Rnd6N3utm707vZ/85Hr79ODfb22O7ozevn63tbnV8rx2y/bVJrxH2cT6OptUasI9t/JvqvW7dl5afpRPyPRJyzXuP9yi2hrYwo9YyzJsXaMCBDbiY5aoTFvXqBCBLfjLLT5Rwc1LpyW3rjmh1/H1a0pUhI1tXQtkjhF48s2Xb8WxaIFTtn2NTBGoDPDb11xbXcCjjbhvkNEC9QFu/1rgTPevBcZr8S6RIQNVwnKZa7EWFzhr22YOO2QOwMhMyEuL/SUS+KkhMO5fI1MQSArg6SOtuj6FtZBWUtECgx94QRPgdBLpdBLpdBLpdBKQ09kn0wOGTtweNjcI3U6kHYjLZKTACArfxDZzNpfND+oBGS4mppLmTbFQXO5oEip+3k1sMydzudzJdMnwgcEUuaIgp0xX72AOSUgzde0Pw3Aw8qy+E0WWHwjX6nmjvrq9dej0g94wEoOcjHEN4WZvdc0dKkc3rCS4OIZQarrVhhJGmBUHHY/znDwQhT/oYsTiJraisUO/ly1PUdX6wUO18mDJD/llB/mrHst/+C5/lc44m5zGEXDjwPN2HYstThaIKiciIzZ1d3AyYenusDtK4C0yucDJpLb2Dk4S2CIzYDBcmffp6+XbnExq6+4I4o7+bOSLrPQQXn4VyeQ0pSxu6gzM966yskY4PnA2BB7QfVZq2EcPQq28v6N6MBM2xpnsHLix57pO3xrG3sDyfde3Ivl7rZHTj+N+6AThqJjmtclOraPaCDysGWDUapedjDwQDgkqO4HXrlZXKHTG2OQ0hoAbY1mZycgC4W1XITMZmTDJTMM9rJxM6pOZjCSwsQ4wGL7X8UIdkW1OIrWpTN/uxAaVyUkP4dRXqTKLmzsD8zWsrKwRfo+sMo0Dus9KDfvkQahVqMzKwUzYGGcqM7TH7lD4favXF8Lyvb4vtalnWz0xjsaRGIV2XDjV2lSmpzPDRuBjzQCjVrvKZOSBcEhQlanrsXmsepu+yb79XaY2T/fMTLe1/SZrr/poeg63arjJ/0HfkJP9m1s05OhMt8lpOgE33bKalJEFwjcjNKmpGYiRCIskVfcG65hc4GRSnyRlJIENjJDBiEQncLVBfpuTSm2iNA5sw622F1n5IYLAKlWpXwgZ85WmrKwRno+sSs0jus/KDfv0QbhVyNLK0UzYGOcHx47CoB+ObWsYuY7lu45n9ey+sIb+MO7bUeRE40KG1iZLta5qIxBYM8Co1S5LGXkgPBJUln5ZdHhnp3XlxyQUl8MwHarAaR8Bt8+y2pORBcIDI7SncT2UkQmT+NSq6AucROrTnowksNEPMha2b3ciQwM8I5XatKcTdDwtvYus9BCOfpXSs7jCLjBfSMjKGuH4yNLTOKD7rNSwzx6EWoXyrBzMhI2xkp5linJ1O0ENhfSgjJgn5ok1uxOUCHbeR/zXTtCMyCbVnj7MnqvYCUpEKFAIAehO7QQV8J2g2eKyl+32bOe7PdvTpeudfOm69Wq+ai1H6ZH69dlVinJuPWpFtm3/oHw3aKdlu1W9FobdoJ1W+ls5U9/N7mV8nh9JfKJbWHHLOD3NblF/kl+0/ryVNw1n17rL357h0jYNb1GHDri3BqHnTWvJRIDA3TEYmW7cWEqECNwWs6QAJ4LDbIIBWM/z3E4kdAi3qQib21gatneCSL7F7Z3QLvZ4ld6LSKYIFBor3lhKRQuUG8iNpbOLEQPzxYhkyEDRsYqkRDJZ2zZz2CFzAAb6JTaWzi5GDMovRiRTEEgK4Okjrbo+hTWHdo+MFhj8wDkdwOkk0ukk0ukk0ukkIKezT6YHDJ0r3FhKRQqMoIiNpbPbEc0P6gEZLiamkubNNFUudTQJFT/zxtLZ7YjlTqZLhg8MptiNpcF6V+9gDklIs1R46EfjoTO0RBTFlt+PXas/ihwrGPTF2At6ttsvnL5xSaJkQYayLGHaWFp6Sc8iQyi12otcjDwQa5/QtY0vXySv+qUFlRvOJbAyT215L041asemw4Y2OY0h4MaAp/06FlucLOYFQAmLFWTAjESYClq2tlPzAieT+ipajCSwq+qAwfB8Kbs8bXza5qRSW0UriIJOoH1yLrLyQ7j1VWSP0xyyuDgvMN+CyMoa4fnA6Q98RPdZuWGfPgi30tHcrx7NhI3x2eymMlbAIqwZYNRqF5qMPBAeCSs06+umYrSPgNtnWe3JyALhgRHa09hNxciESXwauqkYidSnPRlJYKMfZCziONQvHGxzMqlNepY0U3HSQ/j5VSrP4iq9wHwvIitrhN8jK8+SZipOathHD0KtQnhWDmbCxvhsnmHimnaXxlgzwKjVLjwZeSAcElR4Mp9hwmgMATfGsiqTkQXC265CZTIyYVGZ5jNMGJnUJzMZSWBjHWAwIq/jGq7f5mRSm8wsOcSEkx7Cq69SZha35wXmmxBZWSMcH1lmlhxiwkkN++hBqFXIzMrBTNgYn80Tml3DbtGw9LIqnRlg1OqWmZw8EA4JKjPrPaGZ0zgCbpwlZScnC4T3XYHs5GTCJDsNJzRzMqlNdnKSwMY+wGD4cSd29VtFOZnUJjvNJzSz0kN4+RXKztDOlUr+Ucd6h5U1wvGRZaf5hGZWathHD0KtXHZWD2bCxji7gbs9czhqNtd0iag2A94InTKijjdPtJato7Ee7Hkq2HmfseTW0f87eV/qP9VFKT8WS5AndonK730otd6zbO+o/KD27P26+FIKx+yV97Mdo7MNos+UJsy+eEDfZpoLU/Wdp5NfduSrJu+3nKAt8usps31/rmO8Q3KTalwfZtwV7COlIhQohER0W1R0wN0iCD1raBSlAgTu94DLVPNWSSpE4EaPJfUnEdx8gFtyq6Qv/I4QOoTbVISNbZUM3fZO6Mk3X74V1+GFpXdwkikCAyt+q2SkrmLRTuc3yGCB0RW3UzKcXcEZmq/gJEMGxthVaHLJZG3bzGGHzAEYyug7JcPZFZxh+RWcZAoCSQE8faRV16ew5tDukdECYx84pQH4nET6nET6nET6nATkc/bJ9ICRE7dT0rFDrxNpHc5lMlJgAIXvlJw5m8vmB/WADBcTUknzZpopljqahIqfd6fkzMlcLncyXTJ8YCxF7pSUU6ardzCHJKQKat/r95zIsS3PCUaW7ziRFdsyKx+M3HgoBpFnh4UPMmbgJesRlCzcsFMydHEModR0uXoJI0y+ruNxnpMHYukPmsp/qVrSVXu6Sq+LPHzy8zwTV+1BWRdR+mX6B+0OqU1OtgLOdtnMlZEFYuESkeGqk7q+6bT0Kxmvc/JhqdvIhFjomFzgZFJf3YaRBHbxGDAYfhh23NBQuGGkUlvhxlFXh+roXWSlh/Deq0gSp6licRtjaL5ak5U1wv+BsxzwgO6zUsM+exBqFYWbysFM2BhncjIKIncQDkOr74W25QejsRUP/L7lxZ4dj+NezxsVbrU2Oakd+I3Qw5oBRq12OcnIA+GQoHJysV8o/U36u/Sr9Iv0cyv9TH3INjl+ln6VKUsd501OzgLOeVlRycgC4VQRotLYBsTIhEVOGrvPOZnUJycZSWBDGmAwHMfrBPpdY9ucVOqTk7bT0R9wdZGVH8J9r1JPFvcuhuZLNFlZI1wfXU8aR3SflRv26YNwqxCUlaOZsDHOBKXTH3tSZ/asntSgluOMIiuyR75l28IWQRQ5sSjkVm2C0tOZYSP0sWaAUatdUDLyQHgkqKC8lz4qznErGozU8RrP82+l38mvH2Q95xK7FC9qqfKZTI2yJUx1S6b6OTH5UJh7fhitIeDWWFZqMrJA+FuE1DR16DASYVGajr6acYGTSH1Ck5EENtQBxkLYdsfWryNvc1KpVWi6BqHJyQ/h1lcpNIubFEPzvZisrBGObymhqR/RfVZu2KcPwq1CaFaOZsLGOC+E2yJ27GhkBcFgZPk9EVhxGAhrELv+yB/Y/ahfRIjahKavM8NGcU8qwgwwarULTUYeCI8EFZq6nvb0G3VdzuS9/NC2ya8rz3SbXp1jPNOt3fJs0zrbJqfFBNxiy4pRRhYIn4wQo8Z1T0YmPGpUR+MCJ436tCgjCWw0BIxEbMfawdjm5FGbEA07sTZ/u8jKDuH0VylDi2sVQ/MdmaysES6PLENN47nPygz72EGYVYjQyrFM2BhP9z1OH1IlLmva+GjQmUEp04UdnrVsfHRsw6WZVLTzTmPJnY+/lzpP9UY+KS4WnJ77+yi7aTD9Wi1NTj5SFyB+lv6mUIsvXn1qn2T+jw9a2c2Hak3TcCYGkbgPI76KXYlEhAKFEIDu1O2WTna75QnDZ72t70+lPOyUknbrYONSK7Ztr62uyvyD02452QnPnVZ+lF528eT9LB34dafVvf7jH79z5/qNXktC+Z38gXs6g21RDTYfCvg2ShIBArd7IASteaMkESJwn8eSYpUIDrOrA2C9IIw6kXZ1aZuKsLmNkmF7J4yKzUqld0mSqQEDMH6DpO9Gxg2SVLDAKIzcIDm7SjI0XyVJhgwMxavQ7pLJ2raZww6ZAzCqLrFBcnaVZFh+lSSZgkBSAE8fadX1Kaw5tHtktMCYB059AL4mkb4mAfmafTItYKTEbYwUIuj4hn2RVKDAeInYFzm7QdL8fB6Q4WIiKGm6TDPJUv+SUPEz74uc3SBZ7lu6ZPjAEIrdFxmsd/V+5ZCENNOBXjTyev7AGvlD2/KdwLN67rBn9QbjMPJ7QRD36i0H+aZ9kSGOIZSaLpUvYYRJ53U8znPyQKwMQhP9U5kjJFV8kfwVVaJp5ph/tX+w93pr6/BgrxXqzLPJaR4BNw882dax2OJkMa8ESlggMmBj7YeRCUvtx9b3LV7gJFJf9YeRBHYZGjAWru11AmFoeWekUlsBKBZ+x9fOt4us/BCOfhVp5DSZLG4hDM13SrKyRng+cB4EH9F9Vm7Ypw/CrXQ096tHM2FjnJ+5Po7sYCxfNnbtseUPgtiKhnFsDUYj3w68cc/265ae2mXgjWIPOMIMMGq1S09GHgiPBJWei3so9Yet5xdI/j79OGsy+jT9g3z7vBCfl/Yt4bTSj3X22OS0h4DbY1mtycgC4XFXoTUZmTBpTdMx64xM6hObjCSw4Q4wGKqHOHJjHZVtTir1iU27oz9G/iIrPYRnX6XWLC4eDM23SLKyRng+utY0Deg+KzXsswehViE1KwczYWOstGaZhFxde5HQEdsI4zJiXjBPrOH2IiJaYE0TKv0aaC8iEvdhxFfRXkREKFAIAehOtRd5C+1Fz9Nv1IbU/ILNfO/pYgOR3XZOtg9luweK9iH5gj/Kzx9Ksf+N+n3/lt6zHE+bmW1RbQKspiI0ramDiAhwXq5ydhARIQIroktqUCI4TP0TYD0RBR2TtCQibKyDKLLbO5FTVPXj0g4iKjVgjF1tBxEVLDDQIjuI4lkHkfFKw0tkyMBouwo5LpmsbZs57JA5AAPnEh1E8dqpITB3EFEpCCQF8PSRVl2fwppDu0dGC4x54GwG4GsS6WsSkK/ZJ9MCRsrVdRBRgQLjJaKDKJ51EBmfzwMyXEwEJU2XaW5Y6l8SKn7mDqJ47ZTpzR1EVPjAEIrtIIrXu3q/ckhCmuUXrt133XHPsh2vZ/lDEVuxFwaW7cWR3xNOMIgKX2/MwUtWICh5uKGDKCq/ym2BIZRa3WUcTh6IxT5oLo/vIMpS9jxNzD+X715Jv0w/Tn+ffiqzzz+mH6sc8U8yAf1U/ZPaZfKnlus5tmX7sSUcz44d27Fc2/HbrVbiBaHOkJuchhRwQ8Izbx2LLU4WiFVQRK5sqv9wMmGq/+h7jTiJ1Fb+4SQxLy5KSEBTdCcUnSjSPujbnFRqK//Yhsz3Iis7REBYRbpZJJ1RcTFrZL5ll5U1wu+B86X58fSCqBNqR3SflRv22YNwKy//VI9mwsb4bHYaCUOnUVR6vZHODDBqtUtURh4IjwSVqOydRpz2EHB7LKs0GVkgPO4qlCYjEyalaeg04mRSn9RkJIENd4DBiMJO7Ps6JtucTGpTmuZGI1Z6CMe+SqnpFOLEfI0sK2uE4yNLTXOjESs17KMHoVahNCsHM2FjrA42aucyq6bzjLRbQTcit4ygY15yhuHEaMNTDUdaxXueihZYAoUqwOUbjtRpl5mAfJpfGgltPKIawIcZYAWNR1SEAoUQgG7WePSlOteoJeX3GTnIiGohYEkWIXgNbUhUgMDiKlzHmtuQqBCBZdUlBSoRHKaICrCeb0u3b1jiJCJsrg3Ja+9Eft4aELllbUhkasDIS2hDCnxTGxIZLDD84tqQInfahhQZb0q8RIYMjMGrEOuSydq2mcMOmQMwjNLbkCTwU0NgbEMiUxBICuDpI626PoU1h3aPjBYY88C5DsDXJNLXJCBfs0+mBYyUuDakwJbaWd+GRAYKjJfwNqSZj7lsfj4PyHAxEZQ0XaaZY6l/Saj4eduQZr7lcrlv6ZLhA0Mosg1JTpmu3q8ckpBmWhqUpSsyxsy8ZH2Ckp2b2pA8HEMoNV0OX8IIk8freJzn5IFYCoRm+Pw1HkZ7CLg94Om0jsUWJwvEUici5TXWeBiZ1FzjYWRSX42HkQR2oRkwGIHd8XytA9/mZHIWajyc9BCOfRVp4zR5LG53jcx39bKyRjg+cN4DHtB9VmrYRw9CraLGUzmYCRvjs3lkZmDqJvKxZoBRq11pMvJAOCSo0sQ3vC93ZCaneQTcPMsKT0YWCP+7CuHJyIRJeHo6Ihc4idSnOxlJYIMfYCwc1+4EkUF4MlKpT3iaj8xk5Ydw9KtUnsV1r5H58l5W1gjPR1ee5iMzWblhnz4ItwrpWTmaCRvj+s4x0qqMjUiUEfPCeWINtxUR0c57iZe3rYhoAB9mgFW0FRERChRCALpTbUWCdppRaRcR/Dwjqk2ARVWEuDU1EhEBzutWzkYiIkRgYXRJNUoEhymDAqzne2EnNIhMIsLmGomC9k4UFsV9UdpIRKUGjLWrbSSiggUGXGQjkZg1EhnvjL1EhgyMuqvQ5ZLJ2raZww6ZAzBwLtFIJNZODYG5kYhKQSApgKePtOr6FNYc2j0yWmDMA6c1AF+TSF+TgHzNPpkWMFKurpGIChQYLxGNRGLWSGR8Pg/IcDERlDRdpjliqX9JqPiZG4nE2inTmxuJqPCBIRTbSCTWu3q/ckhCqqDa7tCLxo5j9fu2Y/mDKLR6IvKtvuM4UvJHgeeNczLGXLxkJYKSj5saiQIcQyi12ss7jDwQq37QnB5f3lnteUZ56ukEOltuctpSwG0JT751LLY4WSBWRBHpsrEWxMik3loQI5H6akGMJLCr0YCxcDyn4zna8djmpFJbLch8pBEnO0RMWEXGOc07g6J2YL6Nm5U1wu+BUybMkUac3LDPHoRb6WjuV49mwsb4bLa7h6YmpBBrBhi12lUqIw+ER4KqVP52d0Z7CLg9llWajCwQHncVSpORCZPSNLW7MzKpT2oyksCGO8BgBKITCG3hf5uTSW1Ks6TdnZMewrGvUmoWN7tG5nt6WVkjHB9Zapa0u3NSwz56EGoVSrNyMBM2xupIo4x2IR3FtdrONtKO7UZUfktcNM+0niYkR3/123kqWmA5FCoFv8zWKL8p+ogezNqKCin4oVq+zC/hOtWINHeDmvyB1uQXk/eljFQ9MPLj5F352aP8n930WfpMZ4RNqhF8mBFW0YhERChQCAHo0v8rrawaxp5Kuz84dY1du5V+Lf/pWzVqmWTPm7/SP+sYbVEZzTtuvjYiIkBgcRQuQkvaiIgQgWXRJdUlERymCAqxnh2KjmeQjUSIzfURxe2d2JZvxX1FUVTaS0SlBwyZ+F4iYRvvRiODBcZNZC9RNOslMt4He4kMGRg8VyG3JZO1bTOHHTIHYOxbopcoWjs1BOZeIioFgaQAnj7SqutTWHNo98hogYEPnK0A/E0i/U0i/U0C8jf7ZGrAkInsJwps0/1oZKDAwInoJ4pm/UTGZ/SADBcTSklTZpr/lfqYhIqfuZ8oWjtlenM/ERU+MIxi+4mi9a7etxySkGaiGpRrKzLGtLpklYGSWpv6iWIcQyg1XQJewgiThOt4nOfkgVjQg6bn/JUaRnsIuD3gebCOxRYnC8SCJSL3NVZqGJnUXKlhZFJfpYaRBHa5GDAYTuB0PDvQUdnmpHIWSjWc9BCefRW54zSDjIvVffMN26ysEZ4PnPyAB3SflRr22YNQqyjVVA5mwsY4l5q9XtT3+rEVBp5v+fY4tnpiIN/ZrjMYeWIcTvPy2qSmvikoLr3uTWsGELW6pSYnD4RDgkrNP6kqUFY3eNJKn2XC8teTd3NpOVWSf+mlz7JPXTH50BUtY2GHk7uAc19SVnKyQDhXuKxUNTgdk9c5mTDJSk9H5AInkdpUJScJbGQDjIXnup3A0e8I56RSm6oM/Y7+zIWLrPQQTnyFqjIuLlyNzdfnsrJGOD6yqjQO6D4rNeyzB6FWriqrBzNhY5ypyr4TqVOIBpYQ8gf8nte34v5oYEW+NxqPYs8ee4Nr9apKbeDYiEuvdtOZAUatdlXJyAPhkKCqMutambx/omtFyszH6ffqvKP8bq5CW6Zfy1c8fbElUupRdULOz+TbP8q3d/OXz7ZNZi1H6Zfpp+lnVrbm+XH6efqJfP/H9Kt2y7NNC2ybnPYTcPstq0wZWSAcNFyZGhc8OZmwKFNH3354gZNIfcqUkQQ2OkLGIvZEJwj0C56cXGqTpo6MaVp6F1npISLBKqVpcUNrbL5ul5U1wvORpalxQPdZqWEfPgi1CmlaOZgJG+P6zsOMdcQ2YreMmLdArNlWdCraeSfxUreiU43gw4ywglZ0KkKBQghAV9qKrhR7ptx/UXQllDajUzkBe/IQ+tTQjE4FCOysw8hOUzM6FSKwp25JQUkEh+mgg1ivpBmdCrGxZvTYa+/ExY2VcentuGRqwIC50kZ0Mlhg1MQ1osez23Fj8+24ZMjA0LkKbS2ZrG2bOeyQOQAjH70RPZ7djhuX345LpiCQFMDTR1p1fQprDu0eGS0w6IFTE4CvSaSvSUC+Zp9MCxgqV9aETgYKDJjwJvSZj7lsfj4PyHAxIZQ0XaaJXql/Saj4eZvQZ77lcrlv6ZLhA0MosgldTpmu3q8ckpAqqOOhiOPRILTGvf7Q8lU+3Xcdz4ri2B6OgkAMxyInY0yoS5YTKEm1oQk99nAModRqr+Ew8kCs3EETc00N5/usVeixzKYfqR6hrCQjc8APiiMuT+SAebXm/8tOs7wn336ffvZDFU1e1Hvye8z2vfCKzlibnMYScGPB02Mdiy1OFohlS0RCbCzYMDKpt2DDSKS+gg0jCeyaMWQsSgs2jFxqK9i4XsfTLgpfZKWHcPurSCqnqWVx3WpsvjuXlTXC84GzIvCA7rNSwz58EGoVBZvKwUzYGJ/NzZCxqUPdx5oBRq12HcrIA+GQoDqUfTMkpz0E3B7LSk1GFgiHuwqpyciERWoaN0NyMqlPazKSwIY7wGCUbYbkpFKb1DRvhmSlh/Dsq5SaxfWqsfmyXFbWCM9HlprmzZCs1LDPHoRahdSsHMyEjbE6t7KdR7Kajqt0tHWIjViUMXTieYZ1NQlpPeZ5Ktp5b9FMk9Cpm3LvL9sqRDSFDzPFKlqFiAgFCiEAnaZV6PRQ4M6upPICVk4RktXULkQECKyBwpVoSbsQESKw+rmkxCSCw9Q6AdYLHV+6Qx3CbSrC5rqFgvZOXFxLGZdegUumBgydhG4hPzB2C1HBAsMnsltodgVubL4ClwwZGENXobYlk7VtM4cdMgdg8FuiW2h2BW5cfgUumYJAUgBPH2nV9SmsObR7ZLTAmAdOVgC+JpG+JgH5mn0yLWCkxHULhXbciQzdQlSgwHiJ6BaaXYFrfj4PyHAxEZQ0XaapX6l/Saj4mbuFZlfglvuWLhk+MIRiu4XEelfvVw5JSBXUfn8w6o292BK+P7D8MBpbvcAWlu/0o6HT7w09UYyFMbUuWWAgpdemdqEARxHKTZeEl1DCJOI6Huc5eSAW86Ap+irKNOmf0s9l9v6FfP+Ves1/yC/utS7tl9RuGI0k4EaCp8Y6FlucLBArmIhE2Fi7YWRSc+2GkUl9tRtGEtj1Y8BgOHbYcTzteGxzUjkLtRtOegh3v4pscppTFheixubrbVlZIzwfOB0CD+g+KzXsswehVlG7qRzMhI1xJkA9V/h9vz+yegPhWX7Pja3e0PWsOHT7o1D0B67fv1azADX0CYVYO8C41S5AGXkgPBJUgDZ55lDr1fPbO9qnYpPTigJuxWUVKiMLhJ9ehUJlZMKiUI2N7IxE6hOojCSwQRIyFm4kOoFa1V7kss3JpTaFWnLyECc9RDxYpUItLlKNzbfisrJGeD6yQi05eYiTGvbhg1CrUKiVg5mwMa7v5CH9gbwbcelVRJ55BRoGFKMlIV1FRLTAiihUMZ6JriKiKXyYKVbRVUREKFAIAegAXUXIY4iIzIA1VoRYNfUVEQECq6UYDWrsKyJCBNZJl1SXRHCYqijAemV9RUSEzfUVxe0dx7aLYn/pfbhkbsDoudrGIipYYARFNhbN7sONzffhkiEDw+gqhLZksrZt5rBD5gCMf0s0Fs3uw43L78MlUxBICuDpI626PoU1h3aPjBYY9MB5CsDZJNLZJDBns0/mBYyVq+ssogIFRkxEZ9HsMlzzA3pAhouJoaT5Mk37Sh1MQsXP3Fk0uwy33Ll0yfCBMRTbWRStd/WO5ZCE9GwWdhxTZ1GMowjlVnthh5EHYiEPmqaf1cIOoxUF3Irw/FnHYouTBWJ5E5ErGws7jEzqLewwEqmvsMNIAru2DBmL0sIOI5ezUNjhpIeIB6vIN6dZZ3Htamy+Q5eVNcLzgRMm8IDus1LDPnwQahWFncrBTNgYn9Hed8fQeuQUq1sIQ8DI1S1RWYkgfBJUozbT/c5qJQG30pIalJUGwhWvQISyUmFRocYGeFYqtelQVhbYWAgYjrIWeFYutQlRcw88Lz+E11+hEpWccvVSfKIjvsNLHOEByWLU3AfPyw37BEK4latRyIAmfKTVOUY/PeFBjYrz7dHg7vXbtzSGQAtObelaas3Se9xce56jqefIjBQjI6dtR9pZeJ4Mdn6ClZgVKBU/SR+lz6RMVGLxfvqfmSZ81Jq8K7/4WnWzTD7SMZBazzm3Taax4P3MPJZzflmTgESjugQ89c5X74R6F6h3ockDUon5eGLwco1is6vY7Co2u4rNrmKzq9jsmtjs0tkIPBt49UaS2VNk9hSZPUVmT5HZU2T2TGT26GTgzw7dN2d1YkUqUaQSRSpRpBJFKjGRSsikFuqCFaRwc62rmHQVk65i0lVMuopJ18SkS2cCjxjIKqEkcqiIHCoih4rIoSJyqIgcmogc0oicSPEUn1rO9vMM9UEJtJSBaxwKGFBSOOwEerTnyWiB7UPEeNhS1bn8phG1YKKaN1uqkTYLkM/Sx5Ofy8/fk9/J/uF7dR+J/MEn6WMdyU0yyfmwwtdfS4YoUBCJ8LbI8IANQ4hFF0OXLBkhsPUHvpZibpMlYwR2/Sy7SEJEh2nyAdjPFdJZhTqI22SILJ2yi4to+nG/SIcNDF74JtjAjU1NsHS0wAiG64KVf3XaBqvkhKkPlo4aGMlQGRF0auzQYQNjEyHfKdrTJIK104Y3dr/SWQgkC/C8UZZdnwFbTGeogIEBjbyGZpop+3TIwAiHa26NnLATapFepiMFxjl4d+sL53G5xHkc0BFjYt8qp0NChszb0/rCaUwNbuxqpTMARkVkwqrmygzUYl5KAauWadsziVljaqolIVNTr5SEb7Q4DCgtNQ2NqSkRLTCgryY1nXw0+TDfL/pk8q784v30sUxJX81uyPwu25P4aPJB+iy79vJZel8msM9efLc1ea81+SBLZlXPwLMilVV/Sn77vfS+9snZJFsGqBlWks8SIQoURCK8LTI8YPhfRT5LRAiM9qvJZ4kYgXF+2XyWiA4T0wH287y442irZ9tkiE3ns1TYwIiHz2cd4ZnzWSpaYNjD5rPei3zWeN3iJTpqYPjjymepsIGxaZl81ls7bfiSfJbKQiBZgOeNsuz6DNhiPksFDAxoHPksFTIwwuHyWSeOOrEpn6UiBcY5TD7rvchnjc7jgI4YE/tWOR0SMmTufNZbO23wknyWygAYFdH5rLc+A7WYz1LAFvlsMUlqzGe1JGQ+65eSCIwWhwGl5bOxMZ8logUG9KXy2adZl7pKWL9R+yGz9FYda6QhskkmAgzxK0k/iRAFCiIR3hYZHjBaryL9JCIEBufVpJ9EjMCwvGz6SUSHCcEA+5Wmn0SITaefVNjAAEVIP6V6tLVu/w06WmCUwqaf/ov003gF6yU6amC04ko/qbB9JGyCkvTXThu+JP2kshBIFuB5oyy7PgO2mH5SAQMDGkf6SYUMjHC49NMVYcfXOpDLdKTAOIdJP/0X6afReRzQEWNi3yqnQ0KGzJ1++munDV6SflIZAKMiOv3012egFtNPCtgi/ZyqjxrzTy0LmX+KUhYLF5XXkn+a7kQ7T4YLDOnkBHSu6NlKH6ZP1dE8czXU9L6O1iaZlg+jtZJ0lAhRoCAS4W2R4QGjNyIdVQsP33Ra+nOSXycDBcbs1WSlRIzAaL1sVkpEh4nMAPt5UdwJhQ7iNhli01kpFTYwbBGyUjvoFIeiLGalVLTA2IXNSsWLrNR8izYdNTCEcWWlVNjAELVMVirWThu+JCulshBIFuB5oyy7PgO2mJVSAQPjGkdWSoUMjHC4rNTx4o6tdSCX6UiBcQ6TlYoXWan5emw6YkzsW+V0SMiQubNSsXba4CVZKZUBMCqis1KxPgO1mJVSwE6z0vq7fLUsZFYalLHwwEcyrDYrNbf5EuECQzo5KwVtN1VHdmW3wzxSrcA6gptkgsDgv5L8lAhRoCAS4W2R4QHjOCI/NZZLiQiBYXs1iSkRIzBgL5uYEtFhgjPAfkLmTJ5p9ykRYtOJKRU2MHLhE9PQC83dulS0</t>
  </si>
  <si>
    <t>wPCFTUyDF4mp8dbjS3TUwCjGlZhSYQNj0zKJabB22vAliSmVhUCyAM8bZdn1GbDFxJQKGBjQOBJTKmRghMMlprFQdQ4d0st0pMA4h0lMgxeJqdF5HNARY2LfKqdDQobMnZgGa6cNXpKYUhkAoyI6MQ3WZ6AWE1MK2GliWszrGhNTLQuZmJbevOq5RpPDgBIT08iYmBLhAkM6NTGd/GLuKpTHrTwRTR+rxFR3AenjrMnXdK3pNH/VWWGTbAWgQlhJ9kqEKFAQifC2yPCAwX4V2SsRITC2ryZ7JWIERvVls1ciOkwEB9gv9qKOr/W+22SITWevVNjA8IbPXp0gMpdVqWiBMQ6bvYYvslfjjeiX6KiBoY4re6XCBsamZbLXcO204UuyVyoLgWQBnjfKsuszYIvZKxUwMKBxZK9UyMAIh8teXSfuBKayKhUpMM5hstfwRfZqdB4HdMSY2LfK6ZCQIXNnr+HaaYOXZK9UBsCoiM5ew/UZqMXslQI2O+I++0/+819fHw5HtzZlgref5XeKQtAfuP1+z7ZG/lhYfmSPrSgKx1bP9+yeJ3xnOOzlr5xlvK6YYz+6MZpNptMGyP8iOGgtmuRw59WjWDt6R/pLUhXreUtAWWZDO+9eQeTgs1QxOtYzOmZiNO99QYzgs1YS2tjQM9rYYKB0UuiZ56T5BO6VzElHf3f2UVzyjIow1D6julkHgo+cdQbMx1TM8/MKhBk5rwyY5YQjgM5mTtMTx2kfefpj24+KtXgTKXOXTy2zx2kfG4Afk4HXMoWc9saGAbmaYAToJzVAczPJbR+5ajb5htnklDIz33dey2xy28eumlF68Mdk8LXMKFfOKDebVnr4atIR8J8J/+S1jxyD4nLcMlKRudhTy4zy2scG4Mdk4LXMJk9OJANyNdcI0M/ERDK5Ja+UkNPsJDK5IyroWiaQ0QlRUJ9csFkodrrABdacDHgd25DL7zt+fp2r0zGeOv1mcdG4iaRnHBrgqusJKvDJNF2AqMZ/hYzfR+OHIz8AIL9KRi4wyOluKKeSAKgckakAF2NJHinH3wXgPybjB67MUpyTNOr6FNiia6IAVohhdzuejnzzTutmMZvYHNfUfeXbaOTglTowgTMF1AbaR62S+vKPm6icrkdslPPMTIiR2x8JKx70HcvvC9eK/KFr+bHnO27kDKJ4/sbP5qZIAJoiAdZeMBs0NUUCwBThopxNkVEchnYUx1YgBpHlu17f6sn5JF87HkWR3xtFw/GZmSIhaIqUVQe09oLZoKkpEgKmCBflbIr0Ym/c88OeFYWRnESOiKXHEaEVhj3fj3t9MQwXUqzGpkgEmiL6xfgSe8Fs0NQUiQBThIuy8e7outNs11CIcEoXyCPzMbp1pNkG0Mdk0HWk2QbQau2GgFrBjq81mmVrnYRbuh4emc+/qiGddu3KJ/4KGb+Pxg9HfgBAfpWMXGCQk92N1suQMdeQNwNsfkzGz5k3u/b6FNiCryEBzptA2rOe+uaClds+8gyh2i2tmETNls4l8GMD8GMy8FqClipVGZCrGhYB+lkoLrhe+8iNDBOpvGLSbBVdAj82AD8mA69lIqkqlQG5mmYE6CdlQ1MaaFppcL3KYPGmW1pOic1VxDqkUTX+K2T8vNKoGvlVMnKBQU73SUVGCqByRKZSh2Kqxn9Mxs+qmLz1KbBF10QB/LItI7s+ZAFIPcgYU0Bt0NACkFtdGDtio5xNkcAfhuFg5Fl9J4osP5Cv7Xmjvnxtb+j0g94wEoMzM0VAxSg1jDh7wWzQ1BQBFKPYKGdTZOi7oQhDx/LcQWQ5zmhk9eRvtoZOEDi9gd3vxwtZWWNTBFSMUpEIZy+YDZqaIoBiFBvlvKQ9CoN+OLatYeRKj+M6ntWz+8Ia+sO4b0eRE43PTKXBBRWj3NLKjM5eMBs0NUUAxSg2ymqONJkYVVdZ3nTLqiyB12gLFgD/FTJ+H40fjvwAgPwqGfn8Q1StxpeYRAmAyhGZSh2JUTX+YzJ+1sQoWp8CW0yMKIBfungVg+JVWQVPYwqoDZqKV3HldD1io5yr3tFARGEvsoKxP7L83rhv9YfyXdwLQtuJBr3QPTOJkWdDpohXVnjR2gtmg4amiFddHDtio/zS5c6eA5oiZdUUrb1gNmhqijiAKcJF+cz013iegXlpxSNudhuLAfQxGXQdFSYDaFW+JKBWsBvexaJ3EuXL0Y3mSl71+v8VMn4fjR+O/ACA/CoZucAgJ7sbvZehYq4hKQLY/JiMnzMp8rz1KbBFX0MBPOuvUeeZNRutRPvICwwRyy+l1mxHqAR+bAB+TAZeS9QSqsFGj1ztDydAV9gbbovQsXnTE6VkGm0N9aoLPVfI+HlDVzXyq2TkAoOc7Hv07oaKuY7QVW3zYzJ+1tAl1qfAFn0NBXBxurXpcOtG3U1QysfcDleHu6kuGl4h4+d1N9XIr5KRCwzyFbsbKuY63E21zY/J+FndTbA+BbbobiiAZ0p5+pA2p5Sj9lFgt48c2zHI5fKCbrPHJ0n0xxL9sQn9MRl9LZo5kppZwlenb+nxqwO7CAQUg6Zb0724feT78k1+FPKjMKVjpeU3G94ICuKDnV9x+1iSOJYkjiWJYwOJYzKJWqZZLGeYZCHfqc+E+sxARM1JApMzkKlN+zS86prfm15pzc92jaNVh6Kqxn+FjJ9XUVUjv0pGLjDI6Z5rWvKppnJEplKH0KrGf0zGzyq04vUpsEXPRAGceabe0I2dsW1Fkd2z/KHvWP0wGFmjwI1d3xVxPyp8lNlp3ezVU2H1QUV4v7QivWgKqA20j1ol9aUfNx9QhGejXJymZLti6ISW549iyxc934oGgbBiO3ZD1+kFnjM+M1MEVIT3SyvSOnvBbNDUFAEU4dkov3R9Gr4LmiJl9WStvWA2aGqKuIApwkU5T7nkv3iuEJbo9wL5ilFo9fuDyHLDeOT0HTeKe2fmTDbfA02RsjKg1l4wGzQ1RapLtUdslKdrzIX+azpR8qt3jb3p+6W2MFcca0iUAPivkPH7aPxw5AcA5FfJyOcfqmp1vsQkSgBUjshUakiUAPiPyfg5EyXfX58CW0iUSIDzyQPZ8nlG4hdoG6cvcKaA2qCp+FVdrz1io5xPkbjXj23bk7HO95QICq2o31M/EARuZAuplkZnZoqAtnEWF1xi7AWyQVNTpLrGdsRG+eVLlEDbOP2yGozWXjAbNDVFANs42Sjn22L6A3foOIHVjweh5ffcsRX78gfGTuT1Yy8YuFHvzEwR0JmifnnZRGMvmA2amiLVG/2O2Cg3vNPXr148f9MvXYv2mk2MqvFfIeP30fjhyA8AyK+Skc8/RNVqfIlJlACoHJGp1JEYVeM/JuNnTYzi9SmwxcSIAvhlkzQCVEES5Xsa6fFd96hVUl/6cROAChIb5ZcuMRKgCpIo39NIzxIamiKAChIb5ZduM7gAVZBEaTlFZy+YDZqaIoAKEhvll24FToAqSKK0nKJ9pEA2aGqKACpIbJSnFSSnqCI2XUIS1avnbwq/zBh2o5ulAPivkPH7aPxw5AcA5FfJyOefqmp5vsQkSgBUjshUasiUAPiPyfg5MyXhr0+BLWRKJMC5xnHcYDgeW547tM/4MY8CVEISAmcKqA2aCmCAEhIb5VkAK4a88QBWXSx5U5QXSxrdfgfAf4WMnzeAVSO/SkY+/1RVe80lJlECoHJEplJHAKvGf0zGzxrAgvUpsMUARgGsEMMu2DwjAQxUvRTlpbwFU0Bt0FQAA1Qv2ShnU8R3xqEd9mMrdEahfIXtWFEwdq2wN3bjYSDGYjw6M1MEVL0U5aU8jb1gNmhqigCql2yUcxk89odR6PSsyBEjy7eDwIoGA8caeV489sbeID5DUwR0NKgorZ3o7AWzQVNTpLq+dcRGeXaonzs/B+YNAdoOSrJDtkc3cNpHQdA+CuXHUH2M20eRK9+EfIvaR7H8PJafx4YrpoLyTTnN7g2X5I4luWNJ7jhUH+P2sSR3LMkdS3LHktyxJHdsIHdMJlfHnl5JTr4L5LtQfRZmn6ndvZG66CxShzFFand5rL6M1ZcGmmoDOoHnidnbdBIXVBd23gxKCzuO+cDHGpI4AP4rZPw+Gj8c+QEA+VUycoFBTveDRTwAUDkiU6khiQPgPybj50ziAmd9CmzRM1EAK8Swwv3ZkF8BqNIalJYdF00BtUFD8isAVFrZKGdTZODGnus6fWsYezLh813fiuTvtUZOP477oROEozOzUB2AKq1BadlRZy+YDZqaIoBKKxvl/Nhke+wOhd+3en0hLN/r+3JiebbVE+NoHIlRaJ+dYnwAuvgu8LH2gtmgqSlSXXo7YqOcrxaC7oI4I1MEVO4KBNZeMBs0NUUA5S42yg03sgfVC/tvBqXr5J6Y515rYlSN/woZv4/GD0d+AEB+lYx8/iGqVuNLTKIEQOWITKWOxKga/zEZP2tiFKxPgS0mRhTACrE39KPx0BlaIopiy+/HrtUfRY4VDPpi7AU92+0XD8YZiFeg6lZQWupZNAXUBk3FK0B1i43yyydpQNWtoPyCN429YDZoaooAqltslF++3BlU3QpKSz06e8Fs0NQUAVS32Ci/dCtwIWjHVFi+fUhjL5gNGpoiIWDHFBvlaR9gnNNWzqLJClJYvXj+Zli+Ft3ofVUA/FfI+H00fjjyAwDyq2Tk8w9VtTpfYhIlACpHZCo1JEoA/Mdk/JyJUuisT4EtJEokwJkK9vo9J3Jsy3OCkeU7TmTFtnRkg5EbD8Ug8uywGJMzEL9AFaSwvJyiu+gWZIOm4heggsRGOZsiURC5g3AYWn0vtGWsG42teOD3LS/27Hgc92TgOzPlgRBUQQrLyykae8Fs0NQUAVSQ2CjnB4L2x56cOT2rJ2eV2hYRWZE98i3bFrYIZFIVi4UWsMamCKiCFPpYe8Fs0NQUAVSQ2CjngUbd3GpHIysIBmp3sAisOAyENYhdf+QP7H7UD8/MFAFVkEKBtRfMBk1NEUAFiY3yWdvxG1avpr8Zli5OO42WlAD4r5Dx+2j8cOQHAORXycjnn6pqeb7EJEoAVI7IVOrIlKrxH5Pxs2ZKwfoU2GKmRAGcyWAvGnk9f2CN/KHUQ07gWT13KGPfYBxGfi8I4t7ZCWCgklJYWl9ZNAXUBk0FMEBJiY1yvhg8juxgLF82du2x5Q+C2IqGcSyzqpFvB964Z/tnZ4qASkphaX1FZy+YDZqaIoCSEhvlhrtkwupayZthea2k0UNMAPivkPHzSppq5FfJyOcfouo4usQkSgBUjshU6pA01fiPyfhZJU28PgW2KGkogBVi4dp91x33LNvx1M1RIrZiLwws24tlaBNOMIiKB6P5eBWBipdReSVPc6IHzAYNxasIULxko/zSSZoIdNxjVH72ocZeMBs0NUWqy1lHbJTVso2ifa3Z1ZqoukbyZlReI2lU2gDwXyHjZ5U2AORXycjnH6bqeLrEJEoAVI7IVGqQNgD8x2T8nNImctenwBakDQnwSxe3QEXLqLyCR3fiuketkvryjxugaMlG+aVb0ItARUsl23D2gtmgqSkCKFqyUW54tSaqrsa9GYky7l44z71WSVON/woZP6+kqUZ+lYx8/iGqjqNLTKIEQOWITKUOSVON/5iMn1XSiPUpsEVJQwGsENvu0IvGjmP1+7YjY1sUWj0RqU27jhPbdhR43vjaWYlXoCvpogBnCqgNmopX1fXSIzbKL5/qBdUoo9KCnc5eMBs0NUUANUo2yrMmm2Jfm6Lf6LJNdTXuzai8GtfoqcQA/FfI+Hk1TjXyq2Tk809VdWBdYhIlACpHZCp1aJxq/Mdk/KwaJ1qfAlvUOBTAL10AA+24jEqLc4umgNqgqQBWXUA9YqOcT5FeL+p76njawPMt3x7HUg8N5DvbdQYjT4xDR5yVKRKDipZxaQVPay+QDRqaIjGgaMlGOe81dyK1jjOwhJA/4Pe8vhX3RwMr8r3ReBR79tg7M5tyY1DRMi7f36U76Btkg6amCKBoyUa54ZW9uLpO82ZcWvbwGlW9APxXyPh9NH448gMA8qtk5PMPUbXUWmISJQAqR2QqNaheAP5jMn5O1Ru761NgC6qXBFghHg9FHI8GoTXu9YeWr3xWXx1MEsWxPRwFgRiOi+l1BuIVqFgZl1buFk0BtUFT8QpQrGSj/NIlRjGoWBn7WHvBbNDUFAEUK9koF31YynE3uaAXV9dr3oxFmQ0c820DdUibavxXyPh5pU018qtk5PMPU3U8XWISJQAqR2QqdUibavzHZPys0kasT4EtShsK4CwVB903dUbiFqhoGQc4U0Bt0FTcAhQt2SjnZ3W6wu9L9WP1BsKTabsbW72h61lx6PZHoegPXL9/ZqYIqGgZl1bwdPaC2aCpKQIoWrJRbnq1pro882Zcfghls5KmGv8VMn5eSVON/CoZ+fxDVB1Hl5hECYDKEZlKHZKmGv8xGT+rpInWp8AWJQ0F8EsXr0A1yri0YLdoCqgNmopXgBolG+WXTvU6NqhIKV+GtRjMCg1NEsmnepbwkf7p9GrMhaPz5k0BulWRZInsakzJpC3feeqdr94J9S5Q70KTUUorc649bxRjqAJRg0er7DZMxedY8TlWfI4Vn2PF59jE55jOZz50gfiAo1d+Aabio9572Xs/ey+y90H2Xk9K/QuFVbbUnLNq6ggug/cpra24rnGMatDYEkOlK7lCZ+CjGcCxH0CwX6VjFxjsZE9mcFNU0DUoaojZj+kMODW1/OPrM2gat0PBXDQmF7DPmOcpreu5vnEQavE81YXJK3QGzJ6nGvtVOnaBwb5qz0MFXYvnqTb7MZ0Br+fx1mfQNJ6Hgvn0BQ1nzPP4pYQaPbJCgqucRlfoDJg9TzX2q3TsAoN91Z6HCroWz1Nt9mM6A17P46/PoGk8DwXzGTnx2OB6RCmjRhtQJbjKeXSFzoDZ9VRjv0rHLjDYV+16qKBrcT3VZj+mM+B1PWJ9Bk3jeiiYp67nbOZbQRkjz7waV4vrqe6WuEJnwOx6qrFfpWMXGOyrdj1U0LW4nmqzH9MZ8LqeYH0GTeN6KJinrqcoe5wx11PaxOK5xlGoxfVUd+FcoTNgdj3V2K/SsQsM9lW7HiroWlxPtdmP6Qx4XU+4PoOmcT0UzFnFNf/vlfaJX/rKuVded+R3Tv22/GfaJ37N9Dtv3/37G6O3JfVXxrdv3VUfB7dv3L6jPund+VFf/bbX3deFH4Wv/LT9yq3eTfUHutdvjt5u7Y7+tnVw+2bvlvxrb1//ifwHx22/8s6t4ejOjeu31Otu3ZYf5I/1blz/0S01MdWv/evbd67/RP6t3g35ihuj8V35438zunP3+iD7zkC+bHRHfu9v7/Te6o7+Tv7M3TvvjORv6UuKozsZ1v7tu3dv38w/U99MFIvpH2xrKNjZf6/8VP6a4fXej27fUn+L8tMZYNJP3rn+o78m/ujd229RflD+5Pj6jYyo+qgmqHzB27dvyOFXc2G4afxZNTF6d+4uvmA6F9RkeOdmf3Tn9dt35DTLJ5D6bPP2UP2VC6NbozvSyPJ1b925fTcvJatX3bg9+PFITr/pt0cKS/5UyW9ev/XX0pXdVeD/f4JaUKo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</si>
  <si>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</si>
  <si>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</si>
  <si>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</si>
  <si>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</si>
  <si>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</si>
  <si>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</si>
  <si>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</si>
  <si>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</si>
  <si>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</si>
  <si>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</si>
  <si>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</si>
  <si>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</si>
  <si>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</si>
  <si>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</si>
  <si>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</si>
  <si>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</si>
  <si>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</si>
  <si>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</si>
  <si>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</si>
  <si>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</si>
  <si>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</si>
  <si>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</si>
  <si>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12</t>
  </si>
  <si>
    <t>Дополнительные работы, неучтенные основным проектом</t>
  </si>
  <si>
    <t>1.1.1</t>
  </si>
  <si>
    <t>12.1</t>
  </si>
  <si>
    <t>Дополнительные работы, неучтенные основным проектом (невозмещаемые)</t>
  </si>
  <si>
    <t>1.1.1.1</t>
  </si>
  <si>
    <t>12.1.21</t>
  </si>
  <si>
    <t>Отделка МОП</t>
  </si>
  <si>
    <t>1.1.1.1.1</t>
  </si>
  <si>
    <t>12.1.21.1</t>
  </si>
  <si>
    <t>МОП 1-й этаж</t>
  </si>
  <si>
    <t>1.1.1.1.1.1</t>
  </si>
  <si>
    <t>12.1.21.1.1</t>
  </si>
  <si>
    <t>Полы</t>
  </si>
  <si>
    <t>1.1.1.1.1.1.1</t>
  </si>
  <si>
    <t>12.1.21.1.1.17.1</t>
  </si>
  <si>
    <t>Облицовка ступеней керамогранитной плиткой с затиркой швов, с предварительной огрунтовкой поверхности</t>
  </si>
  <si>
    <t>м2</t>
  </si>
  <si>
    <t>682deb64-d38a-4a31-a86c-8c49353cc251</t>
  </si>
  <si>
    <t>4ac49566-e9a9-4a4c-9d1f-0976e5086ad7</t>
  </si>
  <si>
    <t>43208d3c-f276-4d19-80eb-e1ae8df17cbf</t>
  </si>
  <si>
    <t>1.1.1.1.1.1.1.1</t>
  </si>
  <si>
    <t>Грунтовка универсальный ЛАСТИМИН_ / УНКОНТ ЛЮКС LP51 А</t>
  </si>
  <si>
    <t>кг</t>
  </si>
  <si>
    <t>410200583.1139608</t>
  </si>
  <si>
    <t>36662397.1139608</t>
  </si>
  <si>
    <t>bbceaf39-544c-478f-a605-41b8d1bad350</t>
  </si>
  <si>
    <t>1.1.1.1.1.1.1.2</t>
  </si>
  <si>
    <t>Затирка Цезерит СE33_/13 атрацит</t>
  </si>
  <si>
    <t>410200583.54635</t>
  </si>
  <si>
    <t>36662397.54635</t>
  </si>
  <si>
    <t>255e2be5-9cb1-4b52-84d2-49341281c898</t>
  </si>
  <si>
    <t>1.1.1.1.1.1.1.3</t>
  </si>
  <si>
    <t>Клей плиточный/Унифицированный по ПИК-СТАНДАРТ</t>
  </si>
  <si>
    <t>410200583.54629</t>
  </si>
  <si>
    <t>36662397.54629</t>
  </si>
  <si>
    <t>e9770899-65c8-423b-aa60-49fe884ae8df</t>
  </si>
  <si>
    <t>1.1.1.1.1.1.1.4</t>
  </si>
  <si>
    <t>Ступени с насечками из керамического гранита Про Стоун  / 300х600х11 мм / DD600300R</t>
  </si>
  <si>
    <t xml:space="preserve">Тип: КР-5 Керамогранитная плитка 300х600х9 мм, Kerama Marazzi Дайсен, светло серый SG211200R\GR.
</t>
  </si>
  <si>
    <t>шт</t>
  </si>
  <si>
    <t>410200583.1277545</t>
  </si>
  <si>
    <t>36662397.1277545</t>
  </si>
  <si>
    <t>a93fa47a-8782-4159-a657-77a449ab5d71</t>
  </si>
  <si>
    <t>1.1.1.1.1.2</t>
  </si>
  <si>
    <t>12.1.21.1.8</t>
  </si>
  <si>
    <t>Демонтажные работы</t>
  </si>
  <si>
    <t>1.1.1.1.1.2.1</t>
  </si>
  <si>
    <t>12.1.21.1.8.9.1</t>
  </si>
  <si>
    <t xml:space="preserve">Демонтаж ступеней из керамогранита </t>
  </si>
  <si>
    <t>dd27522b-5c94-499e-8a9a-7af1fae54c43</t>
  </si>
  <si>
    <t>7fa7692f-8dd6-44dd-9da9-cbe512c009eb</t>
  </si>
  <si>
    <t>1.1.1.1.2</t>
  </si>
  <si>
    <t>12.1.21.3</t>
  </si>
  <si>
    <t>МОП типовые этажи</t>
  </si>
  <si>
    <t>1.1.1.1.2.1</t>
  </si>
  <si>
    <t>12.1.21.3.1</t>
  </si>
  <si>
    <t>1.1.1.1.2.1.1</t>
  </si>
  <si>
    <t>12.1.21.3.1.23.1</t>
  </si>
  <si>
    <t>Устройство плинтуса из керамогранитной плитки с затиркой швов, с предварительной огрунтовкой поверхности</t>
  </si>
  <si>
    <t>Тип: ПЛ-1</t>
  </si>
  <si>
    <t>пог. м</t>
  </si>
  <si>
    <t>7c078883-0b0a-4435-9703-ce38f86f609d</t>
  </si>
  <si>
    <t>f0f6bca2-ba8d-49e1-8981-7463b4be94cd</t>
  </si>
  <si>
    <t>1.1.1.1.2.1.1.1</t>
  </si>
  <si>
    <t>410200590.54635</t>
  </si>
  <si>
    <t>36660162.54635</t>
  </si>
  <si>
    <t>1.1.1.1.2.1.1.2</t>
  </si>
  <si>
    <t>Грунтовка _ / универсальная водно-дисперсионная</t>
  </si>
  <si>
    <t>410200590.737422</t>
  </si>
  <si>
    <t>36660162.737422</t>
  </si>
  <si>
    <t>64d77ce3-b188-4652-a3eb-49ad1b6ad85c</t>
  </si>
  <si>
    <t>1.1.1.1.2.1.1.3</t>
  </si>
  <si>
    <t>Плинтус керамогранитный Дайсен SG211200R/3BT 600х95мм светло-серый</t>
  </si>
  <si>
    <t>410200590.1747282</t>
  </si>
  <si>
    <t>36660162.1747282</t>
  </si>
  <si>
    <t>d4275771-32c8-11ee-a102-d1661ac0bb93</t>
  </si>
  <si>
    <t>1.1.1.1.2.1.1.4</t>
  </si>
  <si>
    <t>Плиточный клей_ / Унифицированный по ПИК-СТАНДАРТ</t>
  </si>
  <si>
    <t>410200590.1570753</t>
  </si>
  <si>
    <t>36660162.1570753</t>
  </si>
  <si>
    <t>be76b7f0-d821-4213-a0b5-d4d9b08818f1</t>
  </si>
  <si>
    <t>1.1.1.1.2.1.2</t>
  </si>
  <si>
    <t>Тип: ПЛ-3</t>
  </si>
  <si>
    <t>1.1.1.1.2.1.2.1</t>
  </si>
  <si>
    <t>410200633.1570753</t>
  </si>
  <si>
    <t>36660716.1570753</t>
  </si>
  <si>
    <t>1.1.1.1.2.1.2.2</t>
  </si>
  <si>
    <t>Керамическая плитка Коллиано_ / Серый / SG913000N / 300*300*8мм</t>
  </si>
  <si>
    <t>410200633.758696</t>
  </si>
  <si>
    <t>36660716.758696</t>
  </si>
  <si>
    <t>dec587a8-6f4e-4afb-bdfb-9a67018ca72c</t>
  </si>
  <si>
    <t>1.1.1.1.2.1.2.3</t>
  </si>
  <si>
    <t>410200633.737422</t>
  </si>
  <si>
    <t>36660716.737422</t>
  </si>
  <si>
    <t>1.1.1.1.2.2</t>
  </si>
  <si>
    <t>12.1.21.3.8</t>
  </si>
  <si>
    <t>1.1.1.1.2.2.1</t>
  </si>
  <si>
    <t>12.1.21.3.8.7.1</t>
  </si>
  <si>
    <t xml:space="preserve">Демонтаж плинтуса из керамогранита </t>
  </si>
  <si>
    <t>420ac688-181d-40e8-841a-b00e07fee8d8</t>
  </si>
  <si>
    <t>c4f61571-ca0c-4654-a279-8ed2b8a54d1c</t>
  </si>
  <si>
    <t>1.1.1.1.3</t>
  </si>
  <si>
    <t>12.1.21.99</t>
  </si>
  <si>
    <t>Прочие работы</t>
  </si>
  <si>
    <t>1.1.1.1.3.1</t>
  </si>
  <si>
    <t>12.1.21.99.3.1</t>
  </si>
  <si>
    <t>Затарка материала вручную</t>
  </si>
  <si>
    <t>т</t>
  </si>
  <si>
    <t>fc254468-2bfb-4982-b318-56f555c7f8b7</t>
  </si>
  <si>
    <t>c6278cd4-70d2-4f9a-b595-73008d3098d3</t>
  </si>
  <si>
    <t>1.1.1.1.3.2</t>
  </si>
  <si>
    <t>12.1.21.99.8.1</t>
  </si>
  <si>
    <t>Уборка мусора от демонтажных работ с погрузкой в мешки и в контейнеры</t>
  </si>
  <si>
    <t>Применяется для объема мусора превышающего объем, учтенный в демонтажных работах расчета. Не применяется к объему мусора иных работ</t>
  </si>
  <si>
    <t>205f8f69-c91d-42b2-a60c-4b48bb0f6399</t>
  </si>
  <si>
    <t>5b07120c-0c6c-467e-80d4-ea652219ddeb</t>
  </si>
  <si>
    <t>1.1.1.2</t>
  </si>
  <si>
    <t>12.1.23</t>
  </si>
  <si>
    <t>Отделка СКБ</t>
  </si>
  <si>
    <t>1.1.1.2.1</t>
  </si>
  <si>
    <t>12.1.23.1</t>
  </si>
  <si>
    <t>1.1.1.2.1.1</t>
  </si>
  <si>
    <t>12.1.23.1.3.1</t>
  </si>
  <si>
    <t>Устройство покрытия пола из линолеума</t>
  </si>
  <si>
    <t>Тип: Л-1.1 Линолеум Tarkett. Tempo Plus 1003/89316, КМ2</t>
  </si>
  <si>
    <t>51b31787-2db2-4031-aade-329f900ef9b7</t>
  </si>
  <si>
    <t>5e7e46df-abb0-4806-b018-19be508cca77</t>
  </si>
  <si>
    <t>1.1.1.2.1.1.1</t>
  </si>
  <si>
    <t>Линолеум (для объектов СКБ)_ / 2,5 мм / Светло-серый / TempoPlus 1003/89316 / Tarkett / 34 / Линолеум ПВХ гомогенный для детского сада</t>
  </si>
  <si>
    <t>410200602.765845</t>
  </si>
  <si>
    <t>36659764.765845</t>
  </si>
  <si>
    <t>3ad291f0-880a-4d41-b76e-e62924259b82</t>
  </si>
  <si>
    <t>1.1.1.2.1.1.2</t>
  </si>
  <si>
    <t>Сварочный шнур для линолеума (для объектов СКБ)_ / Tarkett  / Сварочный шнур для линолеума ПВХ светло - серого для детского сада / 91811</t>
  </si>
  <si>
    <t>410200602.1757617</t>
  </si>
  <si>
    <t>36659764.1757617</t>
  </si>
  <si>
    <t>bb025d17-34e9-45a4-8c65-9092721a631f</t>
  </si>
  <si>
    <t>1.1.1.2.1.1.3</t>
  </si>
  <si>
    <t>410200602.737422</t>
  </si>
  <si>
    <t>36659764.737422</t>
  </si>
  <si>
    <t>1.1.1.2.1.1.4</t>
  </si>
  <si>
    <t>Клей для линолеума</t>
  </si>
  <si>
    <t>Клей Forbo Eurocol 599 Eurosafe Super - 5 мм, коэф.расхода = 0,45 кг, 780кв.м*0,45 = 351кг</t>
  </si>
  <si>
    <t>410200602.702694</t>
  </si>
  <si>
    <t>36659764.702694</t>
  </si>
  <si>
    <t>1a3e3255-5ba6-49e7-bbc8-279e1b1289a0</t>
  </si>
  <si>
    <t>1.1.1.2.1.2</t>
  </si>
  <si>
    <t>12.1.23.1.6.1</t>
  </si>
  <si>
    <t>Устройство покрытия пола с предварительной огрунтовкой поверхности / из керамогранитной плитки с затиркой швов</t>
  </si>
  <si>
    <t>ba238fec-d7fc-420d-944a-4b6d4b8cbc4b</t>
  </si>
  <si>
    <t>7cacd293-77f7-4a45-9f6e-286caebd5ddd</t>
  </si>
  <si>
    <t>1.1.1.2.1.2.1</t>
  </si>
  <si>
    <t>410200604.54635</t>
  </si>
  <si>
    <t>36659754.54635</t>
  </si>
  <si>
    <t>1.1.1.2.1.2.2</t>
  </si>
  <si>
    <t>Клей плиточный/ Унифицированный по ПИК-СТАНДАРТ</t>
  </si>
  <si>
    <t>410200604.54632</t>
  </si>
  <si>
    <t>36659754.54632</t>
  </si>
  <si>
    <t>29ab9003-5b43-49a7-8ba2-846628054d7e</t>
  </si>
  <si>
    <t>1.1.1.2.1.2.3</t>
  </si>
  <si>
    <t>410200604.737422</t>
  </si>
  <si>
    <t>36659754.737422</t>
  </si>
  <si>
    <t>1.1.1.2.1.2.4</t>
  </si>
  <si>
    <t>Керамический гранит Дайсен_/SG610300/светло-серый/600х600х11</t>
  </si>
  <si>
    <t>410200604.54666</t>
  </si>
  <si>
    <t>36659754.54666</t>
  </si>
  <si>
    <t>dbc2d116-b9c7-4a2f-9452-f183b936c28a</t>
  </si>
  <si>
    <t>1.1.1.2.1.3</t>
  </si>
  <si>
    <t>1.1.1.2.1.3.1</t>
  </si>
  <si>
    <t>410200634.737422</t>
  </si>
  <si>
    <t>36659755.737422</t>
  </si>
  <si>
    <t>1.1.1.2.1.3.2</t>
  </si>
  <si>
    <t>410200634.54632</t>
  </si>
  <si>
    <t>36659755.54632</t>
  </si>
  <si>
    <t>1.1.1.2.1.3.3</t>
  </si>
  <si>
    <t>410200634.758696</t>
  </si>
  <si>
    <t>36659755.758696</t>
  </si>
  <si>
    <t>1.1.1.2.1.3.4</t>
  </si>
  <si>
    <t>410200634.54635</t>
  </si>
  <si>
    <t>36659755.54635</t>
  </si>
  <si>
    <t>1.1.1.2.1.4</t>
  </si>
  <si>
    <t>12.1.23.1.10.1</t>
  </si>
  <si>
    <t>Установка полимерного самоклеющегося плинтуса (Не использовать с 01.07.2025г)</t>
  </si>
  <si>
    <t>6274df8b-4397-4e99-b528-8d030fab2b24</t>
  </si>
  <si>
    <t>426c3fab-6143-4423-b9ee-53c765b78c05</t>
  </si>
  <si>
    <t>1.1.1.2.1.4.1</t>
  </si>
  <si>
    <t>Плинтус для линолеума (для объектов СКБ) 100 мм WL 100 Dark Gray 0146 Dollken Плинтус для линолеума для детского сада и школ</t>
  </si>
  <si>
    <t>410200606.1747273</t>
  </si>
  <si>
    <t>36659747.1747273</t>
  </si>
  <si>
    <t>de126dff-32d0-11ee-a102-d1661ac0bb93</t>
  </si>
  <si>
    <t>1.1.1.2.1.5</t>
  </si>
  <si>
    <t>12.1.23.1.12.1</t>
  </si>
  <si>
    <t>Устройство наливных полов с огрунтовкой поверхности и проклейкой демпферной лентой / толщ. до 10 мм</t>
  </si>
  <si>
    <t>Вне зависимости от способа выполнения работ механизировано или вручную.</t>
  </si>
  <si>
    <t>b30e711e-fd2e-4402-9c1c-fd9dc1b88c63</t>
  </si>
  <si>
    <t>52781403-7734-4ba3-aa44-54230170e39b</t>
  </si>
  <si>
    <t>1.1.1.2.1.5.1</t>
  </si>
  <si>
    <t>410200608.1139608</t>
  </si>
  <si>
    <t>36659748.1139608</t>
  </si>
  <si>
    <t>1.1.1.2.1.5.2</t>
  </si>
  <si>
    <t>Лента кромочная демпферная_/8*100мм/20м</t>
  </si>
  <si>
    <t>410200608.55045</t>
  </si>
  <si>
    <t>36659748.55045</t>
  </si>
  <si>
    <t>41f707b9-71e7-4101-86f2-7af29d65f5fe</t>
  </si>
  <si>
    <t>1.1.1.2.1.5.3</t>
  </si>
  <si>
    <t>Наливной пол_ / Унифицированный по ПИК-СТАНДАРТ</t>
  </si>
  <si>
    <t>410200608.843695</t>
  </si>
  <si>
    <t>36659748.843695</t>
  </si>
  <si>
    <t>df4d871a-815e-4066-8cc1-e339f3f3c9fe</t>
  </si>
  <si>
    <t>1.1.1.2.2</t>
  </si>
  <si>
    <t>12.1.23.2</t>
  </si>
  <si>
    <t>Стены</t>
  </si>
  <si>
    <t>1.1.1.2.2.1</t>
  </si>
  <si>
    <t>12.1.23.2.2.1</t>
  </si>
  <si>
    <t>Облицовка поверхности стен с предварительной огрунтовкой и затиркой швов / керамической плиткой</t>
  </si>
  <si>
    <t>Тип: СТ-4.1 Керамическая плитка, Калейдоскоп 5009 200х200х6.9 мм Kerama marazzi, затирка Ceresit CE 33, 04 серебристо-серый, крестик 2 мм</t>
  </si>
  <si>
    <t>f7aae9ad-9ef7-46b1-ad33-1414658c2aa3</t>
  </si>
  <si>
    <t>1e367d8e-8797-41db-9193-b13187cae6d6</t>
  </si>
  <si>
    <t>1.1.1.2.2.1.1</t>
  </si>
  <si>
    <t>410200611.737422</t>
  </si>
  <si>
    <t>36664408.737422</t>
  </si>
  <si>
    <t>1.1.1.2.2.1.2</t>
  </si>
  <si>
    <t>Затирка Цезерит СE33_/04 серебристо-серый</t>
  </si>
  <si>
    <t>410200611.54637</t>
  </si>
  <si>
    <t>36664408.54637</t>
  </si>
  <si>
    <t>c293221b-d93c-4424-8200-e1b99b7167e3</t>
  </si>
  <si>
    <t>1.1.1.2.2.1.3</t>
  </si>
  <si>
    <t>Керамический гранит Kerama marazzi_ / Белый / 5009/ Калейдоскоп / 200х200</t>
  </si>
  <si>
    <t>410200611.758609</t>
  </si>
  <si>
    <t>36664408.758609</t>
  </si>
  <si>
    <t>70f2d54b-ab55-43b4-b130-a5f8f85e7098</t>
  </si>
  <si>
    <t>1.1.1.2.2.1.4</t>
  </si>
  <si>
    <t>410200611.1570753</t>
  </si>
  <si>
    <t>36664408.1570753</t>
  </si>
  <si>
    <t>1.1.1.2.2.2</t>
  </si>
  <si>
    <t>Тип: СТ-5.1 Керамическая плитка, 200х300х6,9 мм, Kerama Marazzi (Белое Солнце 8000), затирка Ceresit CE 33. 02 серебристо-серый, крестик 2 мм. Горизонтальная раскладка до перекрытия</t>
  </si>
  <si>
    <t>1.1.1.2.2.2.1</t>
  </si>
  <si>
    <t>Плитка керамическая Kerama Marazzi 800 300х200х6,9мм</t>
  </si>
  <si>
    <t>410200635.3323472</t>
  </si>
  <si>
    <t>36664409.3323472</t>
  </si>
  <si>
    <t>3d48fd1d-5889-4b92-be81-6cb5f36a02b4</t>
  </si>
  <si>
    <t>1.1.1.2.2.2.2</t>
  </si>
  <si>
    <t>410200635.1570753</t>
  </si>
  <si>
    <t>36664409.1570753</t>
  </si>
  <si>
    <t>1.1.1.2.2.2.3</t>
  </si>
  <si>
    <t>410200635.54637</t>
  </si>
  <si>
    <t>36664409.54637</t>
  </si>
  <si>
    <t>1.1.1.2.2.2.4</t>
  </si>
  <si>
    <t>410200635.737422</t>
  </si>
  <si>
    <t>36664409.737422</t>
  </si>
  <si>
    <t>1.1.1.2.2.3</t>
  </si>
  <si>
    <t>12.1.23.2.9.3</t>
  </si>
  <si>
    <t>Штукатурка стен сухими смесями с установкой маяков с предварительной огрунтовкой / толщ. от 16,5 мм до 21 мм</t>
  </si>
  <si>
    <t>c5aa8ee2-e574-43a3-844b-653c022bb54c</t>
  </si>
  <si>
    <t>b1b4cdaf-0fc6-4e61-b23e-3869ff11dc81</t>
  </si>
  <si>
    <t>1.1.1.2.2.3.1</t>
  </si>
  <si>
    <t>Профиль маячковый_/ПМ6</t>
  </si>
  <si>
    <t>410200613.55029</t>
  </si>
  <si>
    <t>36662405.55029</t>
  </si>
  <si>
    <t>b3ba1810-316e-4118-90eb-ce29d5c83076</t>
  </si>
  <si>
    <t>1.1.1.2.2.3.2</t>
  </si>
  <si>
    <t>Грунтовка БЕТОН-КОНТАКТ_/</t>
  </si>
  <si>
    <t>410200613.54633</t>
  </si>
  <si>
    <t>36662405.54633</t>
  </si>
  <si>
    <t>8682c7d7-b370-46ef-9c4b-39309f9aa3e8</t>
  </si>
  <si>
    <t>1.1.1.2.2.3.3</t>
  </si>
  <si>
    <t>Сетка стеклотканевая 200г/м2, ячейка 5х5мм</t>
  </si>
  <si>
    <t>410200613.17342</t>
  </si>
  <si>
    <t>36662405.17342</t>
  </si>
  <si>
    <t>1bf3e29a-aa18-11e8-80e4-005056881952</t>
  </si>
  <si>
    <t>1.1.1.2.2.3.4</t>
  </si>
  <si>
    <t>Штукатурка гипсовая_ / Унифицированная по ПИК-СТАНДАРТ, 30кг</t>
  </si>
  <si>
    <t>410200613.54616</t>
  </si>
  <si>
    <t>36662405.54616</t>
  </si>
  <si>
    <t>b059108e-66ce-4a56-9765-c924e4c0b8b7</t>
  </si>
  <si>
    <t>1.1.1.2.2.4</t>
  </si>
  <si>
    <t>12.1.23.2.10.1</t>
  </si>
  <si>
    <t>Лакокрасочные работы СКБ / окраска стен / в 2 слоя</t>
  </si>
  <si>
    <t>Тип: СТ-1.1 Краска матовая водно-дисперсионная, RAL 9003, КМ1, 1 кл. истриания. Tikkurila ТЕКС</t>
  </si>
  <si>
    <t>4c24ca93-b856-4913-a3fe-bc768660074c</t>
  </si>
  <si>
    <t>4c233987-7536-4054-bf5e-1cd26c31dab8</t>
  </si>
  <si>
    <t>1.1.1.2.2.4.1</t>
  </si>
  <si>
    <t>Краска водно-дисперсионная Tikkurila_ / RAL 9003 / PROF EURO 7</t>
  </si>
  <si>
    <t>410200615.758302</t>
  </si>
  <si>
    <t>36663239.758302</t>
  </si>
  <si>
    <t>838e3a4c-e4d0-4163-a2da-acf784a669a7</t>
  </si>
  <si>
    <t>1.1.1.2.2.4.2</t>
  </si>
  <si>
    <t>Грунтовка универсальный ЛАСТИМИН_ / LP-51 А</t>
  </si>
  <si>
    <t>410200615.54634</t>
  </si>
  <si>
    <t>36663239.54634</t>
  </si>
  <si>
    <t>6f806fd0-f20f-4c69-8d99-cee4063fa047</t>
  </si>
  <si>
    <t>1.1.1.2.2.5</t>
  </si>
  <si>
    <t>Тип: СТ-3.1 Краска огнестойкая, RAL 9003, КМ0,1кл. истирания, Радуга ЖС-132</t>
  </si>
  <si>
    <t>1.1.1.2.2.5.1</t>
  </si>
  <si>
    <t>Краска водно-дисперсионная /  КМ0 / "ПАЛИТРА РУСИ" ТУ 2310-049-51309101-2014,  S367</t>
  </si>
  <si>
    <t>410200636.1183295</t>
  </si>
  <si>
    <t>36663240.1183295</t>
  </si>
  <si>
    <t>520b22fa-013a-4d59-9376-03984a516c84</t>
  </si>
  <si>
    <t>1.1.1.2.2.5.2</t>
  </si>
  <si>
    <t>410200636.54634</t>
  </si>
  <si>
    <t>36663240.54634</t>
  </si>
  <si>
    <t>1.1.1.2.2.6</t>
  </si>
  <si>
    <t>12.1.23.2.10.2</t>
  </si>
  <si>
    <t>Лакокрасочные работы СКБ / окраска потолков / в 2 слоя</t>
  </si>
  <si>
    <t>Тип: ПТ-1 Матовая водно-дисперсионная, RAL 9003, КМ1, 1 кл. истриания. Tikkurila ТЕКС</t>
  </si>
  <si>
    <t>55dcd11a-c570-4894-be4e-3c3874402761</t>
  </si>
  <si>
    <t>5ba78913-6269-46e9-a6cf-0030514785d4</t>
  </si>
  <si>
    <t>1.1.1.2.2.6.1</t>
  </si>
  <si>
    <t>410200616.54634</t>
  </si>
  <si>
    <t>36665012.54634</t>
  </si>
  <si>
    <t>1.1.1.2.2.6.2</t>
  </si>
  <si>
    <t>410200616.758302</t>
  </si>
  <si>
    <t>36665012.758302</t>
  </si>
  <si>
    <t>1.1.1.2.2.7</t>
  </si>
  <si>
    <t>Тип: ПТ-5 Краска огнестойкая, RAL 9003, КМ0, 1 кл. истриания. Радуга ЖС-132</t>
  </si>
  <si>
    <t>1.1.1.2.2.7.1</t>
  </si>
  <si>
    <t>Краска водно-дисперсионная /  КМ0 / "ПАЛИТРА РУСИ" ТУ 2310-049-51309101-2014, RAL 9016</t>
  </si>
  <si>
    <t>410200637.1506604</t>
  </si>
  <si>
    <t>36665013.1506604</t>
  </si>
  <si>
    <t>02d38f11-bb01-4c87-a584-b1119008633f</t>
  </si>
  <si>
    <t>1.1.1.2.2.7.2</t>
  </si>
  <si>
    <t>410200637.54634</t>
  </si>
  <si>
    <t>36665013.54634</t>
  </si>
  <si>
    <t>1.1.1.2.2.8</t>
  </si>
  <si>
    <t>12.1.23.2.11.5</t>
  </si>
  <si>
    <t>Подготовка поверхности СКБ / стен / по штукатурке / 2мм</t>
  </si>
  <si>
    <t>Шпаклевка стен, базовый слой</t>
  </si>
  <si>
    <t>2d82ee91-3b80-41a0-9d47-bde670b317cb</t>
  </si>
  <si>
    <t>d94b048a-66f3-4055-bee2-652770e52a45</t>
  </si>
  <si>
    <t>1.1.1.2.2.8.1</t>
  </si>
  <si>
    <t>410200618.54634</t>
  </si>
  <si>
    <t>36662409.54634</t>
  </si>
  <si>
    <t>1.1.1.2.2.8.2</t>
  </si>
  <si>
    <t>Уголок малярный_ / L=3м /25х25 мм</t>
  </si>
  <si>
    <t>410200618.18405</t>
  </si>
  <si>
    <t>36662409.18405</t>
  </si>
  <si>
    <t>6aa8b3b9-7634-40f9-a5c9-a021ce35f715</t>
  </si>
  <si>
    <t>1.1.1.2.2.8.3</t>
  </si>
  <si>
    <t>Шпатлевка гипсовая_ / белая / Унифицированная по ПИК-СТАНДАРТ, 30кг</t>
  </si>
  <si>
    <t>410200618.54621</t>
  </si>
  <si>
    <t>36662409.54621</t>
  </si>
  <si>
    <t>b18a669c-55b9-4a3b-9bec-843efe930f3c</t>
  </si>
  <si>
    <t>1.1.1.2.2.9</t>
  </si>
  <si>
    <t>Шпаклевка стен, финишный слой</t>
  </si>
  <si>
    <t>1.1.1.2.2.9.1</t>
  </si>
  <si>
    <t>Шпатлевка полимерная суперфинишная ЭЛИСИЛК_/белая/ PP37W</t>
  </si>
  <si>
    <t>410200638.54623</t>
  </si>
  <si>
    <t>36662410.54623</t>
  </si>
  <si>
    <t>fd599ec7-fabd-4bec-b213-8990de665df5</t>
  </si>
  <si>
    <t>1.1.1.2.2.9.2</t>
  </si>
  <si>
    <t>410200638.54634</t>
  </si>
  <si>
    <t>36662410.54634</t>
  </si>
  <si>
    <t>1.1.1.2.2.10</t>
  </si>
  <si>
    <t>12.1.23.2.11.6</t>
  </si>
  <si>
    <t>Подготовка поверхности СКБ / потолка / по штукатурке / 2мм</t>
  </si>
  <si>
    <t>Шпаклевка потолка, базовый слой</t>
  </si>
  <si>
    <t>42d08cea-07ba-4dbe-a8b0-b5e7c8673109</t>
  </si>
  <si>
    <t>4fff5d95-e3c5-4292-b4fb-03685f11ad6b</t>
  </si>
  <si>
    <t>1.1.1.2.2.10.1</t>
  </si>
  <si>
    <t>410200619.1139608</t>
  </si>
  <si>
    <t>36665230.1139608</t>
  </si>
  <si>
    <t>1.1.1.2.2.10.2</t>
  </si>
  <si>
    <t>Шпатлевка гипсовая_ / белая / Унифицированная по ПИК-СТАНДАРТ, 30кг (BIM)</t>
  </si>
  <si>
    <t>410200619.1570750</t>
  </si>
  <si>
    <t>36665230.1570750</t>
  </si>
  <si>
    <t>3254b4be-ac53-4a29-ad23-972be75bc24b</t>
  </si>
  <si>
    <t>1.1.1.2.2.11</t>
  </si>
  <si>
    <t>Шпаклевка потолка, финишный слой</t>
  </si>
  <si>
    <t>1.1.1.2.2.11.1</t>
  </si>
  <si>
    <t>410200639.1570750</t>
  </si>
  <si>
    <t>36665231.1570750</t>
  </si>
  <si>
    <t>1.1.1.2.2.11.2</t>
  </si>
  <si>
    <t>410200639.1139608</t>
  </si>
  <si>
    <t>36665231.1139608</t>
  </si>
  <si>
    <t>1.1.1.2.3</t>
  </si>
  <si>
    <t>12.1.23.8</t>
  </si>
  <si>
    <t>1.1.1.2.3.1</t>
  </si>
  <si>
    <t>12.1.23.8.6.1</t>
  </si>
  <si>
    <t>Демонтаж напольной керамической плитки</t>
  </si>
  <si>
    <t>13c29875-be54-4fc4-81e5-320c0546ca8c</t>
  </si>
  <si>
    <t>7b920465-b8e7-47bc-bee5-b65a2eff7ac8</t>
  </si>
  <si>
    <t>1.1.1.2.3.2</t>
  </si>
  <si>
    <t>12.1.23.8.7.1</t>
  </si>
  <si>
    <t>Демонтаж напольных покрытий (линолеум/мармолеум с учетом плинтуса)</t>
  </si>
  <si>
    <t>dabc7818-1af7-4bcb-b014-9101a7531a29</t>
  </si>
  <si>
    <t>006666f2-536e-4f85-b52b-0ddb5e0d04b5</t>
  </si>
  <si>
    <t>1.1.1.2.3.3</t>
  </si>
  <si>
    <t>12.1.23.8.9.1</t>
  </si>
  <si>
    <t xml:space="preserve">Демонтаж наливного пола </t>
  </si>
  <si>
    <t>81846705-dfe3-4c49-91d3-fc490eb891a1</t>
  </si>
  <si>
    <t>fbe85557-6d15-4551-bf71-d0ec451e4dad</t>
  </si>
  <si>
    <t>1.1.1.2.3.4</t>
  </si>
  <si>
    <t>12.1.23.8.10.1</t>
  </si>
  <si>
    <t>Демонтаж плинтуса для линолеума</t>
  </si>
  <si>
    <t>ed354d22-1b83-4ee0-a4ad-f96c81ceb832</t>
  </si>
  <si>
    <t>23852d1c-3bc2-4888-b54c-d357c9ea5005</t>
  </si>
  <si>
    <t>1.1.1.2.3.5</t>
  </si>
  <si>
    <t>12.1.23.8.17.1</t>
  </si>
  <si>
    <t>Демонтаж керамической плитки/ стены</t>
  </si>
  <si>
    <t>1a31183a-e5eb-4889-abb0-1c2b6ef2c1da</t>
  </si>
  <si>
    <t>a87e9a0f-57ad-441c-bc1d-ab27c930400f</t>
  </si>
  <si>
    <t>1.1.1.2.3.6</t>
  </si>
  <si>
    <t>12.1.23.8.18.1</t>
  </si>
  <si>
    <t>Демонтаж шпатлевки и/или штукатурки на поверхности стен</t>
  </si>
  <si>
    <t>67ed843b-286e-4669-876d-802f76998bd5</t>
  </si>
  <si>
    <t>42483040-cb35-4211-a706-0e5b75fe6630</t>
  </si>
  <si>
    <t>Общая стоимость работ, руб.с НДС 22%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</si>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</sst>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1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2"/>
      <color rgb="FFFFFFFF"/>
      <name val="Times New Roman"/>
    </font>
    <font>
      <sz val="15"/>
      <color rgb="FFFFFFFF"/>
      <name val="Times New Roman"/>
    </font>
    <font>
      <sz val="12"/>
      <color rgb="FF0F2A2D"/>
      <name val="Times New Roman"/>
    </font>
    <font>
      <sz val="15"/>
      <color rgb="FF0F2A2D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sz val="12"/>
      <color theme="0" tint="-0.34998626667073579"/>
      <name val="Times New Roman"/>
      <family val="1"/>
      <charset val="204"/>
    </font>
    <font>
      <i/>
      <sz val="14"/>
      <color theme="0" tint="-0.34998626667073579"/>
      <name val="Times New Roman"/>
      <family val="1"/>
      <charset val="204"/>
    </font>
    <font>
      <sz val="14"/>
      <color theme="0" tint="-0.34998626667073579"/>
      <name val="Times New Roman"/>
      <family val="1"/>
      <charset val="204"/>
    </font>
    <font>
      <sz val="11"/>
      <color theme="0" tint="-0.34998626667073579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7E2EF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5F6B73"/>
        <bgColor rgb="FF000000"/>
      </patternFill>
    </fill>
    <fill>
      <patternFill patternType="solid">
        <fgColor rgb="FF7A878F"/>
        <bgColor rgb="FF000000"/>
      </patternFill>
    </fill>
    <fill>
      <patternFill patternType="solid">
        <fgColor rgb="FF2F6F73"/>
        <bgColor rgb="FF000000"/>
      </patternFill>
    </fill>
    <fill>
      <patternFill patternType="solid">
        <fgColor rgb="FF4F8F93"/>
        <bgColor rgb="FF000000"/>
      </patternFill>
    </fill>
    <fill>
      <patternFill patternType="solid">
        <fgColor rgb="FF7FB4B8"/>
        <bgColor rgb="FF000000"/>
      </patternFill>
    </fill>
    <fill>
      <patternFill patternType="solid">
        <fgColor rgb="FFD8E4BC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0" fillId="2" borderId="0" xfId="0" applyFill="1" applyProtection="1"/>
    <xf numFmtId="0" fontId="4" fillId="0" borderId="0" xfId="0" applyFont="1" applyAlignment="1" applyProtection="1">
      <alignment horizontal="left" vertical="center"/>
    </xf>
    <xf numFmtId="4" fontId="7" fillId="0" borderId="4" xfId="0" applyNumberFormat="1" applyFont="1" applyBorder="1" applyAlignment="1" applyProtection="1">
      <alignment horizontal="center" vertical="center"/>
    </xf>
    <xf numFmtId="0" fontId="0" fillId="5" borderId="2" xfId="0" applyFill="1" applyBorder="1" applyProtection="1"/>
    <xf numFmtId="4" fontId="7" fillId="5" borderId="4" xfId="0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 applyProtection="1">
      <alignment horizontal="left" vertical="center"/>
    </xf>
    <xf numFmtId="10" fontId="7" fillId="0" borderId="4" xfId="0" applyNumberFormat="1" applyFont="1" applyBorder="1" applyAlignment="1" applyProtection="1">
      <alignment horizontal="center" vertical="center"/>
    </xf>
    <xf numFmtId="10" fontId="7" fillId="5" borderId="4" xfId="0" applyNumberFormat="1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left" vertical="center"/>
    </xf>
    <xf numFmtId="0" fontId="9" fillId="6" borderId="4" xfId="0" applyFont="1" applyFill="1" applyBorder="1" applyAlignment="1" applyProtection="1">
      <alignment horizontal="left" vertical="center"/>
    </xf>
    <xf numFmtId="0" fontId="9" fillId="7" borderId="4" xfId="0" applyFont="1" applyFill="1" applyBorder="1" applyAlignment="1" applyProtection="1">
      <alignment horizontal="left" vertical="center"/>
    </xf>
    <xf numFmtId="0" fontId="9" fillId="8" borderId="4" xfId="0" applyFont="1" applyFill="1" applyBorder="1" applyAlignment="1" applyProtection="1">
      <alignment horizontal="left" vertical="center"/>
    </xf>
    <xf numFmtId="0" fontId="9" fillId="9" borderId="4" xfId="0" applyFont="1" applyFill="1" applyBorder="1" applyAlignment="1" applyProtection="1">
      <alignment horizontal="left" vertical="center"/>
    </xf>
    <xf numFmtId="0" fontId="11" fillId="10" borderId="4" xfId="0" applyFont="1" applyFill="1" applyBorder="1" applyAlignment="1" applyProtection="1">
      <alignment horizontal="left" vertical="center"/>
    </xf>
    <xf numFmtId="0" fontId="13" fillId="0" borderId="4" xfId="0" applyFont="1" applyBorder="1" applyAlignment="1" applyProtection="1">
      <alignment horizontal="left" vertical="center" wrapText="1"/>
    </xf>
    <xf numFmtId="0" fontId="13" fillId="0" borderId="4" xfId="0" applyFont="1" applyBorder="1" applyAlignment="1" applyProtection="1">
      <alignment horizontal="center" vertical="center" wrapText="1"/>
    </xf>
    <xf numFmtId="164" fontId="13" fillId="0" borderId="4" xfId="0" applyNumberFormat="1" applyFont="1" applyBorder="1" applyAlignment="1" applyProtection="1">
      <alignment horizontal="center" vertical="center" wrapText="1"/>
    </xf>
    <xf numFmtId="4" fontId="13" fillId="0" borderId="4" xfId="0" applyNumberFormat="1" applyFont="1" applyBorder="1" applyAlignment="1" applyProtection="1">
      <alignment horizontal="center" vertical="center" wrapText="1"/>
    </xf>
    <xf numFmtId="4" fontId="13" fillId="3" borderId="4" xfId="0" applyNumberFormat="1" applyFont="1" applyFill="1" applyBorder="1" applyAlignment="1" applyProtection="1">
      <alignment horizontal="center" vertical="center" wrapText="1"/>
    </xf>
    <xf numFmtId="4" fontId="13" fillId="3" borderId="4" xfId="0" applyNumberFormat="1" applyFont="1" applyFill="1" applyBorder="1" applyAlignment="1" applyProtection="1">
      <alignment horizontal="center" vertical="center" wrapText="1"/>
      <protection locked="0"/>
    </xf>
    <xf numFmtId="10" fontId="13" fillId="0" borderId="4" xfId="0" applyNumberFormat="1" applyFont="1" applyBorder="1" applyAlignment="1" applyProtection="1">
      <alignment horizontal="center" vertical="center" wrapText="1"/>
    </xf>
    <xf numFmtId="0" fontId="14" fillId="0" borderId="4" xfId="0" applyFont="1" applyBorder="1" applyAlignment="1" applyProtection="1">
      <alignment horizontal="right" vertical="center" wrapText="1"/>
    </xf>
    <xf numFmtId="0" fontId="13" fillId="0" borderId="4" xfId="0" applyFont="1" applyBorder="1" applyAlignment="1" applyProtection="1">
      <alignment horizontal="center" vertical="center"/>
    </xf>
    <xf numFmtId="164" fontId="13" fillId="0" borderId="4" xfId="0" applyNumberFormat="1" applyFont="1" applyBorder="1" applyAlignment="1" applyProtection="1">
      <alignment horizontal="center" vertical="center"/>
    </xf>
    <xf numFmtId="4" fontId="13" fillId="3" borderId="4" xfId="0" applyNumberFormat="1" applyFont="1" applyFill="1" applyBorder="1" applyAlignment="1" applyProtection="1">
      <alignment horizontal="center" vertical="center"/>
    </xf>
    <xf numFmtId="4" fontId="13" fillId="0" borderId="4" xfId="0" applyNumberFormat="1" applyFont="1" applyBorder="1" applyAlignment="1" applyProtection="1">
      <alignment horizontal="center" vertical="center"/>
    </xf>
    <xf numFmtId="4" fontId="13" fillId="3" borderId="4" xfId="0" applyNumberFormat="1" applyFont="1" applyFill="1" applyBorder="1" applyAlignment="1" applyProtection="1">
      <alignment horizontal="center" vertical="center"/>
      <protection locked="0"/>
    </xf>
    <xf numFmtId="10" fontId="13" fillId="0" borderId="4" xfId="0" applyNumberFormat="1" applyFont="1" applyBorder="1" applyAlignment="1" applyProtection="1">
      <alignment horizontal="center" vertical="center"/>
    </xf>
    <xf numFmtId="0" fontId="14" fillId="11" borderId="4" xfId="0" applyFont="1" applyFill="1" applyBorder="1" applyAlignment="1" applyProtection="1">
      <alignment horizontal="right" vertical="center" wrapText="1"/>
    </xf>
    <xf numFmtId="164" fontId="15" fillId="0" borderId="4" xfId="0" applyNumberFormat="1" applyFont="1" applyBorder="1" applyAlignment="1" applyProtection="1">
      <alignment horizontal="center" vertical="center"/>
    </xf>
    <xf numFmtId="0" fontId="0" fillId="3" borderId="0" xfId="0" applyFill="1" applyProtection="1"/>
    <xf numFmtId="0" fontId="16" fillId="3" borderId="4" xfId="0" applyFont="1" applyFill="1" applyBorder="1" applyAlignment="1" applyProtection="1">
      <alignment horizontal="right" vertical="center"/>
    </xf>
    <xf numFmtId="4" fontId="16" fillId="3" borderId="4" xfId="0" applyNumberFormat="1" applyFont="1" applyFill="1" applyBorder="1" applyAlignment="1" applyProtection="1">
      <alignment horizontal="center" vertical="center"/>
    </xf>
    <xf numFmtId="10" fontId="16" fillId="3" borderId="4" xfId="0" applyNumberFormat="1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left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3" fillId="0" borderId="0" xfId="0" applyFont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5" fillId="4" borderId="3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left" vertical="center"/>
    </xf>
    <xf numFmtId="0" fontId="8" fillId="5" borderId="2" xfId="0" applyFont="1" applyFill="1" applyBorder="1" applyAlignment="1" applyProtection="1">
      <alignment horizontal="left" vertical="center"/>
    </xf>
    <xf numFmtId="0" fontId="8" fillId="5" borderId="3" xfId="0" applyFont="1" applyFill="1" applyBorder="1" applyAlignment="1" applyProtection="1">
      <alignment horizontal="left" vertical="center"/>
    </xf>
    <xf numFmtId="0" fontId="10" fillId="6" borderId="1" xfId="0" applyFont="1" applyFill="1" applyBorder="1" applyAlignment="1" applyProtection="1">
      <alignment horizontal="left" vertical="center"/>
    </xf>
    <xf numFmtId="0" fontId="10" fillId="6" borderId="2" xfId="0" applyFont="1" applyFill="1" applyBorder="1" applyAlignment="1" applyProtection="1">
      <alignment horizontal="left" vertical="center"/>
    </xf>
    <xf numFmtId="0" fontId="10" fillId="6" borderId="3" xfId="0" applyFont="1" applyFill="1" applyBorder="1" applyAlignment="1" applyProtection="1">
      <alignment horizontal="left" vertical="center"/>
    </xf>
    <xf numFmtId="0" fontId="10" fillId="7" borderId="1" xfId="0" applyFont="1" applyFill="1" applyBorder="1" applyAlignment="1" applyProtection="1">
      <alignment horizontal="left" vertical="center"/>
    </xf>
    <xf numFmtId="0" fontId="10" fillId="7" borderId="2" xfId="0" applyFont="1" applyFill="1" applyBorder="1" applyAlignment="1" applyProtection="1">
      <alignment horizontal="left" vertical="center"/>
    </xf>
    <xf numFmtId="0" fontId="10" fillId="7" borderId="3" xfId="0" applyFont="1" applyFill="1" applyBorder="1" applyAlignment="1" applyProtection="1">
      <alignment horizontal="left" vertical="center"/>
    </xf>
    <xf numFmtId="0" fontId="10" fillId="8" borderId="1" xfId="0" applyFont="1" applyFill="1" applyBorder="1" applyAlignment="1" applyProtection="1">
      <alignment horizontal="left" vertical="center"/>
    </xf>
    <xf numFmtId="0" fontId="10" fillId="8" borderId="2" xfId="0" applyFont="1" applyFill="1" applyBorder="1" applyAlignment="1" applyProtection="1">
      <alignment horizontal="left" vertical="center"/>
    </xf>
    <xf numFmtId="0" fontId="10" fillId="8" borderId="3" xfId="0" applyFont="1" applyFill="1" applyBorder="1" applyAlignment="1" applyProtection="1">
      <alignment horizontal="left" vertical="center"/>
    </xf>
    <xf numFmtId="0" fontId="10" fillId="9" borderId="1" xfId="0" applyFont="1" applyFill="1" applyBorder="1" applyAlignment="1" applyProtection="1">
      <alignment horizontal="left" vertical="center"/>
    </xf>
    <xf numFmtId="0" fontId="10" fillId="9" borderId="2" xfId="0" applyFont="1" applyFill="1" applyBorder="1" applyAlignment="1" applyProtection="1">
      <alignment horizontal="left" vertical="center"/>
    </xf>
    <xf numFmtId="0" fontId="10" fillId="9" borderId="3" xfId="0" applyFont="1" applyFill="1" applyBorder="1" applyAlignment="1" applyProtection="1">
      <alignment horizontal="left" vertical="center"/>
    </xf>
    <xf numFmtId="0" fontId="12" fillId="10" borderId="1" xfId="0" applyFont="1" applyFill="1" applyBorder="1" applyAlignment="1" applyProtection="1">
      <alignment horizontal="left" vertical="center"/>
    </xf>
    <xf numFmtId="0" fontId="12" fillId="10" borderId="2" xfId="0" applyFont="1" applyFill="1" applyBorder="1" applyAlignment="1" applyProtection="1">
      <alignment horizontal="left" vertical="center"/>
    </xf>
    <xf numFmtId="0" fontId="12" fillId="10" borderId="3" xfId="0" applyFont="1" applyFill="1" applyBorder="1" applyAlignment="1" applyProtection="1">
      <alignment horizontal="left" vertical="center"/>
    </xf>
    <xf numFmtId="0" fontId="4" fillId="0" borderId="2" xfId="0" applyFont="1" applyBorder="1" applyAlignment="1" applyProtection="1">
      <alignment horizontal="center" vertical="center" wrapText="1"/>
    </xf>
    <xf numFmtId="0" fontId="17" fillId="0" borderId="4" xfId="0" applyFont="1" applyBorder="1" applyAlignment="1" applyProtection="1">
      <alignment horizontal="left" vertical="center"/>
    </xf>
    <xf numFmtId="0" fontId="18" fillId="11" borderId="4" xfId="0" applyFont="1" applyFill="1" applyBorder="1" applyAlignment="1" applyProtection="1">
      <alignment horizontal="right" vertical="center" wrapText="1"/>
    </xf>
    <xf numFmtId="0" fontId="19" fillId="0" borderId="4" xfId="0" applyFont="1" applyBorder="1" applyAlignment="1" applyProtection="1">
      <alignment horizontal="center" vertical="center" wrapText="1"/>
    </xf>
    <xf numFmtId="0" fontId="19" fillId="0" borderId="4" xfId="0" applyFont="1" applyBorder="1" applyAlignment="1" applyProtection="1">
      <alignment horizontal="center" vertical="center"/>
    </xf>
    <xf numFmtId="164" fontId="19" fillId="0" borderId="4" xfId="0" applyNumberFormat="1" applyFont="1" applyBorder="1" applyAlignment="1" applyProtection="1">
      <alignment horizontal="center" vertical="center"/>
    </xf>
    <xf numFmtId="4" fontId="19" fillId="3" borderId="4" xfId="0" applyNumberFormat="1" applyFont="1" applyFill="1" applyBorder="1" applyAlignment="1" applyProtection="1">
      <alignment horizontal="center" vertical="center"/>
    </xf>
    <xf numFmtId="0" fontId="20" fillId="0" borderId="0" xfId="0" applyFont="1"/>
    <xf numFmtId="4" fontId="19" fillId="0" borderId="4" xfId="0" applyNumberFormat="1" applyFont="1" applyBorder="1" applyAlignment="1" applyProtection="1">
      <alignment horizontal="center" vertical="center"/>
    </xf>
    <xf numFmtId="4" fontId="19" fillId="3" borderId="4" xfId="0" applyNumberFormat="1" applyFont="1" applyFill="1" applyBorder="1" applyAlignment="1" applyProtection="1">
      <alignment horizontal="center" vertical="center"/>
      <protection locked="0"/>
    </xf>
    <xf numFmtId="4" fontId="17" fillId="0" borderId="0" xfId="0" applyNumberFormat="1" applyFont="1" applyAlignment="1" applyProtection="1">
      <alignment horizontal="left" vertical="center"/>
    </xf>
    <xf numFmtId="0" fontId="17" fillId="0" borderId="0" xfId="0" applyFont="1" applyAlignment="1" applyProtection="1">
      <alignment horizontal="left" vertical="center"/>
    </xf>
    <xf numFmtId="10" fontId="19" fillId="0" borderId="4" xfId="0" applyNumberFormat="1" applyFont="1" applyBorder="1" applyAlignment="1" applyProtection="1">
      <alignment horizontal="center" vertical="center"/>
    </xf>
    <xf numFmtId="0" fontId="18" fillId="0" borderId="4" xfId="0" applyFont="1" applyBorder="1" applyAlignment="1" applyProtection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7"/>
  <sheetViews>
    <sheetView zoomScale="55" zoomScaleNormal="55" workbookViewId="0">
      <pane xSplit="9" ySplit="7" topLeftCell="J50" activePane="bottomRight" state="frozen"/>
      <selection pane="topRight"/>
      <selection pane="bottomLeft"/>
      <selection pane="bottomRight" activeCell="C70" sqref="C70"/>
    </sheetView>
  </sheetViews>
  <sheetFormatPr defaultRowHeight="14.4" x14ac:dyDescent="0.3"/>
  <cols>
    <col min="1" max="1" width="6.5546875" hidden="1" customWidth="1"/>
    <col min="2" max="2" width="15.6640625" customWidth="1"/>
    <col min="3" max="3" width="55.6640625" customWidth="1"/>
    <col min="4" max="4" width="6" customWidth="1"/>
    <col min="5" max="5" width="32.77734375" customWidth="1"/>
    <col min="6" max="6" width="8.88671875" bestFit="1" customWidth="1"/>
    <col min="7" max="7" width="14.44140625" customWidth="1"/>
    <col min="8" max="8" width="16" hidden="1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customWidth="1"/>
    <col min="36" max="36" width="8.88671875" customWidth="1"/>
    <col min="37" max="38" width="17.21875" customWidth="1"/>
    <col min="39" max="39" width="22.88671875" customWidth="1"/>
    <col min="40" max="41" width="17.21875" customWidth="1"/>
    <col min="42" max="42" width="22.88671875" customWidth="1"/>
  </cols>
  <sheetData>
    <row r="1" spans="1:42" ht="15" customHeight="1" x14ac:dyDescent="0.3">
      <c r="A1" s="1" t="s">
        <v>0</v>
      </c>
      <c r="B1" s="4"/>
      <c r="C1" s="4"/>
      <c r="D1" s="2" t="s">
        <v>1</v>
      </c>
      <c r="E1" s="2" t="s">
        <v>3</v>
      </c>
      <c r="F1" s="2" t="s">
        <v>2</v>
      </c>
      <c r="G1" s="2" t="s">
        <v>16</v>
      </c>
      <c r="H1" s="2" t="s">
        <v>17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AC1" s="5" t="s">
        <v>18</v>
      </c>
      <c r="AD1" s="5" t="s">
        <v>19</v>
      </c>
      <c r="AE1" s="5" t="s">
        <v>20</v>
      </c>
      <c r="AF1" s="5" t="s">
        <v>21</v>
      </c>
      <c r="AG1" s="5" t="s">
        <v>22</v>
      </c>
      <c r="AH1" s="5" t="s">
        <v>23</v>
      </c>
      <c r="AI1" s="5" t="s">
        <v>24</v>
      </c>
    </row>
    <row r="2" spans="1:42" ht="30.75" customHeight="1" x14ac:dyDescent="0.3">
      <c r="A2" s="41" t="s">
        <v>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42" ht="15" customHeight="1" x14ac:dyDescent="0.3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42" ht="15" customHeight="1" x14ac:dyDescent="0.3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42" ht="40.799999999999997" customHeight="1" x14ac:dyDescent="0.3">
      <c r="A5" s="55" t="s">
        <v>25</v>
      </c>
      <c r="B5" s="55" t="s">
        <v>26</v>
      </c>
      <c r="C5" s="55" t="s">
        <v>27</v>
      </c>
      <c r="D5" s="55" t="s">
        <v>28</v>
      </c>
      <c r="E5" s="55" t="s">
        <v>29</v>
      </c>
      <c r="F5" s="55" t="s">
        <v>30</v>
      </c>
      <c r="G5" s="55" t="s">
        <v>31</v>
      </c>
      <c r="H5" s="55" t="s">
        <v>32</v>
      </c>
      <c r="I5" s="55" t="s">
        <v>33</v>
      </c>
      <c r="J5" s="44" t="s">
        <v>7</v>
      </c>
      <c r="K5" s="45"/>
      <c r="L5" s="45"/>
      <c r="M5" s="45"/>
      <c r="N5" s="45"/>
      <c r="O5" s="46"/>
      <c r="P5" s="47" t="s">
        <v>8</v>
      </c>
      <c r="Q5" s="48"/>
      <c r="R5" s="49"/>
      <c r="S5" s="47" t="s">
        <v>9</v>
      </c>
      <c r="T5" s="48"/>
      <c r="U5" s="49"/>
      <c r="AK5" s="50" t="s">
        <v>10</v>
      </c>
      <c r="AL5" s="51"/>
      <c r="AM5" s="51"/>
      <c r="AN5" s="51"/>
      <c r="AO5" s="51"/>
      <c r="AP5" s="52"/>
    </row>
    <row r="6" spans="1:42" ht="15.75" customHeight="1" x14ac:dyDescent="0.3">
      <c r="A6" s="57"/>
      <c r="B6" s="57"/>
      <c r="C6" s="57"/>
      <c r="D6" s="57"/>
      <c r="E6" s="57"/>
      <c r="F6" s="57"/>
      <c r="G6" s="57"/>
      <c r="H6" s="57"/>
      <c r="I6" s="57"/>
      <c r="J6" s="53" t="s">
        <v>34</v>
      </c>
      <c r="K6" s="54"/>
      <c r="L6" s="55" t="s">
        <v>34</v>
      </c>
      <c r="M6" s="53" t="s">
        <v>35</v>
      </c>
      <c r="N6" s="54"/>
      <c r="O6" s="55" t="s">
        <v>36</v>
      </c>
      <c r="P6" s="53" t="s">
        <v>34</v>
      </c>
      <c r="Q6" s="54"/>
      <c r="R6" s="55" t="s">
        <v>34</v>
      </c>
      <c r="S6" s="53" t="s">
        <v>35</v>
      </c>
      <c r="T6" s="54"/>
      <c r="U6" s="55" t="s">
        <v>36</v>
      </c>
      <c r="AK6" s="53" t="s">
        <v>11</v>
      </c>
      <c r="AL6" s="54"/>
      <c r="AM6" s="55" t="s">
        <v>14</v>
      </c>
      <c r="AN6" s="53" t="s">
        <v>15</v>
      </c>
      <c r="AO6" s="54"/>
      <c r="AP6" s="55" t="s">
        <v>14</v>
      </c>
    </row>
    <row r="7" spans="1:42" ht="31.2" customHeight="1" x14ac:dyDescent="0.3">
      <c r="A7" s="56"/>
      <c r="B7" s="56"/>
      <c r="C7" s="56"/>
      <c r="D7" s="56"/>
      <c r="E7" s="56"/>
      <c r="F7" s="56"/>
      <c r="G7" s="56"/>
      <c r="H7" s="56"/>
      <c r="I7" s="56"/>
      <c r="J7" s="3" t="s">
        <v>12</v>
      </c>
      <c r="K7" s="3" t="s">
        <v>13</v>
      </c>
      <c r="L7" s="56"/>
      <c r="M7" s="3" t="s">
        <v>12</v>
      </c>
      <c r="N7" s="3" t="s">
        <v>13</v>
      </c>
      <c r="O7" s="56"/>
      <c r="P7" s="3" t="s">
        <v>12</v>
      </c>
      <c r="Q7" s="3" t="s">
        <v>13</v>
      </c>
      <c r="R7" s="56"/>
      <c r="S7" s="3" t="s">
        <v>12</v>
      </c>
      <c r="T7" s="3" t="s">
        <v>13</v>
      </c>
      <c r="U7" s="56"/>
      <c r="AK7" s="3" t="s">
        <v>12</v>
      </c>
      <c r="AL7" s="3" t="s">
        <v>13</v>
      </c>
      <c r="AM7" s="56"/>
      <c r="AN7" s="3" t="s">
        <v>12</v>
      </c>
      <c r="AO7" s="3" t="s">
        <v>13</v>
      </c>
      <c r="AP7" s="56"/>
    </row>
    <row r="8" spans="1:42" ht="30" customHeight="1" x14ac:dyDescent="0.3">
      <c r="A8" s="58" t="s">
        <v>37</v>
      </c>
      <c r="B8" s="59"/>
      <c r="C8" s="59"/>
      <c r="D8" s="59"/>
      <c r="E8" s="59"/>
      <c r="F8" s="59"/>
      <c r="G8" s="59"/>
      <c r="H8" s="59"/>
      <c r="I8" s="60"/>
      <c r="J8" s="7"/>
      <c r="K8" s="7"/>
      <c r="L8" s="7"/>
      <c r="M8" s="8">
        <f t="shared" ref="M8:O9" si="0">SUM(M9)</f>
        <v>2092992.38</v>
      </c>
      <c r="N8" s="8">
        <f t="shared" si="0"/>
        <v>6014031.29</v>
      </c>
      <c r="O8" s="8">
        <f t="shared" si="0"/>
        <v>8107023.6699999999</v>
      </c>
      <c r="P8" s="7"/>
      <c r="Q8" s="7"/>
      <c r="R8" s="7"/>
      <c r="S8" s="8">
        <f t="shared" ref="S8:U9" si="1">SUM(S9)</f>
        <v>2245145.06</v>
      </c>
      <c r="T8" s="8">
        <f t="shared" si="1"/>
        <v>7965177.4000000004</v>
      </c>
      <c r="U8" s="8">
        <f t="shared" si="1"/>
        <v>10210322.460000001</v>
      </c>
      <c r="Y8" s="9">
        <f t="shared" ref="Y8:AA9" si="2">SUM(Y9)</f>
        <v>1870954.24</v>
      </c>
      <c r="Z8" s="9">
        <f t="shared" si="2"/>
        <v>6637647.8499999996</v>
      </c>
      <c r="AA8" s="9" t="e">
        <f t="shared" si="2"/>
        <v>#VALUE!</v>
      </c>
      <c r="AC8" s="5" t="s">
        <v>38</v>
      </c>
      <c r="AK8" s="8">
        <f t="shared" ref="AK8:AM14" si="3">S8-M8</f>
        <v>152152.68</v>
      </c>
      <c r="AL8" s="8">
        <f t="shared" si="3"/>
        <v>1951146.11</v>
      </c>
      <c r="AM8" s="8">
        <f t="shared" si="3"/>
        <v>2103298.79</v>
      </c>
      <c r="AN8" s="11">
        <f t="shared" ref="AN8:AP14" si="4">IFERROR(AK8/M8,0)</f>
        <v>7.2696241732136999E-2</v>
      </c>
      <c r="AO8" s="11">
        <f t="shared" si="4"/>
        <v>0.32443231767754999</v>
      </c>
      <c r="AP8" s="11">
        <f t="shared" si="4"/>
        <v>0.25944155039083999</v>
      </c>
    </row>
    <row r="9" spans="1:42" ht="16.95" customHeight="1" x14ac:dyDescent="0.3">
      <c r="A9" s="12" t="s">
        <v>39</v>
      </c>
      <c r="B9" s="13" t="s">
        <v>40</v>
      </c>
      <c r="C9" s="61" t="s">
        <v>41</v>
      </c>
      <c r="D9" s="62"/>
      <c r="E9" s="62"/>
      <c r="F9" s="62"/>
      <c r="G9" s="62"/>
      <c r="H9" s="62"/>
      <c r="I9" s="63"/>
      <c r="M9" s="6">
        <f t="shared" si="0"/>
        <v>2092992.38</v>
      </c>
      <c r="N9" s="6">
        <f t="shared" si="0"/>
        <v>6014031.29</v>
      </c>
      <c r="O9" s="6">
        <f t="shared" si="0"/>
        <v>8107023.6699999999</v>
      </c>
      <c r="S9" s="6">
        <f t="shared" si="1"/>
        <v>2245145.06</v>
      </c>
      <c r="T9" s="6">
        <f t="shared" si="1"/>
        <v>7965177.4000000004</v>
      </c>
      <c r="U9" s="6">
        <f t="shared" si="1"/>
        <v>10210322.460000001</v>
      </c>
      <c r="Y9" s="9">
        <f t="shared" si="2"/>
        <v>1870954.24</v>
      </c>
      <c r="Z9" s="9">
        <f t="shared" si="2"/>
        <v>6637647.8499999996</v>
      </c>
      <c r="AA9" s="9" t="e">
        <f t="shared" si="2"/>
        <v>#VALUE!</v>
      </c>
      <c r="AD9" s="5">
        <v>410200577</v>
      </c>
      <c r="AE9" s="5">
        <v>21662432</v>
      </c>
      <c r="AK9" s="6">
        <f t="shared" si="3"/>
        <v>152152.68</v>
      </c>
      <c r="AL9" s="6">
        <f t="shared" si="3"/>
        <v>1951146.11</v>
      </c>
      <c r="AM9" s="6">
        <f t="shared" si="3"/>
        <v>2103298.79</v>
      </c>
      <c r="AN9" s="10">
        <f t="shared" si="4"/>
        <v>7.2696241732136999E-2</v>
      </c>
      <c r="AO9" s="10">
        <f t="shared" si="4"/>
        <v>0.32443231767754999</v>
      </c>
      <c r="AP9" s="10">
        <f t="shared" si="4"/>
        <v>0.25944155039083999</v>
      </c>
    </row>
    <row r="10" spans="1:42" ht="16.95" customHeight="1" x14ac:dyDescent="0.3">
      <c r="A10" s="12" t="s">
        <v>42</v>
      </c>
      <c r="B10" s="14" t="s">
        <v>43</v>
      </c>
      <c r="C10" s="64" t="s">
        <v>44</v>
      </c>
      <c r="D10" s="65"/>
      <c r="E10" s="65"/>
      <c r="F10" s="65"/>
      <c r="G10" s="65"/>
      <c r="H10" s="65"/>
      <c r="I10" s="66"/>
      <c r="M10" s="6">
        <f>SUM(M11,M37)</f>
        <v>2092992.38</v>
      </c>
      <c r="N10" s="6">
        <f>SUM(N11,N37)</f>
        <v>6014031.29</v>
      </c>
      <c r="O10" s="6">
        <f>SUM(O11,O37)</f>
        <v>8107023.6699999999</v>
      </c>
      <c r="S10" s="6">
        <f>SUM(S11,S37)</f>
        <v>2245145.06</v>
      </c>
      <c r="T10" s="6">
        <f>SUM(T11,T37)</f>
        <v>7965177.4000000004</v>
      </c>
      <c r="U10" s="6">
        <f>SUM(U11,U37)</f>
        <v>10210322.460000001</v>
      </c>
      <c r="Y10" s="9">
        <f>SUM(Y11,Y37)</f>
        <v>1870954.24</v>
      </c>
      <c r="Z10" s="9">
        <f>SUM(Z11,Z37)</f>
        <v>6637647.8499999996</v>
      </c>
      <c r="AA10" s="9" t="e">
        <f>SUM(AA11,AA37)</f>
        <v>#VALUE!</v>
      </c>
      <c r="AD10" s="5">
        <v>410200578</v>
      </c>
      <c r="AE10" s="5">
        <v>21662434</v>
      </c>
      <c r="AK10" s="6">
        <f t="shared" si="3"/>
        <v>152152.68</v>
      </c>
      <c r="AL10" s="6">
        <f t="shared" si="3"/>
        <v>1951146.11</v>
      </c>
      <c r="AM10" s="6">
        <f t="shared" si="3"/>
        <v>2103298.79</v>
      </c>
      <c r="AN10" s="10">
        <f t="shared" si="4"/>
        <v>7.2696241732136999E-2</v>
      </c>
      <c r="AO10" s="10">
        <f t="shared" si="4"/>
        <v>0.32443231767754999</v>
      </c>
      <c r="AP10" s="10">
        <f t="shared" si="4"/>
        <v>0.25944155039083999</v>
      </c>
    </row>
    <row r="11" spans="1:42" ht="16.95" customHeight="1" x14ac:dyDescent="0.3">
      <c r="A11" s="12" t="s">
        <v>45</v>
      </c>
      <c r="B11" s="15" t="s">
        <v>46</v>
      </c>
      <c r="C11" s="67" t="s">
        <v>47</v>
      </c>
      <c r="D11" s="68"/>
      <c r="E11" s="68"/>
      <c r="F11" s="68"/>
      <c r="G11" s="68"/>
      <c r="H11" s="68"/>
      <c r="I11" s="69"/>
      <c r="M11" s="6">
        <f>SUM(M12,M21,M34)</f>
        <v>116070.52</v>
      </c>
      <c r="N11" s="6">
        <f>SUM(N12,N21,N34)</f>
        <v>247327.58</v>
      </c>
      <c r="O11" s="6">
        <f>SUM(O12,O21,O34)</f>
        <v>363398.1</v>
      </c>
      <c r="S11" s="6">
        <f>SUM(S12,S21,S34)</f>
        <v>116070.52</v>
      </c>
      <c r="T11" s="6">
        <f>SUM(T12,T21,T34)</f>
        <v>321525.38</v>
      </c>
      <c r="U11" s="6">
        <f>SUM(U12,U21,U34)</f>
        <v>437595.9</v>
      </c>
      <c r="Y11" s="9">
        <f>SUM(Y12,Y21,Y34)</f>
        <v>96725.43</v>
      </c>
      <c r="Z11" s="9">
        <f>SUM(Z12,Z21,Z34)</f>
        <v>267937.81</v>
      </c>
      <c r="AA11" s="9" t="e">
        <f>SUM(AA12,AA21,AA34)</f>
        <v>#VALUE!</v>
      </c>
      <c r="AD11" s="5">
        <v>410200579</v>
      </c>
      <c r="AE11" s="5">
        <v>21662440</v>
      </c>
      <c r="AK11" s="6">
        <f t="shared" si="3"/>
        <v>0</v>
      </c>
      <c r="AL11" s="6">
        <f t="shared" si="3"/>
        <v>74197.8</v>
      </c>
      <c r="AM11" s="6">
        <f t="shared" si="3"/>
        <v>74197.8</v>
      </c>
      <c r="AN11" s="10">
        <f t="shared" si="4"/>
        <v>0</v>
      </c>
      <c r="AO11" s="10">
        <f t="shared" si="4"/>
        <v>0.29999808351336998</v>
      </c>
      <c r="AP11" s="10">
        <f t="shared" si="4"/>
        <v>0.20417773235468001</v>
      </c>
    </row>
    <row r="12" spans="1:42" ht="16.95" customHeight="1" x14ac:dyDescent="0.3">
      <c r="A12" s="12" t="s">
        <v>48</v>
      </c>
      <c r="B12" s="16" t="s">
        <v>49</v>
      </c>
      <c r="C12" s="70" t="s">
        <v>50</v>
      </c>
      <c r="D12" s="71"/>
      <c r="E12" s="71"/>
      <c r="F12" s="71"/>
      <c r="G12" s="71"/>
      <c r="H12" s="71"/>
      <c r="I12" s="72"/>
      <c r="M12" s="6">
        <f>SUM(M13,M19)</f>
        <v>56190.67</v>
      </c>
      <c r="N12" s="6">
        <f>SUM(N13,N19)</f>
        <v>91854</v>
      </c>
      <c r="O12" s="6">
        <f>SUM(O13,O19)</f>
        <v>148044.67000000001</v>
      </c>
      <c r="S12" s="6">
        <f>SUM(S13,S19)</f>
        <v>56190.67</v>
      </c>
      <c r="T12" s="6">
        <f>SUM(T13,T19)</f>
        <v>119410.2</v>
      </c>
      <c r="U12" s="6">
        <f>SUM(U13,U19)</f>
        <v>175600.87</v>
      </c>
      <c r="Y12" s="9">
        <f>SUM(Y13,Y19)</f>
        <v>46825.56</v>
      </c>
      <c r="Z12" s="9">
        <f>SUM(Z13,Z19)</f>
        <v>99508.5</v>
      </c>
      <c r="AA12" s="9" t="e">
        <f>SUM(AA13,AA19)</f>
        <v>#VALUE!</v>
      </c>
      <c r="AD12" s="5">
        <v>410200580</v>
      </c>
      <c r="AE12" s="5">
        <v>21662437</v>
      </c>
      <c r="AK12" s="6">
        <f t="shared" si="3"/>
        <v>0</v>
      </c>
      <c r="AL12" s="6">
        <f t="shared" si="3"/>
        <v>27556.2</v>
      </c>
      <c r="AM12" s="6">
        <f t="shared" si="3"/>
        <v>27556.2</v>
      </c>
      <c r="AN12" s="10">
        <f t="shared" si="4"/>
        <v>0</v>
      </c>
      <c r="AO12" s="10">
        <f t="shared" si="4"/>
        <v>0.3</v>
      </c>
      <c r="AP12" s="10">
        <f t="shared" si="4"/>
        <v>0.18613436066290001</v>
      </c>
    </row>
    <row r="13" spans="1:42" ht="16.95" customHeight="1" x14ac:dyDescent="0.3">
      <c r="A13" s="12" t="s">
        <v>51</v>
      </c>
      <c r="B13" s="17" t="s">
        <v>52</v>
      </c>
      <c r="C13" s="73" t="s">
        <v>53</v>
      </c>
      <c r="D13" s="74"/>
      <c r="E13" s="74"/>
      <c r="F13" s="74"/>
      <c r="G13" s="74"/>
      <c r="H13" s="74"/>
      <c r="I13" s="75"/>
      <c r="M13" s="6">
        <f>SUM(M14)</f>
        <v>56190.67</v>
      </c>
      <c r="N13" s="6">
        <f>SUM(N14)</f>
        <v>65091.6</v>
      </c>
      <c r="O13" s="6">
        <f>SUM(O14)</f>
        <v>121282.27</v>
      </c>
      <c r="S13" s="6">
        <f>SUM(S14)</f>
        <v>56190.67</v>
      </c>
      <c r="T13" s="6">
        <f>SUM(T14)</f>
        <v>84619.08</v>
      </c>
      <c r="U13" s="6">
        <f>SUM(U14)</f>
        <v>140809.75</v>
      </c>
      <c r="Y13" s="9">
        <f>SUM(Y14)</f>
        <v>46825.56</v>
      </c>
      <c r="Z13" s="9">
        <f>SUM(Z14)</f>
        <v>70515.899999999994</v>
      </c>
      <c r="AA13" s="9">
        <f>SUM(AA14)</f>
        <v>117341.46</v>
      </c>
      <c r="AD13" s="5">
        <v>410200581</v>
      </c>
      <c r="AE13" s="5">
        <v>36662402</v>
      </c>
      <c r="AK13" s="6">
        <f t="shared" si="3"/>
        <v>0</v>
      </c>
      <c r="AL13" s="6">
        <f t="shared" si="3"/>
        <v>19527.48</v>
      </c>
      <c r="AM13" s="6">
        <f t="shared" si="3"/>
        <v>19527.48</v>
      </c>
      <c r="AN13" s="10">
        <f t="shared" si="4"/>
        <v>0</v>
      </c>
      <c r="AO13" s="10">
        <f t="shared" si="4"/>
        <v>0.3</v>
      </c>
      <c r="AP13" s="10">
        <f t="shared" si="4"/>
        <v>0.16100852993598999</v>
      </c>
    </row>
    <row r="14" spans="1:42" ht="54" x14ac:dyDescent="0.3">
      <c r="A14" s="12" t="s">
        <v>54</v>
      </c>
      <c r="B14" s="12" t="s">
        <v>55</v>
      </c>
      <c r="C14" s="18" t="s">
        <v>56</v>
      </c>
      <c r="D14" s="19"/>
      <c r="E14" s="19"/>
      <c r="F14" s="19" t="s">
        <v>57</v>
      </c>
      <c r="G14" s="20">
        <v>1</v>
      </c>
      <c r="H14" s="20"/>
      <c r="I14" s="20">
        <v>32.4</v>
      </c>
      <c r="J14" s="21">
        <f>IFERROR(ROUND(SUM(M15,M16,M17,M18)/I14, 2),0)</f>
        <v>1734.28</v>
      </c>
      <c r="K14" s="22">
        <v>2009</v>
      </c>
      <c r="L14" s="21">
        <f>J14+ROUND(K14, 2)</f>
        <v>3743.28</v>
      </c>
      <c r="M14" s="21">
        <f>ROUND(J14*I14, 2)</f>
        <v>56190.67</v>
      </c>
      <c r="N14" s="21">
        <f>ROUND(I14*ROUND(K14, 2), 2)</f>
        <v>65091.6</v>
      </c>
      <c r="O14" s="21">
        <f>M14+N14</f>
        <v>121282.27</v>
      </c>
      <c r="P14" s="21">
        <f>IFERROR(ROUND(SUM(S15,S16,S17,S18)/I14, 2),0)</f>
        <v>1734.28</v>
      </c>
      <c r="Q14" s="23">
        <v>2611.6999999999998</v>
      </c>
      <c r="R14" s="21">
        <f>P14+ROUND(Q14, 2)</f>
        <v>4345.9799999999996</v>
      </c>
      <c r="S14" s="21">
        <f>ROUND(P14*I14, 2)</f>
        <v>56190.67</v>
      </c>
      <c r="T14" s="21">
        <f>ROUND(I14*ROUND(Q14, 2), 2)</f>
        <v>84619.08</v>
      </c>
      <c r="U14" s="21">
        <f>S14+T14</f>
        <v>140809.75</v>
      </c>
      <c r="V14" s="9">
        <f>ROUND(P14 / 1.2, 2)</f>
        <v>1445.23</v>
      </c>
      <c r="W14" s="9">
        <f>ROUND(Q14 / 1.2, 2)</f>
        <v>2176.42</v>
      </c>
      <c r="X14" s="9">
        <f>ROUND(R14 / 1.2, 2)</f>
        <v>3621.65</v>
      </c>
      <c r="Y14" s="9">
        <f>ROUND(S14 / 1.2, 2)</f>
        <v>46825.56</v>
      </c>
      <c r="Z14" s="9">
        <f>ROUND(T14 / 1.2, 2)</f>
        <v>70515.899999999994</v>
      </c>
      <c r="AA14" s="9">
        <f>Y14+Z14</f>
        <v>117341.46</v>
      </c>
      <c r="AD14" s="5">
        <v>410200583</v>
      </c>
      <c r="AE14" s="5">
        <v>36662397</v>
      </c>
      <c r="AG14" s="5" t="s">
        <v>58</v>
      </c>
      <c r="AH14" s="5" t="s">
        <v>59</v>
      </c>
      <c r="AI14" s="5" t="s">
        <v>60</v>
      </c>
      <c r="AK14" s="21">
        <f t="shared" si="3"/>
        <v>0</v>
      </c>
      <c r="AL14" s="21">
        <f t="shared" si="3"/>
        <v>19527.48</v>
      </c>
      <c r="AM14" s="21">
        <f t="shared" si="3"/>
        <v>19527.48</v>
      </c>
      <c r="AN14" s="24">
        <f t="shared" si="4"/>
        <v>0</v>
      </c>
      <c r="AO14" s="24">
        <f t="shared" si="4"/>
        <v>0.3</v>
      </c>
      <c r="AP14" s="24">
        <f t="shared" si="4"/>
        <v>0.16100852993598999</v>
      </c>
    </row>
    <row r="15" spans="1:42" ht="36" x14ac:dyDescent="0.3">
      <c r="A15" s="12" t="s">
        <v>61</v>
      </c>
      <c r="B15" s="12"/>
      <c r="C15" s="25" t="s">
        <v>62</v>
      </c>
      <c r="D15" s="19"/>
      <c r="E15" s="19"/>
      <c r="F15" s="26" t="s">
        <v>63</v>
      </c>
      <c r="G15" s="27">
        <v>0.15</v>
      </c>
      <c r="H15" s="27"/>
      <c r="I15" s="27">
        <v>4.8600000000000003</v>
      </c>
      <c r="J15" s="28">
        <v>90.28</v>
      </c>
      <c r="M15" s="29">
        <f>ROUND(ROUND(J15, 2)*I15, 2)</f>
        <v>438.76</v>
      </c>
      <c r="P15" s="30">
        <v>90.28</v>
      </c>
      <c r="S15" s="29">
        <f>ROUND(ROUND(P15, 2)*I15, 2)</f>
        <v>438.76</v>
      </c>
      <c r="V15" s="9">
        <f>ROUND(ROUND(P15, 2)/1.2, 2)</f>
        <v>75.23</v>
      </c>
      <c r="Y15" s="9">
        <f>ROUND(S15 / 1.2, 2)</f>
        <v>365.63</v>
      </c>
      <c r="AD15" s="5" t="s">
        <v>64</v>
      </c>
      <c r="AE15" s="5" t="s">
        <v>65</v>
      </c>
      <c r="AF15" s="5" t="s">
        <v>66</v>
      </c>
      <c r="AK15" s="29">
        <f t="shared" ref="AK15:AK46" si="5">S15-M15</f>
        <v>0</v>
      </c>
      <c r="AL15" s="29"/>
      <c r="AM15" s="29"/>
      <c r="AN15" s="31">
        <f t="shared" ref="AN15:AN46" si="6">IFERROR(AK15/M15,0)</f>
        <v>0</v>
      </c>
      <c r="AO15" s="29"/>
      <c r="AP15" s="29"/>
    </row>
    <row r="16" spans="1:42" ht="18" x14ac:dyDescent="0.3">
      <c r="A16" s="12" t="s">
        <v>67</v>
      </c>
      <c r="B16" s="12"/>
      <c r="C16" s="25" t="s">
        <v>68</v>
      </c>
      <c r="D16" s="19"/>
      <c r="E16" s="19"/>
      <c r="F16" s="26" t="s">
        <v>63</v>
      </c>
      <c r="G16" s="27">
        <v>0.25</v>
      </c>
      <c r="H16" s="27"/>
      <c r="I16" s="27">
        <v>8.1</v>
      </c>
      <c r="J16" s="28">
        <v>48.23</v>
      </c>
      <c r="M16" s="29">
        <f>ROUND(ROUND(J16, 2)*I16, 2)</f>
        <v>390.66</v>
      </c>
      <c r="P16" s="30">
        <v>48.23</v>
      </c>
      <c r="S16" s="29">
        <f>ROUND(ROUND(P16, 2)*I16, 2)</f>
        <v>390.66</v>
      </c>
      <c r="V16" s="9">
        <f>ROUND(ROUND(P16, 2)/1.2, 2)</f>
        <v>40.19</v>
      </c>
      <c r="Y16" s="9">
        <f>ROUND(S16 / 1.2, 2)</f>
        <v>325.55</v>
      </c>
      <c r="AD16" s="5" t="s">
        <v>69</v>
      </c>
      <c r="AE16" s="5" t="s">
        <v>70</v>
      </c>
      <c r="AF16" s="5" t="s">
        <v>71</v>
      </c>
      <c r="AK16" s="29">
        <f t="shared" si="5"/>
        <v>0</v>
      </c>
      <c r="AL16" s="29"/>
      <c r="AM16" s="29"/>
      <c r="AN16" s="31">
        <f t="shared" si="6"/>
        <v>0</v>
      </c>
      <c r="AO16" s="29"/>
      <c r="AP16" s="29"/>
    </row>
    <row r="17" spans="1:42" ht="36" x14ac:dyDescent="0.3">
      <c r="A17" s="12" t="s">
        <v>72</v>
      </c>
      <c r="B17" s="12"/>
      <c r="C17" s="32" t="s">
        <v>73</v>
      </c>
      <c r="D17" s="19"/>
      <c r="E17" s="19"/>
      <c r="F17" s="26" t="s">
        <v>63</v>
      </c>
      <c r="G17" s="27">
        <v>1.2</v>
      </c>
      <c r="H17" s="33"/>
      <c r="I17" s="33">
        <v>194.4</v>
      </c>
      <c r="J17" s="28">
        <v>16.38</v>
      </c>
      <c r="M17" s="29">
        <f>ROUND(ROUND(J17, 2)*I17, 2)</f>
        <v>3184.27</v>
      </c>
      <c r="P17" s="30">
        <v>16.38</v>
      </c>
      <c r="S17" s="29">
        <f>ROUND(ROUND(P17, 2)*I17, 2)</f>
        <v>3184.27</v>
      </c>
      <c r="V17" s="9">
        <f>ROUND(ROUND(P17, 2)/1.2, 2)</f>
        <v>13.65</v>
      </c>
      <c r="Y17" s="9">
        <f>ROUND(S17 / 1.2, 2)</f>
        <v>2653.56</v>
      </c>
      <c r="AD17" s="5" t="s">
        <v>74</v>
      </c>
      <c r="AE17" s="5" t="s">
        <v>75</v>
      </c>
      <c r="AF17" s="5" t="s">
        <v>76</v>
      </c>
      <c r="AK17" s="29">
        <f t="shared" si="5"/>
        <v>0</v>
      </c>
      <c r="AL17" s="29"/>
      <c r="AM17" s="29"/>
      <c r="AN17" s="31">
        <f t="shared" si="6"/>
        <v>0</v>
      </c>
      <c r="AO17" s="29"/>
      <c r="AP17" s="29"/>
    </row>
    <row r="18" spans="1:42" ht="90" x14ac:dyDescent="0.3">
      <c r="A18" s="12" t="s">
        <v>77</v>
      </c>
      <c r="B18" s="12"/>
      <c r="C18" s="32" t="s">
        <v>78</v>
      </c>
      <c r="D18" s="19"/>
      <c r="E18" s="19" t="s">
        <v>79</v>
      </c>
      <c r="F18" s="26" t="s">
        <v>80</v>
      </c>
      <c r="G18" s="27">
        <v>4</v>
      </c>
      <c r="H18" s="27"/>
      <c r="I18" s="27">
        <v>129.6</v>
      </c>
      <c r="J18" s="28">
        <v>402.6</v>
      </c>
      <c r="M18" s="29">
        <f>ROUND(ROUND(J18, 2)*I18, 2)</f>
        <v>52176.959999999999</v>
      </c>
      <c r="P18" s="30">
        <v>402.6</v>
      </c>
      <c r="S18" s="29">
        <f>ROUND(ROUND(P18, 2)*I18, 2)</f>
        <v>52176.959999999999</v>
      </c>
      <c r="V18" s="9">
        <f>ROUND(ROUND(P18, 2)/1.2, 2)</f>
        <v>335.5</v>
      </c>
      <c r="Y18" s="9">
        <f>ROUND(S18 / 1.2, 2)</f>
        <v>43480.800000000003</v>
      </c>
      <c r="AD18" s="5" t="s">
        <v>81</v>
      </c>
      <c r="AE18" s="5" t="s">
        <v>82</v>
      </c>
      <c r="AF18" s="5" t="s">
        <v>83</v>
      </c>
      <c r="AK18" s="29">
        <f t="shared" si="5"/>
        <v>0</v>
      </c>
      <c r="AL18" s="29"/>
      <c r="AM18" s="29"/>
      <c r="AN18" s="31">
        <f t="shared" si="6"/>
        <v>0</v>
      </c>
      <c r="AO18" s="29"/>
      <c r="AP18" s="29"/>
    </row>
    <row r="19" spans="1:42" ht="16.95" customHeight="1" x14ac:dyDescent="0.3">
      <c r="A19" s="12" t="s">
        <v>84</v>
      </c>
      <c r="B19" s="17" t="s">
        <v>85</v>
      </c>
      <c r="C19" s="73" t="s">
        <v>86</v>
      </c>
      <c r="D19" s="74"/>
      <c r="E19" s="74"/>
      <c r="F19" s="74"/>
      <c r="G19" s="74"/>
      <c r="H19" s="74"/>
      <c r="I19" s="75"/>
      <c r="M19" s="6">
        <f>SUM(M20)</f>
        <v>0</v>
      </c>
      <c r="N19" s="6">
        <f>SUM(N20)</f>
        <v>26762.400000000001</v>
      </c>
      <c r="O19" s="6">
        <f>SUM(O20)</f>
        <v>26762.400000000001</v>
      </c>
      <c r="S19" s="6">
        <f>SUM(S20)</f>
        <v>0</v>
      </c>
      <c r="T19" s="6">
        <f>SUM(T20)</f>
        <v>34791.120000000003</v>
      </c>
      <c r="U19" s="6">
        <f>SUM(U20)</f>
        <v>34791.120000000003</v>
      </c>
      <c r="Y19" s="9">
        <f>SUM(Y20)</f>
        <v>0</v>
      </c>
      <c r="Z19" s="9">
        <f>SUM(Z20)</f>
        <v>28992.6</v>
      </c>
      <c r="AA19" s="9" t="e">
        <f>SUM(AA20)</f>
        <v>#VALUE!</v>
      </c>
      <c r="AD19" s="5">
        <v>410200584</v>
      </c>
      <c r="AE19" s="5">
        <v>21662438</v>
      </c>
      <c r="AK19" s="6">
        <f t="shared" si="5"/>
        <v>0</v>
      </c>
      <c r="AL19" s="6">
        <f t="shared" ref="AL19:AM23" si="7">T19-N19</f>
        <v>8028.72</v>
      </c>
      <c r="AM19" s="6">
        <f t="shared" si="7"/>
        <v>8028.72</v>
      </c>
      <c r="AN19" s="10">
        <f t="shared" si="6"/>
        <v>0</v>
      </c>
      <c r="AO19" s="10">
        <f t="shared" ref="AO19:AP23" si="8">IFERROR(AL19/N19,0)</f>
        <v>0.3</v>
      </c>
      <c r="AP19" s="10">
        <f t="shared" si="8"/>
        <v>0.3</v>
      </c>
    </row>
    <row r="20" spans="1:42" ht="18" x14ac:dyDescent="0.3">
      <c r="A20" s="12" t="s">
        <v>87</v>
      </c>
      <c r="B20" s="12" t="s">
        <v>88</v>
      </c>
      <c r="C20" s="18" t="s">
        <v>89</v>
      </c>
      <c r="D20" s="19"/>
      <c r="E20" s="19"/>
      <c r="F20" s="19" t="s">
        <v>57</v>
      </c>
      <c r="G20" s="20">
        <v>1</v>
      </c>
      <c r="H20" s="20"/>
      <c r="I20" s="20">
        <v>32.4</v>
      </c>
      <c r="J20" s="21">
        <v>0</v>
      </c>
      <c r="K20" s="22">
        <v>826</v>
      </c>
      <c r="L20" s="21">
        <f>J20+ROUND(K20, 2)</f>
        <v>826</v>
      </c>
      <c r="M20" s="21">
        <v>0</v>
      </c>
      <c r="N20" s="21">
        <f>ROUND(I20*ROUND(K20, 2), 2)</f>
        <v>26762.400000000001</v>
      </c>
      <c r="O20" s="21">
        <f>M20+N20</f>
        <v>26762.400000000001</v>
      </c>
      <c r="P20" s="21">
        <v>0</v>
      </c>
      <c r="Q20" s="23">
        <v>1073.8</v>
      </c>
      <c r="R20" s="21">
        <f>P20+ROUND(Q20, 2)</f>
        <v>1073.8</v>
      </c>
      <c r="S20" s="21">
        <v>0</v>
      </c>
      <c r="T20" s="21">
        <f>ROUND(I20*ROUND(Q20, 2), 2)</f>
        <v>34791.120000000003</v>
      </c>
      <c r="U20" s="21">
        <f>S20+T20</f>
        <v>34791.120000000003</v>
      </c>
      <c r="V20" s="9"/>
      <c r="W20" s="9">
        <f>ROUND(Q20 / 1.2, 2)</f>
        <v>894.83</v>
      </c>
      <c r="X20" s="9">
        <f>ROUND(R20 / 1.2, 2)</f>
        <v>894.83</v>
      </c>
      <c r="Y20" s="9"/>
      <c r="Z20" s="9">
        <f>ROUND(T20 / 1.2, 2)</f>
        <v>28992.6</v>
      </c>
      <c r="AA20" s="9" t="e">
        <f>Y20+Z20</f>
        <v>#VALUE!</v>
      </c>
      <c r="AD20" s="5">
        <v>410200586</v>
      </c>
      <c r="AE20" s="5">
        <v>36662401</v>
      </c>
      <c r="AG20" s="5" t="s">
        <v>90</v>
      </c>
      <c r="AH20" s="5" t="s">
        <v>91</v>
      </c>
      <c r="AI20" s="5" t="s">
        <v>60</v>
      </c>
      <c r="AK20" s="21">
        <f t="shared" si="5"/>
        <v>0</v>
      </c>
      <c r="AL20" s="21">
        <f t="shared" si="7"/>
        <v>8028.72</v>
      </c>
      <c r="AM20" s="21">
        <f t="shared" si="7"/>
        <v>8028.72</v>
      </c>
      <c r="AN20" s="24">
        <f t="shared" si="6"/>
        <v>0</v>
      </c>
      <c r="AO20" s="24">
        <f t="shared" si="8"/>
        <v>0.3</v>
      </c>
      <c r="AP20" s="24">
        <f t="shared" si="8"/>
        <v>0.3</v>
      </c>
    </row>
    <row r="21" spans="1:42" ht="16.95" customHeight="1" x14ac:dyDescent="0.3">
      <c r="A21" s="12" t="s">
        <v>92</v>
      </c>
      <c r="B21" s="16" t="s">
        <v>93</v>
      </c>
      <c r="C21" s="70" t="s">
        <v>94</v>
      </c>
      <c r="D21" s="71"/>
      <c r="E21" s="71"/>
      <c r="F21" s="71"/>
      <c r="G21" s="71"/>
      <c r="H21" s="71"/>
      <c r="I21" s="72"/>
      <c r="M21" s="6">
        <f>SUM(M22,M32)</f>
        <v>59879.85</v>
      </c>
      <c r="N21" s="6">
        <f>SUM(N22,N32)</f>
        <v>105361.76</v>
      </c>
      <c r="O21" s="6">
        <f>SUM(O22,O32)</f>
        <v>165241.60999999999</v>
      </c>
      <c r="S21" s="6">
        <f>SUM(S22,S32)</f>
        <v>59879.85</v>
      </c>
      <c r="T21" s="6">
        <f>SUM(T22,T32)</f>
        <v>136969.76</v>
      </c>
      <c r="U21" s="6">
        <f>SUM(U22,U32)</f>
        <v>196849.61</v>
      </c>
      <c r="Y21" s="9">
        <f>SUM(Y22,Y32)</f>
        <v>49899.87</v>
      </c>
      <c r="Z21" s="9">
        <f>SUM(Z22,Z32)</f>
        <v>114141.46</v>
      </c>
      <c r="AA21" s="9" t="e">
        <f>SUM(AA22,AA32)</f>
        <v>#VALUE!</v>
      </c>
      <c r="AD21" s="5">
        <v>410200587</v>
      </c>
      <c r="AE21" s="5">
        <v>36660150</v>
      </c>
      <c r="AK21" s="6">
        <f t="shared" si="5"/>
        <v>0</v>
      </c>
      <c r="AL21" s="6">
        <f t="shared" si="7"/>
        <v>31608</v>
      </c>
      <c r="AM21" s="6">
        <f t="shared" si="7"/>
        <v>31608</v>
      </c>
      <c r="AN21" s="10">
        <f t="shared" si="6"/>
        <v>0</v>
      </c>
      <c r="AO21" s="10">
        <f t="shared" si="8"/>
        <v>0.29999498869419</v>
      </c>
      <c r="AP21" s="10">
        <f t="shared" si="8"/>
        <v>0.1912835392974</v>
      </c>
    </row>
    <row r="22" spans="1:42" ht="16.95" customHeight="1" x14ac:dyDescent="0.3">
      <c r="A22" s="12" t="s">
        <v>95</v>
      </c>
      <c r="B22" s="17" t="s">
        <v>96</v>
      </c>
      <c r="C22" s="73" t="s">
        <v>53</v>
      </c>
      <c r="D22" s="74"/>
      <c r="E22" s="74"/>
      <c r="F22" s="74"/>
      <c r="G22" s="74"/>
      <c r="H22" s="74"/>
      <c r="I22" s="75"/>
      <c r="M22" s="6">
        <f>SUM(M23,M28)</f>
        <v>59879.85</v>
      </c>
      <c r="N22" s="6">
        <f>SUM(N23,N28)</f>
        <v>72173.36</v>
      </c>
      <c r="O22" s="6">
        <f>SUM(O23,O28)</f>
        <v>132053.21</v>
      </c>
      <c r="S22" s="6">
        <f>SUM(S23,S28)</f>
        <v>59879.85</v>
      </c>
      <c r="T22" s="6">
        <f>SUM(T23,T28)</f>
        <v>93824.84</v>
      </c>
      <c r="U22" s="6">
        <f>SUM(U23,U28)</f>
        <v>153704.69</v>
      </c>
      <c r="Y22" s="9">
        <f>SUM(Y23,Y28)</f>
        <v>49899.87</v>
      </c>
      <c r="Z22" s="9">
        <f>SUM(Z23,Z28)</f>
        <v>78187.360000000001</v>
      </c>
      <c r="AA22" s="9">
        <f>SUM(AA23,AA28)</f>
        <v>128087.23</v>
      </c>
      <c r="AD22" s="5">
        <v>410200588</v>
      </c>
      <c r="AE22" s="5">
        <v>36660160</v>
      </c>
      <c r="AK22" s="6">
        <f t="shared" si="5"/>
        <v>0</v>
      </c>
      <c r="AL22" s="6">
        <f t="shared" si="7"/>
        <v>21651.48</v>
      </c>
      <c r="AM22" s="6">
        <f t="shared" si="7"/>
        <v>21651.48</v>
      </c>
      <c r="AN22" s="10">
        <f t="shared" si="6"/>
        <v>0</v>
      </c>
      <c r="AO22" s="10">
        <f t="shared" si="8"/>
        <v>0.29999268428129</v>
      </c>
      <c r="AP22" s="10">
        <f t="shared" si="8"/>
        <v>0.16396027025772</v>
      </c>
    </row>
    <row r="23" spans="1:42" ht="54" x14ac:dyDescent="0.3">
      <c r="A23" s="12" t="s">
        <v>97</v>
      </c>
      <c r="B23" s="12" t="s">
        <v>98</v>
      </c>
      <c r="C23" s="18" t="s">
        <v>99</v>
      </c>
      <c r="D23" s="19"/>
      <c r="E23" s="19" t="s">
        <v>100</v>
      </c>
      <c r="F23" s="19" t="s">
        <v>101</v>
      </c>
      <c r="G23" s="20">
        <v>1</v>
      </c>
      <c r="H23" s="20"/>
      <c r="I23" s="20">
        <v>153.6</v>
      </c>
      <c r="J23" s="21">
        <f>IFERROR(ROUND(SUM(M24,M25,M26,M27)/I23, 2),0)</f>
        <v>381.08</v>
      </c>
      <c r="K23" s="22">
        <v>411.01</v>
      </c>
      <c r="L23" s="21">
        <f>J23+ROUND(K23, 2)</f>
        <v>792.09</v>
      </c>
      <c r="M23" s="21">
        <f>ROUND(J23*I23, 2)</f>
        <v>58533.89</v>
      </c>
      <c r="N23" s="21">
        <f>ROUND(I23*ROUND(K23, 2), 2)</f>
        <v>63131.14</v>
      </c>
      <c r="O23" s="21">
        <f>M23+N23</f>
        <v>121665.03</v>
      </c>
      <c r="P23" s="21">
        <f>IFERROR(ROUND(SUM(S24,S25,S26,S27)/I23, 2),0)</f>
        <v>381.08</v>
      </c>
      <c r="Q23" s="23">
        <v>534.30999999999995</v>
      </c>
      <c r="R23" s="21">
        <f>P23+ROUND(Q23, 2)</f>
        <v>915.39</v>
      </c>
      <c r="S23" s="21">
        <f>ROUND(P23*I23, 2)</f>
        <v>58533.89</v>
      </c>
      <c r="T23" s="21">
        <f>ROUND(I23*ROUND(Q23, 2), 2)</f>
        <v>82070.02</v>
      </c>
      <c r="U23" s="21">
        <f>S23+T23</f>
        <v>140603.91</v>
      </c>
      <c r="V23" s="9">
        <f>ROUND(P23 / 1.2, 2)</f>
        <v>317.57</v>
      </c>
      <c r="W23" s="9">
        <f>ROUND(Q23 / 1.2, 2)</f>
        <v>445.26</v>
      </c>
      <c r="X23" s="9">
        <f>ROUND(R23 / 1.2, 2)</f>
        <v>762.83</v>
      </c>
      <c r="Y23" s="9">
        <f>ROUND(S23 / 1.2, 2)</f>
        <v>48778.239999999998</v>
      </c>
      <c r="Z23" s="9">
        <f>ROUND(T23 / 1.2, 2)</f>
        <v>68391.679999999993</v>
      </c>
      <c r="AA23" s="9">
        <f>Y23+Z23</f>
        <v>117169.92</v>
      </c>
      <c r="AD23" s="5">
        <v>410200590</v>
      </c>
      <c r="AE23" s="5">
        <v>36660162</v>
      </c>
      <c r="AG23" s="5" t="s">
        <v>102</v>
      </c>
      <c r="AH23" s="5" t="s">
        <v>103</v>
      </c>
      <c r="AI23" s="5" t="s">
        <v>60</v>
      </c>
      <c r="AK23" s="21">
        <f t="shared" si="5"/>
        <v>0</v>
      </c>
      <c r="AL23" s="21">
        <f t="shared" si="7"/>
        <v>18938.88</v>
      </c>
      <c r="AM23" s="21">
        <f t="shared" si="7"/>
        <v>18938.88</v>
      </c>
      <c r="AN23" s="24">
        <f t="shared" si="6"/>
        <v>0</v>
      </c>
      <c r="AO23" s="24">
        <f t="shared" si="8"/>
        <v>0.29999268189993</v>
      </c>
      <c r="AP23" s="24">
        <f t="shared" si="8"/>
        <v>0.15566412139954999</v>
      </c>
    </row>
    <row r="24" spans="1:42" ht="18" x14ac:dyDescent="0.3">
      <c r="A24" s="12" t="s">
        <v>104</v>
      </c>
      <c r="B24" s="12"/>
      <c r="C24" s="25" t="s">
        <v>68</v>
      </c>
      <c r="D24" s="19"/>
      <c r="E24" s="19"/>
      <c r="F24" s="26" t="s">
        <v>63</v>
      </c>
      <c r="G24" s="27">
        <v>0.04</v>
      </c>
      <c r="H24" s="27"/>
      <c r="I24" s="27">
        <v>6.1440000000000001</v>
      </c>
      <c r="J24" s="28">
        <v>48.23</v>
      </c>
      <c r="M24" s="29">
        <f>ROUND(ROUND(J24, 2)*I24, 2)</f>
        <v>296.33</v>
      </c>
      <c r="P24" s="30">
        <v>48.23</v>
      </c>
      <c r="S24" s="29">
        <f>ROUND(ROUND(P24, 2)*I24, 2)</f>
        <v>296.33</v>
      </c>
      <c r="V24" s="9">
        <f>ROUND(ROUND(P24, 2)/1.2, 2)</f>
        <v>40.19</v>
      </c>
      <c r="Y24" s="9">
        <f t="shared" ref="Y24:Y31" si="9">ROUND(S24 / 1.2, 2)</f>
        <v>246.94</v>
      </c>
      <c r="AD24" s="5" t="s">
        <v>105</v>
      </c>
      <c r="AE24" s="5" t="s">
        <v>106</v>
      </c>
      <c r="AF24" s="5" t="s">
        <v>71</v>
      </c>
      <c r="AK24" s="29">
        <f t="shared" si="5"/>
        <v>0</v>
      </c>
      <c r="AL24" s="29"/>
      <c r="AM24" s="29"/>
      <c r="AN24" s="31">
        <f t="shared" si="6"/>
        <v>0</v>
      </c>
      <c r="AO24" s="29"/>
      <c r="AP24" s="29"/>
    </row>
    <row r="25" spans="1:42" ht="36" x14ac:dyDescent="0.3">
      <c r="A25" s="12" t="s">
        <v>107</v>
      </c>
      <c r="B25" s="12"/>
      <c r="C25" s="25" t="s">
        <v>108</v>
      </c>
      <c r="D25" s="19"/>
      <c r="E25" s="19"/>
      <c r="F25" s="26" t="s">
        <v>63</v>
      </c>
      <c r="G25" s="27">
        <v>1.4999999999999999E-2</v>
      </c>
      <c r="H25" s="27"/>
      <c r="I25" s="27">
        <v>2.3039999999999998</v>
      </c>
      <c r="J25" s="28">
        <v>69.540000000000006</v>
      </c>
      <c r="M25" s="29">
        <f>ROUND(ROUND(J25, 2)*I25, 2)</f>
        <v>160.22</v>
      </c>
      <c r="P25" s="30">
        <v>69.540000000000006</v>
      </c>
      <c r="S25" s="29">
        <f>ROUND(ROUND(P25, 2)*I25, 2)</f>
        <v>160.22</v>
      </c>
      <c r="V25" s="9">
        <f>ROUND(ROUND(P25, 2)/1.2, 2)</f>
        <v>57.95</v>
      </c>
      <c r="Y25" s="9">
        <f t="shared" si="9"/>
        <v>133.52000000000001</v>
      </c>
      <c r="AD25" s="5" t="s">
        <v>109</v>
      </c>
      <c r="AE25" s="5" t="s">
        <v>110</v>
      </c>
      <c r="AF25" s="5" t="s">
        <v>111</v>
      </c>
      <c r="AK25" s="29">
        <f t="shared" si="5"/>
        <v>0</v>
      </c>
      <c r="AL25" s="29"/>
      <c r="AM25" s="29"/>
      <c r="AN25" s="31">
        <f t="shared" si="6"/>
        <v>0</v>
      </c>
      <c r="AO25" s="29"/>
      <c r="AP25" s="29"/>
    </row>
    <row r="26" spans="1:42" ht="36" x14ac:dyDescent="0.3">
      <c r="A26" s="12" t="s">
        <v>112</v>
      </c>
      <c r="B26" s="12"/>
      <c r="C26" s="25" t="s">
        <v>113</v>
      </c>
      <c r="D26" s="19"/>
      <c r="E26" s="19"/>
      <c r="F26" s="26" t="s">
        <v>80</v>
      </c>
      <c r="G26" s="27">
        <v>1.84</v>
      </c>
      <c r="H26" s="27"/>
      <c r="I26" s="27">
        <v>282.62400000000002</v>
      </c>
      <c r="J26" s="28">
        <v>199.26</v>
      </c>
      <c r="M26" s="29">
        <f>ROUND(ROUND(J26, 2)*I26, 2)</f>
        <v>56315.66</v>
      </c>
      <c r="P26" s="30">
        <v>199.26</v>
      </c>
      <c r="S26" s="29">
        <f>ROUND(ROUND(P26, 2)*I26, 2)</f>
        <v>56315.66</v>
      </c>
      <c r="V26" s="9">
        <f>ROUND(ROUND(P26, 2)/1.2, 2)</f>
        <v>166.05</v>
      </c>
      <c r="Y26" s="9">
        <f t="shared" si="9"/>
        <v>46929.72</v>
      </c>
      <c r="AD26" s="5" t="s">
        <v>114</v>
      </c>
      <c r="AE26" s="5" t="s">
        <v>115</v>
      </c>
      <c r="AF26" s="5" t="s">
        <v>116</v>
      </c>
      <c r="AK26" s="29">
        <f t="shared" si="5"/>
        <v>0</v>
      </c>
      <c r="AL26" s="29"/>
      <c r="AM26" s="29"/>
      <c r="AN26" s="31">
        <f t="shared" si="6"/>
        <v>0</v>
      </c>
      <c r="AO26" s="29"/>
      <c r="AP26" s="29"/>
    </row>
    <row r="27" spans="1:42" ht="36" x14ac:dyDescent="0.3">
      <c r="A27" s="12" t="s">
        <v>117</v>
      </c>
      <c r="B27" s="12"/>
      <c r="C27" s="32" t="s">
        <v>118</v>
      </c>
      <c r="D27" s="19"/>
      <c r="E27" s="19"/>
      <c r="F27" s="26" t="s">
        <v>63</v>
      </c>
      <c r="G27" s="27">
        <v>0.7</v>
      </c>
      <c r="H27" s="33"/>
      <c r="I27" s="33">
        <v>107.52</v>
      </c>
      <c r="J27" s="28">
        <v>16.38</v>
      </c>
      <c r="M27" s="29">
        <f>ROUND(ROUND(J27, 2)*I27, 2)</f>
        <v>1761.18</v>
      </c>
      <c r="P27" s="30">
        <v>16.38</v>
      </c>
      <c r="S27" s="29">
        <f>ROUND(ROUND(P27, 2)*I27, 2)</f>
        <v>1761.18</v>
      </c>
      <c r="V27" s="9">
        <f>ROUND(ROUND(P27, 2)/1.2, 2)</f>
        <v>13.65</v>
      </c>
      <c r="Y27" s="9">
        <f t="shared" si="9"/>
        <v>1467.65</v>
      </c>
      <c r="AD27" s="5" t="s">
        <v>119</v>
      </c>
      <c r="AE27" s="5" t="s">
        <v>120</v>
      </c>
      <c r="AF27" s="5" t="s">
        <v>121</v>
      </c>
      <c r="AK27" s="29">
        <f t="shared" si="5"/>
        <v>0</v>
      </c>
      <c r="AL27" s="29"/>
      <c r="AM27" s="29"/>
      <c r="AN27" s="31">
        <f t="shared" si="6"/>
        <v>0</v>
      </c>
      <c r="AO27" s="29"/>
      <c r="AP27" s="29"/>
    </row>
    <row r="28" spans="1:42" ht="54" x14ac:dyDescent="0.3">
      <c r="A28" s="12" t="s">
        <v>122</v>
      </c>
      <c r="B28" s="12" t="s">
        <v>98</v>
      </c>
      <c r="C28" s="18" t="s">
        <v>99</v>
      </c>
      <c r="D28" s="19"/>
      <c r="E28" s="19" t="s">
        <v>123</v>
      </c>
      <c r="F28" s="19" t="s">
        <v>101</v>
      </c>
      <c r="G28" s="20">
        <v>1</v>
      </c>
      <c r="H28" s="20"/>
      <c r="I28" s="20">
        <v>22</v>
      </c>
      <c r="J28" s="21">
        <f>IFERROR(ROUND(SUM(M29,M30,M31)/I28, 2),0)</f>
        <v>61.18</v>
      </c>
      <c r="K28" s="22">
        <v>411.01</v>
      </c>
      <c r="L28" s="21">
        <f>J28+ROUND(K28, 2)</f>
        <v>472.19</v>
      </c>
      <c r="M28" s="21">
        <f>ROUND(J28*I28, 2)</f>
        <v>1345.96</v>
      </c>
      <c r="N28" s="21">
        <f>ROUND(I28*ROUND(K28, 2), 2)</f>
        <v>9042.2199999999993</v>
      </c>
      <c r="O28" s="21">
        <f>M28+N28</f>
        <v>10388.18</v>
      </c>
      <c r="P28" s="21">
        <f>IFERROR(ROUND(SUM(S29,S30,S31)/I28, 2),0)</f>
        <v>61.18</v>
      </c>
      <c r="Q28" s="23">
        <v>534.30999999999995</v>
      </c>
      <c r="R28" s="21">
        <f>P28+ROUND(Q28, 2)</f>
        <v>595.49</v>
      </c>
      <c r="S28" s="21">
        <f>ROUND(P28*I28, 2)</f>
        <v>1345.96</v>
      </c>
      <c r="T28" s="21">
        <f>ROUND(I28*ROUND(Q28, 2), 2)</f>
        <v>11754.82</v>
      </c>
      <c r="U28" s="21">
        <f>S28+T28</f>
        <v>13100.78</v>
      </c>
      <c r="V28" s="9">
        <f>ROUND(P28 / 1.2, 2)</f>
        <v>50.98</v>
      </c>
      <c r="W28" s="9">
        <f>ROUND(Q28 / 1.2, 2)</f>
        <v>445.26</v>
      </c>
      <c r="X28" s="9">
        <f>ROUND(R28 / 1.2, 2)</f>
        <v>496.24</v>
      </c>
      <c r="Y28" s="9">
        <f t="shared" si="9"/>
        <v>1121.6300000000001</v>
      </c>
      <c r="Z28" s="9">
        <f>ROUND(T28 / 1.2, 2)</f>
        <v>9795.68</v>
      </c>
      <c r="AA28" s="9">
        <f>Y28+Z28</f>
        <v>10917.31</v>
      </c>
      <c r="AD28" s="5">
        <v>410200633</v>
      </c>
      <c r="AE28" s="5">
        <v>36660716</v>
      </c>
      <c r="AG28" s="5" t="s">
        <v>102</v>
      </c>
      <c r="AH28" s="5" t="s">
        <v>103</v>
      </c>
      <c r="AI28" s="5" t="s">
        <v>60</v>
      </c>
      <c r="AK28" s="21">
        <f t="shared" si="5"/>
        <v>0</v>
      </c>
      <c r="AL28" s="21">
        <f>T28-N28</f>
        <v>2712.6</v>
      </c>
      <c r="AM28" s="21">
        <f>U28-O28</f>
        <v>2712.6</v>
      </c>
      <c r="AN28" s="24">
        <f t="shared" si="6"/>
        <v>0</v>
      </c>
      <c r="AO28" s="24">
        <f>IFERROR(AL28/N28,0)</f>
        <v>0.29999270090752</v>
      </c>
      <c r="AP28" s="24">
        <f>IFERROR(AM28/O28,0)</f>
        <v>0.26112370020543002</v>
      </c>
    </row>
    <row r="29" spans="1:42" ht="36" x14ac:dyDescent="0.3">
      <c r="A29" s="12" t="s">
        <v>124</v>
      </c>
      <c r="B29" s="12"/>
      <c r="C29" s="32" t="s">
        <v>118</v>
      </c>
      <c r="D29" s="19"/>
      <c r="E29" s="19"/>
      <c r="F29" s="26" t="s">
        <v>63</v>
      </c>
      <c r="G29" s="27">
        <v>0.7</v>
      </c>
      <c r="H29" s="33"/>
      <c r="I29" s="33">
        <v>15.4</v>
      </c>
      <c r="J29" s="28">
        <v>16.38</v>
      </c>
      <c r="M29" s="29">
        <f>ROUND(ROUND(J29, 2)*I29, 2)</f>
        <v>252.25</v>
      </c>
      <c r="P29" s="30">
        <v>16.38</v>
      </c>
      <c r="S29" s="29">
        <f>ROUND(ROUND(P29, 2)*I29, 2)</f>
        <v>252.25</v>
      </c>
      <c r="V29" s="9">
        <f>ROUND(ROUND(P29, 2)/1.2, 2)</f>
        <v>13.65</v>
      </c>
      <c r="Y29" s="9">
        <f t="shared" si="9"/>
        <v>210.21</v>
      </c>
      <c r="AD29" s="5" t="s">
        <v>125</v>
      </c>
      <c r="AE29" s="5" t="s">
        <v>126</v>
      </c>
      <c r="AF29" s="5" t="s">
        <v>121</v>
      </c>
      <c r="AK29" s="29">
        <f t="shared" si="5"/>
        <v>0</v>
      </c>
      <c r="AL29" s="29"/>
      <c r="AM29" s="29"/>
      <c r="AN29" s="31">
        <f t="shared" si="6"/>
        <v>0</v>
      </c>
      <c r="AO29" s="29"/>
      <c r="AP29" s="29"/>
    </row>
    <row r="30" spans="1:42" ht="36" x14ac:dyDescent="0.3">
      <c r="A30" s="12" t="s">
        <v>127</v>
      </c>
      <c r="B30" s="12"/>
      <c r="C30" s="32" t="s">
        <v>128</v>
      </c>
      <c r="D30" s="19"/>
      <c r="E30" s="19"/>
      <c r="F30" s="26" t="s">
        <v>57</v>
      </c>
      <c r="G30" s="27">
        <v>0.107</v>
      </c>
      <c r="H30" s="27"/>
      <c r="I30" s="27">
        <v>2.3540000000000001</v>
      </c>
      <c r="J30" s="28">
        <v>454.86</v>
      </c>
      <c r="M30" s="29">
        <f>ROUND(ROUND(J30, 2)*I30, 2)</f>
        <v>1070.74</v>
      </c>
      <c r="P30" s="30">
        <v>454.86</v>
      </c>
      <c r="S30" s="29">
        <f>ROUND(ROUND(P30, 2)*I30, 2)</f>
        <v>1070.74</v>
      </c>
      <c r="V30" s="9">
        <f>ROUND(ROUND(P30, 2)/1.2, 2)</f>
        <v>379.05</v>
      </c>
      <c r="Y30" s="9">
        <f t="shared" si="9"/>
        <v>892.28</v>
      </c>
      <c r="AD30" s="5" t="s">
        <v>129</v>
      </c>
      <c r="AE30" s="5" t="s">
        <v>130</v>
      </c>
      <c r="AF30" s="5" t="s">
        <v>131</v>
      </c>
      <c r="AK30" s="29">
        <f t="shared" si="5"/>
        <v>0</v>
      </c>
      <c r="AL30" s="29"/>
      <c r="AM30" s="29"/>
      <c r="AN30" s="31">
        <f t="shared" si="6"/>
        <v>0</v>
      </c>
      <c r="AO30" s="29"/>
      <c r="AP30" s="29"/>
    </row>
    <row r="31" spans="1:42" ht="36" x14ac:dyDescent="0.3">
      <c r="A31" s="12" t="s">
        <v>132</v>
      </c>
      <c r="B31" s="12"/>
      <c r="C31" s="25" t="s">
        <v>108</v>
      </c>
      <c r="D31" s="19"/>
      <c r="E31" s="19"/>
      <c r="F31" s="26" t="s">
        <v>63</v>
      </c>
      <c r="G31" s="27">
        <v>1.4999999999999999E-2</v>
      </c>
      <c r="H31" s="27"/>
      <c r="I31" s="27">
        <v>0.33</v>
      </c>
      <c r="J31" s="28">
        <v>69.540000000000006</v>
      </c>
      <c r="M31" s="29">
        <f>ROUND(ROUND(J31, 2)*I31, 2)</f>
        <v>22.95</v>
      </c>
      <c r="P31" s="30">
        <v>69.540000000000006</v>
      </c>
      <c r="S31" s="29">
        <f>ROUND(ROUND(P31, 2)*I31, 2)</f>
        <v>22.95</v>
      </c>
      <c r="V31" s="9">
        <f>ROUND(ROUND(P31, 2)/1.2, 2)</f>
        <v>57.95</v>
      </c>
      <c r="Y31" s="9">
        <f t="shared" si="9"/>
        <v>19.13</v>
      </c>
      <c r="AD31" s="5" t="s">
        <v>133</v>
      </c>
      <c r="AE31" s="5" t="s">
        <v>134</v>
      </c>
      <c r="AF31" s="5" t="s">
        <v>111</v>
      </c>
      <c r="AK31" s="29">
        <f t="shared" si="5"/>
        <v>0</v>
      </c>
      <c r="AL31" s="29"/>
      <c r="AM31" s="29"/>
      <c r="AN31" s="31">
        <f t="shared" si="6"/>
        <v>0</v>
      </c>
      <c r="AO31" s="29"/>
      <c r="AP31" s="29"/>
    </row>
    <row r="32" spans="1:42" ht="16.95" customHeight="1" x14ac:dyDescent="0.3">
      <c r="A32" s="12" t="s">
        <v>135</v>
      </c>
      <c r="B32" s="17" t="s">
        <v>136</v>
      </c>
      <c r="C32" s="73" t="s">
        <v>86</v>
      </c>
      <c r="D32" s="74"/>
      <c r="E32" s="74"/>
      <c r="F32" s="74"/>
      <c r="G32" s="74"/>
      <c r="H32" s="74"/>
      <c r="I32" s="75"/>
      <c r="M32" s="6">
        <f>SUM(M33)</f>
        <v>0</v>
      </c>
      <c r="N32" s="6">
        <f>SUM(N33)</f>
        <v>33188.400000000001</v>
      </c>
      <c r="O32" s="6">
        <f>SUM(O33)</f>
        <v>33188.400000000001</v>
      </c>
      <c r="S32" s="6">
        <f>SUM(S33)</f>
        <v>0</v>
      </c>
      <c r="T32" s="6">
        <f>SUM(T33)</f>
        <v>43144.92</v>
      </c>
      <c r="U32" s="6">
        <f>SUM(U33)</f>
        <v>43144.92</v>
      </c>
      <c r="Y32" s="9">
        <f>SUM(Y33)</f>
        <v>0</v>
      </c>
      <c r="Z32" s="9">
        <f>SUM(Z33)</f>
        <v>35954.1</v>
      </c>
      <c r="AA32" s="9" t="e">
        <f>SUM(AA33)</f>
        <v>#VALUE!</v>
      </c>
      <c r="AD32" s="5">
        <v>410200591</v>
      </c>
      <c r="AE32" s="5">
        <v>36660149</v>
      </c>
      <c r="AK32" s="6">
        <f t="shared" si="5"/>
        <v>0</v>
      </c>
      <c r="AL32" s="6">
        <f t="shared" ref="AL32:AM39" si="10">T32-N32</f>
        <v>9956.52</v>
      </c>
      <c r="AM32" s="6">
        <f t="shared" si="10"/>
        <v>9956.52</v>
      </c>
      <c r="AN32" s="10">
        <f t="shared" si="6"/>
        <v>0</v>
      </c>
      <c r="AO32" s="10">
        <f t="shared" ref="AO32:AP39" si="11">IFERROR(AL32/N32,0)</f>
        <v>0.3</v>
      </c>
      <c r="AP32" s="10">
        <f t="shared" si="11"/>
        <v>0.3</v>
      </c>
    </row>
    <row r="33" spans="1:42" ht="18" x14ac:dyDescent="0.3">
      <c r="A33" s="12" t="s">
        <v>137</v>
      </c>
      <c r="B33" s="12" t="s">
        <v>138</v>
      </c>
      <c r="C33" s="18" t="s">
        <v>139</v>
      </c>
      <c r="D33" s="19"/>
      <c r="E33" s="19"/>
      <c r="F33" s="19" t="s">
        <v>101</v>
      </c>
      <c r="G33" s="20">
        <v>1</v>
      </c>
      <c r="H33" s="20"/>
      <c r="I33" s="20">
        <v>175.6</v>
      </c>
      <c r="J33" s="21">
        <v>0</v>
      </c>
      <c r="K33" s="22">
        <v>189</v>
      </c>
      <c r="L33" s="21">
        <f>J33+ROUND(K33, 2)</f>
        <v>189</v>
      </c>
      <c r="M33" s="21">
        <v>0</v>
      </c>
      <c r="N33" s="21">
        <f>ROUND(I33*ROUND(K33, 2), 2)</f>
        <v>33188.400000000001</v>
      </c>
      <c r="O33" s="21">
        <f>M33+N33</f>
        <v>33188.400000000001</v>
      </c>
      <c r="P33" s="21">
        <v>0</v>
      </c>
      <c r="Q33" s="23">
        <v>245.7</v>
      </c>
      <c r="R33" s="21">
        <f>P33+ROUND(Q33, 2)</f>
        <v>245.7</v>
      </c>
      <c r="S33" s="21">
        <v>0</v>
      </c>
      <c r="T33" s="21">
        <f>ROUND(I33*ROUND(Q33, 2), 2)</f>
        <v>43144.92</v>
      </c>
      <c r="U33" s="21">
        <f>S33+T33</f>
        <v>43144.92</v>
      </c>
      <c r="V33" s="9"/>
      <c r="W33" s="9">
        <f>ROUND(Q33 / 1.2, 2)</f>
        <v>204.75</v>
      </c>
      <c r="X33" s="9">
        <f>ROUND(R33 / 1.2, 2)</f>
        <v>204.75</v>
      </c>
      <c r="Y33" s="9"/>
      <c r="Z33" s="9">
        <f>ROUND(T33 / 1.2, 2)</f>
        <v>35954.1</v>
      </c>
      <c r="AA33" s="9" t="e">
        <f>Y33+Z33</f>
        <v>#VALUE!</v>
      </c>
      <c r="AD33" s="5">
        <v>410200593</v>
      </c>
      <c r="AE33" s="5">
        <v>36660158</v>
      </c>
      <c r="AG33" s="5" t="s">
        <v>140</v>
      </c>
      <c r="AH33" s="5" t="s">
        <v>141</v>
      </c>
      <c r="AI33" s="5" t="s">
        <v>60</v>
      </c>
      <c r="AK33" s="21">
        <f t="shared" si="5"/>
        <v>0</v>
      </c>
      <c r="AL33" s="21">
        <f t="shared" si="10"/>
        <v>9956.52</v>
      </c>
      <c r="AM33" s="21">
        <f t="shared" si="10"/>
        <v>9956.52</v>
      </c>
      <c r="AN33" s="24">
        <f t="shared" si="6"/>
        <v>0</v>
      </c>
      <c r="AO33" s="24">
        <f t="shared" si="11"/>
        <v>0.3</v>
      </c>
      <c r="AP33" s="24">
        <f t="shared" si="11"/>
        <v>0.3</v>
      </c>
    </row>
    <row r="34" spans="1:42" ht="16.95" customHeight="1" x14ac:dyDescent="0.3">
      <c r="A34" s="12" t="s">
        <v>142</v>
      </c>
      <c r="B34" s="16" t="s">
        <v>143</v>
      </c>
      <c r="C34" s="70" t="s">
        <v>144</v>
      </c>
      <c r="D34" s="71"/>
      <c r="E34" s="71"/>
      <c r="F34" s="71"/>
      <c r="G34" s="71"/>
      <c r="H34" s="71"/>
      <c r="I34" s="72"/>
      <c r="M34" s="6">
        <f>SUM(M35,M36)</f>
        <v>0</v>
      </c>
      <c r="N34" s="6">
        <f>SUM(N35,N36)</f>
        <v>50111.82</v>
      </c>
      <c r="O34" s="6">
        <f>SUM(O35,O36)</f>
        <v>50111.82</v>
      </c>
      <c r="S34" s="6">
        <f>SUM(S35,S36)</f>
        <v>0</v>
      </c>
      <c r="T34" s="6">
        <f>SUM(T35,T36)</f>
        <v>65145.42</v>
      </c>
      <c r="U34" s="6">
        <f>SUM(U35,U36)</f>
        <v>65145.42</v>
      </c>
      <c r="Y34" s="9">
        <f>SUM(Y35,Y36)</f>
        <v>0</v>
      </c>
      <c r="Z34" s="9">
        <f>SUM(Z35,Z36)</f>
        <v>54287.85</v>
      </c>
      <c r="AA34" s="9" t="e">
        <f>SUM(AA35,AA36)</f>
        <v>#VALUE!</v>
      </c>
      <c r="AD34" s="5">
        <v>410200594</v>
      </c>
      <c r="AE34" s="5">
        <v>21662442</v>
      </c>
      <c r="AK34" s="6">
        <f t="shared" si="5"/>
        <v>0</v>
      </c>
      <c r="AL34" s="6">
        <f t="shared" si="10"/>
        <v>15033.6</v>
      </c>
      <c r="AM34" s="6">
        <f t="shared" si="10"/>
        <v>15033.6</v>
      </c>
      <c r="AN34" s="10">
        <f t="shared" si="6"/>
        <v>0</v>
      </c>
      <c r="AO34" s="10">
        <f t="shared" si="11"/>
        <v>0.30000107759007999</v>
      </c>
      <c r="AP34" s="10">
        <f t="shared" si="11"/>
        <v>0.30000107759007999</v>
      </c>
    </row>
    <row r="35" spans="1:42" ht="18" x14ac:dyDescent="0.3">
      <c r="A35" s="12" t="s">
        <v>145</v>
      </c>
      <c r="B35" s="12" t="s">
        <v>146</v>
      </c>
      <c r="C35" s="18" t="s">
        <v>147</v>
      </c>
      <c r="D35" s="19"/>
      <c r="E35" s="19"/>
      <c r="F35" s="19" t="s">
        <v>148</v>
      </c>
      <c r="G35" s="20">
        <v>1</v>
      </c>
      <c r="H35" s="20"/>
      <c r="I35" s="20">
        <v>18</v>
      </c>
      <c r="J35" s="21">
        <v>0</v>
      </c>
      <c r="K35" s="22">
        <v>1883</v>
      </c>
      <c r="L35" s="21">
        <f>J35+ROUND(K35, 2)</f>
        <v>1883</v>
      </c>
      <c r="M35" s="21">
        <v>0</v>
      </c>
      <c r="N35" s="21">
        <f>ROUND(I35*ROUND(K35, 2), 2)</f>
        <v>33894</v>
      </c>
      <c r="O35" s="21">
        <f>M35+N35</f>
        <v>33894</v>
      </c>
      <c r="P35" s="21">
        <v>0</v>
      </c>
      <c r="Q35" s="23">
        <v>2447.9</v>
      </c>
      <c r="R35" s="21">
        <f>P35+ROUND(Q35, 2)</f>
        <v>2447.9</v>
      </c>
      <c r="S35" s="21">
        <v>0</v>
      </c>
      <c r="T35" s="21">
        <f>ROUND(I35*ROUND(Q35, 2), 2)</f>
        <v>44062.2</v>
      </c>
      <c r="U35" s="21">
        <f>S35+T35</f>
        <v>44062.2</v>
      </c>
      <c r="V35" s="9"/>
      <c r="W35" s="9">
        <f>ROUND(Q35 / 1.2, 2)</f>
        <v>2039.92</v>
      </c>
      <c r="X35" s="9">
        <f>ROUND(R35 / 1.2, 2)</f>
        <v>2039.92</v>
      </c>
      <c r="Y35" s="9"/>
      <c r="Z35" s="9">
        <f>ROUND(T35 / 1.2, 2)</f>
        <v>36718.5</v>
      </c>
      <c r="AA35" s="9" t="e">
        <f>Y35+Z35</f>
        <v>#VALUE!</v>
      </c>
      <c r="AD35" s="5">
        <v>410200596</v>
      </c>
      <c r="AE35" s="5">
        <v>21662439</v>
      </c>
      <c r="AG35" s="5" t="s">
        <v>149</v>
      </c>
      <c r="AH35" s="5" t="s">
        <v>150</v>
      </c>
      <c r="AI35" s="5" t="s">
        <v>60</v>
      </c>
      <c r="AK35" s="21">
        <f t="shared" si="5"/>
        <v>0</v>
      </c>
      <c r="AL35" s="21">
        <f t="shared" si="10"/>
        <v>10168.200000000001</v>
      </c>
      <c r="AM35" s="21">
        <f t="shared" si="10"/>
        <v>10168.200000000001</v>
      </c>
      <c r="AN35" s="24">
        <f t="shared" si="6"/>
        <v>0</v>
      </c>
      <c r="AO35" s="24">
        <f t="shared" si="11"/>
        <v>0.3</v>
      </c>
      <c r="AP35" s="24">
        <f t="shared" si="11"/>
        <v>0.3</v>
      </c>
    </row>
    <row r="36" spans="1:42" ht="90" x14ac:dyDescent="0.3">
      <c r="A36" s="12" t="s">
        <v>151</v>
      </c>
      <c r="B36" s="12" t="s">
        <v>152</v>
      </c>
      <c r="C36" s="18" t="s">
        <v>153</v>
      </c>
      <c r="D36" s="19" t="s">
        <v>154</v>
      </c>
      <c r="E36" s="19"/>
      <c r="F36" s="19" t="s">
        <v>148</v>
      </c>
      <c r="G36" s="20">
        <v>1</v>
      </c>
      <c r="H36" s="20"/>
      <c r="I36" s="20">
        <v>18</v>
      </c>
      <c r="J36" s="21">
        <v>0</v>
      </c>
      <c r="K36" s="22">
        <v>900.99</v>
      </c>
      <c r="L36" s="21">
        <f>J36+ROUND(K36, 2)</f>
        <v>900.99</v>
      </c>
      <c r="M36" s="21">
        <v>0</v>
      </c>
      <c r="N36" s="21">
        <f>ROUND(I36*ROUND(K36, 2), 2)</f>
        <v>16217.82</v>
      </c>
      <c r="O36" s="21">
        <f>M36+N36</f>
        <v>16217.82</v>
      </c>
      <c r="P36" s="21">
        <v>0</v>
      </c>
      <c r="Q36" s="23">
        <v>1171.29</v>
      </c>
      <c r="R36" s="21">
        <f>P36+ROUND(Q36, 2)</f>
        <v>1171.29</v>
      </c>
      <c r="S36" s="21">
        <v>0</v>
      </c>
      <c r="T36" s="21">
        <f>ROUND(I36*ROUND(Q36, 2), 2)</f>
        <v>21083.22</v>
      </c>
      <c r="U36" s="21">
        <f>S36+T36</f>
        <v>21083.22</v>
      </c>
      <c r="V36" s="9"/>
      <c r="W36" s="9">
        <f>ROUND(Q36 / 1.2, 2)</f>
        <v>976.08</v>
      </c>
      <c r="X36" s="9">
        <f>ROUND(R36 / 1.2, 2)</f>
        <v>976.08</v>
      </c>
      <c r="Y36" s="9"/>
      <c r="Z36" s="9">
        <f>ROUND(T36 / 1.2, 2)</f>
        <v>17569.349999999999</v>
      </c>
      <c r="AA36" s="9" t="e">
        <f>Y36+Z36</f>
        <v>#VALUE!</v>
      </c>
      <c r="AD36" s="5">
        <v>410200598</v>
      </c>
      <c r="AE36" s="5">
        <v>21662433</v>
      </c>
      <c r="AG36" s="5" t="s">
        <v>155</v>
      </c>
      <c r="AH36" s="5" t="s">
        <v>156</v>
      </c>
      <c r="AI36" s="5" t="s">
        <v>60</v>
      </c>
      <c r="AK36" s="21">
        <f t="shared" si="5"/>
        <v>0</v>
      </c>
      <c r="AL36" s="21">
        <f t="shared" si="10"/>
        <v>4865.3999999999996</v>
      </c>
      <c r="AM36" s="21">
        <f t="shared" si="10"/>
        <v>4865.3999999999996</v>
      </c>
      <c r="AN36" s="24">
        <f t="shared" si="6"/>
        <v>0</v>
      </c>
      <c r="AO36" s="24">
        <f t="shared" si="11"/>
        <v>0.30000332967069998</v>
      </c>
      <c r="AP36" s="24">
        <f t="shared" si="11"/>
        <v>0.30000332967069998</v>
      </c>
    </row>
    <row r="37" spans="1:42" ht="16.95" customHeight="1" x14ac:dyDescent="0.3">
      <c r="A37" s="12" t="s">
        <v>157</v>
      </c>
      <c r="B37" s="15" t="s">
        <v>158</v>
      </c>
      <c r="C37" s="67" t="s">
        <v>159</v>
      </c>
      <c r="D37" s="68"/>
      <c r="E37" s="68"/>
      <c r="F37" s="68"/>
      <c r="G37" s="68"/>
      <c r="H37" s="68"/>
      <c r="I37" s="69"/>
      <c r="M37" s="6">
        <f>SUM(M38,M60,M101)</f>
        <v>1976921.86</v>
      </c>
      <c r="N37" s="6">
        <f>SUM(N38,N60,N101)</f>
        <v>5766703.71</v>
      </c>
      <c r="O37" s="6">
        <f>SUM(O38,O60,O101)</f>
        <v>7743625.5700000003</v>
      </c>
      <c r="S37" s="6">
        <f>SUM(S38,S60,S101)</f>
        <v>2129074.54</v>
      </c>
      <c r="T37" s="6">
        <f>SUM(T38,T60,T101)</f>
        <v>7643652.0199999996</v>
      </c>
      <c r="U37" s="6">
        <f>SUM(U38,U60,U101)</f>
        <v>9772726.5600000005</v>
      </c>
      <c r="Y37" s="9">
        <f>SUM(Y38,Y60,Y101)</f>
        <v>1774228.81</v>
      </c>
      <c r="Z37" s="9">
        <f>SUM(Z38,Z60,Z101)</f>
        <v>6369710.04</v>
      </c>
      <c r="AA37" s="9" t="e">
        <f>SUM(AA38,AA60,AA101)</f>
        <v>#VALUE!</v>
      </c>
      <c r="AD37" s="5">
        <v>410200599</v>
      </c>
      <c r="AE37" s="5">
        <v>36659757</v>
      </c>
      <c r="AK37" s="6">
        <f t="shared" si="5"/>
        <v>152152.68</v>
      </c>
      <c r="AL37" s="6">
        <f t="shared" si="10"/>
        <v>1876948.31</v>
      </c>
      <c r="AM37" s="6">
        <f t="shared" si="10"/>
        <v>2029100.99</v>
      </c>
      <c r="AN37" s="10">
        <f t="shared" si="6"/>
        <v>7.6964438038032004E-2</v>
      </c>
      <c r="AO37" s="10">
        <f t="shared" si="11"/>
        <v>0.32548027510849997</v>
      </c>
      <c r="AP37" s="10">
        <f t="shared" si="11"/>
        <v>0.26203500823451997</v>
      </c>
    </row>
    <row r="38" spans="1:42" ht="16.95" customHeight="1" x14ac:dyDescent="0.3">
      <c r="A38" s="12" t="s">
        <v>160</v>
      </c>
      <c r="B38" s="16" t="s">
        <v>161</v>
      </c>
      <c r="C38" s="70" t="s">
        <v>53</v>
      </c>
      <c r="D38" s="71"/>
      <c r="E38" s="71"/>
      <c r="F38" s="71"/>
      <c r="G38" s="71"/>
      <c r="H38" s="71"/>
      <c r="I38" s="72"/>
      <c r="M38" s="6">
        <f>SUM(M39,M44,M49,M54,M56)</f>
        <v>850090.46</v>
      </c>
      <c r="N38" s="6">
        <f>SUM(N39,N44,N49,N54,N56)</f>
        <v>692822.52</v>
      </c>
      <c r="O38" s="6">
        <f>SUM(O39,O44,O49,O54,O56)</f>
        <v>1542912.98</v>
      </c>
      <c r="S38" s="6">
        <f>SUM(S39,S44,S49,S54,S56)</f>
        <v>888978.5</v>
      </c>
      <c r="T38" s="6">
        <f>SUM(T39,T44,T49,T54,T56)</f>
        <v>1047605.02</v>
      </c>
      <c r="U38" s="6">
        <f>SUM(U39,U44,U49,U54,U56)</f>
        <v>1936583.52</v>
      </c>
      <c r="Y38" s="9">
        <f>SUM(Y39,Y44,Y49,Y54,Y56)</f>
        <v>740815.42</v>
      </c>
      <c r="Z38" s="9">
        <f>SUM(Z39,Z44,Z49,Z54,Z56)</f>
        <v>873004.19</v>
      </c>
      <c r="AA38" s="9">
        <f>SUM(AA39,AA44,AA49,AA54,AA56)</f>
        <v>1613819.61</v>
      </c>
      <c r="AD38" s="5">
        <v>410200600</v>
      </c>
      <c r="AE38" s="5">
        <v>36659762</v>
      </c>
      <c r="AK38" s="6">
        <f t="shared" si="5"/>
        <v>38888.04</v>
      </c>
      <c r="AL38" s="6">
        <f t="shared" si="10"/>
        <v>354782.5</v>
      </c>
      <c r="AM38" s="6">
        <f t="shared" si="10"/>
        <v>393670.54</v>
      </c>
      <c r="AN38" s="10">
        <f t="shared" si="6"/>
        <v>4.5745766868152002E-2</v>
      </c>
      <c r="AO38" s="10">
        <f t="shared" si="11"/>
        <v>0.51208280585336996</v>
      </c>
      <c r="AP38" s="10">
        <f t="shared" si="11"/>
        <v>0.25514759750093002</v>
      </c>
    </row>
    <row r="39" spans="1:42" ht="36" x14ac:dyDescent="0.3">
      <c r="A39" s="12" t="s">
        <v>162</v>
      </c>
      <c r="B39" s="12" t="s">
        <v>163</v>
      </c>
      <c r="C39" s="18" t="s">
        <v>164</v>
      </c>
      <c r="D39" s="19"/>
      <c r="E39" s="19" t="s">
        <v>165</v>
      </c>
      <c r="F39" s="19" t="s">
        <v>57</v>
      </c>
      <c r="G39" s="20">
        <v>1</v>
      </c>
      <c r="H39" s="20"/>
      <c r="I39" s="20">
        <v>339.13</v>
      </c>
      <c r="J39" s="21">
        <f>IFERROR(ROUND(SUM(M40,M41,M42,M43)/I39, 2),0)</f>
        <v>1272.1099999999999</v>
      </c>
      <c r="K39" s="22">
        <v>556</v>
      </c>
      <c r="L39" s="21">
        <f>J39+ROUND(K39, 2)</f>
        <v>1828.11</v>
      </c>
      <c r="M39" s="21">
        <f>ROUND(J39*I39, 2)</f>
        <v>431410.66</v>
      </c>
      <c r="N39" s="21">
        <f>ROUND(I39*ROUND(K39, 2), 2)</f>
        <v>188556.28</v>
      </c>
      <c r="O39" s="21">
        <f>M39+N39</f>
        <v>619966.93999999994</v>
      </c>
      <c r="P39" s="21">
        <f>IFERROR(ROUND(SUM(S40,S41,S42,S43)/I39, 2),0)</f>
        <v>1386.78</v>
      </c>
      <c r="Q39" s="23">
        <v>722.8</v>
      </c>
      <c r="R39" s="21">
        <f>P39+ROUND(Q39, 2)</f>
        <v>2109.58</v>
      </c>
      <c r="S39" s="21">
        <f>ROUND(P39*I39, 2)</f>
        <v>470298.7</v>
      </c>
      <c r="T39" s="21">
        <f>ROUND(I39*ROUND(Q39, 2), 2)</f>
        <v>245123.16</v>
      </c>
      <c r="U39" s="21">
        <f>S39+T39</f>
        <v>715421.86</v>
      </c>
      <c r="V39" s="9">
        <f>ROUND(P39 / 1.2, 2)</f>
        <v>1155.6500000000001</v>
      </c>
      <c r="W39" s="9">
        <f>ROUND(Q39 / 1.2, 2)</f>
        <v>602.33000000000004</v>
      </c>
      <c r="X39" s="9">
        <f>ROUND(R39 / 1.2, 2)</f>
        <v>1757.98</v>
      </c>
      <c r="Y39" s="9">
        <f>ROUND(S39 / 1.2, 2)</f>
        <v>391915.58</v>
      </c>
      <c r="Z39" s="9">
        <f>ROUND(T39 / 1.2, 2)</f>
        <v>204269.3</v>
      </c>
      <c r="AA39" s="9">
        <f>Y39+Z39</f>
        <v>596184.88</v>
      </c>
      <c r="AD39" s="5">
        <v>410200602</v>
      </c>
      <c r="AE39" s="5">
        <v>36659764</v>
      </c>
      <c r="AG39" s="5" t="s">
        <v>166</v>
      </c>
      <c r="AH39" s="5" t="s">
        <v>167</v>
      </c>
      <c r="AI39" s="5" t="s">
        <v>60</v>
      </c>
      <c r="AK39" s="21">
        <f t="shared" si="5"/>
        <v>38888.04</v>
      </c>
      <c r="AL39" s="21">
        <f t="shared" si="10"/>
        <v>56566.879999999997</v>
      </c>
      <c r="AM39" s="21">
        <f t="shared" si="10"/>
        <v>95454.92</v>
      </c>
      <c r="AN39" s="24">
        <f t="shared" si="6"/>
        <v>9.0141583427725006E-2</v>
      </c>
      <c r="AO39" s="24">
        <f t="shared" si="11"/>
        <v>0.29999997878617002</v>
      </c>
      <c r="AP39" s="24">
        <f t="shared" si="11"/>
        <v>0.15396775834531001</v>
      </c>
    </row>
    <row r="40" spans="1:42" ht="72" x14ac:dyDescent="0.3">
      <c r="A40" s="12" t="s">
        <v>168</v>
      </c>
      <c r="B40" s="12"/>
      <c r="C40" s="32" t="s">
        <v>169</v>
      </c>
      <c r="D40" s="19"/>
      <c r="E40" s="19"/>
      <c r="F40" s="26" t="s">
        <v>57</v>
      </c>
      <c r="G40" s="27">
        <v>1.1000000000000001</v>
      </c>
      <c r="H40" s="33"/>
      <c r="I40" s="33">
        <v>373.04300000000001</v>
      </c>
      <c r="J40" s="28">
        <v>1062.4100000000001</v>
      </c>
      <c r="M40" s="29">
        <f>ROUND(ROUND(J40, 2)*I40, 2)</f>
        <v>396324.61</v>
      </c>
      <c r="P40" s="30">
        <v>1062.4100000000001</v>
      </c>
      <c r="S40" s="29">
        <f>ROUND(ROUND(P40, 2)*I40, 2)</f>
        <v>396324.61</v>
      </c>
      <c r="V40" s="9">
        <f>ROUND(ROUND(P40, 2)/1.2, 2)</f>
        <v>885.34</v>
      </c>
      <c r="Y40" s="9">
        <f t="shared" ref="Y40:Y59" si="12">ROUND(S40 / 1.2, 2)</f>
        <v>330270.51</v>
      </c>
      <c r="AD40" s="5" t="s">
        <v>170</v>
      </c>
      <c r="AE40" s="5" t="s">
        <v>171</v>
      </c>
      <c r="AF40" s="5" t="s">
        <v>172</v>
      </c>
      <c r="AK40" s="29">
        <f t="shared" si="5"/>
        <v>0</v>
      </c>
      <c r="AL40" s="29"/>
      <c r="AM40" s="29"/>
      <c r="AN40" s="31">
        <f t="shared" si="6"/>
        <v>0</v>
      </c>
      <c r="AO40" s="29"/>
      <c r="AP40" s="29"/>
    </row>
    <row r="41" spans="1:42" ht="72" x14ac:dyDescent="0.3">
      <c r="A41" s="12" t="s">
        <v>173</v>
      </c>
      <c r="B41" s="12"/>
      <c r="C41" s="32" t="s">
        <v>174</v>
      </c>
      <c r="D41" s="19"/>
      <c r="E41" s="19"/>
      <c r="F41" s="26" t="s">
        <v>101</v>
      </c>
      <c r="G41" s="27">
        <v>1</v>
      </c>
      <c r="H41" s="33"/>
      <c r="I41" s="33">
        <v>169.565</v>
      </c>
      <c r="J41" s="28">
        <v>51.85</v>
      </c>
      <c r="M41" s="29">
        <f>ROUND(ROUND(J41, 2)*I41, 2)</f>
        <v>8791.9500000000007</v>
      </c>
      <c r="P41" s="30">
        <v>51.85</v>
      </c>
      <c r="S41" s="29">
        <f>ROUND(ROUND(P41, 2)*I41, 2)</f>
        <v>8791.9500000000007</v>
      </c>
      <c r="V41" s="9">
        <f>ROUND(ROUND(P41, 2)/1.2, 2)</f>
        <v>43.21</v>
      </c>
      <c r="Y41" s="9">
        <f t="shared" si="12"/>
        <v>7326.63</v>
      </c>
      <c r="AD41" s="5" t="s">
        <v>175</v>
      </c>
      <c r="AE41" s="5" t="s">
        <v>176</v>
      </c>
      <c r="AF41" s="5" t="s">
        <v>177</v>
      </c>
      <c r="AK41" s="29">
        <f t="shared" si="5"/>
        <v>0</v>
      </c>
      <c r="AL41" s="29"/>
      <c r="AM41" s="29"/>
      <c r="AN41" s="31">
        <f t="shared" si="6"/>
        <v>0</v>
      </c>
      <c r="AO41" s="29"/>
      <c r="AP41" s="29"/>
    </row>
    <row r="42" spans="1:42" ht="36" x14ac:dyDescent="0.3">
      <c r="A42" s="12" t="s">
        <v>178</v>
      </c>
      <c r="B42" s="12"/>
      <c r="C42" s="25" t="s">
        <v>108</v>
      </c>
      <c r="D42" s="19"/>
      <c r="E42" s="19"/>
      <c r="F42" s="26" t="s">
        <v>63</v>
      </c>
      <c r="G42" s="27">
        <v>0.15</v>
      </c>
      <c r="H42" s="27"/>
      <c r="I42" s="27">
        <v>50.87</v>
      </c>
      <c r="J42" s="28">
        <v>69.540000000000006</v>
      </c>
      <c r="M42" s="29">
        <f>ROUND(ROUND(J42, 2)*I42, 2)</f>
        <v>3537.5</v>
      </c>
      <c r="P42" s="30">
        <v>69.540000000000006</v>
      </c>
      <c r="S42" s="29">
        <f>ROUND(ROUND(P42, 2)*I42, 2)</f>
        <v>3537.5</v>
      </c>
      <c r="V42" s="9">
        <f>ROUND(ROUND(P42, 2)/1.2, 2)</f>
        <v>57.95</v>
      </c>
      <c r="Y42" s="9">
        <f t="shared" si="12"/>
        <v>2947.92</v>
      </c>
      <c r="AD42" s="5" t="s">
        <v>179</v>
      </c>
      <c r="AE42" s="5" t="s">
        <v>180</v>
      </c>
      <c r="AF42" s="5" t="s">
        <v>111</v>
      </c>
      <c r="AK42" s="29">
        <f t="shared" si="5"/>
        <v>0</v>
      </c>
      <c r="AL42" s="29"/>
      <c r="AM42" s="29"/>
      <c r="AN42" s="31">
        <f t="shared" si="6"/>
        <v>0</v>
      </c>
      <c r="AO42" s="29"/>
      <c r="AP42" s="29"/>
    </row>
    <row r="43" spans="1:42" ht="54" x14ac:dyDescent="0.3">
      <c r="A43" s="12" t="s">
        <v>181</v>
      </c>
      <c r="B43" s="12"/>
      <c r="C43" s="25" t="s">
        <v>182</v>
      </c>
      <c r="D43" s="19"/>
      <c r="E43" s="19" t="s">
        <v>183</v>
      </c>
      <c r="F43" s="26" t="s">
        <v>63</v>
      </c>
      <c r="G43" s="27">
        <v>0.3</v>
      </c>
      <c r="H43" s="27"/>
      <c r="I43" s="27">
        <v>101.739</v>
      </c>
      <c r="J43" s="28">
        <v>223.66</v>
      </c>
      <c r="M43" s="29">
        <f>ROUND(ROUND(J43, 2)*I43, 2)</f>
        <v>22754.94</v>
      </c>
      <c r="P43" s="30">
        <v>605.9</v>
      </c>
      <c r="S43" s="29">
        <f>ROUND(ROUND(P43, 2)*I43, 2)</f>
        <v>61643.66</v>
      </c>
      <c r="V43" s="9">
        <f>ROUND(ROUND(P43, 2)/1.2, 2)</f>
        <v>504.92</v>
      </c>
      <c r="Y43" s="9">
        <f t="shared" si="12"/>
        <v>51369.72</v>
      </c>
      <c r="AD43" s="5" t="s">
        <v>184</v>
      </c>
      <c r="AE43" s="5" t="s">
        <v>185</v>
      </c>
      <c r="AF43" s="5" t="s">
        <v>186</v>
      </c>
      <c r="AK43" s="29">
        <f t="shared" si="5"/>
        <v>38888.720000000001</v>
      </c>
      <c r="AL43" s="29"/>
      <c r="AM43" s="29"/>
      <c r="AN43" s="31">
        <f t="shared" si="6"/>
        <v>1.7090231835373</v>
      </c>
      <c r="AO43" s="29"/>
      <c r="AP43" s="29"/>
    </row>
    <row r="44" spans="1:42" ht="54" x14ac:dyDescent="0.3">
      <c r="A44" s="12" t="s">
        <v>187</v>
      </c>
      <c r="B44" s="12" t="s">
        <v>188</v>
      </c>
      <c r="C44" s="18" t="s">
        <v>189</v>
      </c>
      <c r="D44" s="19"/>
      <c r="E44" s="19"/>
      <c r="F44" s="19" t="s">
        <v>57</v>
      </c>
      <c r="G44" s="20">
        <v>1</v>
      </c>
      <c r="H44" s="20"/>
      <c r="I44" s="20">
        <v>110.33</v>
      </c>
      <c r="J44" s="21">
        <f>IFERROR(ROUND(SUM(M45,M46,M47,M48)/I44, 2),0)</f>
        <v>1483.45</v>
      </c>
      <c r="K44" s="22">
        <v>1439</v>
      </c>
      <c r="L44" s="21">
        <f>J44+ROUND(K44, 2)</f>
        <v>2922.45</v>
      </c>
      <c r="M44" s="21">
        <f>ROUND(J44*I44, 2)</f>
        <v>163669.04</v>
      </c>
      <c r="N44" s="21">
        <f>ROUND(I44*ROUND(K44, 2), 2)</f>
        <v>158764.87</v>
      </c>
      <c r="O44" s="21">
        <f>M44+N44</f>
        <v>322433.90999999997</v>
      </c>
      <c r="P44" s="21">
        <f>IFERROR(ROUND(SUM(S45,S46,S47,S48)/I44, 2),0)</f>
        <v>1483.45</v>
      </c>
      <c r="Q44" s="23">
        <v>1870.7</v>
      </c>
      <c r="R44" s="21">
        <f>P44+ROUND(Q44, 2)</f>
        <v>3354.15</v>
      </c>
      <c r="S44" s="21">
        <f>ROUND(P44*I44, 2)</f>
        <v>163669.04</v>
      </c>
      <c r="T44" s="21">
        <f>ROUND(I44*ROUND(Q44, 2), 2)</f>
        <v>206394.33</v>
      </c>
      <c r="U44" s="21">
        <f>S44+T44</f>
        <v>370063.37</v>
      </c>
      <c r="V44" s="9">
        <f>ROUND(P44 / 1.2, 2)</f>
        <v>1236.21</v>
      </c>
      <c r="W44" s="9">
        <f>ROUND(Q44 / 1.2, 2)</f>
        <v>1558.92</v>
      </c>
      <c r="X44" s="9">
        <f>ROUND(R44 / 1.2, 2)</f>
        <v>2795.13</v>
      </c>
      <c r="Y44" s="9">
        <f t="shared" si="12"/>
        <v>136390.87</v>
      </c>
      <c r="Z44" s="9">
        <f>ROUND(T44 / 1.2, 2)</f>
        <v>171995.28</v>
      </c>
      <c r="AA44" s="9">
        <f>Y44+Z44</f>
        <v>308386.15000000002</v>
      </c>
      <c r="AD44" s="5">
        <v>410200604</v>
      </c>
      <c r="AE44" s="5">
        <v>36659754</v>
      </c>
      <c r="AG44" s="5" t="s">
        <v>190</v>
      </c>
      <c r="AH44" s="5" t="s">
        <v>191</v>
      </c>
      <c r="AI44" s="5" t="s">
        <v>60</v>
      </c>
      <c r="AK44" s="21">
        <f t="shared" si="5"/>
        <v>0</v>
      </c>
      <c r="AL44" s="21">
        <f>T44-N44</f>
        <v>47629.46</v>
      </c>
      <c r="AM44" s="21">
        <f>U44-O44</f>
        <v>47629.46</v>
      </c>
      <c r="AN44" s="24">
        <f t="shared" si="6"/>
        <v>0</v>
      </c>
      <c r="AO44" s="24">
        <f>IFERROR(AL44/N44,0)</f>
        <v>0.29999999370137997</v>
      </c>
      <c r="AP44" s="24">
        <f>IFERROR(AM44/O44,0)</f>
        <v>0.14771852005267999</v>
      </c>
    </row>
    <row r="45" spans="1:42" ht="18" x14ac:dyDescent="0.3">
      <c r="A45" s="12" t="s">
        <v>192</v>
      </c>
      <c r="B45" s="12"/>
      <c r="C45" s="25" t="s">
        <v>68</v>
      </c>
      <c r="D45" s="19"/>
      <c r="E45" s="19"/>
      <c r="F45" s="26" t="s">
        <v>63</v>
      </c>
      <c r="G45" s="27">
        <v>0.25</v>
      </c>
      <c r="H45" s="33"/>
      <c r="I45" s="33">
        <v>27.582999999999998</v>
      </c>
      <c r="J45" s="28">
        <v>48.23</v>
      </c>
      <c r="M45" s="29">
        <f>ROUND(ROUND(J45, 2)*I45, 2)</f>
        <v>1330.33</v>
      </c>
      <c r="P45" s="30">
        <v>48.23</v>
      </c>
      <c r="S45" s="29">
        <f>ROUND(ROUND(P45, 2)*I45, 2)</f>
        <v>1330.33</v>
      </c>
      <c r="V45" s="9">
        <f>ROUND(ROUND(P45, 2)/1.2, 2)</f>
        <v>40.19</v>
      </c>
      <c r="Y45" s="9">
        <f t="shared" si="12"/>
        <v>1108.6099999999999</v>
      </c>
      <c r="AD45" s="5" t="s">
        <v>193</v>
      </c>
      <c r="AE45" s="5" t="s">
        <v>194</v>
      </c>
      <c r="AF45" s="5" t="s">
        <v>71</v>
      </c>
      <c r="AK45" s="29">
        <f t="shared" si="5"/>
        <v>0</v>
      </c>
      <c r="AL45" s="29"/>
      <c r="AM45" s="29"/>
      <c r="AN45" s="31">
        <f t="shared" si="6"/>
        <v>0</v>
      </c>
      <c r="AO45" s="29"/>
      <c r="AP45" s="29"/>
    </row>
    <row r="46" spans="1:42" ht="36" x14ac:dyDescent="0.3">
      <c r="A46" s="12" t="s">
        <v>195</v>
      </c>
      <c r="B46" s="12"/>
      <c r="C46" s="32" t="s">
        <v>196</v>
      </c>
      <c r="D46" s="19"/>
      <c r="E46" s="19"/>
      <c r="F46" s="26" t="s">
        <v>63</v>
      </c>
      <c r="G46" s="27">
        <v>1.2</v>
      </c>
      <c r="H46" s="33"/>
      <c r="I46" s="33">
        <v>661.98</v>
      </c>
      <c r="J46" s="28">
        <v>16.38</v>
      </c>
      <c r="M46" s="29">
        <f>ROUND(ROUND(J46, 2)*I46, 2)</f>
        <v>10843.23</v>
      </c>
      <c r="P46" s="30">
        <v>16.38</v>
      </c>
      <c r="S46" s="29">
        <f>ROUND(ROUND(P46, 2)*I46, 2)</f>
        <v>10843.23</v>
      </c>
      <c r="V46" s="9">
        <f>ROUND(ROUND(P46, 2)/1.2, 2)</f>
        <v>13.65</v>
      </c>
      <c r="Y46" s="9">
        <f t="shared" si="12"/>
        <v>9036.0300000000007</v>
      </c>
      <c r="AD46" s="5" t="s">
        <v>197</v>
      </c>
      <c r="AE46" s="5" t="s">
        <v>198</v>
      </c>
      <c r="AF46" s="5" t="s">
        <v>199</v>
      </c>
      <c r="AK46" s="29">
        <f t="shared" si="5"/>
        <v>0</v>
      </c>
      <c r="AL46" s="29"/>
      <c r="AM46" s="29"/>
      <c r="AN46" s="31">
        <f t="shared" si="6"/>
        <v>0</v>
      </c>
      <c r="AO46" s="29"/>
      <c r="AP46" s="29"/>
    </row>
    <row r="47" spans="1:42" ht="36" x14ac:dyDescent="0.3">
      <c r="A47" s="12" t="s">
        <v>200</v>
      </c>
      <c r="B47" s="12"/>
      <c r="C47" s="25" t="s">
        <v>108</v>
      </c>
      <c r="D47" s="19"/>
      <c r="E47" s="19"/>
      <c r="F47" s="26" t="s">
        <v>63</v>
      </c>
      <c r="G47" s="27">
        <v>0.15</v>
      </c>
      <c r="H47" s="27"/>
      <c r="I47" s="27">
        <v>16.55</v>
      </c>
      <c r="J47" s="28">
        <v>69.540000000000006</v>
      </c>
      <c r="M47" s="29">
        <f>ROUND(ROUND(J47, 2)*I47, 2)</f>
        <v>1150.8900000000001</v>
      </c>
      <c r="P47" s="30">
        <v>69.540000000000006</v>
      </c>
      <c r="S47" s="29">
        <f>ROUND(ROUND(P47, 2)*I47, 2)</f>
        <v>1150.8900000000001</v>
      </c>
      <c r="V47" s="9">
        <f>ROUND(ROUND(P47, 2)/1.2, 2)</f>
        <v>57.95</v>
      </c>
      <c r="Y47" s="9">
        <f t="shared" si="12"/>
        <v>959.08</v>
      </c>
      <c r="AD47" s="5" t="s">
        <v>201</v>
      </c>
      <c r="AE47" s="5" t="s">
        <v>202</v>
      </c>
      <c r="AF47" s="5" t="s">
        <v>111</v>
      </c>
      <c r="AK47" s="29">
        <f t="shared" ref="AK47:AK78" si="13">S47-M47</f>
        <v>0</v>
      </c>
      <c r="AL47" s="29"/>
      <c r="AM47" s="29"/>
      <c r="AN47" s="31">
        <f t="shared" ref="AN47:AN78" si="14">IFERROR(AK47/M47,0)</f>
        <v>0</v>
      </c>
      <c r="AO47" s="29"/>
      <c r="AP47" s="29"/>
    </row>
    <row r="48" spans="1:42" ht="36" x14ac:dyDescent="0.3">
      <c r="A48" s="12" t="s">
        <v>203</v>
      </c>
      <c r="B48" s="12"/>
      <c r="C48" s="25" t="s">
        <v>204</v>
      </c>
      <c r="D48" s="19"/>
      <c r="E48" s="19"/>
      <c r="F48" s="26" t="s">
        <v>57</v>
      </c>
      <c r="G48" s="27">
        <v>1.07</v>
      </c>
      <c r="H48" s="33"/>
      <c r="I48" s="33">
        <v>118.053</v>
      </c>
      <c r="J48" s="28">
        <v>1273.53</v>
      </c>
      <c r="M48" s="29">
        <f>ROUND(ROUND(J48, 2)*I48, 2)</f>
        <v>150344.04</v>
      </c>
      <c r="P48" s="30">
        <v>1273.53</v>
      </c>
      <c r="S48" s="29">
        <f>ROUND(ROUND(P48, 2)*I48, 2)</f>
        <v>150344.04</v>
      </c>
      <c r="V48" s="9">
        <f>ROUND(ROUND(P48, 2)/1.2, 2)</f>
        <v>1061.28</v>
      </c>
      <c r="Y48" s="9">
        <f t="shared" si="12"/>
        <v>125286.7</v>
      </c>
      <c r="AD48" s="5" t="s">
        <v>205</v>
      </c>
      <c r="AE48" s="5" t="s">
        <v>206</v>
      </c>
      <c r="AF48" s="5" t="s">
        <v>207</v>
      </c>
      <c r="AK48" s="29">
        <f t="shared" si="13"/>
        <v>0</v>
      </c>
      <c r="AL48" s="29"/>
      <c r="AM48" s="29"/>
      <c r="AN48" s="31">
        <f t="shared" si="14"/>
        <v>0</v>
      </c>
      <c r="AO48" s="29"/>
      <c r="AP48" s="29"/>
    </row>
    <row r="49" spans="1:42" ht="54" x14ac:dyDescent="0.3">
      <c r="A49" s="12" t="s">
        <v>208</v>
      </c>
      <c r="B49" s="12" t="s">
        <v>188</v>
      </c>
      <c r="C49" s="18" t="s">
        <v>189</v>
      </c>
      <c r="D49" s="19"/>
      <c r="E49" s="19"/>
      <c r="F49" s="19" t="s">
        <v>57</v>
      </c>
      <c r="G49" s="20">
        <v>1</v>
      </c>
      <c r="H49" s="20"/>
      <c r="I49" s="20">
        <v>145.83000000000001</v>
      </c>
      <c r="J49" s="21">
        <f>IFERROR(ROUND(SUM(M50,M51,M52,M53)/I49, 2),0)</f>
        <v>607.47</v>
      </c>
      <c r="K49" s="22">
        <v>1439</v>
      </c>
      <c r="L49" s="21">
        <f>J49+ROUND(K49, 2)</f>
        <v>2046.47</v>
      </c>
      <c r="M49" s="21">
        <f>ROUND(J49*I49, 2)</f>
        <v>88587.35</v>
      </c>
      <c r="N49" s="21">
        <f>ROUND(I49*ROUND(K49, 2), 2)</f>
        <v>209849.37</v>
      </c>
      <c r="O49" s="21">
        <f>M49+N49</f>
        <v>298436.71999999997</v>
      </c>
      <c r="P49" s="21">
        <f>IFERROR(ROUND(SUM(S50,S51,S52,S53)/I49, 2),0)</f>
        <v>607.47</v>
      </c>
      <c r="Q49" s="23">
        <v>1870.7</v>
      </c>
      <c r="R49" s="21">
        <f>P49+ROUND(Q49, 2)</f>
        <v>2478.17</v>
      </c>
      <c r="S49" s="21">
        <f>ROUND(P49*I49, 2)</f>
        <v>88587.35</v>
      </c>
      <c r="T49" s="21">
        <f>ROUND(I49*ROUND(Q49, 2), 2)</f>
        <v>272804.18</v>
      </c>
      <c r="U49" s="21">
        <f>S49+T49</f>
        <v>361391.53</v>
      </c>
      <c r="V49" s="9">
        <f>ROUND(P49 / 1.2, 2)</f>
        <v>506.23</v>
      </c>
      <c r="W49" s="9">
        <f>ROUND(Q49 / 1.2, 2)</f>
        <v>1558.92</v>
      </c>
      <c r="X49" s="9">
        <f>ROUND(R49 / 1.2, 2)</f>
        <v>2065.14</v>
      </c>
      <c r="Y49" s="9">
        <f t="shared" si="12"/>
        <v>73822.789999999994</v>
      </c>
      <c r="Z49" s="9">
        <f>ROUND(T49 / 1.2, 2)</f>
        <v>227336.82</v>
      </c>
      <c r="AA49" s="9">
        <f>Y49+Z49</f>
        <v>301159.61</v>
      </c>
      <c r="AD49" s="5">
        <v>410200634</v>
      </c>
      <c r="AE49" s="5">
        <v>36659755</v>
      </c>
      <c r="AG49" s="5" t="s">
        <v>190</v>
      </c>
      <c r="AH49" s="5" t="s">
        <v>191</v>
      </c>
      <c r="AI49" s="5" t="s">
        <v>60</v>
      </c>
      <c r="AK49" s="21">
        <f t="shared" si="13"/>
        <v>0</v>
      </c>
      <c r="AL49" s="21">
        <f>T49-N49</f>
        <v>62954.81</v>
      </c>
      <c r="AM49" s="21">
        <f>U49-O49</f>
        <v>62954.81</v>
      </c>
      <c r="AN49" s="24">
        <f t="shared" si="14"/>
        <v>0</v>
      </c>
      <c r="AO49" s="24">
        <f>IFERROR(AL49/N49,0)</f>
        <v>0.29999999523468002</v>
      </c>
      <c r="AP49" s="24">
        <f>IFERROR(AM49/O49,0)</f>
        <v>0.21094860578819</v>
      </c>
    </row>
    <row r="50" spans="1:42" ht="36" x14ac:dyDescent="0.3">
      <c r="A50" s="12" t="s">
        <v>209</v>
      </c>
      <c r="B50" s="12"/>
      <c r="C50" s="25" t="s">
        <v>108</v>
      </c>
      <c r="D50" s="19"/>
      <c r="E50" s="19"/>
      <c r="F50" s="26" t="s">
        <v>63</v>
      </c>
      <c r="G50" s="27">
        <v>0.15</v>
      </c>
      <c r="H50" s="27"/>
      <c r="I50" s="27">
        <v>21.875</v>
      </c>
      <c r="J50" s="28">
        <v>69.540000000000006</v>
      </c>
      <c r="M50" s="29">
        <f>ROUND(ROUND(J50, 2)*I50, 2)</f>
        <v>1521.19</v>
      </c>
      <c r="P50" s="30">
        <v>69.540000000000006</v>
      </c>
      <c r="S50" s="29">
        <f>ROUND(ROUND(P50, 2)*I50, 2)</f>
        <v>1521.19</v>
      </c>
      <c r="V50" s="9">
        <f>ROUND(ROUND(P50, 2)/1.2, 2)</f>
        <v>57.95</v>
      </c>
      <c r="Y50" s="9">
        <f t="shared" si="12"/>
        <v>1267.6600000000001</v>
      </c>
      <c r="AD50" s="5" t="s">
        <v>210</v>
      </c>
      <c r="AE50" s="5" t="s">
        <v>211</v>
      </c>
      <c r="AF50" s="5" t="s">
        <v>111</v>
      </c>
      <c r="AK50" s="29">
        <f t="shared" si="13"/>
        <v>0</v>
      </c>
      <c r="AL50" s="29"/>
      <c r="AM50" s="29"/>
      <c r="AN50" s="31">
        <f t="shared" si="14"/>
        <v>0</v>
      </c>
      <c r="AO50" s="29"/>
      <c r="AP50" s="29"/>
    </row>
    <row r="51" spans="1:42" ht="36" x14ac:dyDescent="0.3">
      <c r="A51" s="12" t="s">
        <v>212</v>
      </c>
      <c r="B51" s="12"/>
      <c r="C51" s="32" t="s">
        <v>196</v>
      </c>
      <c r="D51" s="19"/>
      <c r="E51" s="19"/>
      <c r="F51" s="26" t="s">
        <v>63</v>
      </c>
      <c r="G51" s="27">
        <v>1.2</v>
      </c>
      <c r="H51" s="33"/>
      <c r="I51" s="33">
        <v>874.98</v>
      </c>
      <c r="J51" s="28">
        <v>16.38</v>
      </c>
      <c r="M51" s="29">
        <f>ROUND(ROUND(J51, 2)*I51, 2)</f>
        <v>14332.17</v>
      </c>
      <c r="P51" s="30">
        <v>16.38</v>
      </c>
      <c r="S51" s="29">
        <f>ROUND(ROUND(P51, 2)*I51, 2)</f>
        <v>14332.17</v>
      </c>
      <c r="V51" s="9">
        <f>ROUND(ROUND(P51, 2)/1.2, 2)</f>
        <v>13.65</v>
      </c>
      <c r="Y51" s="9">
        <f t="shared" si="12"/>
        <v>11943.48</v>
      </c>
      <c r="AD51" s="5" t="s">
        <v>213</v>
      </c>
      <c r="AE51" s="5" t="s">
        <v>214</v>
      </c>
      <c r="AF51" s="5" t="s">
        <v>199</v>
      </c>
      <c r="AK51" s="29">
        <f t="shared" si="13"/>
        <v>0</v>
      </c>
      <c r="AL51" s="29"/>
      <c r="AM51" s="29"/>
      <c r="AN51" s="31">
        <f t="shared" si="14"/>
        <v>0</v>
      </c>
      <c r="AO51" s="29"/>
      <c r="AP51" s="29"/>
    </row>
    <row r="52" spans="1:42" ht="36" x14ac:dyDescent="0.3">
      <c r="A52" s="12" t="s">
        <v>215</v>
      </c>
      <c r="B52" s="12"/>
      <c r="C52" s="32" t="s">
        <v>128</v>
      </c>
      <c r="D52" s="19"/>
      <c r="E52" s="19"/>
      <c r="F52" s="26" t="s">
        <v>57</v>
      </c>
      <c r="G52" s="27">
        <v>1.07</v>
      </c>
      <c r="H52" s="33"/>
      <c r="I52" s="33">
        <v>156.03800000000001</v>
      </c>
      <c r="J52" s="28">
        <v>454.86</v>
      </c>
      <c r="M52" s="29">
        <f>ROUND(ROUND(J52, 2)*I52, 2)</f>
        <v>70975.44</v>
      </c>
      <c r="P52" s="30">
        <v>454.86</v>
      </c>
      <c r="S52" s="29">
        <f>ROUND(ROUND(P52, 2)*I52, 2)</f>
        <v>70975.44</v>
      </c>
      <c r="V52" s="9">
        <f>ROUND(ROUND(P52, 2)/1.2, 2)</f>
        <v>379.05</v>
      </c>
      <c r="Y52" s="9">
        <f t="shared" si="12"/>
        <v>59146.2</v>
      </c>
      <c r="AD52" s="5" t="s">
        <v>216</v>
      </c>
      <c r="AE52" s="5" t="s">
        <v>217</v>
      </c>
      <c r="AF52" s="5" t="s">
        <v>131</v>
      </c>
      <c r="AK52" s="29">
        <f t="shared" si="13"/>
        <v>0</v>
      </c>
      <c r="AL52" s="29"/>
      <c r="AM52" s="29"/>
      <c r="AN52" s="31">
        <f t="shared" si="14"/>
        <v>0</v>
      </c>
      <c r="AO52" s="29"/>
      <c r="AP52" s="29"/>
    </row>
    <row r="53" spans="1:42" ht="18" x14ac:dyDescent="0.3">
      <c r="A53" s="12" t="s">
        <v>218</v>
      </c>
      <c r="B53" s="12"/>
      <c r="C53" s="25" t="s">
        <v>68</v>
      </c>
      <c r="D53" s="19"/>
      <c r="E53" s="19"/>
      <c r="F53" s="26" t="s">
        <v>63</v>
      </c>
      <c r="G53" s="27">
        <v>0.25</v>
      </c>
      <c r="H53" s="33"/>
      <c r="I53" s="33">
        <v>36.457999999999998</v>
      </c>
      <c r="J53" s="28">
        <v>48.23</v>
      </c>
      <c r="M53" s="29">
        <f>ROUND(ROUND(J53, 2)*I53, 2)</f>
        <v>1758.37</v>
      </c>
      <c r="P53" s="30">
        <v>48.23</v>
      </c>
      <c r="S53" s="29">
        <f>ROUND(ROUND(P53, 2)*I53, 2)</f>
        <v>1758.37</v>
      </c>
      <c r="V53" s="9">
        <f>ROUND(ROUND(P53, 2)/1.2, 2)</f>
        <v>40.19</v>
      </c>
      <c r="Y53" s="9">
        <f t="shared" si="12"/>
        <v>1465.31</v>
      </c>
      <c r="AD53" s="5" t="s">
        <v>219</v>
      </c>
      <c r="AE53" s="5" t="s">
        <v>220</v>
      </c>
      <c r="AF53" s="5" t="s">
        <v>71</v>
      </c>
      <c r="AK53" s="29">
        <f t="shared" si="13"/>
        <v>0</v>
      </c>
      <c r="AL53" s="29"/>
      <c r="AM53" s="29"/>
      <c r="AN53" s="31">
        <f t="shared" si="14"/>
        <v>0</v>
      </c>
      <c r="AO53" s="29"/>
      <c r="AP53" s="29"/>
    </row>
    <row r="54" spans="1:42" ht="36" x14ac:dyDescent="0.3">
      <c r="A54" s="12" t="s">
        <v>221</v>
      </c>
      <c r="B54" s="12" t="s">
        <v>222</v>
      </c>
      <c r="C54" s="18" t="s">
        <v>223</v>
      </c>
      <c r="D54" s="19"/>
      <c r="E54" s="19"/>
      <c r="F54" s="19" t="s">
        <v>101</v>
      </c>
      <c r="G54" s="20">
        <v>1</v>
      </c>
      <c r="H54" s="20"/>
      <c r="I54" s="20">
        <v>389.75</v>
      </c>
      <c r="J54" s="21">
        <f>IFERROR(ROUND(SUM(M55)/I54, 2),0)</f>
        <v>384.93</v>
      </c>
      <c r="K54" s="22">
        <v>0</v>
      </c>
      <c r="L54" s="21">
        <f>J54+ROUND(K54, 2)</f>
        <v>384.93</v>
      </c>
      <c r="M54" s="21">
        <f>ROUND(J54*I54, 2)</f>
        <v>150026.47</v>
      </c>
      <c r="N54" s="21">
        <f>ROUND(I54*ROUND(K54, 2), 2)</f>
        <v>0</v>
      </c>
      <c r="O54" s="21">
        <f>M54+N54</f>
        <v>150026.47</v>
      </c>
      <c r="P54" s="21">
        <f>IFERROR(ROUND(SUM(S55)/I54, 2),0)</f>
        <v>384.93</v>
      </c>
      <c r="Q54" s="23">
        <v>377</v>
      </c>
      <c r="R54" s="21">
        <f>P54+ROUND(Q54, 2)</f>
        <v>761.93</v>
      </c>
      <c r="S54" s="21">
        <f>ROUND(P54*I54, 2)</f>
        <v>150026.47</v>
      </c>
      <c r="T54" s="21">
        <f>ROUND(I54*ROUND(Q54, 2), 2)</f>
        <v>146935.75</v>
      </c>
      <c r="U54" s="21">
        <f>S54+T54</f>
        <v>296962.21999999997</v>
      </c>
      <c r="V54" s="9">
        <f>ROUND(P54 / 1.2, 2)</f>
        <v>320.77999999999997</v>
      </c>
      <c r="W54" s="9">
        <f>ROUND(Q54 / 1.2, 2)</f>
        <v>314.17</v>
      </c>
      <c r="X54" s="9">
        <f>ROUND(R54 / 1.2, 2)</f>
        <v>634.94000000000005</v>
      </c>
      <c r="Y54" s="9">
        <f t="shared" si="12"/>
        <v>125022.06</v>
      </c>
      <c r="Z54" s="9">
        <f>ROUND(T54 / 1.2, 2)</f>
        <v>122446.46</v>
      </c>
      <c r="AA54" s="9">
        <f>Y54+Z54</f>
        <v>247468.52</v>
      </c>
      <c r="AD54" s="5">
        <v>410200606</v>
      </c>
      <c r="AE54" s="5">
        <v>36659747</v>
      </c>
      <c r="AG54" s="5" t="s">
        <v>224</v>
      </c>
      <c r="AH54" s="5" t="s">
        <v>225</v>
      </c>
      <c r="AI54" s="5" t="s">
        <v>60</v>
      </c>
      <c r="AK54" s="21">
        <f t="shared" si="13"/>
        <v>0</v>
      </c>
      <c r="AL54" s="21">
        <f>T54-N54</f>
        <v>146935.75</v>
      </c>
      <c r="AM54" s="21">
        <f>U54-O54</f>
        <v>146935.75</v>
      </c>
      <c r="AN54" s="24">
        <f t="shared" si="14"/>
        <v>0</v>
      </c>
      <c r="AO54" s="24">
        <f>IFERROR(AL54/N54,0)</f>
        <v>0</v>
      </c>
      <c r="AP54" s="24">
        <f>IFERROR(AM54/O54,0)</f>
        <v>0.97939883541883999</v>
      </c>
    </row>
    <row r="55" spans="1:42" ht="72" x14ac:dyDescent="0.3">
      <c r="A55" s="12" t="s">
        <v>226</v>
      </c>
      <c r="B55" s="12"/>
      <c r="C55" s="25" t="s">
        <v>227</v>
      </c>
      <c r="D55" s="19"/>
      <c r="E55" s="19"/>
      <c r="F55" s="26" t="s">
        <v>101</v>
      </c>
      <c r="G55" s="27">
        <v>1.1000000000000001</v>
      </c>
      <c r="H55" s="33"/>
      <c r="I55" s="33">
        <v>428.04300000000001</v>
      </c>
      <c r="J55" s="28">
        <v>350.49</v>
      </c>
      <c r="M55" s="29">
        <f>ROUND(ROUND(J55, 2)*I55, 2)</f>
        <v>150024.79</v>
      </c>
      <c r="P55" s="30">
        <v>350.49</v>
      </c>
      <c r="S55" s="29">
        <f>ROUND(ROUND(P55, 2)*I55, 2)</f>
        <v>150024.79</v>
      </c>
      <c r="V55" s="9">
        <f>ROUND(ROUND(P55, 2)/1.2, 2)</f>
        <v>292.08</v>
      </c>
      <c r="Y55" s="9">
        <f t="shared" si="12"/>
        <v>125020.66</v>
      </c>
      <c r="AD55" s="5" t="s">
        <v>228</v>
      </c>
      <c r="AE55" s="5" t="s">
        <v>229</v>
      </c>
      <c r="AF55" s="5" t="s">
        <v>230</v>
      </c>
      <c r="AK55" s="29">
        <f t="shared" si="13"/>
        <v>0</v>
      </c>
      <c r="AL55" s="29"/>
      <c r="AM55" s="29"/>
      <c r="AN55" s="31">
        <f t="shared" si="14"/>
        <v>0</v>
      </c>
      <c r="AO55" s="29"/>
      <c r="AP55" s="29"/>
    </row>
    <row r="56" spans="1:42" ht="54" x14ac:dyDescent="0.3">
      <c r="A56" s="12" t="s">
        <v>231</v>
      </c>
      <c r="B56" s="12" t="s">
        <v>232</v>
      </c>
      <c r="C56" s="18" t="s">
        <v>233</v>
      </c>
      <c r="D56" s="19" t="s">
        <v>234</v>
      </c>
      <c r="E56" s="19"/>
      <c r="F56" s="19" t="s">
        <v>57</v>
      </c>
      <c r="G56" s="20">
        <v>1</v>
      </c>
      <c r="H56" s="20"/>
      <c r="I56" s="20">
        <v>339.13</v>
      </c>
      <c r="J56" s="21">
        <f>IFERROR(ROUND(SUM(M57,M58,M59)/I56, 2),0)</f>
        <v>48.35</v>
      </c>
      <c r="K56" s="22">
        <v>400</v>
      </c>
      <c r="L56" s="21">
        <f>J56+ROUND(K56, 2)</f>
        <v>448.35</v>
      </c>
      <c r="M56" s="21">
        <f>ROUND(J56*I56, 2)</f>
        <v>16396.939999999999</v>
      </c>
      <c r="N56" s="21">
        <f>ROUND(I56*ROUND(K56, 2), 2)</f>
        <v>135652</v>
      </c>
      <c r="O56" s="21">
        <f>M56+N56</f>
        <v>152048.94</v>
      </c>
      <c r="P56" s="21">
        <f>IFERROR(ROUND(SUM(S57,S58,S59)/I56, 2),0)</f>
        <v>48.35</v>
      </c>
      <c r="Q56" s="23">
        <v>520</v>
      </c>
      <c r="R56" s="21">
        <f>P56+ROUND(Q56, 2)</f>
        <v>568.35</v>
      </c>
      <c r="S56" s="21">
        <f>ROUND(P56*I56, 2)</f>
        <v>16396.939999999999</v>
      </c>
      <c r="T56" s="21">
        <f>ROUND(I56*ROUND(Q56, 2), 2)</f>
        <v>176347.6</v>
      </c>
      <c r="U56" s="21">
        <f>S56+T56</f>
        <v>192744.54</v>
      </c>
      <c r="V56" s="9">
        <f>ROUND(P56 / 1.2, 2)</f>
        <v>40.29</v>
      </c>
      <c r="W56" s="9">
        <f>ROUND(Q56 / 1.2, 2)</f>
        <v>433.33</v>
      </c>
      <c r="X56" s="9">
        <f>ROUND(R56 / 1.2, 2)</f>
        <v>473.63</v>
      </c>
      <c r="Y56" s="9">
        <f t="shared" si="12"/>
        <v>13664.12</v>
      </c>
      <c r="Z56" s="9">
        <f>ROUND(T56 / 1.2, 2)</f>
        <v>146956.32999999999</v>
      </c>
      <c r="AA56" s="9">
        <f>Y56+Z56</f>
        <v>160620.45000000001</v>
      </c>
      <c r="AD56" s="5">
        <v>410200608</v>
      </c>
      <c r="AE56" s="5">
        <v>36659748</v>
      </c>
      <c r="AG56" s="5" t="s">
        <v>235</v>
      </c>
      <c r="AH56" s="5" t="s">
        <v>236</v>
      </c>
      <c r="AI56" s="5" t="s">
        <v>60</v>
      </c>
      <c r="AK56" s="21">
        <f t="shared" si="13"/>
        <v>0</v>
      </c>
      <c r="AL56" s="21">
        <f>T56-N56</f>
        <v>40695.599999999999</v>
      </c>
      <c r="AM56" s="21">
        <f>U56-O56</f>
        <v>40695.599999999999</v>
      </c>
      <c r="AN56" s="24">
        <f t="shared" si="14"/>
        <v>0</v>
      </c>
      <c r="AO56" s="24">
        <f>IFERROR(AL56/N56,0)</f>
        <v>0.3</v>
      </c>
      <c r="AP56" s="24">
        <f>IFERROR(AM56/O56,0)</f>
        <v>0.26764803490244998</v>
      </c>
    </row>
    <row r="57" spans="1:42" ht="36" x14ac:dyDescent="0.3">
      <c r="A57" s="12" t="s">
        <v>237</v>
      </c>
      <c r="B57" s="12"/>
      <c r="C57" s="25" t="s">
        <v>62</v>
      </c>
      <c r="D57" s="19"/>
      <c r="E57" s="19"/>
      <c r="F57" s="26" t="s">
        <v>63</v>
      </c>
      <c r="G57" s="27">
        <v>0.255</v>
      </c>
      <c r="H57" s="33"/>
      <c r="I57" s="33">
        <v>86.477999999999994</v>
      </c>
      <c r="J57" s="28">
        <v>90.28</v>
      </c>
      <c r="M57" s="29">
        <f>ROUND(ROUND(J57, 2)*I57, 2)</f>
        <v>7807.23</v>
      </c>
      <c r="P57" s="30">
        <v>90.28</v>
      </c>
      <c r="S57" s="29">
        <f>ROUND(ROUND(P57, 2)*I57, 2)</f>
        <v>7807.23</v>
      </c>
      <c r="V57" s="9">
        <f>ROUND(ROUND(P57, 2)/1.2, 2)</f>
        <v>75.23</v>
      </c>
      <c r="Y57" s="9">
        <f t="shared" si="12"/>
        <v>6506.03</v>
      </c>
      <c r="AD57" s="5" t="s">
        <v>238</v>
      </c>
      <c r="AE57" s="5" t="s">
        <v>239</v>
      </c>
      <c r="AF57" s="5" t="s">
        <v>66</v>
      </c>
      <c r="AK57" s="29">
        <f t="shared" si="13"/>
        <v>0</v>
      </c>
      <c r="AL57" s="29"/>
      <c r="AM57" s="29"/>
      <c r="AN57" s="31">
        <f t="shared" si="14"/>
        <v>0</v>
      </c>
      <c r="AO57" s="29"/>
      <c r="AP57" s="29"/>
    </row>
    <row r="58" spans="1:42" ht="18" x14ac:dyDescent="0.3">
      <c r="A58" s="12" t="s">
        <v>240</v>
      </c>
      <c r="B58" s="12"/>
      <c r="C58" s="25" t="s">
        <v>241</v>
      </c>
      <c r="D58" s="19"/>
      <c r="E58" s="19"/>
      <c r="F58" s="26" t="s">
        <v>101</v>
      </c>
      <c r="G58" s="27">
        <v>1</v>
      </c>
      <c r="H58" s="33"/>
      <c r="I58" s="33">
        <v>339.13</v>
      </c>
      <c r="J58" s="28">
        <v>10.58</v>
      </c>
      <c r="M58" s="29">
        <f>ROUND(ROUND(J58, 2)*I58, 2)</f>
        <v>3588</v>
      </c>
      <c r="P58" s="30">
        <v>10.58</v>
      </c>
      <c r="S58" s="29">
        <f>ROUND(ROUND(P58, 2)*I58, 2)</f>
        <v>3588</v>
      </c>
      <c r="V58" s="9">
        <f>ROUND(ROUND(P58, 2)/1.2, 2)</f>
        <v>8.82</v>
      </c>
      <c r="Y58" s="9">
        <f t="shared" si="12"/>
        <v>2990</v>
      </c>
      <c r="AD58" s="5" t="s">
        <v>242</v>
      </c>
      <c r="AE58" s="5" t="s">
        <v>243</v>
      </c>
      <c r="AF58" s="5" t="s">
        <v>244</v>
      </c>
      <c r="AK58" s="29">
        <f t="shared" si="13"/>
        <v>0</v>
      </c>
      <c r="AL58" s="29"/>
      <c r="AM58" s="29"/>
      <c r="AN58" s="31">
        <f t="shared" si="14"/>
        <v>0</v>
      </c>
      <c r="AO58" s="29"/>
      <c r="AP58" s="29"/>
    </row>
    <row r="59" spans="1:42" ht="36" x14ac:dyDescent="0.3">
      <c r="A59" s="12" t="s">
        <v>245</v>
      </c>
      <c r="B59" s="12"/>
      <c r="C59" s="32" t="s">
        <v>246</v>
      </c>
      <c r="D59" s="19"/>
      <c r="E59" s="19"/>
      <c r="F59" s="26" t="s">
        <v>63</v>
      </c>
      <c r="G59" s="27">
        <v>1.6</v>
      </c>
      <c r="H59" s="33"/>
      <c r="I59" s="33">
        <v>542.60799999999995</v>
      </c>
      <c r="J59" s="28">
        <v>9.2200000000000006</v>
      </c>
      <c r="M59" s="29">
        <f>ROUND(ROUND(J59, 2)*I59, 2)</f>
        <v>5002.8500000000004</v>
      </c>
      <c r="P59" s="30">
        <v>9.2200000000000006</v>
      </c>
      <c r="S59" s="29">
        <f>ROUND(ROUND(P59, 2)*I59, 2)</f>
        <v>5002.8500000000004</v>
      </c>
      <c r="V59" s="9">
        <f>ROUND(ROUND(P59, 2)/1.2, 2)</f>
        <v>7.68</v>
      </c>
      <c r="Y59" s="9">
        <f t="shared" si="12"/>
        <v>4169.04</v>
      </c>
      <c r="AD59" s="5" t="s">
        <v>247</v>
      </c>
      <c r="AE59" s="5" t="s">
        <v>248</v>
      </c>
      <c r="AF59" s="5" t="s">
        <v>249</v>
      </c>
      <c r="AK59" s="29">
        <f t="shared" si="13"/>
        <v>0</v>
      </c>
      <c r="AL59" s="29"/>
      <c r="AM59" s="29"/>
      <c r="AN59" s="31">
        <f t="shared" si="14"/>
        <v>0</v>
      </c>
      <c r="AO59" s="29"/>
      <c r="AP59" s="29"/>
    </row>
    <row r="60" spans="1:42" ht="16.95" customHeight="1" x14ac:dyDescent="0.3">
      <c r="A60" s="12" t="s">
        <v>250</v>
      </c>
      <c r="B60" s="16" t="s">
        <v>251</v>
      </c>
      <c r="C60" s="70" t="s">
        <v>252</v>
      </c>
      <c r="D60" s="71"/>
      <c r="E60" s="71"/>
      <c r="F60" s="71"/>
      <c r="G60" s="71"/>
      <c r="H60" s="71"/>
      <c r="I60" s="72"/>
      <c r="M60" s="6">
        <f>SUM(M61,M66,M71,M76,M79,M82,M85,M88,M92,M95,M98)</f>
        <v>1126831.3999999999</v>
      </c>
      <c r="N60" s="6">
        <f>SUM(N61,N66,N71,N76,N79,N82,N85,N88,N92,N95,N98)</f>
        <v>4220227.84</v>
      </c>
      <c r="O60" s="6">
        <f>SUM(O61,O66,O71,O76,O79,O82,O85,O88,O92,O95,O98)</f>
        <v>5347059.24</v>
      </c>
      <c r="S60" s="6">
        <f>SUM(S61,S66,S71,S76,S79,S82,S85,S88,S92,S95,S98)</f>
        <v>1240096.04</v>
      </c>
      <c r="T60" s="6">
        <f>SUM(T61,T66,T71,T76,T79,T82,T85,T88,T92,T95,T98)</f>
        <v>5486294.6699999999</v>
      </c>
      <c r="U60" s="6">
        <f>SUM(U61,U66,U71,U76,U79,U82,U85,U88,U92,U95,U98)</f>
        <v>6726390.71</v>
      </c>
      <c r="Y60" s="9">
        <f>SUM(Y61,Y66,Y71,Y76,Y79,Y82,Y85,Y88,Y92,Y95,Y98)</f>
        <v>1033413.39</v>
      </c>
      <c r="Z60" s="9">
        <f>SUM(Z61,Z66,Z71,Z76,Z79,Z82,Z85,Z88,Z92,Z95,Z98)</f>
        <v>4571912.2300000004</v>
      </c>
      <c r="AA60" s="9">
        <f>SUM(AA61,AA66,AA71,AA76,AA79,AA82,AA85,AA88,AA92,AA95,AA98)</f>
        <v>5605325.6200000001</v>
      </c>
      <c r="AD60" s="5">
        <v>410200609</v>
      </c>
      <c r="AE60" s="5">
        <v>36662394</v>
      </c>
      <c r="AK60" s="6">
        <f t="shared" si="13"/>
        <v>113264.64</v>
      </c>
      <c r="AL60" s="6">
        <f>T60-N60</f>
        <v>1266066.83</v>
      </c>
      <c r="AM60" s="6">
        <f>U60-O60</f>
        <v>1379331.47</v>
      </c>
      <c r="AN60" s="10">
        <f t="shared" si="14"/>
        <v>0.1005160488073</v>
      </c>
      <c r="AO60" s="10">
        <f>IFERROR(AL60/N60,0)</f>
        <v>0.29999963935596002</v>
      </c>
      <c r="AP60" s="10">
        <f>IFERROR(AM60/O60,0)</f>
        <v>0.25796076087609998</v>
      </c>
    </row>
    <row r="61" spans="1:42" ht="90" x14ac:dyDescent="0.3">
      <c r="A61" s="12" t="s">
        <v>253</v>
      </c>
      <c r="B61" s="12" t="s">
        <v>254</v>
      </c>
      <c r="C61" s="18" t="s">
        <v>255</v>
      </c>
      <c r="D61" s="19"/>
      <c r="E61" s="19" t="s">
        <v>256</v>
      </c>
      <c r="F61" s="19" t="s">
        <v>57</v>
      </c>
      <c r="G61" s="20">
        <v>1</v>
      </c>
      <c r="H61" s="20"/>
      <c r="I61" s="20">
        <v>173.48</v>
      </c>
      <c r="J61" s="21">
        <f>IFERROR(ROUND(SUM(M62,M63,M64,M65)/I61, 2),0)</f>
        <v>1146.95</v>
      </c>
      <c r="K61" s="22">
        <v>2056.0100000000002</v>
      </c>
      <c r="L61" s="21">
        <f>J61+ROUND(K61, 2)</f>
        <v>3202.96</v>
      </c>
      <c r="M61" s="21">
        <f>ROUND(J61*I61, 2)</f>
        <v>198972.89</v>
      </c>
      <c r="N61" s="21">
        <f>ROUND(I61*ROUND(K61, 2), 2)</f>
        <v>356676.61</v>
      </c>
      <c r="O61" s="21">
        <f>M61+N61</f>
        <v>555649.5</v>
      </c>
      <c r="P61" s="21">
        <f>IFERROR(ROUND(SUM(S62,S63,S64,S65)/I61, 2),0)</f>
        <v>1146.95</v>
      </c>
      <c r="Q61" s="23">
        <v>2672.81</v>
      </c>
      <c r="R61" s="21">
        <f>P61+ROUND(Q61, 2)</f>
        <v>3819.76</v>
      </c>
      <c r="S61" s="21">
        <f>ROUND(P61*I61, 2)</f>
        <v>198972.89</v>
      </c>
      <c r="T61" s="21">
        <f>ROUND(I61*ROUND(Q61, 2), 2)</f>
        <v>463679.08</v>
      </c>
      <c r="U61" s="21">
        <f>S61+T61</f>
        <v>662651.97</v>
      </c>
      <c r="V61" s="9">
        <f>ROUND(P61 / 1.2, 2)</f>
        <v>955.79</v>
      </c>
      <c r="W61" s="9">
        <f>ROUND(Q61 / 1.2, 2)</f>
        <v>2227.34</v>
      </c>
      <c r="X61" s="9">
        <f>ROUND(R61 / 1.2, 2)</f>
        <v>3183.13</v>
      </c>
      <c r="Y61" s="9">
        <f>ROUND(S61 / 1.2, 2)</f>
        <v>165810.74</v>
      </c>
      <c r="Z61" s="9">
        <f>ROUND(T61 / 1.2, 2)</f>
        <v>386399.23</v>
      </c>
      <c r="AA61" s="9">
        <f>Y61+Z61</f>
        <v>552209.97</v>
      </c>
      <c r="AD61" s="5">
        <v>410200611</v>
      </c>
      <c r="AE61" s="5">
        <v>36664408</v>
      </c>
      <c r="AG61" s="5" t="s">
        <v>257</v>
      </c>
      <c r="AH61" s="5" t="s">
        <v>258</v>
      </c>
      <c r="AI61" s="5" t="s">
        <v>60</v>
      </c>
      <c r="AK61" s="21">
        <f t="shared" si="13"/>
        <v>0</v>
      </c>
      <c r="AL61" s="21">
        <f>T61-N61</f>
        <v>107002.47</v>
      </c>
      <c r="AM61" s="21">
        <f>U61-O61</f>
        <v>107002.47</v>
      </c>
      <c r="AN61" s="24">
        <f t="shared" si="14"/>
        <v>0</v>
      </c>
      <c r="AO61" s="24">
        <f>IFERROR(AL61/N61,0)</f>
        <v>0.29999856172234002</v>
      </c>
      <c r="AP61" s="24">
        <f>IFERROR(AM61/O61,0)</f>
        <v>0.19257188209473999</v>
      </c>
    </row>
    <row r="62" spans="1:42" ht="36" x14ac:dyDescent="0.3">
      <c r="A62" s="12" t="s">
        <v>259</v>
      </c>
      <c r="B62" s="12"/>
      <c r="C62" s="25" t="s">
        <v>108</v>
      </c>
      <c r="D62" s="19"/>
      <c r="E62" s="19"/>
      <c r="F62" s="26" t="s">
        <v>63</v>
      </c>
      <c r="G62" s="27">
        <v>0.15</v>
      </c>
      <c r="H62" s="27"/>
      <c r="I62" s="27">
        <v>26.021999999999998</v>
      </c>
      <c r="J62" s="28">
        <v>69.540000000000006</v>
      </c>
      <c r="M62" s="29">
        <f>ROUND(ROUND(J62, 2)*I62, 2)</f>
        <v>1809.57</v>
      </c>
      <c r="P62" s="30">
        <v>69.540000000000006</v>
      </c>
      <c r="S62" s="29">
        <f>ROUND(ROUND(P62, 2)*I62, 2)</f>
        <v>1809.57</v>
      </c>
      <c r="V62" s="9">
        <f>ROUND(ROUND(P62, 2)/1.2, 2)</f>
        <v>57.95</v>
      </c>
      <c r="Y62" s="9">
        <f t="shared" ref="Y62:Y100" si="15">ROUND(S62 / 1.2, 2)</f>
        <v>1507.98</v>
      </c>
      <c r="AD62" s="5" t="s">
        <v>260</v>
      </c>
      <c r="AE62" s="5" t="s">
        <v>261</v>
      </c>
      <c r="AF62" s="5" t="s">
        <v>111</v>
      </c>
      <c r="AK62" s="29">
        <f t="shared" si="13"/>
        <v>0</v>
      </c>
      <c r="AL62" s="29"/>
      <c r="AM62" s="29"/>
      <c r="AN62" s="31">
        <f t="shared" si="14"/>
        <v>0</v>
      </c>
      <c r="AO62" s="29"/>
      <c r="AP62" s="29"/>
    </row>
    <row r="63" spans="1:42" ht="18" x14ac:dyDescent="0.3">
      <c r="A63" s="12" t="s">
        <v>262</v>
      </c>
      <c r="B63" s="12"/>
      <c r="C63" s="25" t="s">
        <v>263</v>
      </c>
      <c r="D63" s="19"/>
      <c r="E63" s="19"/>
      <c r="F63" s="26" t="s">
        <v>63</v>
      </c>
      <c r="G63" s="27">
        <v>0.25</v>
      </c>
      <c r="H63" s="33"/>
      <c r="I63" s="33">
        <v>43.37</v>
      </c>
      <c r="J63" s="28">
        <v>40.94</v>
      </c>
      <c r="M63" s="29">
        <f>ROUND(ROUND(J63, 2)*I63, 2)</f>
        <v>1775.57</v>
      </c>
      <c r="P63" s="30">
        <v>40.94</v>
      </c>
      <c r="S63" s="29">
        <f>ROUND(ROUND(P63, 2)*I63, 2)</f>
        <v>1775.57</v>
      </c>
      <c r="V63" s="9">
        <f>ROUND(ROUND(P63, 2)/1.2, 2)</f>
        <v>34.119999999999997</v>
      </c>
      <c r="Y63" s="9">
        <f t="shared" si="15"/>
        <v>1479.64</v>
      </c>
      <c r="AD63" s="5" t="s">
        <v>264</v>
      </c>
      <c r="AE63" s="5" t="s">
        <v>265</v>
      </c>
      <c r="AF63" s="5" t="s">
        <v>266</v>
      </c>
      <c r="AK63" s="29">
        <f t="shared" si="13"/>
        <v>0</v>
      </c>
      <c r="AL63" s="29"/>
      <c r="AM63" s="29"/>
      <c r="AN63" s="31">
        <f t="shared" si="14"/>
        <v>0</v>
      </c>
      <c r="AO63" s="29"/>
      <c r="AP63" s="29"/>
    </row>
    <row r="64" spans="1:42" ht="36" x14ac:dyDescent="0.3">
      <c r="A64" s="12" t="s">
        <v>267</v>
      </c>
      <c r="B64" s="12"/>
      <c r="C64" s="32" t="s">
        <v>268</v>
      </c>
      <c r="D64" s="19"/>
      <c r="E64" s="19"/>
      <c r="F64" s="26" t="s">
        <v>57</v>
      </c>
      <c r="G64" s="27">
        <v>1.07</v>
      </c>
      <c r="H64" s="33"/>
      <c r="I64" s="33">
        <v>185.624</v>
      </c>
      <c r="J64" s="28">
        <v>960.75</v>
      </c>
      <c r="M64" s="29">
        <f>ROUND(ROUND(J64, 2)*I64, 2)</f>
        <v>178338.26</v>
      </c>
      <c r="P64" s="30">
        <v>960.75</v>
      </c>
      <c r="S64" s="29">
        <f>ROUND(ROUND(P64, 2)*I64, 2)</f>
        <v>178338.26</v>
      </c>
      <c r="V64" s="9">
        <f>ROUND(ROUND(P64, 2)/1.2, 2)</f>
        <v>800.63</v>
      </c>
      <c r="Y64" s="9">
        <f t="shared" si="15"/>
        <v>148615.22</v>
      </c>
      <c r="AD64" s="5" t="s">
        <v>269</v>
      </c>
      <c r="AE64" s="5" t="s">
        <v>270</v>
      </c>
      <c r="AF64" s="5" t="s">
        <v>271</v>
      </c>
      <c r="AK64" s="29">
        <f t="shared" si="13"/>
        <v>0</v>
      </c>
      <c r="AL64" s="29"/>
      <c r="AM64" s="29"/>
      <c r="AN64" s="31">
        <f t="shared" si="14"/>
        <v>0</v>
      </c>
      <c r="AO64" s="29"/>
      <c r="AP64" s="29"/>
    </row>
    <row r="65" spans="1:42" ht="36" x14ac:dyDescent="0.3">
      <c r="A65" s="12" t="s">
        <v>272</v>
      </c>
      <c r="B65" s="12"/>
      <c r="C65" s="32" t="s">
        <v>118</v>
      </c>
      <c r="D65" s="19"/>
      <c r="E65" s="19"/>
      <c r="F65" s="26" t="s">
        <v>63</v>
      </c>
      <c r="G65" s="27">
        <v>1.2</v>
      </c>
      <c r="H65" s="33"/>
      <c r="I65" s="33">
        <v>1040.8800000000001</v>
      </c>
      <c r="J65" s="28">
        <v>16.38</v>
      </c>
      <c r="M65" s="29">
        <f>ROUND(ROUND(J65, 2)*I65, 2)</f>
        <v>17049.61</v>
      </c>
      <c r="P65" s="30">
        <v>16.38</v>
      </c>
      <c r="S65" s="29">
        <f>ROUND(ROUND(P65, 2)*I65, 2)</f>
        <v>17049.61</v>
      </c>
      <c r="V65" s="9">
        <f>ROUND(ROUND(P65, 2)/1.2, 2)</f>
        <v>13.65</v>
      </c>
      <c r="Y65" s="9">
        <f t="shared" si="15"/>
        <v>14208.01</v>
      </c>
      <c r="AD65" s="5" t="s">
        <v>273</v>
      </c>
      <c r="AE65" s="5" t="s">
        <v>274</v>
      </c>
      <c r="AF65" s="5" t="s">
        <v>121</v>
      </c>
      <c r="AK65" s="29">
        <f t="shared" si="13"/>
        <v>0</v>
      </c>
      <c r="AL65" s="29"/>
      <c r="AM65" s="29"/>
      <c r="AN65" s="31">
        <f t="shared" si="14"/>
        <v>0</v>
      </c>
      <c r="AO65" s="29"/>
      <c r="AP65" s="29"/>
    </row>
    <row r="66" spans="1:42" ht="126" x14ac:dyDescent="0.3">
      <c r="A66" s="12" t="s">
        <v>275</v>
      </c>
      <c r="B66" s="12" t="s">
        <v>254</v>
      </c>
      <c r="C66" s="18" t="s">
        <v>255</v>
      </c>
      <c r="D66" s="19"/>
      <c r="E66" s="19" t="s">
        <v>276</v>
      </c>
      <c r="F66" s="19" t="s">
        <v>57</v>
      </c>
      <c r="G66" s="20">
        <v>1</v>
      </c>
      <c r="H66" s="20"/>
      <c r="I66" s="20">
        <v>332.85</v>
      </c>
      <c r="J66" s="21">
        <f>IFERROR(ROUND(SUM(M67,M68,M69,M70)/I66, 2),0)</f>
        <v>826.17</v>
      </c>
      <c r="K66" s="22">
        <v>2056.0100000000002</v>
      </c>
      <c r="L66" s="21">
        <f>J66+ROUND(K66, 2)</f>
        <v>2882.18</v>
      </c>
      <c r="M66" s="21">
        <f>ROUND(J66*I66, 2)</f>
        <v>274990.68</v>
      </c>
      <c r="N66" s="21">
        <f>ROUND(I66*ROUND(K66, 2), 2)</f>
        <v>684342.93</v>
      </c>
      <c r="O66" s="21">
        <f>M66+N66</f>
        <v>959333.61</v>
      </c>
      <c r="P66" s="21">
        <f>IFERROR(ROUND(SUM(S67,S68,S69,S70)/I66, 2),0)</f>
        <v>826.17</v>
      </c>
      <c r="Q66" s="23">
        <v>2672.81</v>
      </c>
      <c r="R66" s="21">
        <f>P66+ROUND(Q66, 2)</f>
        <v>3498.98</v>
      </c>
      <c r="S66" s="21">
        <f>ROUND(P66*I66, 2)</f>
        <v>274990.68</v>
      </c>
      <c r="T66" s="21">
        <f>ROUND(I66*ROUND(Q66, 2), 2)</f>
        <v>889644.81</v>
      </c>
      <c r="U66" s="21">
        <f>S66+T66</f>
        <v>1164635.49</v>
      </c>
      <c r="V66" s="9">
        <f>ROUND(P66 / 1.2, 2)</f>
        <v>688.48</v>
      </c>
      <c r="W66" s="9">
        <f>ROUND(Q66 / 1.2, 2)</f>
        <v>2227.34</v>
      </c>
      <c r="X66" s="9">
        <f>ROUND(R66 / 1.2, 2)</f>
        <v>2915.82</v>
      </c>
      <c r="Y66" s="9">
        <f t="shared" si="15"/>
        <v>229158.9</v>
      </c>
      <c r="Z66" s="9">
        <f>ROUND(T66 / 1.2, 2)</f>
        <v>741370.68</v>
      </c>
      <c r="AA66" s="9">
        <f>Y66+Z66</f>
        <v>970529.58</v>
      </c>
      <c r="AD66" s="5">
        <v>410200635</v>
      </c>
      <c r="AE66" s="5">
        <v>36664409</v>
      </c>
      <c r="AG66" s="5" t="s">
        <v>257</v>
      </c>
      <c r="AH66" s="5" t="s">
        <v>258</v>
      </c>
      <c r="AI66" s="5" t="s">
        <v>60</v>
      </c>
      <c r="AK66" s="21">
        <f t="shared" si="13"/>
        <v>0</v>
      </c>
      <c r="AL66" s="21">
        <f>T66-N66</f>
        <v>205301.88</v>
      </c>
      <c r="AM66" s="21">
        <f>U66-O66</f>
        <v>205301.88</v>
      </c>
      <c r="AN66" s="24">
        <f t="shared" si="14"/>
        <v>0</v>
      </c>
      <c r="AO66" s="24">
        <f>IFERROR(AL66/N66,0)</f>
        <v>0.29999854020556999</v>
      </c>
      <c r="AP66" s="24">
        <f>IFERROR(AM66/O66,0)</f>
        <v>0.21400467768454001</v>
      </c>
    </row>
    <row r="67" spans="1:42" ht="36" x14ac:dyDescent="0.3">
      <c r="A67" s="12" t="s">
        <v>277</v>
      </c>
      <c r="B67" s="12"/>
      <c r="C67" s="32" t="s">
        <v>278</v>
      </c>
      <c r="D67" s="19"/>
      <c r="E67" s="19"/>
      <c r="F67" s="26" t="s">
        <v>57</v>
      </c>
      <c r="G67" s="27">
        <v>1.03</v>
      </c>
      <c r="H67" s="33"/>
      <c r="I67" s="33">
        <v>342.83600000000001</v>
      </c>
      <c r="J67" s="28">
        <v>686.62</v>
      </c>
      <c r="M67" s="29">
        <f>ROUND(ROUND(J67, 2)*I67, 2)</f>
        <v>235398.05</v>
      </c>
      <c r="P67" s="30">
        <v>686.62</v>
      </c>
      <c r="S67" s="29">
        <f>ROUND(ROUND(P67, 2)*I67, 2)</f>
        <v>235398.05</v>
      </c>
      <c r="V67" s="9">
        <f>ROUND(ROUND(P67, 2)/1.2, 2)</f>
        <v>572.17999999999995</v>
      </c>
      <c r="Y67" s="9">
        <f t="shared" si="15"/>
        <v>196165.04</v>
      </c>
      <c r="AD67" s="5" t="s">
        <v>279</v>
      </c>
      <c r="AE67" s="5" t="s">
        <v>280</v>
      </c>
      <c r="AF67" s="5" t="s">
        <v>281</v>
      </c>
      <c r="AK67" s="29">
        <f t="shared" si="13"/>
        <v>0</v>
      </c>
      <c r="AL67" s="29"/>
      <c r="AM67" s="29"/>
      <c r="AN67" s="31">
        <f t="shared" si="14"/>
        <v>0</v>
      </c>
      <c r="AO67" s="29"/>
      <c r="AP67" s="29"/>
    </row>
    <row r="68" spans="1:42" ht="36" x14ac:dyDescent="0.3">
      <c r="A68" s="12" t="s">
        <v>282</v>
      </c>
      <c r="B68" s="12"/>
      <c r="C68" s="32" t="s">
        <v>118</v>
      </c>
      <c r="D68" s="19"/>
      <c r="E68" s="19"/>
      <c r="F68" s="26" t="s">
        <v>63</v>
      </c>
      <c r="G68" s="27">
        <v>1.2</v>
      </c>
      <c r="H68" s="33"/>
      <c r="I68" s="33">
        <v>1997.1</v>
      </c>
      <c r="J68" s="28">
        <v>16.38</v>
      </c>
      <c r="M68" s="29">
        <f>ROUND(ROUND(J68, 2)*I68, 2)</f>
        <v>32712.5</v>
      </c>
      <c r="P68" s="30">
        <v>16.38</v>
      </c>
      <c r="S68" s="29">
        <f>ROUND(ROUND(P68, 2)*I68, 2)</f>
        <v>32712.5</v>
      </c>
      <c r="V68" s="9">
        <f>ROUND(ROUND(P68, 2)/1.2, 2)</f>
        <v>13.65</v>
      </c>
      <c r="Y68" s="9">
        <f t="shared" si="15"/>
        <v>27260.42</v>
      </c>
      <c r="AD68" s="5" t="s">
        <v>283</v>
      </c>
      <c r="AE68" s="5" t="s">
        <v>284</v>
      </c>
      <c r="AF68" s="5" t="s">
        <v>121</v>
      </c>
      <c r="AK68" s="29">
        <f t="shared" si="13"/>
        <v>0</v>
      </c>
      <c r="AL68" s="29"/>
      <c r="AM68" s="29"/>
      <c r="AN68" s="31">
        <f t="shared" si="14"/>
        <v>0</v>
      </c>
      <c r="AO68" s="29"/>
      <c r="AP68" s="29"/>
    </row>
    <row r="69" spans="1:42" ht="18" x14ac:dyDescent="0.3">
      <c r="A69" s="12" t="s">
        <v>285</v>
      </c>
      <c r="B69" s="12"/>
      <c r="C69" s="25" t="s">
        <v>263</v>
      </c>
      <c r="D69" s="19"/>
      <c r="E69" s="19"/>
      <c r="F69" s="26" t="s">
        <v>63</v>
      </c>
      <c r="G69" s="27">
        <v>0.25</v>
      </c>
      <c r="H69" s="33"/>
      <c r="I69" s="33">
        <v>83.212999999999994</v>
      </c>
      <c r="J69" s="28">
        <v>40.94</v>
      </c>
      <c r="M69" s="29">
        <f>ROUND(ROUND(J69, 2)*I69, 2)</f>
        <v>3406.74</v>
      </c>
      <c r="P69" s="30">
        <v>40.94</v>
      </c>
      <c r="S69" s="29">
        <f>ROUND(ROUND(P69, 2)*I69, 2)</f>
        <v>3406.74</v>
      </c>
      <c r="V69" s="9">
        <f>ROUND(ROUND(P69, 2)/1.2, 2)</f>
        <v>34.119999999999997</v>
      </c>
      <c r="Y69" s="9">
        <f t="shared" si="15"/>
        <v>2838.95</v>
      </c>
      <c r="AD69" s="5" t="s">
        <v>286</v>
      </c>
      <c r="AE69" s="5" t="s">
        <v>287</v>
      </c>
      <c r="AF69" s="5" t="s">
        <v>266</v>
      </c>
      <c r="AK69" s="29">
        <f t="shared" si="13"/>
        <v>0</v>
      </c>
      <c r="AL69" s="29"/>
      <c r="AM69" s="29"/>
      <c r="AN69" s="31">
        <f t="shared" si="14"/>
        <v>0</v>
      </c>
      <c r="AO69" s="29"/>
      <c r="AP69" s="29"/>
    </row>
    <row r="70" spans="1:42" ht="36" x14ac:dyDescent="0.3">
      <c r="A70" s="12" t="s">
        <v>288</v>
      </c>
      <c r="B70" s="12"/>
      <c r="C70" s="25" t="s">
        <v>108</v>
      </c>
      <c r="D70" s="19"/>
      <c r="E70" s="19"/>
      <c r="F70" s="26" t="s">
        <v>63</v>
      </c>
      <c r="G70" s="27">
        <v>0.15</v>
      </c>
      <c r="H70" s="27"/>
      <c r="I70" s="27">
        <v>49.927999999999997</v>
      </c>
      <c r="J70" s="28">
        <v>69.540000000000006</v>
      </c>
      <c r="M70" s="29">
        <f>ROUND(ROUND(J70, 2)*I70, 2)</f>
        <v>3471.99</v>
      </c>
      <c r="P70" s="30">
        <v>69.540000000000006</v>
      </c>
      <c r="S70" s="29">
        <f>ROUND(ROUND(P70, 2)*I70, 2)</f>
        <v>3471.99</v>
      </c>
      <c r="V70" s="9">
        <f>ROUND(ROUND(P70, 2)/1.2, 2)</f>
        <v>57.95</v>
      </c>
      <c r="Y70" s="9">
        <f t="shared" si="15"/>
        <v>2893.33</v>
      </c>
      <c r="AD70" s="5" t="s">
        <v>289</v>
      </c>
      <c r="AE70" s="5" t="s">
        <v>290</v>
      </c>
      <c r="AF70" s="5" t="s">
        <v>111</v>
      </c>
      <c r="AK70" s="29">
        <f t="shared" si="13"/>
        <v>0</v>
      </c>
      <c r="AL70" s="29"/>
      <c r="AM70" s="29"/>
      <c r="AN70" s="31">
        <f t="shared" si="14"/>
        <v>0</v>
      </c>
      <c r="AO70" s="29"/>
      <c r="AP70" s="29"/>
    </row>
    <row r="71" spans="1:42" ht="54" x14ac:dyDescent="0.3">
      <c r="A71" s="12" t="s">
        <v>291</v>
      </c>
      <c r="B71" s="12" t="s">
        <v>292</v>
      </c>
      <c r="C71" s="18" t="s">
        <v>293</v>
      </c>
      <c r="D71" s="19"/>
      <c r="E71" s="19"/>
      <c r="F71" s="19" t="s">
        <v>57</v>
      </c>
      <c r="G71" s="20">
        <v>1</v>
      </c>
      <c r="H71" s="20"/>
      <c r="I71" s="20">
        <v>454.55</v>
      </c>
      <c r="J71" s="21">
        <f>IFERROR(ROUND(SUM(M72,M73,M74,M75)/I71, 2),0)</f>
        <v>312.02</v>
      </c>
      <c r="K71" s="22">
        <v>826</v>
      </c>
      <c r="L71" s="21">
        <f>J71+ROUND(K71, 2)</f>
        <v>1138.02</v>
      </c>
      <c r="M71" s="21">
        <f>ROUND(J71*I71, 2)</f>
        <v>141828.69</v>
      </c>
      <c r="N71" s="21">
        <f>ROUND(I71*ROUND(K71, 2), 2)</f>
        <v>375458.3</v>
      </c>
      <c r="O71" s="21">
        <f>M71+N71</f>
        <v>517286.99</v>
      </c>
      <c r="P71" s="21">
        <f>IFERROR(ROUND(SUM(S72,S73,S74,S75)/I71, 2),0)</f>
        <v>312.02</v>
      </c>
      <c r="Q71" s="23">
        <v>1073.8</v>
      </c>
      <c r="R71" s="21">
        <f>P71+ROUND(Q71, 2)</f>
        <v>1385.82</v>
      </c>
      <c r="S71" s="21">
        <f>ROUND(P71*I71, 2)</f>
        <v>141828.69</v>
      </c>
      <c r="T71" s="21">
        <f>ROUND(I71*ROUND(Q71, 2), 2)</f>
        <v>488095.79</v>
      </c>
      <c r="U71" s="21">
        <f>S71+T71</f>
        <v>629924.48</v>
      </c>
      <c r="V71" s="9">
        <f>ROUND(P71 / 1.2, 2)</f>
        <v>260.02</v>
      </c>
      <c r="W71" s="9">
        <f>ROUND(Q71 / 1.2, 2)</f>
        <v>894.83</v>
      </c>
      <c r="X71" s="9">
        <f>ROUND(R71 / 1.2, 2)</f>
        <v>1154.8499999999999</v>
      </c>
      <c r="Y71" s="9">
        <f t="shared" si="15"/>
        <v>118190.58</v>
      </c>
      <c r="Z71" s="9">
        <f>ROUND(T71 / 1.2, 2)</f>
        <v>406746.49</v>
      </c>
      <c r="AA71" s="9">
        <f>Y71+Z71</f>
        <v>524937.06999999995</v>
      </c>
      <c r="AD71" s="5">
        <v>410200613</v>
      </c>
      <c r="AE71" s="5">
        <v>36662405</v>
      </c>
      <c r="AG71" s="5" t="s">
        <v>294</v>
      </c>
      <c r="AH71" s="5" t="s">
        <v>295</v>
      </c>
      <c r="AI71" s="5" t="s">
        <v>60</v>
      </c>
      <c r="AK71" s="21">
        <f t="shared" si="13"/>
        <v>0</v>
      </c>
      <c r="AL71" s="21">
        <f>T71-N71</f>
        <v>112637.49</v>
      </c>
      <c r="AM71" s="21">
        <f>U71-O71</f>
        <v>112637.49</v>
      </c>
      <c r="AN71" s="24">
        <f t="shared" si="14"/>
        <v>0</v>
      </c>
      <c r="AO71" s="24">
        <f>IFERROR(AL71/N71,0)</f>
        <v>0.3</v>
      </c>
      <c r="AP71" s="24">
        <f>IFERROR(AM71/O71,0)</f>
        <v>0.21774661295850001</v>
      </c>
    </row>
    <row r="72" spans="1:42" ht="18" x14ac:dyDescent="0.3">
      <c r="A72" s="12" t="s">
        <v>296</v>
      </c>
      <c r="B72" s="12"/>
      <c r="C72" s="25" t="s">
        <v>297</v>
      </c>
      <c r="D72" s="19"/>
      <c r="E72" s="19"/>
      <c r="F72" s="26" t="s">
        <v>101</v>
      </c>
      <c r="G72" s="27">
        <v>1.05</v>
      </c>
      <c r="H72" s="33"/>
      <c r="I72" s="33">
        <v>477.27800000000002</v>
      </c>
      <c r="J72" s="28">
        <v>16.02</v>
      </c>
      <c r="M72" s="29">
        <f>ROUND(ROUND(J72, 2)*I72, 2)</f>
        <v>7645.99</v>
      </c>
      <c r="P72" s="30">
        <v>16.02</v>
      </c>
      <c r="S72" s="29">
        <f>ROUND(ROUND(P72, 2)*I72, 2)</f>
        <v>7645.99</v>
      </c>
      <c r="V72" s="9">
        <f>ROUND(ROUND(P72, 2)/1.2, 2)</f>
        <v>13.35</v>
      </c>
      <c r="Y72" s="9">
        <f t="shared" si="15"/>
        <v>6371.66</v>
      </c>
      <c r="AD72" s="5" t="s">
        <v>298</v>
      </c>
      <c r="AE72" s="5" t="s">
        <v>299</v>
      </c>
      <c r="AF72" s="5" t="s">
        <v>300</v>
      </c>
      <c r="AK72" s="29">
        <f t="shared" si="13"/>
        <v>0</v>
      </c>
      <c r="AL72" s="29"/>
      <c r="AM72" s="29"/>
      <c r="AN72" s="31">
        <f t="shared" si="14"/>
        <v>0</v>
      </c>
      <c r="AO72" s="29"/>
      <c r="AP72" s="29"/>
    </row>
    <row r="73" spans="1:42" ht="18" x14ac:dyDescent="0.3">
      <c r="A73" s="12" t="s">
        <v>301</v>
      </c>
      <c r="B73" s="12"/>
      <c r="C73" s="25" t="s">
        <v>302</v>
      </c>
      <c r="D73" s="19"/>
      <c r="E73" s="19"/>
      <c r="F73" s="26" t="s">
        <v>63</v>
      </c>
      <c r="G73" s="27">
        <v>0.25</v>
      </c>
      <c r="H73" s="27"/>
      <c r="I73" s="27">
        <v>113.63800000000001</v>
      </c>
      <c r="J73" s="28">
        <v>101.66</v>
      </c>
      <c r="M73" s="29">
        <f>ROUND(ROUND(J73, 2)*I73, 2)</f>
        <v>11552.44</v>
      </c>
      <c r="P73" s="30">
        <v>101.66</v>
      </c>
      <c r="S73" s="29">
        <f>ROUND(ROUND(P73, 2)*I73, 2)</f>
        <v>11552.44</v>
      </c>
      <c r="V73" s="9">
        <f>ROUND(ROUND(P73, 2)/1.2, 2)</f>
        <v>84.72</v>
      </c>
      <c r="Y73" s="9">
        <f t="shared" si="15"/>
        <v>9627.0300000000007</v>
      </c>
      <c r="AD73" s="5" t="s">
        <v>303</v>
      </c>
      <c r="AE73" s="5" t="s">
        <v>304</v>
      </c>
      <c r="AF73" s="5" t="s">
        <v>305</v>
      </c>
      <c r="AK73" s="29">
        <f t="shared" si="13"/>
        <v>0</v>
      </c>
      <c r="AL73" s="29"/>
      <c r="AM73" s="29"/>
      <c r="AN73" s="31">
        <f t="shared" si="14"/>
        <v>0</v>
      </c>
      <c r="AO73" s="29"/>
      <c r="AP73" s="29"/>
    </row>
    <row r="74" spans="1:42" ht="18" x14ac:dyDescent="0.3">
      <c r="A74" s="12" t="s">
        <v>306</v>
      </c>
      <c r="B74" s="12"/>
      <c r="C74" s="25" t="s">
        <v>307</v>
      </c>
      <c r="D74" s="19"/>
      <c r="E74" s="19"/>
      <c r="F74" s="26" t="s">
        <v>57</v>
      </c>
      <c r="G74" s="27">
        <v>1.1000000000000001</v>
      </c>
      <c r="H74" s="27"/>
      <c r="I74" s="27">
        <v>500.005</v>
      </c>
      <c r="J74" s="28">
        <v>101.26</v>
      </c>
      <c r="M74" s="29">
        <f>ROUND(ROUND(J74, 2)*I74, 2)</f>
        <v>50630.51</v>
      </c>
      <c r="P74" s="30">
        <v>101.26</v>
      </c>
      <c r="S74" s="29">
        <f>ROUND(ROUND(P74, 2)*I74, 2)</f>
        <v>50630.51</v>
      </c>
      <c r="V74" s="9">
        <f>ROUND(ROUND(P74, 2)/1.2, 2)</f>
        <v>84.38</v>
      </c>
      <c r="Y74" s="9">
        <f t="shared" si="15"/>
        <v>42192.09</v>
      </c>
      <c r="AD74" s="5" t="s">
        <v>308</v>
      </c>
      <c r="AE74" s="5" t="s">
        <v>309</v>
      </c>
      <c r="AF74" s="5" t="s">
        <v>310</v>
      </c>
      <c r="AK74" s="29">
        <f t="shared" si="13"/>
        <v>0</v>
      </c>
      <c r="AL74" s="29"/>
      <c r="AM74" s="29"/>
      <c r="AN74" s="31">
        <f t="shared" si="14"/>
        <v>0</v>
      </c>
      <c r="AO74" s="29"/>
      <c r="AP74" s="29"/>
    </row>
    <row r="75" spans="1:42" ht="36" x14ac:dyDescent="0.3">
      <c r="A75" s="12" t="s">
        <v>311</v>
      </c>
      <c r="B75" s="12"/>
      <c r="C75" s="32" t="s">
        <v>312</v>
      </c>
      <c r="D75" s="19"/>
      <c r="E75" s="19"/>
      <c r="F75" s="26" t="s">
        <v>63</v>
      </c>
      <c r="G75" s="27">
        <v>1</v>
      </c>
      <c r="H75" s="33"/>
      <c r="I75" s="33">
        <v>9091</v>
      </c>
      <c r="J75" s="28">
        <v>7.92</v>
      </c>
      <c r="M75" s="29">
        <f>ROUND(ROUND(J75, 2)*I75, 2)</f>
        <v>72000.72</v>
      </c>
      <c r="P75" s="30">
        <v>7.92</v>
      </c>
      <c r="S75" s="29">
        <f>ROUND(ROUND(P75, 2)*I75, 2)</f>
        <v>72000.72</v>
      </c>
      <c r="V75" s="9">
        <f>ROUND(ROUND(P75, 2)/1.2, 2)</f>
        <v>6.6</v>
      </c>
      <c r="Y75" s="9">
        <f t="shared" si="15"/>
        <v>60000.6</v>
      </c>
      <c r="AD75" s="5" t="s">
        <v>313</v>
      </c>
      <c r="AE75" s="5" t="s">
        <v>314</v>
      </c>
      <c r="AF75" s="5" t="s">
        <v>315</v>
      </c>
      <c r="AK75" s="29">
        <f t="shared" si="13"/>
        <v>0</v>
      </c>
      <c r="AL75" s="29"/>
      <c r="AM75" s="29"/>
      <c r="AN75" s="31">
        <f t="shared" si="14"/>
        <v>0</v>
      </c>
      <c r="AO75" s="29"/>
      <c r="AP75" s="29"/>
    </row>
    <row r="76" spans="1:42" ht="72" x14ac:dyDescent="0.3">
      <c r="A76" s="12" t="s">
        <v>316</v>
      </c>
      <c r="B76" s="12" t="s">
        <v>317</v>
      </c>
      <c r="C76" s="18" t="s">
        <v>318</v>
      </c>
      <c r="D76" s="19"/>
      <c r="E76" s="19" t="s">
        <v>319</v>
      </c>
      <c r="F76" s="19" t="s">
        <v>57</v>
      </c>
      <c r="G76" s="20">
        <v>1</v>
      </c>
      <c r="H76" s="20"/>
      <c r="I76" s="20">
        <v>678.86</v>
      </c>
      <c r="J76" s="21">
        <f>IFERROR(ROUND(SUM(M77,M78)/I76, 2),0)</f>
        <v>299.87</v>
      </c>
      <c r="K76" s="22">
        <v>428</v>
      </c>
      <c r="L76" s="21">
        <f>J76+ROUND(K76, 2)</f>
        <v>727.87</v>
      </c>
      <c r="M76" s="21">
        <f>ROUND(J76*I76, 2)</f>
        <v>203569.75</v>
      </c>
      <c r="N76" s="21">
        <f>ROUND(I76*ROUND(K76, 2), 2)</f>
        <v>290552.08</v>
      </c>
      <c r="O76" s="21">
        <f>M76+N76</f>
        <v>494121.83</v>
      </c>
      <c r="P76" s="21">
        <f>IFERROR(ROUND(SUM(S77,S78)/I76, 2),0)</f>
        <v>299.87</v>
      </c>
      <c r="Q76" s="23">
        <v>556.4</v>
      </c>
      <c r="R76" s="21">
        <f>P76+ROUND(Q76, 2)</f>
        <v>856.27</v>
      </c>
      <c r="S76" s="21">
        <f>ROUND(P76*I76, 2)</f>
        <v>203569.75</v>
      </c>
      <c r="T76" s="21">
        <f>ROUND(I76*ROUND(Q76, 2), 2)</f>
        <v>377717.7</v>
      </c>
      <c r="U76" s="21">
        <f>S76+T76</f>
        <v>581287.44999999995</v>
      </c>
      <c r="V76" s="9">
        <f>ROUND(P76 / 1.2, 2)</f>
        <v>249.89</v>
      </c>
      <c r="W76" s="9">
        <f>ROUND(Q76 / 1.2, 2)</f>
        <v>463.67</v>
      </c>
      <c r="X76" s="9">
        <f>ROUND(R76 / 1.2, 2)</f>
        <v>713.56</v>
      </c>
      <c r="Y76" s="9">
        <f t="shared" si="15"/>
        <v>169641.46</v>
      </c>
      <c r="Z76" s="9">
        <f>ROUND(T76 / 1.2, 2)</f>
        <v>314764.75</v>
      </c>
      <c r="AA76" s="9">
        <f>Y76+Z76</f>
        <v>484406.21</v>
      </c>
      <c r="AD76" s="5">
        <v>410200615</v>
      </c>
      <c r="AE76" s="5">
        <v>36663239</v>
      </c>
      <c r="AG76" s="5" t="s">
        <v>320</v>
      </c>
      <c r="AH76" s="5" t="s">
        <v>321</v>
      </c>
      <c r="AI76" s="5" t="s">
        <v>60</v>
      </c>
      <c r="AK76" s="21">
        <f t="shared" si="13"/>
        <v>0</v>
      </c>
      <c r="AL76" s="21">
        <f>T76-N76</f>
        <v>87165.62</v>
      </c>
      <c r="AM76" s="21">
        <f>U76-O76</f>
        <v>87165.62</v>
      </c>
      <c r="AN76" s="24">
        <f t="shared" si="14"/>
        <v>0</v>
      </c>
      <c r="AO76" s="24">
        <f>IFERROR(AL76/N76,0)</f>
        <v>0.29999998623309998</v>
      </c>
      <c r="AP76" s="24">
        <f>IFERROR(AM76/O76,0)</f>
        <v>0.17640511855143001</v>
      </c>
    </row>
    <row r="77" spans="1:42" ht="36" x14ac:dyDescent="0.3">
      <c r="A77" s="12" t="s">
        <v>322</v>
      </c>
      <c r="B77" s="12"/>
      <c r="C77" s="25" t="s">
        <v>323</v>
      </c>
      <c r="D77" s="19"/>
      <c r="E77" s="19"/>
      <c r="F77" s="26" t="s">
        <v>63</v>
      </c>
      <c r="G77" s="27">
        <v>0.3</v>
      </c>
      <c r="H77" s="27"/>
      <c r="I77" s="27">
        <v>203.65799999999999</v>
      </c>
      <c r="J77" s="28">
        <v>954.43</v>
      </c>
      <c r="M77" s="29">
        <f>ROUND(ROUND(J77, 2)*I77, 2)</f>
        <v>194377.3</v>
      </c>
      <c r="P77" s="30">
        <v>954.43</v>
      </c>
      <c r="S77" s="29">
        <f>ROUND(ROUND(P77, 2)*I77, 2)</f>
        <v>194377.3</v>
      </c>
      <c r="V77" s="9">
        <f>ROUND(ROUND(P77, 2)/1.2, 2)</f>
        <v>795.36</v>
      </c>
      <c r="Y77" s="9">
        <f t="shared" si="15"/>
        <v>161981.07999999999</v>
      </c>
      <c r="AD77" s="5" t="s">
        <v>324</v>
      </c>
      <c r="AE77" s="5" t="s">
        <v>325</v>
      </c>
      <c r="AF77" s="5" t="s">
        <v>326</v>
      </c>
      <c r="AK77" s="29">
        <f t="shared" si="13"/>
        <v>0</v>
      </c>
      <c r="AL77" s="29"/>
      <c r="AM77" s="29"/>
      <c r="AN77" s="31">
        <f t="shared" si="14"/>
        <v>0</v>
      </c>
      <c r="AO77" s="29"/>
      <c r="AP77" s="29"/>
    </row>
    <row r="78" spans="1:42" ht="36" x14ac:dyDescent="0.3">
      <c r="A78" s="12" t="s">
        <v>327</v>
      </c>
      <c r="B78" s="12"/>
      <c r="C78" s="25" t="s">
        <v>328</v>
      </c>
      <c r="D78" s="19"/>
      <c r="E78" s="19"/>
      <c r="F78" s="26" t="s">
        <v>63</v>
      </c>
      <c r="G78" s="27">
        <v>0.15</v>
      </c>
      <c r="H78" s="27"/>
      <c r="I78" s="27">
        <v>101.82899999999999</v>
      </c>
      <c r="J78" s="28">
        <v>90.28</v>
      </c>
      <c r="M78" s="29">
        <f>ROUND(ROUND(J78, 2)*I78, 2)</f>
        <v>9193.1200000000008</v>
      </c>
      <c r="P78" s="30">
        <v>90.28</v>
      </c>
      <c r="S78" s="29">
        <f>ROUND(ROUND(P78, 2)*I78, 2)</f>
        <v>9193.1200000000008</v>
      </c>
      <c r="V78" s="9">
        <f>ROUND(ROUND(P78, 2)/1.2, 2)</f>
        <v>75.23</v>
      </c>
      <c r="Y78" s="9">
        <f t="shared" si="15"/>
        <v>7660.93</v>
      </c>
      <c r="AD78" s="5" t="s">
        <v>329</v>
      </c>
      <c r="AE78" s="5" t="s">
        <v>330</v>
      </c>
      <c r="AF78" s="5" t="s">
        <v>331</v>
      </c>
      <c r="AK78" s="29">
        <f t="shared" si="13"/>
        <v>0</v>
      </c>
      <c r="AL78" s="29"/>
      <c r="AM78" s="29"/>
      <c r="AN78" s="31">
        <f t="shared" si="14"/>
        <v>0</v>
      </c>
      <c r="AO78" s="29"/>
      <c r="AP78" s="29"/>
    </row>
    <row r="79" spans="1:42" ht="54" x14ac:dyDescent="0.3">
      <c r="A79" s="12" t="s">
        <v>332</v>
      </c>
      <c r="B79" s="12" t="s">
        <v>317</v>
      </c>
      <c r="C79" s="18" t="s">
        <v>318</v>
      </c>
      <c r="D79" s="19"/>
      <c r="E79" s="19" t="s">
        <v>333</v>
      </c>
      <c r="F79" s="19" t="s">
        <v>57</v>
      </c>
      <c r="G79" s="20">
        <v>1</v>
      </c>
      <c r="H79" s="20"/>
      <c r="I79" s="20">
        <v>586.29</v>
      </c>
      <c r="J79" s="21">
        <f>IFERROR(ROUND(SUM(M80,M81)/I79, 2),0)</f>
        <v>13.54</v>
      </c>
      <c r="K79" s="22">
        <v>428</v>
      </c>
      <c r="L79" s="21">
        <f>J79+ROUND(K79, 2)</f>
        <v>441.54</v>
      </c>
      <c r="M79" s="21">
        <f>ROUND(J79*I79, 2)</f>
        <v>7938.37</v>
      </c>
      <c r="N79" s="21">
        <f>ROUND(I79*ROUND(K79, 2), 2)</f>
        <v>250932.12</v>
      </c>
      <c r="O79" s="21">
        <f>M79+N79</f>
        <v>258870.49</v>
      </c>
      <c r="P79" s="21">
        <f>IFERROR(ROUND(SUM(S80,S81)/I79, 2),0)</f>
        <v>124.15</v>
      </c>
      <c r="Q79" s="23">
        <v>556.4</v>
      </c>
      <c r="R79" s="21">
        <f>P79+ROUND(Q79, 2)</f>
        <v>680.55</v>
      </c>
      <c r="S79" s="21">
        <f>ROUND(P79*I79, 2)</f>
        <v>72787.899999999994</v>
      </c>
      <c r="T79" s="21">
        <f>ROUND(I79*ROUND(Q79, 2), 2)</f>
        <v>326211.76</v>
      </c>
      <c r="U79" s="21">
        <f>S79+T79</f>
        <v>398999.66</v>
      </c>
      <c r="V79" s="9">
        <f>ROUND(P79 / 1.2, 2)</f>
        <v>103.46</v>
      </c>
      <c r="W79" s="9">
        <f>ROUND(Q79 / 1.2, 2)</f>
        <v>463.67</v>
      </c>
      <c r="X79" s="9">
        <f>ROUND(R79 / 1.2, 2)</f>
        <v>567.13</v>
      </c>
      <c r="Y79" s="9">
        <f t="shared" si="15"/>
        <v>60656.58</v>
      </c>
      <c r="Z79" s="9">
        <f>ROUND(T79 / 1.2, 2)</f>
        <v>271843.13</v>
      </c>
      <c r="AA79" s="9">
        <f>Y79+Z79</f>
        <v>332499.71000000002</v>
      </c>
      <c r="AD79" s="5">
        <v>410200636</v>
      </c>
      <c r="AE79" s="5">
        <v>36663240</v>
      </c>
      <c r="AG79" s="5" t="s">
        <v>320</v>
      </c>
      <c r="AH79" s="5" t="s">
        <v>321</v>
      </c>
      <c r="AI79" s="5" t="s">
        <v>60</v>
      </c>
      <c r="AK79" s="21">
        <f t="shared" ref="AK79:AK108" si="16">S79-M79</f>
        <v>64849.53</v>
      </c>
      <c r="AL79" s="21">
        <f>T79-N79</f>
        <v>75279.64</v>
      </c>
      <c r="AM79" s="21">
        <f>U79-O79</f>
        <v>140129.17000000001</v>
      </c>
      <c r="AN79" s="24">
        <f t="shared" ref="AN79:AN108" si="17">IFERROR(AK79/M79,0)</f>
        <v>8.1691241400943007</v>
      </c>
      <c r="AO79" s="24">
        <f>IFERROR(AL79/N79,0)</f>
        <v>0.30000001594057002</v>
      </c>
      <c r="AP79" s="24">
        <f>IFERROR(AM79/O79,0)</f>
        <v>0.54130994228039997</v>
      </c>
    </row>
    <row r="80" spans="1:42" ht="54" x14ac:dyDescent="0.3">
      <c r="A80" s="12" t="s">
        <v>334</v>
      </c>
      <c r="B80" s="12"/>
      <c r="C80" s="25" t="s">
        <v>335</v>
      </c>
      <c r="D80" s="19"/>
      <c r="E80" s="19"/>
      <c r="F80" s="26" t="s">
        <v>63</v>
      </c>
      <c r="G80" s="27">
        <v>0.3</v>
      </c>
      <c r="H80" s="27"/>
      <c r="I80" s="27">
        <v>175.887</v>
      </c>
      <c r="J80" s="28">
        <v>0</v>
      </c>
      <c r="M80" s="29">
        <f>ROUND(ROUND(J80, 2)*I80, 2)</f>
        <v>0</v>
      </c>
      <c r="P80" s="30">
        <v>368.7</v>
      </c>
      <c r="S80" s="29">
        <f>ROUND(ROUND(P80, 2)*I80, 2)</f>
        <v>64849.54</v>
      </c>
      <c r="V80" s="9">
        <f>ROUND(ROUND(P80, 2)/1.2, 2)</f>
        <v>307.25</v>
      </c>
      <c r="Y80" s="9">
        <f t="shared" si="15"/>
        <v>54041.279999999999</v>
      </c>
      <c r="AD80" s="5" t="s">
        <v>336</v>
      </c>
      <c r="AE80" s="5" t="s">
        <v>337</v>
      </c>
      <c r="AF80" s="5" t="s">
        <v>338</v>
      </c>
      <c r="AK80" s="29">
        <f t="shared" si="16"/>
        <v>64849.54</v>
      </c>
      <c r="AL80" s="29"/>
      <c r="AM80" s="29"/>
      <c r="AN80" s="31">
        <f t="shared" si="17"/>
        <v>0</v>
      </c>
      <c r="AO80" s="29"/>
      <c r="AP80" s="29"/>
    </row>
    <row r="81" spans="1:42" ht="36" x14ac:dyDescent="0.3">
      <c r="A81" s="12" t="s">
        <v>339</v>
      </c>
      <c r="B81" s="12"/>
      <c r="C81" s="25" t="s">
        <v>328</v>
      </c>
      <c r="D81" s="19"/>
      <c r="E81" s="19"/>
      <c r="F81" s="26" t="s">
        <v>63</v>
      </c>
      <c r="G81" s="27">
        <v>0.15</v>
      </c>
      <c r="H81" s="27"/>
      <c r="I81" s="27">
        <v>87.944000000000003</v>
      </c>
      <c r="J81" s="28">
        <v>90.28</v>
      </c>
      <c r="M81" s="29">
        <f>ROUND(ROUND(J81, 2)*I81, 2)</f>
        <v>7939.58</v>
      </c>
      <c r="P81" s="30">
        <v>90.28</v>
      </c>
      <c r="S81" s="29">
        <f>ROUND(ROUND(P81, 2)*I81, 2)</f>
        <v>7939.58</v>
      </c>
      <c r="V81" s="9">
        <f>ROUND(ROUND(P81, 2)/1.2, 2)</f>
        <v>75.23</v>
      </c>
      <c r="Y81" s="9">
        <f t="shared" si="15"/>
        <v>6616.32</v>
      </c>
      <c r="AD81" s="5" t="s">
        <v>340</v>
      </c>
      <c r="AE81" s="5" t="s">
        <v>341</v>
      </c>
      <c r="AF81" s="5" t="s">
        <v>331</v>
      </c>
      <c r="AK81" s="29">
        <f t="shared" si="16"/>
        <v>0</v>
      </c>
      <c r="AL81" s="29"/>
      <c r="AM81" s="29"/>
      <c r="AN81" s="31">
        <f t="shared" si="17"/>
        <v>0</v>
      </c>
      <c r="AO81" s="29"/>
      <c r="AP81" s="29"/>
    </row>
    <row r="82" spans="1:42" ht="54" x14ac:dyDescent="0.3">
      <c r="A82" s="12" t="s">
        <v>342</v>
      </c>
      <c r="B82" s="12" t="s">
        <v>343</v>
      </c>
      <c r="C82" s="18" t="s">
        <v>344</v>
      </c>
      <c r="D82" s="19"/>
      <c r="E82" s="19" t="s">
        <v>345</v>
      </c>
      <c r="F82" s="19" t="s">
        <v>57</v>
      </c>
      <c r="G82" s="20">
        <v>1</v>
      </c>
      <c r="H82" s="20"/>
      <c r="I82" s="20">
        <v>402.27</v>
      </c>
      <c r="J82" s="21">
        <f>IFERROR(ROUND(SUM(M83,M84)/I82, 2),0)</f>
        <v>299.87</v>
      </c>
      <c r="K82" s="22">
        <v>464</v>
      </c>
      <c r="L82" s="21">
        <f>J82+ROUND(K82, 2)</f>
        <v>763.87</v>
      </c>
      <c r="M82" s="21">
        <f>ROUND(J82*I82, 2)</f>
        <v>120628.7</v>
      </c>
      <c r="N82" s="21">
        <f>ROUND(I82*ROUND(K82, 2), 2)</f>
        <v>186653.28</v>
      </c>
      <c r="O82" s="21">
        <f>M82+N82</f>
        <v>307281.98</v>
      </c>
      <c r="P82" s="21">
        <f>IFERROR(ROUND(SUM(S83,S84)/I82, 2),0)</f>
        <v>299.87</v>
      </c>
      <c r="Q82" s="23">
        <v>603.20000000000005</v>
      </c>
      <c r="R82" s="21">
        <f>P82+ROUND(Q82, 2)</f>
        <v>903.07</v>
      </c>
      <c r="S82" s="21">
        <f>ROUND(P82*I82, 2)</f>
        <v>120628.7</v>
      </c>
      <c r="T82" s="21">
        <f>ROUND(I82*ROUND(Q82, 2), 2)</f>
        <v>242649.26</v>
      </c>
      <c r="U82" s="21">
        <f>S82+T82</f>
        <v>363277.96</v>
      </c>
      <c r="V82" s="9">
        <f>ROUND(P82 / 1.2, 2)</f>
        <v>249.89</v>
      </c>
      <c r="W82" s="9">
        <f>ROUND(Q82 / 1.2, 2)</f>
        <v>502.67</v>
      </c>
      <c r="X82" s="9">
        <f>ROUND(R82 / 1.2, 2)</f>
        <v>752.56</v>
      </c>
      <c r="Y82" s="9">
        <f t="shared" si="15"/>
        <v>100523.92</v>
      </c>
      <c r="Z82" s="9">
        <f>ROUND(T82 / 1.2, 2)</f>
        <v>202207.72</v>
      </c>
      <c r="AA82" s="9">
        <f>Y82+Z82</f>
        <v>302731.64</v>
      </c>
      <c r="AD82" s="5">
        <v>410200616</v>
      </c>
      <c r="AE82" s="5">
        <v>36665012</v>
      </c>
      <c r="AG82" s="5" t="s">
        <v>346</v>
      </c>
      <c r="AH82" s="5" t="s">
        <v>347</v>
      </c>
      <c r="AI82" s="5" t="s">
        <v>60</v>
      </c>
      <c r="AK82" s="21">
        <f t="shared" si="16"/>
        <v>0</v>
      </c>
      <c r="AL82" s="21">
        <f>T82-N82</f>
        <v>55995.98</v>
      </c>
      <c r="AM82" s="21">
        <f>U82-O82</f>
        <v>55995.98</v>
      </c>
      <c r="AN82" s="24">
        <f t="shared" si="17"/>
        <v>0</v>
      </c>
      <c r="AO82" s="24">
        <f>IFERROR(AL82/N82,0)</f>
        <v>0.29999997856989002</v>
      </c>
      <c r="AP82" s="24">
        <f>IFERROR(AM82/O82,0)</f>
        <v>0.18222995048391999</v>
      </c>
    </row>
    <row r="83" spans="1:42" ht="36" x14ac:dyDescent="0.3">
      <c r="A83" s="12" t="s">
        <v>348</v>
      </c>
      <c r="B83" s="12"/>
      <c r="C83" s="25" t="s">
        <v>328</v>
      </c>
      <c r="D83" s="19"/>
      <c r="E83" s="19"/>
      <c r="F83" s="26" t="s">
        <v>63</v>
      </c>
      <c r="G83" s="27">
        <v>0.15</v>
      </c>
      <c r="H83" s="27"/>
      <c r="I83" s="27">
        <v>60.341000000000001</v>
      </c>
      <c r="J83" s="28">
        <v>90.28</v>
      </c>
      <c r="M83" s="29">
        <f>ROUND(ROUND(J83, 2)*I83, 2)</f>
        <v>5447.59</v>
      </c>
      <c r="P83" s="30">
        <v>90.28</v>
      </c>
      <c r="S83" s="29">
        <f>ROUND(ROUND(P83, 2)*I83, 2)</f>
        <v>5447.59</v>
      </c>
      <c r="V83" s="9">
        <f>ROUND(ROUND(P83, 2)/1.2, 2)</f>
        <v>75.23</v>
      </c>
      <c r="Y83" s="9">
        <f t="shared" si="15"/>
        <v>4539.66</v>
      </c>
      <c r="AD83" s="5" t="s">
        <v>349</v>
      </c>
      <c r="AE83" s="5" t="s">
        <v>350</v>
      </c>
      <c r="AF83" s="5" t="s">
        <v>331</v>
      </c>
      <c r="AK83" s="29">
        <f t="shared" si="16"/>
        <v>0</v>
      </c>
      <c r="AL83" s="29"/>
      <c r="AM83" s="29"/>
      <c r="AN83" s="31">
        <f t="shared" si="17"/>
        <v>0</v>
      </c>
      <c r="AO83" s="29"/>
      <c r="AP83" s="29"/>
    </row>
    <row r="84" spans="1:42" ht="36" x14ac:dyDescent="0.3">
      <c r="A84" s="12" t="s">
        <v>351</v>
      </c>
      <c r="B84" s="12"/>
      <c r="C84" s="25" t="s">
        <v>323</v>
      </c>
      <c r="D84" s="19"/>
      <c r="E84" s="19"/>
      <c r="F84" s="26" t="s">
        <v>63</v>
      </c>
      <c r="G84" s="27">
        <v>0.3</v>
      </c>
      <c r="H84" s="27"/>
      <c r="I84" s="27">
        <v>120.681</v>
      </c>
      <c r="J84" s="28">
        <v>954.43</v>
      </c>
      <c r="M84" s="29">
        <f>ROUND(ROUND(J84, 2)*I84, 2)</f>
        <v>115181.57</v>
      </c>
      <c r="P84" s="30">
        <v>954.43</v>
      </c>
      <c r="S84" s="29">
        <f>ROUND(ROUND(P84, 2)*I84, 2)</f>
        <v>115181.57</v>
      </c>
      <c r="V84" s="9">
        <f>ROUND(ROUND(P84, 2)/1.2, 2)</f>
        <v>795.36</v>
      </c>
      <c r="Y84" s="9">
        <f t="shared" si="15"/>
        <v>95984.639999999999</v>
      </c>
      <c r="AD84" s="5" t="s">
        <v>352</v>
      </c>
      <c r="AE84" s="5" t="s">
        <v>353</v>
      </c>
      <c r="AF84" s="5" t="s">
        <v>326</v>
      </c>
      <c r="AK84" s="29">
        <f t="shared" si="16"/>
        <v>0</v>
      </c>
      <c r="AL84" s="29"/>
      <c r="AM84" s="29"/>
      <c r="AN84" s="31">
        <f t="shared" si="17"/>
        <v>0</v>
      </c>
      <c r="AO84" s="29"/>
      <c r="AP84" s="29"/>
    </row>
    <row r="85" spans="1:42" ht="54" x14ac:dyDescent="0.3">
      <c r="A85" s="12" t="s">
        <v>354</v>
      </c>
      <c r="B85" s="12" t="s">
        <v>343</v>
      </c>
      <c r="C85" s="18" t="s">
        <v>344</v>
      </c>
      <c r="D85" s="19"/>
      <c r="E85" s="19" t="s">
        <v>355</v>
      </c>
      <c r="F85" s="19" t="s">
        <v>57</v>
      </c>
      <c r="G85" s="20">
        <v>1</v>
      </c>
      <c r="H85" s="20"/>
      <c r="I85" s="20">
        <v>437.71</v>
      </c>
      <c r="J85" s="21">
        <f>IFERROR(ROUND(SUM(M86,M87)/I85, 2),0)</f>
        <v>13.54</v>
      </c>
      <c r="K85" s="22">
        <v>464</v>
      </c>
      <c r="L85" s="21">
        <f>J85+ROUND(K85, 2)</f>
        <v>477.54</v>
      </c>
      <c r="M85" s="21">
        <f>ROUND(J85*I85, 2)</f>
        <v>5926.59</v>
      </c>
      <c r="N85" s="21">
        <f>ROUND(I85*ROUND(K85, 2), 2)</f>
        <v>203097.44</v>
      </c>
      <c r="O85" s="21">
        <f>M85+N85</f>
        <v>209024.03</v>
      </c>
      <c r="P85" s="21">
        <f>IFERROR(ROUND(SUM(S86,S87)/I85, 2),0)</f>
        <v>124.15</v>
      </c>
      <c r="Q85" s="23">
        <v>603.20000000000005</v>
      </c>
      <c r="R85" s="21">
        <f>P85+ROUND(Q85, 2)</f>
        <v>727.35</v>
      </c>
      <c r="S85" s="21">
        <f>ROUND(P85*I85, 2)</f>
        <v>54341.7</v>
      </c>
      <c r="T85" s="21">
        <f>ROUND(I85*ROUND(Q85, 2), 2)</f>
        <v>264026.67</v>
      </c>
      <c r="U85" s="21">
        <f>S85+T85</f>
        <v>318368.37</v>
      </c>
      <c r="V85" s="9">
        <f>ROUND(P85 / 1.2, 2)</f>
        <v>103.46</v>
      </c>
      <c r="W85" s="9">
        <f>ROUND(Q85 / 1.2, 2)</f>
        <v>502.67</v>
      </c>
      <c r="X85" s="9">
        <f>ROUND(R85 / 1.2, 2)</f>
        <v>606.13</v>
      </c>
      <c r="Y85" s="9">
        <f t="shared" si="15"/>
        <v>45284.75</v>
      </c>
      <c r="Z85" s="9">
        <f>ROUND(T85 / 1.2, 2)</f>
        <v>220022.23</v>
      </c>
      <c r="AA85" s="9">
        <f>Y85+Z85</f>
        <v>265306.98</v>
      </c>
      <c r="AD85" s="5">
        <v>410200637</v>
      </c>
      <c r="AE85" s="5">
        <v>36665013</v>
      </c>
      <c r="AG85" s="5" t="s">
        <v>346</v>
      </c>
      <c r="AH85" s="5" t="s">
        <v>347</v>
      </c>
      <c r="AI85" s="5" t="s">
        <v>60</v>
      </c>
      <c r="AK85" s="21">
        <f t="shared" si="16"/>
        <v>48415.11</v>
      </c>
      <c r="AL85" s="21">
        <f>T85-N85</f>
        <v>60929.23</v>
      </c>
      <c r="AM85" s="21">
        <f>U85-O85</f>
        <v>109344.34</v>
      </c>
      <c r="AN85" s="24">
        <f t="shared" si="17"/>
        <v>8.1691343588808998</v>
      </c>
      <c r="AO85" s="24">
        <f>IFERROR(AL85/N85,0)</f>
        <v>0.29999999015251</v>
      </c>
      <c r="AP85" s="24">
        <f>IFERROR(AM85/O85,0)</f>
        <v>0.52311851417275002</v>
      </c>
    </row>
    <row r="86" spans="1:42" ht="54" x14ac:dyDescent="0.3">
      <c r="A86" s="12" t="s">
        <v>356</v>
      </c>
      <c r="B86" s="12"/>
      <c r="C86" s="25" t="s">
        <v>357</v>
      </c>
      <c r="D86" s="19"/>
      <c r="E86" s="19"/>
      <c r="F86" s="26" t="s">
        <v>63</v>
      </c>
      <c r="G86" s="27">
        <v>0.3</v>
      </c>
      <c r="H86" s="27"/>
      <c r="I86" s="27">
        <v>131.31299999999999</v>
      </c>
      <c r="J86" s="28">
        <v>0</v>
      </c>
      <c r="M86" s="29">
        <f>ROUND(ROUND(J86, 2)*I86, 2)</f>
        <v>0</v>
      </c>
      <c r="P86" s="30">
        <v>368.7</v>
      </c>
      <c r="S86" s="29">
        <f>ROUND(ROUND(P86, 2)*I86, 2)</f>
        <v>48415.1</v>
      </c>
      <c r="V86" s="9">
        <f>ROUND(ROUND(P86, 2)/1.2, 2)</f>
        <v>307.25</v>
      </c>
      <c r="Y86" s="9">
        <f t="shared" si="15"/>
        <v>40345.919999999998</v>
      </c>
      <c r="AD86" s="5" t="s">
        <v>358</v>
      </c>
      <c r="AE86" s="5" t="s">
        <v>359</v>
      </c>
      <c r="AF86" s="5" t="s">
        <v>360</v>
      </c>
      <c r="AK86" s="29">
        <f t="shared" si="16"/>
        <v>48415.1</v>
      </c>
      <c r="AL86" s="29"/>
      <c r="AM86" s="29"/>
      <c r="AN86" s="31">
        <f t="shared" si="17"/>
        <v>0</v>
      </c>
      <c r="AO86" s="29"/>
      <c r="AP86" s="29"/>
    </row>
    <row r="87" spans="1:42" ht="36" x14ac:dyDescent="0.3">
      <c r="A87" s="12" t="s">
        <v>361</v>
      </c>
      <c r="B87" s="12"/>
      <c r="C87" s="25" t="s">
        <v>328</v>
      </c>
      <c r="D87" s="19"/>
      <c r="E87" s="19"/>
      <c r="F87" s="26" t="s">
        <v>63</v>
      </c>
      <c r="G87" s="27">
        <v>0.15</v>
      </c>
      <c r="H87" s="27"/>
      <c r="I87" s="27">
        <v>65.656999999999996</v>
      </c>
      <c r="J87" s="28">
        <v>90.28</v>
      </c>
      <c r="M87" s="29">
        <f>ROUND(ROUND(J87, 2)*I87, 2)</f>
        <v>5927.51</v>
      </c>
      <c r="P87" s="30">
        <v>90.28</v>
      </c>
      <c r="S87" s="29">
        <f>ROUND(ROUND(P87, 2)*I87, 2)</f>
        <v>5927.51</v>
      </c>
      <c r="V87" s="9">
        <f>ROUND(ROUND(P87, 2)/1.2, 2)</f>
        <v>75.23</v>
      </c>
      <c r="Y87" s="9">
        <f t="shared" si="15"/>
        <v>4939.59</v>
      </c>
      <c r="AD87" s="5" t="s">
        <v>362</v>
      </c>
      <c r="AE87" s="5" t="s">
        <v>363</v>
      </c>
      <c r="AF87" s="5" t="s">
        <v>331</v>
      </c>
      <c r="AK87" s="29">
        <f t="shared" si="16"/>
        <v>0</v>
      </c>
      <c r="AL87" s="29"/>
      <c r="AM87" s="29"/>
      <c r="AN87" s="31">
        <f t="shared" si="17"/>
        <v>0</v>
      </c>
      <c r="AO87" s="29"/>
      <c r="AP87" s="29"/>
    </row>
    <row r="88" spans="1:42" ht="36" x14ac:dyDescent="0.3">
      <c r="A88" s="12" t="s">
        <v>364</v>
      </c>
      <c r="B88" s="12" t="s">
        <v>365</v>
      </c>
      <c r="C88" s="18" t="s">
        <v>366</v>
      </c>
      <c r="D88" s="19"/>
      <c r="E88" s="19" t="s">
        <v>367</v>
      </c>
      <c r="F88" s="19" t="s">
        <v>57</v>
      </c>
      <c r="G88" s="20">
        <v>1</v>
      </c>
      <c r="H88" s="20"/>
      <c r="I88" s="20">
        <v>1075.3699999999999</v>
      </c>
      <c r="J88" s="21">
        <f>IFERROR(ROUND(SUM(M89,M90,M91)/I88, 2),0)</f>
        <v>57.91</v>
      </c>
      <c r="K88" s="22">
        <v>508</v>
      </c>
      <c r="L88" s="21">
        <f>J88+ROUND(K88, 2)</f>
        <v>565.91</v>
      </c>
      <c r="M88" s="21">
        <f>ROUND(J88*I88, 2)</f>
        <v>62274.68</v>
      </c>
      <c r="N88" s="21">
        <f>ROUND(I88*ROUND(K88, 2), 2)</f>
        <v>546287.96</v>
      </c>
      <c r="O88" s="21">
        <f>M88+N88</f>
        <v>608562.64</v>
      </c>
      <c r="P88" s="21">
        <f>IFERROR(ROUND(SUM(S89,S90,S91)/I88, 2),0)</f>
        <v>57.91</v>
      </c>
      <c r="Q88" s="23">
        <v>660.4</v>
      </c>
      <c r="R88" s="21">
        <f>P88+ROUND(Q88, 2)</f>
        <v>718.31</v>
      </c>
      <c r="S88" s="21">
        <f>ROUND(P88*I88, 2)</f>
        <v>62274.68</v>
      </c>
      <c r="T88" s="21">
        <f>ROUND(I88*ROUND(Q88, 2), 2)</f>
        <v>710174.35</v>
      </c>
      <c r="U88" s="21">
        <f>S88+T88</f>
        <v>772449.03</v>
      </c>
      <c r="V88" s="9">
        <f>ROUND(P88 / 1.2, 2)</f>
        <v>48.26</v>
      </c>
      <c r="W88" s="9">
        <f>ROUND(Q88 / 1.2, 2)</f>
        <v>550.33000000000004</v>
      </c>
      <c r="X88" s="9">
        <f>ROUND(R88 / 1.2, 2)</f>
        <v>598.59</v>
      </c>
      <c r="Y88" s="9">
        <f t="shared" si="15"/>
        <v>51895.57</v>
      </c>
      <c r="Z88" s="9">
        <f>ROUND(T88 / 1.2, 2)</f>
        <v>591811.96</v>
      </c>
      <c r="AA88" s="9">
        <f>Y88+Z88</f>
        <v>643707.53</v>
      </c>
      <c r="AD88" s="5">
        <v>410200618</v>
      </c>
      <c r="AE88" s="5">
        <v>36662409</v>
      </c>
      <c r="AG88" s="5" t="s">
        <v>368</v>
      </c>
      <c r="AH88" s="5" t="s">
        <v>369</v>
      </c>
      <c r="AI88" s="5" t="s">
        <v>60</v>
      </c>
      <c r="AK88" s="21">
        <f t="shared" si="16"/>
        <v>0</v>
      </c>
      <c r="AL88" s="21">
        <f>T88-N88</f>
        <v>163886.39000000001</v>
      </c>
      <c r="AM88" s="21">
        <f>U88-O88</f>
        <v>163886.39000000001</v>
      </c>
      <c r="AN88" s="24">
        <f t="shared" si="17"/>
        <v>0</v>
      </c>
      <c r="AO88" s="24">
        <f>IFERROR(AL88/N88,0)</f>
        <v>0.30000000366106999</v>
      </c>
      <c r="AP88" s="24">
        <f>IFERROR(AM88/O88,0)</f>
        <v>0.26930077403371</v>
      </c>
    </row>
    <row r="89" spans="1:42" ht="36" x14ac:dyDescent="0.3">
      <c r="A89" s="12" t="s">
        <v>370</v>
      </c>
      <c r="B89" s="12"/>
      <c r="C89" s="25" t="s">
        <v>328</v>
      </c>
      <c r="D89" s="19"/>
      <c r="E89" s="19"/>
      <c r="F89" s="26" t="s">
        <v>63</v>
      </c>
      <c r="G89" s="27">
        <v>0.15</v>
      </c>
      <c r="H89" s="27"/>
      <c r="I89" s="27">
        <v>161.30600000000001</v>
      </c>
      <c r="J89" s="28">
        <v>90.28</v>
      </c>
      <c r="M89" s="29">
        <f>ROUND(ROUND(J89, 2)*I89, 2)</f>
        <v>14562.71</v>
      </c>
      <c r="P89" s="30">
        <v>90.28</v>
      </c>
      <c r="S89" s="29">
        <f>ROUND(ROUND(P89, 2)*I89, 2)</f>
        <v>14562.71</v>
      </c>
      <c r="V89" s="9">
        <f>ROUND(ROUND(P89, 2)/1.2, 2)</f>
        <v>75.23</v>
      </c>
      <c r="Y89" s="9">
        <f t="shared" si="15"/>
        <v>12135.59</v>
      </c>
      <c r="AD89" s="5" t="s">
        <v>371</v>
      </c>
      <c r="AE89" s="5" t="s">
        <v>372</v>
      </c>
      <c r="AF89" s="5" t="s">
        <v>331</v>
      </c>
      <c r="AK89" s="29">
        <f t="shared" si="16"/>
        <v>0</v>
      </c>
      <c r="AL89" s="29"/>
      <c r="AM89" s="29"/>
      <c r="AN89" s="31">
        <f t="shared" si="17"/>
        <v>0</v>
      </c>
      <c r="AO89" s="29"/>
      <c r="AP89" s="29"/>
    </row>
    <row r="90" spans="1:42" ht="18" x14ac:dyDescent="0.3">
      <c r="A90" s="12" t="s">
        <v>373</v>
      </c>
      <c r="B90" s="12"/>
      <c r="C90" s="25" t="s">
        <v>374</v>
      </c>
      <c r="D90" s="19"/>
      <c r="E90" s="19"/>
      <c r="F90" s="26" t="s">
        <v>80</v>
      </c>
      <c r="G90" s="27">
        <v>0.3</v>
      </c>
      <c r="H90" s="27"/>
      <c r="I90" s="27">
        <v>322.61099999999999</v>
      </c>
      <c r="J90" s="28">
        <v>74.319999999999993</v>
      </c>
      <c r="M90" s="29">
        <f>ROUND(ROUND(J90, 2)*I90, 2)</f>
        <v>23976.45</v>
      </c>
      <c r="P90" s="30">
        <v>74.319999999999993</v>
      </c>
      <c r="S90" s="29">
        <f>ROUND(ROUND(P90, 2)*I90, 2)</f>
        <v>23976.45</v>
      </c>
      <c r="V90" s="9">
        <f>ROUND(ROUND(P90, 2)/1.2, 2)</f>
        <v>61.93</v>
      </c>
      <c r="Y90" s="9">
        <f t="shared" si="15"/>
        <v>19980.38</v>
      </c>
      <c r="AD90" s="5" t="s">
        <v>375</v>
      </c>
      <c r="AE90" s="5" t="s">
        <v>376</v>
      </c>
      <c r="AF90" s="5" t="s">
        <v>377</v>
      </c>
      <c r="AK90" s="29">
        <f t="shared" si="16"/>
        <v>0</v>
      </c>
      <c r="AL90" s="29"/>
      <c r="AM90" s="29"/>
      <c r="AN90" s="31">
        <f t="shared" si="17"/>
        <v>0</v>
      </c>
      <c r="AO90" s="29"/>
      <c r="AP90" s="29"/>
    </row>
    <row r="91" spans="1:42" ht="36" x14ac:dyDescent="0.3">
      <c r="A91" s="12" t="s">
        <v>378</v>
      </c>
      <c r="B91" s="12"/>
      <c r="C91" s="32" t="s">
        <v>379</v>
      </c>
      <c r="D91" s="19"/>
      <c r="E91" s="19"/>
      <c r="F91" s="26" t="s">
        <v>63</v>
      </c>
      <c r="G91" s="27">
        <v>1.8</v>
      </c>
      <c r="H91" s="27"/>
      <c r="I91" s="27">
        <v>1935.6659999999999</v>
      </c>
      <c r="J91" s="28">
        <v>12.26</v>
      </c>
      <c r="M91" s="29">
        <f>ROUND(ROUND(J91, 2)*I91, 2)</f>
        <v>23731.27</v>
      </c>
      <c r="P91" s="30">
        <v>12.26</v>
      </c>
      <c r="S91" s="29">
        <f>ROUND(ROUND(P91, 2)*I91, 2)</f>
        <v>23731.27</v>
      </c>
      <c r="V91" s="9">
        <f>ROUND(ROUND(P91, 2)/1.2, 2)</f>
        <v>10.220000000000001</v>
      </c>
      <c r="Y91" s="9">
        <f t="shared" si="15"/>
        <v>19776.060000000001</v>
      </c>
      <c r="AD91" s="5" t="s">
        <v>380</v>
      </c>
      <c r="AE91" s="5" t="s">
        <v>381</v>
      </c>
      <c r="AF91" s="5" t="s">
        <v>382</v>
      </c>
      <c r="AK91" s="29">
        <f t="shared" si="16"/>
        <v>0</v>
      </c>
      <c r="AL91" s="29"/>
      <c r="AM91" s="29"/>
      <c r="AN91" s="31">
        <f t="shared" si="17"/>
        <v>0</v>
      </c>
      <c r="AO91" s="29"/>
      <c r="AP91" s="29"/>
    </row>
    <row r="92" spans="1:42" ht="36" x14ac:dyDescent="0.3">
      <c r="A92" s="12" t="s">
        <v>383</v>
      </c>
      <c r="B92" s="12" t="s">
        <v>365</v>
      </c>
      <c r="C92" s="18" t="s">
        <v>366</v>
      </c>
      <c r="D92" s="19"/>
      <c r="E92" s="19" t="s">
        <v>384</v>
      </c>
      <c r="F92" s="19" t="s">
        <v>57</v>
      </c>
      <c r="G92" s="20">
        <v>1</v>
      </c>
      <c r="H92" s="20"/>
      <c r="I92" s="20">
        <v>1075.3699999999999</v>
      </c>
      <c r="J92" s="21">
        <f>IFERROR(ROUND(SUM(M93,M94)/I92, 2),0)</f>
        <v>55.64</v>
      </c>
      <c r="K92" s="22">
        <v>508</v>
      </c>
      <c r="L92" s="21">
        <f>J92+ROUND(K92, 2)</f>
        <v>563.64</v>
      </c>
      <c r="M92" s="21">
        <f>ROUND(J92*I92, 2)</f>
        <v>59833.59</v>
      </c>
      <c r="N92" s="21">
        <f>ROUND(I92*ROUND(K92, 2), 2)</f>
        <v>546287.96</v>
      </c>
      <c r="O92" s="21">
        <f>M92+N92</f>
        <v>606121.55000000005</v>
      </c>
      <c r="P92" s="21">
        <f>IFERROR(ROUND(SUM(S93,S94)/I92, 2),0)</f>
        <v>55.64</v>
      </c>
      <c r="Q92" s="23">
        <v>660.4</v>
      </c>
      <c r="R92" s="21">
        <f>P92+ROUND(Q92, 2)</f>
        <v>716.04</v>
      </c>
      <c r="S92" s="21">
        <f>ROUND(P92*I92, 2)</f>
        <v>59833.59</v>
      </c>
      <c r="T92" s="21">
        <f>ROUND(I92*ROUND(Q92, 2), 2)</f>
        <v>710174.35</v>
      </c>
      <c r="U92" s="21">
        <f>S92+T92</f>
        <v>770007.94</v>
      </c>
      <c r="V92" s="9">
        <f>ROUND(P92 / 1.2, 2)</f>
        <v>46.37</v>
      </c>
      <c r="W92" s="9">
        <f>ROUND(Q92 / 1.2, 2)</f>
        <v>550.33000000000004</v>
      </c>
      <c r="X92" s="9">
        <f>ROUND(R92 / 1.2, 2)</f>
        <v>596.70000000000005</v>
      </c>
      <c r="Y92" s="9">
        <f t="shared" si="15"/>
        <v>49861.33</v>
      </c>
      <c r="Z92" s="9">
        <f>ROUND(T92 / 1.2, 2)</f>
        <v>591811.96</v>
      </c>
      <c r="AA92" s="9">
        <f>Y92+Z92</f>
        <v>641673.29</v>
      </c>
      <c r="AD92" s="5">
        <v>410200638</v>
      </c>
      <c r="AE92" s="5">
        <v>36662410</v>
      </c>
      <c r="AG92" s="5" t="s">
        <v>368</v>
      </c>
      <c r="AH92" s="5" t="s">
        <v>369</v>
      </c>
      <c r="AI92" s="5" t="s">
        <v>60</v>
      </c>
      <c r="AK92" s="21">
        <f t="shared" si="16"/>
        <v>0</v>
      </c>
      <c r="AL92" s="21">
        <f>T92-N92</f>
        <v>163886.39000000001</v>
      </c>
      <c r="AM92" s="21">
        <f>U92-O92</f>
        <v>163886.39000000001</v>
      </c>
      <c r="AN92" s="24">
        <f t="shared" si="17"/>
        <v>0</v>
      </c>
      <c r="AO92" s="24">
        <f>IFERROR(AL92/N92,0)</f>
        <v>0.30000000366106999</v>
      </c>
      <c r="AP92" s="24">
        <f>IFERROR(AM92/O92,0)</f>
        <v>0.27038535422474003</v>
      </c>
    </row>
    <row r="93" spans="1:42" ht="36" x14ac:dyDescent="0.3">
      <c r="A93" s="12" t="s">
        <v>385</v>
      </c>
      <c r="B93" s="12"/>
      <c r="C93" s="25" t="s">
        <v>386</v>
      </c>
      <c r="D93" s="19"/>
      <c r="E93" s="19"/>
      <c r="F93" s="26" t="s">
        <v>63</v>
      </c>
      <c r="G93" s="27">
        <v>1.8</v>
      </c>
      <c r="H93" s="27"/>
      <c r="I93" s="27">
        <v>1935.6659999999999</v>
      </c>
      <c r="J93" s="28">
        <v>23.39</v>
      </c>
      <c r="M93" s="29">
        <f>ROUND(ROUND(J93, 2)*I93, 2)</f>
        <v>45275.23</v>
      </c>
      <c r="P93" s="30">
        <v>23.39</v>
      </c>
      <c r="S93" s="29">
        <f>ROUND(ROUND(P93, 2)*I93, 2)</f>
        <v>45275.23</v>
      </c>
      <c r="V93" s="9">
        <f>ROUND(ROUND(P93, 2)/1.2, 2)</f>
        <v>19.489999999999998</v>
      </c>
      <c r="Y93" s="9">
        <f t="shared" si="15"/>
        <v>37729.360000000001</v>
      </c>
      <c r="AD93" s="5" t="s">
        <v>387</v>
      </c>
      <c r="AE93" s="5" t="s">
        <v>388</v>
      </c>
      <c r="AF93" s="5" t="s">
        <v>389</v>
      </c>
      <c r="AK93" s="29">
        <f t="shared" si="16"/>
        <v>0</v>
      </c>
      <c r="AL93" s="29"/>
      <c r="AM93" s="29"/>
      <c r="AN93" s="31">
        <f t="shared" si="17"/>
        <v>0</v>
      </c>
      <c r="AO93" s="29"/>
      <c r="AP93" s="29"/>
    </row>
    <row r="94" spans="1:42" ht="36" x14ac:dyDescent="0.3">
      <c r="A94" s="12" t="s">
        <v>390</v>
      </c>
      <c r="B94" s="12"/>
      <c r="C94" s="25" t="s">
        <v>328</v>
      </c>
      <c r="D94" s="19"/>
      <c r="E94" s="19"/>
      <c r="F94" s="26" t="s">
        <v>63</v>
      </c>
      <c r="G94" s="27">
        <v>0.15</v>
      </c>
      <c r="H94" s="27"/>
      <c r="I94" s="27">
        <v>161.30600000000001</v>
      </c>
      <c r="J94" s="28">
        <v>90.28</v>
      </c>
      <c r="M94" s="29">
        <f>ROUND(ROUND(J94, 2)*I94, 2)</f>
        <v>14562.71</v>
      </c>
      <c r="P94" s="30">
        <v>90.28</v>
      </c>
      <c r="S94" s="29">
        <f>ROUND(ROUND(P94, 2)*I94, 2)</f>
        <v>14562.71</v>
      </c>
      <c r="V94" s="9">
        <f>ROUND(ROUND(P94, 2)/1.2, 2)</f>
        <v>75.23</v>
      </c>
      <c r="Y94" s="9">
        <f t="shared" si="15"/>
        <v>12135.59</v>
      </c>
      <c r="AD94" s="5" t="s">
        <v>391</v>
      </c>
      <c r="AE94" s="5" t="s">
        <v>392</v>
      </c>
      <c r="AF94" s="5" t="s">
        <v>331</v>
      </c>
      <c r="AK94" s="29">
        <f t="shared" si="16"/>
        <v>0</v>
      </c>
      <c r="AL94" s="29"/>
      <c r="AM94" s="29"/>
      <c r="AN94" s="31">
        <f t="shared" si="17"/>
        <v>0</v>
      </c>
      <c r="AO94" s="29"/>
      <c r="AP94" s="29"/>
    </row>
    <row r="95" spans="1:42" ht="36" x14ac:dyDescent="0.3">
      <c r="A95" s="12" t="s">
        <v>393</v>
      </c>
      <c r="B95" s="12" t="s">
        <v>394</v>
      </c>
      <c r="C95" s="18" t="s">
        <v>395</v>
      </c>
      <c r="D95" s="19"/>
      <c r="E95" s="19" t="s">
        <v>396</v>
      </c>
      <c r="F95" s="19" t="s">
        <v>57</v>
      </c>
      <c r="G95" s="20">
        <v>1</v>
      </c>
      <c r="H95" s="20"/>
      <c r="I95" s="20">
        <v>714.23</v>
      </c>
      <c r="J95" s="21">
        <f>IFERROR(ROUND(SUM(M96,M97)/I95, 2),0)</f>
        <v>35.61</v>
      </c>
      <c r="K95" s="22">
        <v>546</v>
      </c>
      <c r="L95" s="21">
        <f>J95+ROUND(K95, 2)</f>
        <v>581.61</v>
      </c>
      <c r="M95" s="21">
        <f>ROUND(J95*I95, 2)</f>
        <v>25433.73</v>
      </c>
      <c r="N95" s="21">
        <f>ROUND(I95*ROUND(K95, 2), 2)</f>
        <v>389969.58</v>
      </c>
      <c r="O95" s="21">
        <f>M95+N95</f>
        <v>415403.31</v>
      </c>
      <c r="P95" s="21">
        <f>IFERROR(ROUND(SUM(S96,S97)/I95, 2),0)</f>
        <v>35.61</v>
      </c>
      <c r="Q95" s="23">
        <v>709.8</v>
      </c>
      <c r="R95" s="21">
        <f>P95+ROUND(Q95, 2)</f>
        <v>745.41</v>
      </c>
      <c r="S95" s="21">
        <f>ROUND(P95*I95, 2)</f>
        <v>25433.73</v>
      </c>
      <c r="T95" s="21">
        <f>ROUND(I95*ROUND(Q95, 2), 2)</f>
        <v>506960.45</v>
      </c>
      <c r="U95" s="21">
        <f>S95+T95</f>
        <v>532394.18000000005</v>
      </c>
      <c r="V95" s="9">
        <f>ROUND(P95 / 1.2, 2)</f>
        <v>29.68</v>
      </c>
      <c r="W95" s="9">
        <f>ROUND(Q95 / 1.2, 2)</f>
        <v>591.5</v>
      </c>
      <c r="X95" s="9">
        <f>ROUND(R95 / 1.2, 2)</f>
        <v>621.17999999999995</v>
      </c>
      <c r="Y95" s="9">
        <f t="shared" si="15"/>
        <v>21194.78</v>
      </c>
      <c r="Z95" s="9">
        <f>ROUND(T95 / 1.2, 2)</f>
        <v>422467.04</v>
      </c>
      <c r="AA95" s="9">
        <f>Y95+Z95</f>
        <v>443661.82</v>
      </c>
      <c r="AD95" s="5">
        <v>410200619</v>
      </c>
      <c r="AE95" s="5">
        <v>36665230</v>
      </c>
      <c r="AG95" s="5" t="s">
        <v>397</v>
      </c>
      <c r="AH95" s="5" t="s">
        <v>398</v>
      </c>
      <c r="AI95" s="5" t="s">
        <v>60</v>
      </c>
      <c r="AK95" s="21">
        <f t="shared" si="16"/>
        <v>0</v>
      </c>
      <c r="AL95" s="21">
        <f>T95-N95</f>
        <v>116990.87</v>
      </c>
      <c r="AM95" s="21">
        <f>U95-O95</f>
        <v>116990.87</v>
      </c>
      <c r="AN95" s="24">
        <f t="shared" si="17"/>
        <v>0</v>
      </c>
      <c r="AO95" s="24">
        <f>IFERROR(AL95/N95,0)</f>
        <v>0.29999998974279002</v>
      </c>
      <c r="AP95" s="24">
        <f>IFERROR(AM95/O95,0)</f>
        <v>0.28163201203186999</v>
      </c>
    </row>
    <row r="96" spans="1:42" ht="36" x14ac:dyDescent="0.3">
      <c r="A96" s="12" t="s">
        <v>399</v>
      </c>
      <c r="B96" s="12"/>
      <c r="C96" s="25" t="s">
        <v>62</v>
      </c>
      <c r="D96" s="19"/>
      <c r="E96" s="19"/>
      <c r="F96" s="26" t="s">
        <v>63</v>
      </c>
      <c r="G96" s="27">
        <v>0.15</v>
      </c>
      <c r="H96" s="27"/>
      <c r="I96" s="27">
        <v>107.13500000000001</v>
      </c>
      <c r="J96" s="28">
        <v>90.28</v>
      </c>
      <c r="M96" s="29">
        <f>ROUND(ROUND(J96, 2)*I96, 2)</f>
        <v>9672.15</v>
      </c>
      <c r="P96" s="30">
        <v>90.28</v>
      </c>
      <c r="S96" s="29">
        <f>ROUND(ROUND(P96, 2)*I96, 2)</f>
        <v>9672.15</v>
      </c>
      <c r="V96" s="9">
        <f>ROUND(ROUND(P96, 2)/1.2, 2)</f>
        <v>75.23</v>
      </c>
      <c r="Y96" s="9">
        <f t="shared" si="15"/>
        <v>8060.13</v>
      </c>
      <c r="AD96" s="5" t="s">
        <v>400</v>
      </c>
      <c r="AE96" s="5" t="s">
        <v>401</v>
      </c>
      <c r="AF96" s="5" t="s">
        <v>66</v>
      </c>
      <c r="AK96" s="29">
        <f t="shared" si="16"/>
        <v>0</v>
      </c>
      <c r="AL96" s="29"/>
      <c r="AM96" s="29"/>
      <c r="AN96" s="31">
        <f t="shared" si="17"/>
        <v>0</v>
      </c>
      <c r="AO96" s="29"/>
      <c r="AP96" s="29"/>
    </row>
    <row r="97" spans="1:42" ht="54" x14ac:dyDescent="0.3">
      <c r="A97" s="12" t="s">
        <v>402</v>
      </c>
      <c r="B97" s="12"/>
      <c r="C97" s="32" t="s">
        <v>403</v>
      </c>
      <c r="D97" s="19"/>
      <c r="E97" s="19"/>
      <c r="F97" s="26" t="s">
        <v>63</v>
      </c>
      <c r="G97" s="27">
        <v>1.8</v>
      </c>
      <c r="H97" s="27"/>
      <c r="I97" s="27">
        <v>1285.614</v>
      </c>
      <c r="J97" s="28">
        <v>12.26</v>
      </c>
      <c r="M97" s="29">
        <f>ROUND(ROUND(J97, 2)*I97, 2)</f>
        <v>15761.63</v>
      </c>
      <c r="P97" s="30">
        <v>12.26</v>
      </c>
      <c r="S97" s="29">
        <f>ROUND(ROUND(P97, 2)*I97, 2)</f>
        <v>15761.63</v>
      </c>
      <c r="V97" s="9">
        <f>ROUND(ROUND(P97, 2)/1.2, 2)</f>
        <v>10.220000000000001</v>
      </c>
      <c r="Y97" s="9">
        <f t="shared" si="15"/>
        <v>13134.69</v>
      </c>
      <c r="AD97" s="5" t="s">
        <v>404</v>
      </c>
      <c r="AE97" s="5" t="s">
        <v>405</v>
      </c>
      <c r="AF97" s="5" t="s">
        <v>406</v>
      </c>
      <c r="AK97" s="29">
        <f t="shared" si="16"/>
        <v>0</v>
      </c>
      <c r="AL97" s="29"/>
      <c r="AM97" s="29"/>
      <c r="AN97" s="31">
        <f t="shared" si="17"/>
        <v>0</v>
      </c>
      <c r="AO97" s="29"/>
      <c r="AP97" s="29"/>
    </row>
    <row r="98" spans="1:42" ht="36" x14ac:dyDescent="0.3">
      <c r="A98" s="12" t="s">
        <v>407</v>
      </c>
      <c r="B98" s="12" t="s">
        <v>394</v>
      </c>
      <c r="C98" s="18" t="s">
        <v>395</v>
      </c>
      <c r="D98" s="19"/>
      <c r="E98" s="19" t="s">
        <v>408</v>
      </c>
      <c r="F98" s="19" t="s">
        <v>57</v>
      </c>
      <c r="G98" s="20">
        <v>1</v>
      </c>
      <c r="H98" s="20"/>
      <c r="I98" s="20">
        <v>714.23</v>
      </c>
      <c r="J98" s="21">
        <f>IFERROR(ROUND(SUM(M99,M100)/I98, 2),0)</f>
        <v>35.61</v>
      </c>
      <c r="K98" s="22">
        <v>546</v>
      </c>
      <c r="L98" s="21">
        <f>J98+ROUND(K98, 2)</f>
        <v>581.61</v>
      </c>
      <c r="M98" s="21">
        <f>ROUND(J98*I98, 2)</f>
        <v>25433.73</v>
      </c>
      <c r="N98" s="21">
        <f>ROUND(I98*ROUND(K98, 2), 2)</f>
        <v>389969.58</v>
      </c>
      <c r="O98" s="21">
        <f>M98+N98</f>
        <v>415403.31</v>
      </c>
      <c r="P98" s="21">
        <f>IFERROR(ROUND(SUM(S99,S100)/I98, 2),0)</f>
        <v>35.61</v>
      </c>
      <c r="Q98" s="23">
        <v>709.8</v>
      </c>
      <c r="R98" s="21">
        <f>P98+ROUND(Q98, 2)</f>
        <v>745.41</v>
      </c>
      <c r="S98" s="21">
        <f>ROUND(P98*I98, 2)</f>
        <v>25433.73</v>
      </c>
      <c r="T98" s="21">
        <f>ROUND(I98*ROUND(Q98, 2), 2)</f>
        <v>506960.45</v>
      </c>
      <c r="U98" s="21">
        <f>S98+T98</f>
        <v>532394.18000000005</v>
      </c>
      <c r="V98" s="9">
        <f>ROUND(P98 / 1.2, 2)</f>
        <v>29.68</v>
      </c>
      <c r="W98" s="9">
        <f>ROUND(Q98 / 1.2, 2)</f>
        <v>591.5</v>
      </c>
      <c r="X98" s="9">
        <f>ROUND(R98 / 1.2, 2)</f>
        <v>621.17999999999995</v>
      </c>
      <c r="Y98" s="9">
        <f t="shared" si="15"/>
        <v>21194.78</v>
      </c>
      <c r="Z98" s="9">
        <f>ROUND(T98 / 1.2, 2)</f>
        <v>422467.04</v>
      </c>
      <c r="AA98" s="9">
        <f>Y98+Z98</f>
        <v>443661.82</v>
      </c>
      <c r="AD98" s="5">
        <v>410200639</v>
      </c>
      <c r="AE98" s="5">
        <v>36665231</v>
      </c>
      <c r="AG98" s="5" t="s">
        <v>397</v>
      </c>
      <c r="AH98" s="5" t="s">
        <v>398</v>
      </c>
      <c r="AI98" s="5" t="s">
        <v>60</v>
      </c>
      <c r="AK98" s="21">
        <f t="shared" si="16"/>
        <v>0</v>
      </c>
      <c r="AL98" s="21">
        <f>T98-N98</f>
        <v>116990.87</v>
      </c>
      <c r="AM98" s="21">
        <f>U98-O98</f>
        <v>116990.87</v>
      </c>
      <c r="AN98" s="24">
        <f t="shared" si="17"/>
        <v>0</v>
      </c>
      <c r="AO98" s="24">
        <f>IFERROR(AL98/N98,0)</f>
        <v>0.29999998974279002</v>
      </c>
      <c r="AP98" s="24">
        <f>IFERROR(AM98/O98,0)</f>
        <v>0.28163201203186999</v>
      </c>
    </row>
    <row r="99" spans="1:42" ht="54" x14ac:dyDescent="0.3">
      <c r="A99" s="12" t="s">
        <v>409</v>
      </c>
      <c r="B99" s="12"/>
      <c r="C99" s="32" t="s">
        <v>403</v>
      </c>
      <c r="D99" s="19"/>
      <c r="E99" s="19"/>
      <c r="F99" s="26" t="s">
        <v>63</v>
      </c>
      <c r="G99" s="27">
        <v>1.8</v>
      </c>
      <c r="H99" s="27"/>
      <c r="I99" s="27">
        <v>1285.614</v>
      </c>
      <c r="J99" s="28">
        <v>12.26</v>
      </c>
      <c r="M99" s="29">
        <f>ROUND(ROUND(J99, 2)*I99, 2)</f>
        <v>15761.63</v>
      </c>
      <c r="P99" s="30">
        <v>12.26</v>
      </c>
      <c r="S99" s="29">
        <f>ROUND(ROUND(P99, 2)*I99, 2)</f>
        <v>15761.63</v>
      </c>
      <c r="V99" s="9">
        <f>ROUND(ROUND(P99, 2)/1.2, 2)</f>
        <v>10.220000000000001</v>
      </c>
      <c r="Y99" s="9">
        <f t="shared" si="15"/>
        <v>13134.69</v>
      </c>
      <c r="AD99" s="5" t="s">
        <v>410</v>
      </c>
      <c r="AE99" s="5" t="s">
        <v>411</v>
      </c>
      <c r="AF99" s="5" t="s">
        <v>406</v>
      </c>
      <c r="AK99" s="29">
        <f t="shared" si="16"/>
        <v>0</v>
      </c>
      <c r="AL99" s="29"/>
      <c r="AM99" s="29"/>
      <c r="AN99" s="31">
        <f t="shared" si="17"/>
        <v>0</v>
      </c>
      <c r="AO99" s="29"/>
      <c r="AP99" s="29"/>
    </row>
    <row r="100" spans="1:42" ht="36" x14ac:dyDescent="0.3">
      <c r="A100" s="12" t="s">
        <v>412</v>
      </c>
      <c r="B100" s="12"/>
      <c r="C100" s="25" t="s">
        <v>62</v>
      </c>
      <c r="D100" s="19"/>
      <c r="E100" s="19"/>
      <c r="F100" s="26" t="s">
        <v>63</v>
      </c>
      <c r="G100" s="27">
        <v>0.15</v>
      </c>
      <c r="H100" s="27"/>
      <c r="I100" s="27">
        <v>107.13500000000001</v>
      </c>
      <c r="J100" s="28">
        <v>90.28</v>
      </c>
      <c r="M100" s="29">
        <f>ROUND(ROUND(J100, 2)*I100, 2)</f>
        <v>9672.15</v>
      </c>
      <c r="P100" s="30">
        <v>90.28</v>
      </c>
      <c r="S100" s="29">
        <f>ROUND(ROUND(P100, 2)*I100, 2)</f>
        <v>9672.15</v>
      </c>
      <c r="V100" s="9">
        <f>ROUND(ROUND(P100, 2)/1.2, 2)</f>
        <v>75.23</v>
      </c>
      <c r="Y100" s="9">
        <f t="shared" si="15"/>
        <v>8060.13</v>
      </c>
      <c r="AD100" s="5" t="s">
        <v>413</v>
      </c>
      <c r="AE100" s="5" t="s">
        <v>414</v>
      </c>
      <c r="AF100" s="5" t="s">
        <v>66</v>
      </c>
      <c r="AK100" s="29">
        <f t="shared" si="16"/>
        <v>0</v>
      </c>
      <c r="AL100" s="29"/>
      <c r="AM100" s="29"/>
      <c r="AN100" s="31">
        <f t="shared" si="17"/>
        <v>0</v>
      </c>
      <c r="AO100" s="29"/>
      <c r="AP100" s="29"/>
    </row>
    <row r="101" spans="1:42" ht="16.95" customHeight="1" x14ac:dyDescent="0.3">
      <c r="A101" s="12" t="s">
        <v>415</v>
      </c>
      <c r="B101" s="16" t="s">
        <v>416</v>
      </c>
      <c r="C101" s="70" t="s">
        <v>86</v>
      </c>
      <c r="D101" s="71"/>
      <c r="E101" s="71"/>
      <c r="F101" s="71"/>
      <c r="G101" s="71"/>
      <c r="H101" s="71"/>
      <c r="I101" s="72"/>
      <c r="M101" s="6">
        <f>SUM(M102,M103,M104,M105,M106,M107)</f>
        <v>0</v>
      </c>
      <c r="N101" s="6">
        <f>SUM(N102,N103,N104,N105,N106,N107)</f>
        <v>853653.35</v>
      </c>
      <c r="O101" s="6">
        <f>SUM(O102,O103,O104,O105,O106,O107)</f>
        <v>853653.35</v>
      </c>
      <c r="S101" s="6">
        <f>SUM(S102,S103,S104,S105,S106,S107)</f>
        <v>0</v>
      </c>
      <c r="T101" s="6">
        <f>SUM(T102,T103,T104,T105,T106,T107)</f>
        <v>1109752.33</v>
      </c>
      <c r="U101" s="6">
        <f>SUM(U102,U103,U104,U105,U106,U107)</f>
        <v>1109752.33</v>
      </c>
      <c r="Y101" s="9">
        <f>SUM(Y102,Y103,Y104,Y105,Y106,Y107)</f>
        <v>0</v>
      </c>
      <c r="Z101" s="9">
        <f>SUM(Z102,Z103,Z104,Z105,Z106,Z107)</f>
        <v>924793.62</v>
      </c>
      <c r="AA101" s="9" t="e">
        <f>SUM(AA102,AA103,AA104,AA105,AA106,AA107)</f>
        <v>#VALUE!</v>
      </c>
      <c r="AD101" s="5">
        <v>410200620</v>
      </c>
      <c r="AE101" s="5">
        <v>36659743</v>
      </c>
      <c r="AK101" s="6">
        <f t="shared" si="16"/>
        <v>0</v>
      </c>
      <c r="AL101" s="6">
        <f t="shared" ref="AL101:AM108" si="18">T101-N101</f>
        <v>256098.98</v>
      </c>
      <c r="AM101" s="6">
        <f t="shared" si="18"/>
        <v>256098.98</v>
      </c>
      <c r="AN101" s="10">
        <f t="shared" si="17"/>
        <v>0</v>
      </c>
      <c r="AO101" s="10">
        <f t="shared" ref="AO101:AP108" si="19">IFERROR(AL101/N101,0)</f>
        <v>0.30000348502117002</v>
      </c>
      <c r="AP101" s="10">
        <f t="shared" si="19"/>
        <v>0.30000348502117002</v>
      </c>
    </row>
    <row r="102" spans="1:42" ht="18" x14ac:dyDescent="0.3">
      <c r="A102" s="12" t="s">
        <v>417</v>
      </c>
      <c r="B102" s="12" t="s">
        <v>418</v>
      </c>
      <c r="C102" s="18" t="s">
        <v>419</v>
      </c>
      <c r="D102" s="19"/>
      <c r="E102" s="19"/>
      <c r="F102" s="19" t="s">
        <v>57</v>
      </c>
      <c r="G102" s="20">
        <v>1</v>
      </c>
      <c r="H102" s="20"/>
      <c r="I102" s="20">
        <v>256.17</v>
      </c>
      <c r="J102" s="21">
        <v>0</v>
      </c>
      <c r="K102" s="22">
        <v>629</v>
      </c>
      <c r="L102" s="21">
        <f t="shared" ref="L102:L107" si="20">J102+ROUND(K102, 2)</f>
        <v>629</v>
      </c>
      <c r="M102" s="21">
        <v>0</v>
      </c>
      <c r="N102" s="21">
        <f t="shared" ref="N102:N107" si="21">ROUND(I102*ROUND(K102, 2), 2)</f>
        <v>161130.93</v>
      </c>
      <c r="O102" s="21">
        <f t="shared" ref="O102:O108" si="22">M102+N102</f>
        <v>161130.93</v>
      </c>
      <c r="P102" s="21">
        <v>0</v>
      </c>
      <c r="Q102" s="23">
        <v>817.7</v>
      </c>
      <c r="R102" s="21">
        <f t="shared" ref="R102:R107" si="23">P102+ROUND(Q102, 2)</f>
        <v>817.7</v>
      </c>
      <c r="S102" s="21">
        <v>0</v>
      </c>
      <c r="T102" s="21">
        <f t="shared" ref="T102:T107" si="24">ROUND(I102*ROUND(Q102, 2), 2)</f>
        <v>209470.21</v>
      </c>
      <c r="U102" s="21">
        <f t="shared" ref="U102:U108" si="25">S102+T102</f>
        <v>209470.21</v>
      </c>
      <c r="V102" s="9"/>
      <c r="W102" s="9">
        <f t="shared" ref="W102:X107" si="26">ROUND(Q102 / 1.2, 2)</f>
        <v>681.42</v>
      </c>
      <c r="X102" s="9">
        <f t="shared" si="26"/>
        <v>681.42</v>
      </c>
      <c r="Y102" s="9"/>
      <c r="Z102" s="9">
        <f t="shared" ref="Z102:Z107" si="27">ROUND(T102 / 1.2, 2)</f>
        <v>174558.51</v>
      </c>
      <c r="AA102" s="9" t="e">
        <f t="shared" ref="AA102:AA108" si="28">Y102+Z102</f>
        <v>#VALUE!</v>
      </c>
      <c r="AD102" s="5">
        <v>410200622</v>
      </c>
      <c r="AE102" s="5">
        <v>36659753</v>
      </c>
      <c r="AG102" s="5" t="s">
        <v>420</v>
      </c>
      <c r="AH102" s="5" t="s">
        <v>421</v>
      </c>
      <c r="AI102" s="5" t="s">
        <v>60</v>
      </c>
      <c r="AK102" s="21">
        <f t="shared" si="16"/>
        <v>0</v>
      </c>
      <c r="AL102" s="21">
        <f t="shared" si="18"/>
        <v>48339.28</v>
      </c>
      <c r="AM102" s="21">
        <f t="shared" si="18"/>
        <v>48339.28</v>
      </c>
      <c r="AN102" s="24">
        <f t="shared" si="17"/>
        <v>0</v>
      </c>
      <c r="AO102" s="24">
        <f t="shared" si="19"/>
        <v>0.30000000620612999</v>
      </c>
      <c r="AP102" s="24">
        <f t="shared" si="19"/>
        <v>0.30000000620612999</v>
      </c>
    </row>
    <row r="103" spans="1:42" ht="36" x14ac:dyDescent="0.3">
      <c r="A103" s="12" t="s">
        <v>422</v>
      </c>
      <c r="B103" s="12" t="s">
        <v>423</v>
      </c>
      <c r="C103" s="18" t="s">
        <v>424</v>
      </c>
      <c r="D103" s="19"/>
      <c r="E103" s="19"/>
      <c r="F103" s="19" t="s">
        <v>57</v>
      </c>
      <c r="G103" s="20">
        <v>1</v>
      </c>
      <c r="H103" s="20"/>
      <c r="I103" s="20">
        <v>339.13</v>
      </c>
      <c r="J103" s="21">
        <v>0</v>
      </c>
      <c r="K103" s="22">
        <v>153</v>
      </c>
      <c r="L103" s="21">
        <f t="shared" si="20"/>
        <v>153</v>
      </c>
      <c r="M103" s="21">
        <v>0</v>
      </c>
      <c r="N103" s="21">
        <f t="shared" si="21"/>
        <v>51886.89</v>
      </c>
      <c r="O103" s="21">
        <f t="shared" si="22"/>
        <v>51886.89</v>
      </c>
      <c r="P103" s="21">
        <v>0</v>
      </c>
      <c r="Q103" s="23">
        <v>198.9</v>
      </c>
      <c r="R103" s="21">
        <f t="shared" si="23"/>
        <v>198.9</v>
      </c>
      <c r="S103" s="21">
        <v>0</v>
      </c>
      <c r="T103" s="21">
        <f t="shared" si="24"/>
        <v>67452.960000000006</v>
      </c>
      <c r="U103" s="21">
        <f t="shared" si="25"/>
        <v>67452.960000000006</v>
      </c>
      <c r="V103" s="9"/>
      <c r="W103" s="9">
        <f t="shared" si="26"/>
        <v>165.75</v>
      </c>
      <c r="X103" s="9">
        <f t="shared" si="26"/>
        <v>165.75</v>
      </c>
      <c r="Y103" s="9"/>
      <c r="Z103" s="9">
        <f t="shared" si="27"/>
        <v>56210.8</v>
      </c>
      <c r="AA103" s="9" t="e">
        <f t="shared" si="28"/>
        <v>#VALUE!</v>
      </c>
      <c r="AD103" s="5">
        <v>410200624</v>
      </c>
      <c r="AE103" s="5">
        <v>36663229</v>
      </c>
      <c r="AG103" s="5" t="s">
        <v>425</v>
      </c>
      <c r="AH103" s="5" t="s">
        <v>426</v>
      </c>
      <c r="AI103" s="5" t="s">
        <v>60</v>
      </c>
      <c r="AK103" s="21">
        <f t="shared" si="16"/>
        <v>0</v>
      </c>
      <c r="AL103" s="21">
        <f t="shared" si="18"/>
        <v>15566.07</v>
      </c>
      <c r="AM103" s="21">
        <f t="shared" si="18"/>
        <v>15566.07</v>
      </c>
      <c r="AN103" s="24">
        <f t="shared" si="17"/>
        <v>0</v>
      </c>
      <c r="AO103" s="24">
        <f t="shared" si="19"/>
        <v>0.30000005781806999</v>
      </c>
      <c r="AP103" s="24">
        <f t="shared" si="19"/>
        <v>0.30000005781806999</v>
      </c>
    </row>
    <row r="104" spans="1:42" ht="18" x14ac:dyDescent="0.3">
      <c r="A104" s="12" t="s">
        <v>427</v>
      </c>
      <c r="B104" s="12" t="s">
        <v>428</v>
      </c>
      <c r="C104" s="18" t="s">
        <v>429</v>
      </c>
      <c r="D104" s="19"/>
      <c r="E104" s="19"/>
      <c r="F104" s="19" t="s">
        <v>57</v>
      </c>
      <c r="G104" s="20">
        <v>1</v>
      </c>
      <c r="H104" s="20"/>
      <c r="I104" s="20">
        <v>339.13</v>
      </c>
      <c r="J104" s="21">
        <v>0</v>
      </c>
      <c r="K104" s="22">
        <v>198.01</v>
      </c>
      <c r="L104" s="21">
        <f t="shared" si="20"/>
        <v>198.01</v>
      </c>
      <c r="M104" s="21">
        <v>0</v>
      </c>
      <c r="N104" s="21">
        <f t="shared" si="21"/>
        <v>67151.13</v>
      </c>
      <c r="O104" s="21">
        <f t="shared" si="22"/>
        <v>67151.13</v>
      </c>
      <c r="P104" s="21">
        <v>0</v>
      </c>
      <c r="Q104" s="23">
        <v>257.41000000000003</v>
      </c>
      <c r="R104" s="21">
        <f t="shared" si="23"/>
        <v>257.41000000000003</v>
      </c>
      <c r="S104" s="21">
        <v>0</v>
      </c>
      <c r="T104" s="21">
        <f t="shared" si="24"/>
        <v>87295.45</v>
      </c>
      <c r="U104" s="21">
        <f t="shared" si="25"/>
        <v>87295.45</v>
      </c>
      <c r="V104" s="9"/>
      <c r="W104" s="9">
        <f t="shared" si="26"/>
        <v>214.51</v>
      </c>
      <c r="X104" s="9">
        <f t="shared" si="26"/>
        <v>214.51</v>
      </c>
      <c r="Y104" s="9"/>
      <c r="Z104" s="9">
        <f t="shared" si="27"/>
        <v>72746.210000000006</v>
      </c>
      <c r="AA104" s="9" t="e">
        <f t="shared" si="28"/>
        <v>#VALUE!</v>
      </c>
      <c r="AD104" s="5">
        <v>410200626</v>
      </c>
      <c r="AE104" s="5">
        <v>36659763</v>
      </c>
      <c r="AG104" s="5" t="s">
        <v>430</v>
      </c>
      <c r="AH104" s="5" t="s">
        <v>431</v>
      </c>
      <c r="AI104" s="5" t="s">
        <v>60</v>
      </c>
      <c r="AK104" s="21">
        <f t="shared" si="16"/>
        <v>0</v>
      </c>
      <c r="AL104" s="21">
        <f t="shared" si="18"/>
        <v>20144.32</v>
      </c>
      <c r="AM104" s="21">
        <f t="shared" si="18"/>
        <v>20144.32</v>
      </c>
      <c r="AN104" s="24">
        <f t="shared" si="17"/>
        <v>0</v>
      </c>
      <c r="AO104" s="24">
        <f t="shared" si="19"/>
        <v>0.29998482527398002</v>
      </c>
      <c r="AP104" s="24">
        <f t="shared" si="19"/>
        <v>0.29998482527398002</v>
      </c>
    </row>
    <row r="105" spans="1:42" ht="18" x14ac:dyDescent="0.3">
      <c r="A105" s="12" t="s">
        <v>432</v>
      </c>
      <c r="B105" s="12" t="s">
        <v>433</v>
      </c>
      <c r="C105" s="18" t="s">
        <v>434</v>
      </c>
      <c r="D105" s="19"/>
      <c r="E105" s="19"/>
      <c r="F105" s="19" t="s">
        <v>101</v>
      </c>
      <c r="G105" s="20">
        <v>1</v>
      </c>
      <c r="H105" s="20"/>
      <c r="I105" s="20">
        <v>389.75</v>
      </c>
      <c r="J105" s="21">
        <v>0</v>
      </c>
      <c r="K105" s="22">
        <v>106.99</v>
      </c>
      <c r="L105" s="21">
        <f t="shared" si="20"/>
        <v>106.99</v>
      </c>
      <c r="M105" s="21">
        <v>0</v>
      </c>
      <c r="N105" s="21">
        <f t="shared" si="21"/>
        <v>41699.35</v>
      </c>
      <c r="O105" s="21">
        <f t="shared" si="22"/>
        <v>41699.35</v>
      </c>
      <c r="P105" s="21">
        <v>0</v>
      </c>
      <c r="Q105" s="23">
        <v>139.09</v>
      </c>
      <c r="R105" s="21">
        <f t="shared" si="23"/>
        <v>139.09</v>
      </c>
      <c r="S105" s="21">
        <v>0</v>
      </c>
      <c r="T105" s="21">
        <f t="shared" si="24"/>
        <v>54210.33</v>
      </c>
      <c r="U105" s="21">
        <f t="shared" si="25"/>
        <v>54210.33</v>
      </c>
      <c r="V105" s="9"/>
      <c r="W105" s="9">
        <f t="shared" si="26"/>
        <v>115.91</v>
      </c>
      <c r="X105" s="9">
        <f t="shared" si="26"/>
        <v>115.91</v>
      </c>
      <c r="Y105" s="9"/>
      <c r="Z105" s="9">
        <f t="shared" si="27"/>
        <v>45175.28</v>
      </c>
      <c r="AA105" s="9" t="e">
        <f t="shared" si="28"/>
        <v>#VALUE!</v>
      </c>
      <c r="AD105" s="5">
        <v>410200628</v>
      </c>
      <c r="AE105" s="5">
        <v>36659742</v>
      </c>
      <c r="AG105" s="5" t="s">
        <v>435</v>
      </c>
      <c r="AH105" s="5" t="s">
        <v>436</v>
      </c>
      <c r="AI105" s="5" t="s">
        <v>60</v>
      </c>
      <c r="AK105" s="21">
        <f t="shared" si="16"/>
        <v>0</v>
      </c>
      <c r="AL105" s="21">
        <f t="shared" si="18"/>
        <v>12510.98</v>
      </c>
      <c r="AM105" s="21">
        <f t="shared" si="18"/>
        <v>12510.98</v>
      </c>
      <c r="AN105" s="24">
        <f t="shared" si="17"/>
        <v>0</v>
      </c>
      <c r="AO105" s="24">
        <f t="shared" si="19"/>
        <v>0.30002817789726</v>
      </c>
      <c r="AP105" s="24">
        <f t="shared" si="19"/>
        <v>0.30002817789726</v>
      </c>
    </row>
    <row r="106" spans="1:42" ht="18" x14ac:dyDescent="0.3">
      <c r="A106" s="12" t="s">
        <v>437</v>
      </c>
      <c r="B106" s="12" t="s">
        <v>438</v>
      </c>
      <c r="C106" s="18" t="s">
        <v>439</v>
      </c>
      <c r="D106" s="19"/>
      <c r="E106" s="19"/>
      <c r="F106" s="19" t="s">
        <v>57</v>
      </c>
      <c r="G106" s="20">
        <v>1</v>
      </c>
      <c r="H106" s="20"/>
      <c r="I106" s="20">
        <v>506.37</v>
      </c>
      <c r="J106" s="21">
        <v>0</v>
      </c>
      <c r="K106" s="22">
        <v>737</v>
      </c>
      <c r="L106" s="21">
        <f t="shared" si="20"/>
        <v>737</v>
      </c>
      <c r="M106" s="21">
        <v>0</v>
      </c>
      <c r="N106" s="21">
        <f t="shared" si="21"/>
        <v>373194.69</v>
      </c>
      <c r="O106" s="21">
        <f t="shared" si="22"/>
        <v>373194.69</v>
      </c>
      <c r="P106" s="21">
        <v>0</v>
      </c>
      <c r="Q106" s="23">
        <v>958.1</v>
      </c>
      <c r="R106" s="21">
        <f t="shared" si="23"/>
        <v>958.1</v>
      </c>
      <c r="S106" s="21">
        <v>0</v>
      </c>
      <c r="T106" s="21">
        <f t="shared" si="24"/>
        <v>485153.1</v>
      </c>
      <c r="U106" s="21">
        <f t="shared" si="25"/>
        <v>485153.1</v>
      </c>
      <c r="V106" s="9"/>
      <c r="W106" s="9">
        <f t="shared" si="26"/>
        <v>798.42</v>
      </c>
      <c r="X106" s="9">
        <f t="shared" si="26"/>
        <v>798.42</v>
      </c>
      <c r="Y106" s="9"/>
      <c r="Z106" s="9">
        <f t="shared" si="27"/>
        <v>404294.25</v>
      </c>
      <c r="AA106" s="9" t="e">
        <f t="shared" si="28"/>
        <v>#VALUE!</v>
      </c>
      <c r="AD106" s="5">
        <v>410200630</v>
      </c>
      <c r="AE106" s="5">
        <v>36660156</v>
      </c>
      <c r="AG106" s="5" t="s">
        <v>440</v>
      </c>
      <c r="AH106" s="5" t="s">
        <v>441</v>
      </c>
      <c r="AI106" s="5" t="s">
        <v>60</v>
      </c>
      <c r="AK106" s="21">
        <f t="shared" si="16"/>
        <v>0</v>
      </c>
      <c r="AL106" s="21">
        <f t="shared" si="18"/>
        <v>111958.41</v>
      </c>
      <c r="AM106" s="21">
        <f t="shared" si="18"/>
        <v>111958.41</v>
      </c>
      <c r="AN106" s="24">
        <f t="shared" si="17"/>
        <v>0</v>
      </c>
      <c r="AO106" s="24">
        <f t="shared" si="19"/>
        <v>0.30000000803869997</v>
      </c>
      <c r="AP106" s="24">
        <f t="shared" si="19"/>
        <v>0.30000000803869997</v>
      </c>
    </row>
    <row r="107" spans="1:42" ht="36" x14ac:dyDescent="0.3">
      <c r="A107" s="12" t="s">
        <v>442</v>
      </c>
      <c r="B107" s="12" t="s">
        <v>443</v>
      </c>
      <c r="C107" s="18" t="s">
        <v>444</v>
      </c>
      <c r="D107" s="19"/>
      <c r="E107" s="19"/>
      <c r="F107" s="19" t="s">
        <v>57</v>
      </c>
      <c r="G107" s="20">
        <v>1</v>
      </c>
      <c r="H107" s="20"/>
      <c r="I107" s="20">
        <v>938.46</v>
      </c>
      <c r="J107" s="21">
        <v>0</v>
      </c>
      <c r="K107" s="22">
        <v>168.99</v>
      </c>
      <c r="L107" s="21">
        <f t="shared" si="20"/>
        <v>168.99</v>
      </c>
      <c r="M107" s="21">
        <v>0</v>
      </c>
      <c r="N107" s="21">
        <f t="shared" si="21"/>
        <v>158590.35999999999</v>
      </c>
      <c r="O107" s="21">
        <f t="shared" si="22"/>
        <v>158590.35999999999</v>
      </c>
      <c r="P107" s="21">
        <v>0</v>
      </c>
      <c r="Q107" s="23">
        <v>219.69</v>
      </c>
      <c r="R107" s="21">
        <f t="shared" si="23"/>
        <v>219.69</v>
      </c>
      <c r="S107" s="21">
        <v>0</v>
      </c>
      <c r="T107" s="21">
        <f t="shared" si="24"/>
        <v>206170.28</v>
      </c>
      <c r="U107" s="21">
        <f t="shared" si="25"/>
        <v>206170.28</v>
      </c>
      <c r="V107" s="9"/>
      <c r="W107" s="9">
        <f t="shared" si="26"/>
        <v>183.08</v>
      </c>
      <c r="X107" s="9">
        <f t="shared" si="26"/>
        <v>183.08</v>
      </c>
      <c r="Y107" s="9"/>
      <c r="Z107" s="9">
        <f t="shared" si="27"/>
        <v>171808.57</v>
      </c>
      <c r="AA107" s="9" t="e">
        <f t="shared" si="28"/>
        <v>#VALUE!</v>
      </c>
      <c r="AD107" s="5">
        <v>410200632</v>
      </c>
      <c r="AE107" s="5">
        <v>36663235</v>
      </c>
      <c r="AG107" s="5" t="s">
        <v>445</v>
      </c>
      <c r="AH107" s="5" t="s">
        <v>446</v>
      </c>
      <c r="AI107" s="5" t="s">
        <v>60</v>
      </c>
      <c r="AK107" s="21">
        <f t="shared" si="16"/>
        <v>0</v>
      </c>
      <c r="AL107" s="21">
        <f t="shared" si="18"/>
        <v>47579.92</v>
      </c>
      <c r="AM107" s="21">
        <f t="shared" si="18"/>
        <v>47579.92</v>
      </c>
      <c r="AN107" s="24">
        <f t="shared" si="17"/>
        <v>0</v>
      </c>
      <c r="AO107" s="24">
        <f t="shared" si="19"/>
        <v>0.30001773121644998</v>
      </c>
      <c r="AP107" s="24">
        <f t="shared" si="19"/>
        <v>0.30001773121644998</v>
      </c>
    </row>
    <row r="108" spans="1:42" ht="24" customHeight="1" x14ac:dyDescent="0.3">
      <c r="A108" s="34"/>
      <c r="B108" s="34"/>
      <c r="C108" s="34"/>
      <c r="D108" s="35" t="s">
        <v>447</v>
      </c>
      <c r="E108" s="34"/>
      <c r="F108" s="34"/>
      <c r="G108" s="34"/>
      <c r="H108" s="34"/>
      <c r="I108" s="34"/>
      <c r="J108" s="34"/>
      <c r="K108" s="34"/>
      <c r="L108" s="34"/>
      <c r="M108" s="36">
        <f>SUM(M8)</f>
        <v>2092992.38</v>
      </c>
      <c r="N108" s="36">
        <f>SUM(N8)</f>
        <v>6014031.29</v>
      </c>
      <c r="O108" s="36">
        <f t="shared" si="22"/>
        <v>8107023.6699999999</v>
      </c>
      <c r="P108" s="34"/>
      <c r="Q108" s="34"/>
      <c r="R108" s="34"/>
      <c r="S108" s="36">
        <f>SUM(S8)</f>
        <v>2245145.06</v>
      </c>
      <c r="T108" s="36">
        <f>SUM(T8)</f>
        <v>7965177.4000000004</v>
      </c>
      <c r="U108" s="36">
        <f t="shared" si="25"/>
        <v>10210322.460000001</v>
      </c>
      <c r="Y108" s="9">
        <f>SUM(Y8)</f>
        <v>1870954.24</v>
      </c>
      <c r="Z108" s="9">
        <f>SUM(Z8)</f>
        <v>6637647.8499999996</v>
      </c>
      <c r="AA108" s="9">
        <f t="shared" si="28"/>
        <v>8508602.0899999999</v>
      </c>
      <c r="AK108" s="36">
        <f t="shared" si="16"/>
        <v>152152.68</v>
      </c>
      <c r="AL108" s="36">
        <f t="shared" si="18"/>
        <v>1951146.11</v>
      </c>
      <c r="AM108" s="36">
        <f t="shared" si="18"/>
        <v>2103298.79</v>
      </c>
      <c r="AN108" s="37">
        <f t="shared" si="17"/>
        <v>7.2696241732136999E-2</v>
      </c>
      <c r="AO108" s="37">
        <f t="shared" si="19"/>
        <v>0.32443231767754999</v>
      </c>
      <c r="AP108" s="37">
        <f t="shared" si="19"/>
        <v>0.25944155039083999</v>
      </c>
    </row>
    <row r="109" spans="1:42" ht="22.8" x14ac:dyDescent="0.3">
      <c r="A109" s="58" t="s">
        <v>448</v>
      </c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60"/>
    </row>
    <row r="110" spans="1:42" ht="15.6" x14ac:dyDescent="0.3">
      <c r="A110" s="39"/>
      <c r="B110" s="3" t="s">
        <v>449</v>
      </c>
      <c r="C110" s="38" t="s">
        <v>450</v>
      </c>
      <c r="D110" s="38" t="s">
        <v>451</v>
      </c>
      <c r="E110" s="40"/>
      <c r="F110" s="40"/>
      <c r="G110" s="40"/>
      <c r="H110" s="53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54"/>
    </row>
    <row r="111" spans="1:42" ht="15.6" x14ac:dyDescent="0.3">
      <c r="A111" s="39"/>
      <c r="B111" s="3" t="s">
        <v>452</v>
      </c>
      <c r="C111" s="38" t="s">
        <v>453</v>
      </c>
      <c r="D111" s="38" t="s">
        <v>454</v>
      </c>
      <c r="E111" s="40"/>
      <c r="F111" s="40"/>
      <c r="G111" s="40"/>
      <c r="H111" s="53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54"/>
    </row>
    <row r="112" spans="1:42" ht="31.2" x14ac:dyDescent="0.3">
      <c r="A112" s="39"/>
      <c r="B112" s="3" t="s">
        <v>455</v>
      </c>
      <c r="C112" s="38" t="s">
        <v>456</v>
      </c>
      <c r="D112" s="38" t="s">
        <v>457</v>
      </c>
      <c r="E112" s="40"/>
      <c r="F112" s="40"/>
      <c r="G112" s="40"/>
      <c r="H112" s="53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54"/>
    </row>
    <row r="113" spans="1:21" ht="15.6" x14ac:dyDescent="0.3">
      <c r="A113" s="39"/>
      <c r="B113" s="3" t="s">
        <v>458</v>
      </c>
      <c r="C113" s="38" t="s">
        <v>459</v>
      </c>
      <c r="D113" s="38" t="s">
        <v>460</v>
      </c>
      <c r="E113" s="40"/>
      <c r="F113" s="40"/>
      <c r="G113" s="40"/>
      <c r="H113" s="53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54"/>
    </row>
    <row r="114" spans="1:21" ht="15.6" x14ac:dyDescent="0.3">
      <c r="A114" s="39"/>
      <c r="B114" s="3" t="s">
        <v>461</v>
      </c>
      <c r="C114" s="38" t="s">
        <v>462</v>
      </c>
      <c r="D114" s="38" t="s">
        <v>454</v>
      </c>
      <c r="E114" s="40"/>
      <c r="F114" s="40"/>
      <c r="G114" s="40"/>
      <c r="H114" s="53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54"/>
    </row>
    <row r="115" spans="1:21" ht="31.2" x14ac:dyDescent="0.3">
      <c r="A115" s="39"/>
      <c r="B115" s="3" t="s">
        <v>463</v>
      </c>
      <c r="C115" s="38" t="s">
        <v>464</v>
      </c>
      <c r="D115" s="38" t="s">
        <v>465</v>
      </c>
      <c r="E115" s="40"/>
      <c r="F115" s="40"/>
      <c r="G115" s="40"/>
      <c r="H115" s="53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54"/>
    </row>
    <row r="116" spans="1:21" ht="31.2" x14ac:dyDescent="0.3">
      <c r="A116" s="39"/>
      <c r="B116" s="3" t="s">
        <v>466</v>
      </c>
      <c r="C116" s="38" t="s">
        <v>467</v>
      </c>
      <c r="D116" s="38" t="s">
        <v>468</v>
      </c>
      <c r="E116" s="40"/>
      <c r="F116" s="40"/>
      <c r="G116" s="40"/>
      <c r="H116" s="53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54"/>
    </row>
    <row r="117" spans="1:21" ht="15.6" x14ac:dyDescent="0.3">
      <c r="A117" s="39"/>
      <c r="B117" s="3" t="s">
        <v>469</v>
      </c>
      <c r="C117" s="38" t="s">
        <v>470</v>
      </c>
      <c r="D117" s="38" t="s">
        <v>471</v>
      </c>
      <c r="E117" s="40"/>
      <c r="F117" s="40"/>
      <c r="G117" s="40"/>
      <c r="H117" s="53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54"/>
    </row>
    <row r="118" spans="1:21" ht="15.6" x14ac:dyDescent="0.3">
      <c r="A118" s="39"/>
      <c r="B118" s="3" t="s">
        <v>472</v>
      </c>
      <c r="C118" s="38" t="s">
        <v>473</v>
      </c>
      <c r="D118" s="38" t="s">
        <v>474</v>
      </c>
      <c r="E118" s="40"/>
      <c r="F118" s="40"/>
      <c r="G118" s="40"/>
      <c r="H118" s="53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54"/>
    </row>
    <row r="119" spans="1:21" ht="31.2" x14ac:dyDescent="0.3">
      <c r="A119" s="39"/>
      <c r="B119" s="3" t="s">
        <v>475</v>
      </c>
      <c r="C119" s="38" t="s">
        <v>476</v>
      </c>
      <c r="D119" s="38" t="s">
        <v>477</v>
      </c>
      <c r="E119" s="40"/>
      <c r="F119" s="40"/>
      <c r="G119" s="40"/>
      <c r="H119" s="53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54"/>
    </row>
    <row r="120" spans="1:21" ht="46.8" x14ac:dyDescent="0.3">
      <c r="A120" s="39"/>
      <c r="B120" s="3" t="s">
        <v>478</v>
      </c>
      <c r="C120" s="38" t="s">
        <v>479</v>
      </c>
      <c r="D120" s="38" t="s">
        <v>480</v>
      </c>
      <c r="E120" s="40"/>
      <c r="F120" s="40"/>
      <c r="G120" s="40"/>
      <c r="H120" s="53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54"/>
    </row>
    <row r="121" spans="1:21" ht="31.2" x14ac:dyDescent="0.3">
      <c r="A121" s="39"/>
      <c r="B121" s="3" t="s">
        <v>481</v>
      </c>
      <c r="C121" s="38" t="s">
        <v>482</v>
      </c>
      <c r="D121" s="38" t="s">
        <v>483</v>
      </c>
      <c r="E121" s="40"/>
      <c r="F121" s="40"/>
      <c r="G121" s="40"/>
      <c r="H121" s="53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54"/>
    </row>
    <row r="122" spans="1:21" ht="15.6" x14ac:dyDescent="0.3">
      <c r="A122" s="39"/>
      <c r="B122" s="3" t="s">
        <v>484</v>
      </c>
      <c r="C122" s="38" t="s">
        <v>485</v>
      </c>
      <c r="D122" s="38" t="s">
        <v>486</v>
      </c>
      <c r="E122" s="40"/>
      <c r="F122" s="40"/>
      <c r="G122" s="40"/>
      <c r="H122" s="53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54"/>
    </row>
    <row r="123" spans="1:21" ht="48" customHeight="1" x14ac:dyDescent="0.3">
      <c r="A123" s="39"/>
      <c r="B123" s="3" t="s">
        <v>487</v>
      </c>
      <c r="C123" s="38" t="s">
        <v>488</v>
      </c>
      <c r="D123" s="38" t="s">
        <v>489</v>
      </c>
      <c r="E123" s="40"/>
      <c r="F123" s="40"/>
      <c r="G123" s="40"/>
      <c r="H123" s="53" t="s">
        <v>490</v>
      </c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54"/>
    </row>
    <row r="124" spans="1:21" ht="15.6" x14ac:dyDescent="0.3">
      <c r="A124" s="39"/>
      <c r="B124" s="3" t="s">
        <v>491</v>
      </c>
      <c r="C124" s="38" t="s">
        <v>492</v>
      </c>
      <c r="D124" s="38" t="s">
        <v>493</v>
      </c>
      <c r="E124" s="40"/>
      <c r="F124" s="40"/>
      <c r="G124" s="40"/>
      <c r="H124" s="53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54"/>
    </row>
    <row r="125" spans="1:21" ht="15.6" x14ac:dyDescent="0.3">
      <c r="A125" s="39"/>
      <c r="B125" s="3" t="s">
        <v>494</v>
      </c>
      <c r="C125" s="38" t="s">
        <v>495</v>
      </c>
      <c r="D125" s="40"/>
      <c r="E125" s="40"/>
      <c r="F125" s="40"/>
      <c r="G125" s="40"/>
      <c r="H125" s="53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54"/>
    </row>
    <row r="126" spans="1:21" ht="15.6" x14ac:dyDescent="0.3">
      <c r="A126" s="39"/>
      <c r="B126" s="3" t="s">
        <v>496</v>
      </c>
      <c r="C126" s="38" t="s">
        <v>497</v>
      </c>
      <c r="D126" s="40"/>
      <c r="E126" s="40"/>
      <c r="F126" s="40"/>
      <c r="G126" s="40"/>
      <c r="H126" s="53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54"/>
    </row>
    <row r="127" spans="1:21" ht="15.6" x14ac:dyDescent="0.3">
      <c r="A127" s="39"/>
      <c r="B127" s="3" t="s">
        <v>498</v>
      </c>
      <c r="C127" s="38" t="s">
        <v>499</v>
      </c>
      <c r="D127" s="40"/>
      <c r="E127" s="40"/>
      <c r="F127" s="40"/>
      <c r="G127" s="40"/>
      <c r="H127" s="53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54"/>
    </row>
  </sheetData>
  <sheetProtection password="C644" sheet="1" formatColumns="0" autoFilter="0"/>
  <autoFilter ref="A7:U7"/>
  <mergeCells count="62">
    <mergeCell ref="H127:U127"/>
    <mergeCell ref="H122:U122"/>
    <mergeCell ref="H123:U123"/>
    <mergeCell ref="H124:U124"/>
    <mergeCell ref="H125:U125"/>
    <mergeCell ref="H126:U126"/>
    <mergeCell ref="H117:U117"/>
    <mergeCell ref="H118:U118"/>
    <mergeCell ref="H119:U119"/>
    <mergeCell ref="H120:U120"/>
    <mergeCell ref="H121:U121"/>
    <mergeCell ref="H112:U112"/>
    <mergeCell ref="H113:U113"/>
    <mergeCell ref="H114:U114"/>
    <mergeCell ref="H115:U115"/>
    <mergeCell ref="H116:U116"/>
    <mergeCell ref="C60:I60"/>
    <mergeCell ref="C101:I101"/>
    <mergeCell ref="A109:U109"/>
    <mergeCell ref="H110:U110"/>
    <mergeCell ref="H111:U111"/>
    <mergeCell ref="C22:I22"/>
    <mergeCell ref="C32:I32"/>
    <mergeCell ref="C34:I34"/>
    <mergeCell ref="C37:I37"/>
    <mergeCell ref="C38:I38"/>
    <mergeCell ref="C11:I11"/>
    <mergeCell ref="C12:I12"/>
    <mergeCell ref="C13:I13"/>
    <mergeCell ref="C19:I19"/>
    <mergeCell ref="C21:I21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K5:AP5"/>
    <mergeCell ref="AK6:AL6"/>
    <mergeCell ref="AM6:AM7"/>
    <mergeCell ref="AN6:AO6"/>
    <mergeCell ref="AP6:AP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7"/>
  <sheetViews>
    <sheetView tabSelected="1" topLeftCell="B82" zoomScale="55" zoomScaleNormal="55" workbookViewId="0">
      <selection activeCell="C104" sqref="C104"/>
    </sheetView>
  </sheetViews>
  <sheetFormatPr defaultRowHeight="14.4" x14ac:dyDescent="0.3"/>
  <cols>
    <col min="1" max="1" width="6.5546875" hidden="1" customWidth="1"/>
    <col min="2" max="2" width="15.6640625" customWidth="1"/>
    <col min="3" max="3" width="55.6640625" customWidth="1"/>
    <col min="4" max="4" width="26.6640625" customWidth="1"/>
    <col min="5" max="5" width="32.77734375" customWidth="1"/>
    <col min="6" max="6" width="8.88671875" bestFit="1" customWidth="1"/>
    <col min="7" max="7" width="14.44140625" customWidth="1"/>
    <col min="8" max="8" width="16" hidden="1" customWidth="1"/>
    <col min="9" max="9" width="16.77734375" customWidth="1"/>
    <col min="10" max="10" width="16" hidden="1" customWidth="1"/>
    <col min="11" max="11" width="17" hidden="1" customWidth="1"/>
    <col min="12" max="12" width="17.6640625" hidden="1" customWidth="1"/>
    <col min="13" max="13" width="18" hidden="1" customWidth="1"/>
    <col min="14" max="14" width="18.77734375" hidden="1" customWidth="1"/>
    <col min="15" max="15" width="23.6640625" hidden="1" customWidth="1"/>
    <col min="16" max="16" width="16" hidden="1" customWidth="1"/>
    <col min="17" max="17" width="17" hidden="1" customWidth="1"/>
    <col min="18" max="18" width="17.6640625" hidden="1" customWidth="1"/>
    <col min="19" max="19" width="18" hidden="1" customWidth="1"/>
    <col min="20" max="20" width="18.77734375" hidden="1" customWidth="1"/>
    <col min="21" max="21" width="23.6640625" hidden="1" customWidth="1"/>
    <col min="22" max="35" width="9.109375" hidden="1" customWidth="1"/>
    <col min="36" max="36" width="0" hidden="1" customWidth="1"/>
    <col min="37" max="38" width="17.21875" hidden="1" customWidth="1"/>
    <col min="39" max="39" width="22.88671875" hidden="1" customWidth="1"/>
    <col min="40" max="41" width="17.21875" hidden="1" customWidth="1"/>
    <col min="42" max="42" width="22.88671875" hidden="1" customWidth="1"/>
  </cols>
  <sheetData>
    <row r="1" spans="1:42" ht="15" customHeight="1" x14ac:dyDescent="0.3">
      <c r="A1" s="1" t="s">
        <v>0</v>
      </c>
      <c r="B1" s="4"/>
      <c r="C1" s="4"/>
      <c r="D1" s="2" t="s">
        <v>1</v>
      </c>
      <c r="E1" s="2" t="s">
        <v>3</v>
      </c>
      <c r="F1" s="2" t="s">
        <v>2</v>
      </c>
      <c r="G1" s="2" t="s">
        <v>16</v>
      </c>
      <c r="H1" s="2" t="s">
        <v>17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AC1" s="5" t="s">
        <v>18</v>
      </c>
      <c r="AD1" s="5" t="s">
        <v>19</v>
      </c>
      <c r="AE1" s="5" t="s">
        <v>20</v>
      </c>
      <c r="AF1" s="5" t="s">
        <v>21</v>
      </c>
      <c r="AG1" s="5" t="s">
        <v>22</v>
      </c>
      <c r="AH1" s="5" t="s">
        <v>23</v>
      </c>
      <c r="AI1" s="5" t="s">
        <v>24</v>
      </c>
    </row>
    <row r="2" spans="1:42" ht="30.75" customHeight="1" x14ac:dyDescent="0.3">
      <c r="A2" s="41" t="s">
        <v>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42" ht="15" customHeight="1" x14ac:dyDescent="0.3">
      <c r="A3" s="42" t="s">
        <v>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</row>
    <row r="4" spans="1:42" ht="15" customHeight="1" x14ac:dyDescent="0.3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</row>
    <row r="5" spans="1:42" ht="40.799999999999997" customHeight="1" x14ac:dyDescent="0.3">
      <c r="A5" s="55" t="s">
        <v>25</v>
      </c>
      <c r="B5" s="55" t="s">
        <v>26</v>
      </c>
      <c r="C5" s="55" t="s">
        <v>27</v>
      </c>
      <c r="D5" s="55" t="s">
        <v>28</v>
      </c>
      <c r="E5" s="55" t="s">
        <v>29</v>
      </c>
      <c r="F5" s="55" t="s">
        <v>30</v>
      </c>
      <c r="G5" s="55" t="s">
        <v>31</v>
      </c>
      <c r="H5" s="55" t="s">
        <v>32</v>
      </c>
      <c r="I5" s="55" t="s">
        <v>33</v>
      </c>
      <c r="J5" s="44" t="s">
        <v>7</v>
      </c>
      <c r="K5" s="45"/>
      <c r="L5" s="45"/>
      <c r="M5" s="45"/>
      <c r="N5" s="45"/>
      <c r="O5" s="46"/>
      <c r="P5" s="47" t="s">
        <v>8</v>
      </c>
      <c r="Q5" s="48"/>
      <c r="R5" s="49"/>
      <c r="S5" s="47" t="s">
        <v>9</v>
      </c>
      <c r="T5" s="48"/>
      <c r="U5" s="49"/>
      <c r="AK5" s="50" t="s">
        <v>10</v>
      </c>
      <c r="AL5" s="51"/>
      <c r="AM5" s="51"/>
      <c r="AN5" s="51"/>
      <c r="AO5" s="51"/>
      <c r="AP5" s="52"/>
    </row>
    <row r="6" spans="1:42" ht="15.75" customHeight="1" x14ac:dyDescent="0.3">
      <c r="A6" s="57"/>
      <c r="B6" s="57"/>
      <c r="C6" s="57"/>
      <c r="D6" s="57"/>
      <c r="E6" s="57"/>
      <c r="F6" s="57"/>
      <c r="G6" s="57"/>
      <c r="H6" s="57"/>
      <c r="I6" s="57"/>
      <c r="J6" s="53" t="s">
        <v>34</v>
      </c>
      <c r="K6" s="54"/>
      <c r="L6" s="55" t="s">
        <v>34</v>
      </c>
      <c r="M6" s="53" t="s">
        <v>35</v>
      </c>
      <c r="N6" s="54"/>
      <c r="O6" s="55" t="s">
        <v>36</v>
      </c>
      <c r="P6" s="53" t="s">
        <v>34</v>
      </c>
      <c r="Q6" s="54"/>
      <c r="R6" s="55" t="s">
        <v>34</v>
      </c>
      <c r="S6" s="53" t="s">
        <v>35</v>
      </c>
      <c r="T6" s="54"/>
      <c r="U6" s="55" t="s">
        <v>36</v>
      </c>
      <c r="AK6" s="53" t="s">
        <v>11</v>
      </c>
      <c r="AL6" s="54"/>
      <c r="AM6" s="55" t="s">
        <v>14</v>
      </c>
      <c r="AN6" s="53" t="s">
        <v>15</v>
      </c>
      <c r="AO6" s="54"/>
      <c r="AP6" s="55" t="s">
        <v>14</v>
      </c>
    </row>
    <row r="7" spans="1:42" ht="31.2" customHeight="1" x14ac:dyDescent="0.3">
      <c r="A7" s="56"/>
      <c r="B7" s="56"/>
      <c r="C7" s="56"/>
      <c r="D7" s="56"/>
      <c r="E7" s="56"/>
      <c r="F7" s="56"/>
      <c r="G7" s="56"/>
      <c r="H7" s="56"/>
      <c r="I7" s="56"/>
      <c r="J7" s="3" t="s">
        <v>12</v>
      </c>
      <c r="K7" s="3" t="s">
        <v>13</v>
      </c>
      <c r="L7" s="56"/>
      <c r="M7" s="3" t="s">
        <v>12</v>
      </c>
      <c r="N7" s="3" t="s">
        <v>13</v>
      </c>
      <c r="O7" s="56"/>
      <c r="P7" s="3" t="s">
        <v>12</v>
      </c>
      <c r="Q7" s="3" t="s">
        <v>13</v>
      </c>
      <c r="R7" s="56"/>
      <c r="S7" s="3" t="s">
        <v>12</v>
      </c>
      <c r="T7" s="3" t="s">
        <v>13</v>
      </c>
      <c r="U7" s="56"/>
      <c r="AK7" s="3" t="s">
        <v>12</v>
      </c>
      <c r="AL7" s="3" t="s">
        <v>13</v>
      </c>
      <c r="AM7" s="56"/>
      <c r="AN7" s="3" t="s">
        <v>12</v>
      </c>
      <c r="AO7" s="3" t="s">
        <v>13</v>
      </c>
      <c r="AP7" s="56"/>
    </row>
    <row r="8" spans="1:42" ht="30" customHeight="1" x14ac:dyDescent="0.3">
      <c r="A8" s="58" t="s">
        <v>37</v>
      </c>
      <c r="B8" s="59"/>
      <c r="C8" s="59"/>
      <c r="D8" s="59"/>
      <c r="E8" s="59"/>
      <c r="F8" s="59"/>
      <c r="G8" s="59"/>
      <c r="H8" s="59"/>
      <c r="I8" s="60"/>
      <c r="J8" s="7"/>
      <c r="K8" s="7"/>
      <c r="L8" s="7"/>
      <c r="M8" s="8">
        <f t="shared" ref="M8:O9" si="0">SUM(M9)</f>
        <v>2092992.38</v>
      </c>
      <c r="N8" s="8">
        <f t="shared" si="0"/>
        <v>6014031.2899999991</v>
      </c>
      <c r="O8" s="8">
        <f t="shared" si="0"/>
        <v>8107023.6699999981</v>
      </c>
      <c r="P8" s="7"/>
      <c r="Q8" s="7"/>
      <c r="R8" s="7"/>
      <c r="S8" s="8">
        <f t="shared" ref="S8:U9" si="1">SUM(S9)</f>
        <v>2245145.06</v>
      </c>
      <c r="T8" s="8">
        <f t="shared" si="1"/>
        <v>7965177.4000000004</v>
      </c>
      <c r="U8" s="8">
        <f t="shared" si="1"/>
        <v>10210322.459999999</v>
      </c>
      <c r="Y8" s="9">
        <f t="shared" ref="Y8:AA9" si="2">SUM(Y9)</f>
        <v>1870954.24</v>
      </c>
      <c r="Z8" s="9">
        <f t="shared" si="2"/>
        <v>6637647.8499999996</v>
      </c>
      <c r="AA8" s="9">
        <f t="shared" si="2"/>
        <v>8508602.0899999999</v>
      </c>
      <c r="AC8" s="5" t="s">
        <v>38</v>
      </c>
      <c r="AK8" s="8">
        <f t="shared" ref="AK8:AM23" si="3">S8-M8</f>
        <v>152152.68000000017</v>
      </c>
      <c r="AL8" s="8">
        <f t="shared" si="3"/>
        <v>1951146.1100000013</v>
      </c>
      <c r="AM8" s="8">
        <f t="shared" si="3"/>
        <v>2103298.790000001</v>
      </c>
      <c r="AN8" s="11">
        <f t="shared" ref="AN8:AP23" si="4">IFERROR(AK8/M8,0)</f>
        <v>7.2696241732136735E-2</v>
      </c>
      <c r="AO8" s="11">
        <f t="shared" si="4"/>
        <v>0.32443231767754926</v>
      </c>
      <c r="AP8" s="11">
        <f t="shared" si="4"/>
        <v>0.25944155039083555</v>
      </c>
    </row>
    <row r="9" spans="1:42" ht="16.95" customHeight="1" x14ac:dyDescent="0.3">
      <c r="A9" s="12" t="s">
        <v>39</v>
      </c>
      <c r="B9" s="13" t="s">
        <v>40</v>
      </c>
      <c r="C9" s="61" t="s">
        <v>41</v>
      </c>
      <c r="D9" s="62"/>
      <c r="E9" s="62"/>
      <c r="F9" s="62"/>
      <c r="G9" s="62"/>
      <c r="H9" s="62"/>
      <c r="I9" s="63"/>
      <c r="M9" s="6">
        <f t="shared" si="0"/>
        <v>2092992.38</v>
      </c>
      <c r="N9" s="6">
        <f t="shared" si="0"/>
        <v>6014031.2899999991</v>
      </c>
      <c r="O9" s="6">
        <f t="shared" si="0"/>
        <v>8107023.6699999981</v>
      </c>
      <c r="S9" s="6">
        <f t="shared" si="1"/>
        <v>2245145.06</v>
      </c>
      <c r="T9" s="6">
        <f t="shared" si="1"/>
        <v>7965177.4000000004</v>
      </c>
      <c r="U9" s="6">
        <f t="shared" si="1"/>
        <v>10210322.459999999</v>
      </c>
      <c r="Y9" s="9">
        <f t="shared" si="2"/>
        <v>1870954.24</v>
      </c>
      <c r="Z9" s="9">
        <f t="shared" si="2"/>
        <v>6637647.8499999996</v>
      </c>
      <c r="AA9" s="9">
        <f t="shared" si="2"/>
        <v>8508602.0899999999</v>
      </c>
      <c r="AD9" s="5">
        <v>410200577</v>
      </c>
      <c r="AE9" s="5">
        <v>21662432</v>
      </c>
      <c r="AK9" s="6">
        <f t="shared" si="3"/>
        <v>152152.68000000017</v>
      </c>
      <c r="AL9" s="6">
        <f t="shared" si="3"/>
        <v>1951146.1100000013</v>
      </c>
      <c r="AM9" s="6">
        <f t="shared" si="3"/>
        <v>2103298.790000001</v>
      </c>
      <c r="AN9" s="10">
        <f t="shared" si="4"/>
        <v>7.2696241732136735E-2</v>
      </c>
      <c r="AO9" s="10">
        <f t="shared" si="4"/>
        <v>0.32443231767754926</v>
      </c>
      <c r="AP9" s="10">
        <f t="shared" si="4"/>
        <v>0.25944155039083555</v>
      </c>
    </row>
    <row r="10" spans="1:42" ht="16.95" customHeight="1" x14ac:dyDescent="0.3">
      <c r="A10" s="12" t="s">
        <v>42</v>
      </c>
      <c r="B10" s="14" t="s">
        <v>43</v>
      </c>
      <c r="C10" s="64" t="s">
        <v>44</v>
      </c>
      <c r="D10" s="65"/>
      <c r="E10" s="65"/>
      <c r="F10" s="65"/>
      <c r="G10" s="65"/>
      <c r="H10" s="65"/>
      <c r="I10" s="66"/>
      <c r="M10" s="6">
        <f>SUM(M11,M37)</f>
        <v>2092992.38</v>
      </c>
      <c r="N10" s="6">
        <f>SUM(N11,N37)</f>
        <v>6014031.2899999991</v>
      </c>
      <c r="O10" s="6">
        <f>SUM(O11,O37)</f>
        <v>8107023.6699999981</v>
      </c>
      <c r="S10" s="6">
        <f>SUM(S11,S37)</f>
        <v>2245145.06</v>
      </c>
      <c r="T10" s="6">
        <f>SUM(T11,T37)</f>
        <v>7965177.4000000004</v>
      </c>
      <c r="U10" s="6">
        <f>SUM(U11,U37)</f>
        <v>10210322.459999999</v>
      </c>
      <c r="Y10" s="9">
        <f>SUM(Y11,Y37)</f>
        <v>1870954.24</v>
      </c>
      <c r="Z10" s="9">
        <f>SUM(Z11,Z37)</f>
        <v>6637647.8499999996</v>
      </c>
      <c r="AA10" s="9">
        <f>SUM(AA11,AA37)</f>
        <v>8508602.0899999999</v>
      </c>
      <c r="AD10" s="5">
        <v>410200578</v>
      </c>
      <c r="AE10" s="5">
        <v>21662434</v>
      </c>
      <c r="AK10" s="6">
        <f t="shared" si="3"/>
        <v>152152.68000000017</v>
      </c>
      <c r="AL10" s="6">
        <f t="shared" si="3"/>
        <v>1951146.1100000013</v>
      </c>
      <c r="AM10" s="6">
        <f t="shared" si="3"/>
        <v>2103298.790000001</v>
      </c>
      <c r="AN10" s="10">
        <f t="shared" si="4"/>
        <v>7.2696241732136735E-2</v>
      </c>
      <c r="AO10" s="10">
        <f t="shared" si="4"/>
        <v>0.32443231767754926</v>
      </c>
      <c r="AP10" s="10">
        <f t="shared" si="4"/>
        <v>0.25944155039083555</v>
      </c>
    </row>
    <row r="11" spans="1:42" ht="16.95" customHeight="1" x14ac:dyDescent="0.3">
      <c r="A11" s="12" t="s">
        <v>45</v>
      </c>
      <c r="B11" s="15" t="s">
        <v>46</v>
      </c>
      <c r="C11" s="67" t="s">
        <v>47</v>
      </c>
      <c r="D11" s="68"/>
      <c r="E11" s="68"/>
      <c r="F11" s="68"/>
      <c r="G11" s="68"/>
      <c r="H11" s="68"/>
      <c r="I11" s="69"/>
      <c r="M11" s="6">
        <f>SUM(M12,M21,M34)</f>
        <v>116070.51999999999</v>
      </c>
      <c r="N11" s="6">
        <f>SUM(N12,N21,N34)</f>
        <v>247327.58000000002</v>
      </c>
      <c r="O11" s="6">
        <f>SUM(O12,O21,O34)</f>
        <v>363398.1</v>
      </c>
      <c r="S11" s="6">
        <f>SUM(S12,S21,S34)</f>
        <v>116070.51999999999</v>
      </c>
      <c r="T11" s="6">
        <f>SUM(T12,T21,T34)</f>
        <v>321525.38</v>
      </c>
      <c r="U11" s="6">
        <f>SUM(U12,U21,U34)</f>
        <v>437595.89999999997</v>
      </c>
      <c r="Y11" s="9">
        <f>SUM(Y12,Y21,Y34)</f>
        <v>96725.43</v>
      </c>
      <c r="Z11" s="9">
        <f>SUM(Z12,Z21,Z34)</f>
        <v>267937.81</v>
      </c>
      <c r="AA11" s="9">
        <f>SUM(AA12,AA21,AA34)</f>
        <v>364663.24</v>
      </c>
      <c r="AD11" s="5">
        <v>410200579</v>
      </c>
      <c r="AE11" s="5">
        <v>21662440</v>
      </c>
      <c r="AK11" s="6">
        <f t="shared" si="3"/>
        <v>0</v>
      </c>
      <c r="AL11" s="6">
        <f t="shared" si="3"/>
        <v>74197.799999999988</v>
      </c>
      <c r="AM11" s="6">
        <f t="shared" si="3"/>
        <v>74197.799999999988</v>
      </c>
      <c r="AN11" s="10">
        <f t="shared" si="4"/>
        <v>0</v>
      </c>
      <c r="AO11" s="10">
        <f t="shared" si="4"/>
        <v>0.29999808351337115</v>
      </c>
      <c r="AP11" s="10">
        <f t="shared" si="4"/>
        <v>0.20417773235468209</v>
      </c>
    </row>
    <row r="12" spans="1:42" ht="16.95" customHeight="1" x14ac:dyDescent="0.3">
      <c r="A12" s="12" t="s">
        <v>48</v>
      </c>
      <c r="B12" s="16" t="s">
        <v>49</v>
      </c>
      <c r="C12" s="70" t="s">
        <v>50</v>
      </c>
      <c r="D12" s="71"/>
      <c r="E12" s="71"/>
      <c r="F12" s="71"/>
      <c r="G12" s="71"/>
      <c r="H12" s="71"/>
      <c r="I12" s="72"/>
      <c r="M12" s="6">
        <f>SUM(M13,M19)</f>
        <v>56190.67</v>
      </c>
      <c r="N12" s="6">
        <f>SUM(N13,N19)</f>
        <v>91854</v>
      </c>
      <c r="O12" s="6">
        <f>SUM(O13,O19)</f>
        <v>148044.66999999998</v>
      </c>
      <c r="S12" s="6">
        <f>SUM(S13,S19)</f>
        <v>56190.67</v>
      </c>
      <c r="T12" s="6">
        <f>SUM(T13,T19)</f>
        <v>119410.20000000001</v>
      </c>
      <c r="U12" s="6">
        <f>SUM(U13,U19)</f>
        <v>175600.87</v>
      </c>
      <c r="Y12" s="9">
        <f>SUM(Y13,Y19)</f>
        <v>46825.56</v>
      </c>
      <c r="Z12" s="9">
        <f>SUM(Z13,Z19)</f>
        <v>99508.5</v>
      </c>
      <c r="AA12" s="9">
        <f>SUM(AA13,AA19)</f>
        <v>146334.06</v>
      </c>
      <c r="AD12" s="5">
        <v>410200580</v>
      </c>
      <c r="AE12" s="5">
        <v>21662437</v>
      </c>
      <c r="AK12" s="6">
        <f t="shared" si="3"/>
        <v>0</v>
      </c>
      <c r="AL12" s="6">
        <f t="shared" si="3"/>
        <v>27556.200000000012</v>
      </c>
      <c r="AM12" s="6">
        <f t="shared" si="3"/>
        <v>27556.200000000012</v>
      </c>
      <c r="AN12" s="10">
        <f t="shared" si="4"/>
        <v>0</v>
      </c>
      <c r="AO12" s="10">
        <f t="shared" si="4"/>
        <v>0.3000000000000001</v>
      </c>
      <c r="AP12" s="10">
        <f t="shared" si="4"/>
        <v>0.18613436066290001</v>
      </c>
    </row>
    <row r="13" spans="1:42" ht="16.95" customHeight="1" x14ac:dyDescent="0.3">
      <c r="A13" s="12" t="s">
        <v>51</v>
      </c>
      <c r="B13" s="17" t="s">
        <v>52</v>
      </c>
      <c r="C13" s="73" t="s">
        <v>53</v>
      </c>
      <c r="D13" s="74"/>
      <c r="E13" s="74"/>
      <c r="F13" s="74"/>
      <c r="G13" s="74"/>
      <c r="H13" s="74"/>
      <c r="I13" s="75"/>
      <c r="M13" s="6">
        <f>SUM(M14)</f>
        <v>56190.67</v>
      </c>
      <c r="N13" s="6">
        <f>SUM(N14)</f>
        <v>65091.6</v>
      </c>
      <c r="O13" s="6">
        <f>SUM(O14)</f>
        <v>121282.26999999999</v>
      </c>
      <c r="S13" s="6">
        <f>SUM(S14)</f>
        <v>56190.67</v>
      </c>
      <c r="T13" s="6">
        <f>SUM(T14)</f>
        <v>84619.08</v>
      </c>
      <c r="U13" s="6">
        <f>SUM(U14)</f>
        <v>140809.75</v>
      </c>
      <c r="Y13" s="9">
        <f>SUM(Y14)</f>
        <v>46825.56</v>
      </c>
      <c r="Z13" s="9">
        <f>SUM(Z14)</f>
        <v>70515.899999999994</v>
      </c>
      <c r="AA13" s="9">
        <f>SUM(AA14)</f>
        <v>117341.45999999999</v>
      </c>
      <c r="AD13" s="5">
        <v>410200581</v>
      </c>
      <c r="AE13" s="5">
        <v>36662402</v>
      </c>
      <c r="AK13" s="6">
        <f t="shared" si="3"/>
        <v>0</v>
      </c>
      <c r="AL13" s="6">
        <f t="shared" si="3"/>
        <v>19527.480000000003</v>
      </c>
      <c r="AM13" s="6">
        <f t="shared" si="3"/>
        <v>19527.48000000001</v>
      </c>
      <c r="AN13" s="10">
        <f t="shared" si="4"/>
        <v>0</v>
      </c>
      <c r="AO13" s="10">
        <f t="shared" si="4"/>
        <v>0.30000000000000004</v>
      </c>
      <c r="AP13" s="10">
        <f t="shared" si="4"/>
        <v>0.16100852993599157</v>
      </c>
    </row>
    <row r="14" spans="1:42" ht="54" x14ac:dyDescent="0.3">
      <c r="A14" s="12" t="s">
        <v>54</v>
      </c>
      <c r="B14" s="12" t="s">
        <v>55</v>
      </c>
      <c r="C14" s="18" t="s">
        <v>56</v>
      </c>
      <c r="D14" s="19"/>
      <c r="E14" s="19"/>
      <c r="F14" s="19" t="s">
        <v>57</v>
      </c>
      <c r="G14" s="20">
        <v>1</v>
      </c>
      <c r="H14" s="20"/>
      <c r="I14" s="20">
        <v>32.4</v>
      </c>
      <c r="J14" s="21">
        <f>IFERROR(ROUND(SUM(M15,M16,M17,M18)/I14, 2),0)</f>
        <v>1734.28</v>
      </c>
      <c r="K14" s="22">
        <v>2009</v>
      </c>
      <c r="L14" s="21">
        <f>J14+ROUND(K14, 2)</f>
        <v>3743.2799999999997</v>
      </c>
      <c r="M14" s="21">
        <f>ROUND(J14*I14, 2)</f>
        <v>56190.67</v>
      </c>
      <c r="N14" s="21">
        <f>ROUND(I14*ROUND(K14, 2), 2)</f>
        <v>65091.6</v>
      </c>
      <c r="O14" s="21">
        <f>M14+N14</f>
        <v>121282.26999999999</v>
      </c>
      <c r="P14" s="21">
        <f>IFERROR(ROUND(SUM(S15,S16,S17,S18)/I14, 2),0)</f>
        <v>1734.28</v>
      </c>
      <c r="Q14" s="23">
        <v>2611.6999999999998</v>
      </c>
      <c r="R14" s="21">
        <f>P14+ROUND(Q14, 2)</f>
        <v>4345.9799999999996</v>
      </c>
      <c r="S14" s="21">
        <f>ROUND(P14*I14, 2)</f>
        <v>56190.67</v>
      </c>
      <c r="T14" s="21">
        <f>ROUND(I14*ROUND(Q14, 2), 2)</f>
        <v>84619.08</v>
      </c>
      <c r="U14" s="21">
        <f>S14+T14</f>
        <v>140809.75</v>
      </c>
      <c r="V14" s="9">
        <f>ROUND(P14 / 1.2, 2)</f>
        <v>1445.23</v>
      </c>
      <c r="W14" s="9">
        <f>ROUND(Q14 / 1.2, 2)</f>
        <v>2176.42</v>
      </c>
      <c r="X14" s="9">
        <f>ROUND(R14 / 1.2, 2)</f>
        <v>3621.65</v>
      </c>
      <c r="Y14" s="9">
        <f>ROUND(S14 / 1.2, 2)</f>
        <v>46825.56</v>
      </c>
      <c r="Z14" s="9">
        <f>ROUND(T14 / 1.2, 2)</f>
        <v>70515.899999999994</v>
      </c>
      <c r="AA14" s="9">
        <f>Y14+Z14</f>
        <v>117341.45999999999</v>
      </c>
      <c r="AD14" s="5">
        <v>410200583</v>
      </c>
      <c r="AE14" s="5">
        <v>36662397</v>
      </c>
      <c r="AG14" s="5" t="s">
        <v>58</v>
      </c>
      <c r="AH14" s="5" t="s">
        <v>59</v>
      </c>
      <c r="AI14" s="5" t="s">
        <v>60</v>
      </c>
      <c r="AK14" s="21">
        <f t="shared" si="3"/>
        <v>0</v>
      </c>
      <c r="AL14" s="21">
        <f t="shared" si="3"/>
        <v>19527.480000000003</v>
      </c>
      <c r="AM14" s="21">
        <f t="shared" si="3"/>
        <v>19527.48000000001</v>
      </c>
      <c r="AN14" s="24">
        <f t="shared" si="4"/>
        <v>0</v>
      </c>
      <c r="AO14" s="24">
        <f t="shared" si="4"/>
        <v>0.30000000000000004</v>
      </c>
      <c r="AP14" s="24">
        <f t="shared" si="4"/>
        <v>0.16100852993599157</v>
      </c>
    </row>
    <row r="15" spans="1:42" ht="36" x14ac:dyDescent="0.3">
      <c r="A15" s="12" t="s">
        <v>61</v>
      </c>
      <c r="B15" s="12"/>
      <c r="C15" s="25" t="s">
        <v>62</v>
      </c>
      <c r="D15" s="19"/>
      <c r="E15" s="19"/>
      <c r="F15" s="26" t="s">
        <v>63</v>
      </c>
      <c r="G15" s="27">
        <v>0.15</v>
      </c>
      <c r="H15" s="27"/>
      <c r="I15" s="27">
        <v>4.8600000000000003</v>
      </c>
      <c r="J15" s="28">
        <v>90.28</v>
      </c>
      <c r="M15" s="29">
        <f>ROUND(ROUND(J15, 2)*I15, 2)</f>
        <v>438.76</v>
      </c>
      <c r="P15" s="30">
        <v>90.28</v>
      </c>
      <c r="S15" s="29">
        <f>ROUND(ROUND(P15, 2)*I15, 2)</f>
        <v>438.76</v>
      </c>
      <c r="V15" s="9">
        <f>ROUND(ROUND(P15, 2)/1.2, 2)</f>
        <v>75.23</v>
      </c>
      <c r="Y15" s="9">
        <f>ROUND(S15 / 1.2, 2)</f>
        <v>365.63</v>
      </c>
      <c r="AD15" s="5" t="s">
        <v>64</v>
      </c>
      <c r="AE15" s="5" t="s">
        <v>65</v>
      </c>
      <c r="AF15" s="5" t="s">
        <v>66</v>
      </c>
      <c r="AK15" s="29">
        <f t="shared" si="3"/>
        <v>0</v>
      </c>
      <c r="AL15" s="29"/>
      <c r="AM15" s="29"/>
      <c r="AN15" s="31">
        <f t="shared" si="4"/>
        <v>0</v>
      </c>
      <c r="AO15" s="29"/>
      <c r="AP15" s="29"/>
    </row>
    <row r="16" spans="1:42" ht="18" x14ac:dyDescent="0.3">
      <c r="A16" s="12" t="s">
        <v>67</v>
      </c>
      <c r="B16" s="12"/>
      <c r="C16" s="25" t="s">
        <v>68</v>
      </c>
      <c r="D16" s="19"/>
      <c r="E16" s="19"/>
      <c r="F16" s="26" t="s">
        <v>63</v>
      </c>
      <c r="G16" s="27">
        <v>0.25</v>
      </c>
      <c r="H16" s="27"/>
      <c r="I16" s="27">
        <v>8.1</v>
      </c>
      <c r="J16" s="28">
        <v>48.23</v>
      </c>
      <c r="M16" s="29">
        <f>ROUND(ROUND(J16, 2)*I16, 2)</f>
        <v>390.66</v>
      </c>
      <c r="P16" s="30">
        <v>48.23</v>
      </c>
      <c r="S16" s="29">
        <f>ROUND(ROUND(P16, 2)*I16, 2)</f>
        <v>390.66</v>
      </c>
      <c r="V16" s="9">
        <f>ROUND(ROUND(P16, 2)/1.2, 2)</f>
        <v>40.19</v>
      </c>
      <c r="Y16" s="9">
        <f>ROUND(S16 / 1.2, 2)</f>
        <v>325.55</v>
      </c>
      <c r="AD16" s="5" t="s">
        <v>69</v>
      </c>
      <c r="AE16" s="5" t="s">
        <v>70</v>
      </c>
      <c r="AF16" s="5" t="s">
        <v>71</v>
      </c>
      <c r="AK16" s="29">
        <f t="shared" si="3"/>
        <v>0</v>
      </c>
      <c r="AL16" s="29"/>
      <c r="AM16" s="29"/>
      <c r="AN16" s="31">
        <f t="shared" si="4"/>
        <v>0</v>
      </c>
      <c r="AO16" s="29"/>
      <c r="AP16" s="29"/>
    </row>
    <row r="17" spans="1:42" ht="36" x14ac:dyDescent="0.3">
      <c r="A17" s="12" t="s">
        <v>72</v>
      </c>
      <c r="B17" s="12"/>
      <c r="C17" s="32" t="s">
        <v>73</v>
      </c>
      <c r="D17" s="19"/>
      <c r="E17" s="19"/>
      <c r="F17" s="26" t="s">
        <v>63</v>
      </c>
      <c r="G17" s="27">
        <v>1.2</v>
      </c>
      <c r="H17" s="33"/>
      <c r="I17" s="33">
        <v>194.4</v>
      </c>
      <c r="J17" s="28">
        <v>16.38</v>
      </c>
      <c r="M17" s="29">
        <f>ROUND(ROUND(J17, 2)*I17, 2)</f>
        <v>3184.27</v>
      </c>
      <c r="P17" s="30">
        <v>16.38</v>
      </c>
      <c r="S17" s="29">
        <f>ROUND(ROUND(P17, 2)*I17, 2)</f>
        <v>3184.27</v>
      </c>
      <c r="V17" s="9">
        <f>ROUND(ROUND(P17, 2)/1.2, 2)</f>
        <v>13.65</v>
      </c>
      <c r="Y17" s="9">
        <f>ROUND(S17 / 1.2, 2)</f>
        <v>2653.56</v>
      </c>
      <c r="AD17" s="5" t="s">
        <v>74</v>
      </c>
      <c r="AE17" s="5" t="s">
        <v>75</v>
      </c>
      <c r="AF17" s="5" t="s">
        <v>76</v>
      </c>
      <c r="AK17" s="29">
        <f t="shared" si="3"/>
        <v>0</v>
      </c>
      <c r="AL17" s="29"/>
      <c r="AM17" s="29"/>
      <c r="AN17" s="31">
        <f t="shared" si="4"/>
        <v>0</v>
      </c>
      <c r="AO17" s="29"/>
      <c r="AP17" s="29"/>
    </row>
    <row r="18" spans="1:42" ht="108" x14ac:dyDescent="0.3">
      <c r="A18" s="12" t="s">
        <v>77</v>
      </c>
      <c r="B18" s="12"/>
      <c r="C18" s="32" t="s">
        <v>78</v>
      </c>
      <c r="D18" s="19"/>
      <c r="E18" s="19" t="s">
        <v>79</v>
      </c>
      <c r="F18" s="26" t="s">
        <v>80</v>
      </c>
      <c r="G18" s="27">
        <v>4</v>
      </c>
      <c r="H18" s="27"/>
      <c r="I18" s="27">
        <v>129.6</v>
      </c>
      <c r="J18" s="28">
        <v>402.6</v>
      </c>
      <c r="M18" s="29">
        <f>ROUND(ROUND(J18, 2)*I18, 2)</f>
        <v>52176.959999999999</v>
      </c>
      <c r="P18" s="30">
        <v>402.6</v>
      </c>
      <c r="S18" s="29">
        <f>ROUND(ROUND(P18, 2)*I18, 2)</f>
        <v>52176.959999999999</v>
      </c>
      <c r="V18" s="9">
        <f>ROUND(ROUND(P18, 2)/1.2, 2)</f>
        <v>335.5</v>
      </c>
      <c r="Y18" s="9">
        <f>ROUND(S18 / 1.2, 2)</f>
        <v>43480.800000000003</v>
      </c>
      <c r="AD18" s="5" t="s">
        <v>81</v>
      </c>
      <c r="AE18" s="5" t="s">
        <v>82</v>
      </c>
      <c r="AF18" s="5" t="s">
        <v>83</v>
      </c>
      <c r="AK18" s="29">
        <f t="shared" si="3"/>
        <v>0</v>
      </c>
      <c r="AL18" s="29"/>
      <c r="AM18" s="29"/>
      <c r="AN18" s="31">
        <f t="shared" si="4"/>
        <v>0</v>
      </c>
      <c r="AO18" s="29"/>
      <c r="AP18" s="29"/>
    </row>
    <row r="19" spans="1:42" ht="16.95" customHeight="1" x14ac:dyDescent="0.3">
      <c r="A19" s="12" t="s">
        <v>84</v>
      </c>
      <c r="B19" s="17" t="s">
        <v>85</v>
      </c>
      <c r="C19" s="73" t="s">
        <v>86</v>
      </c>
      <c r="D19" s="74"/>
      <c r="E19" s="74"/>
      <c r="F19" s="74"/>
      <c r="G19" s="74"/>
      <c r="H19" s="74"/>
      <c r="I19" s="75"/>
      <c r="M19" s="6">
        <f>SUM(M20)</f>
        <v>0</v>
      </c>
      <c r="N19" s="6">
        <f>SUM(N20)</f>
        <v>26762.400000000001</v>
      </c>
      <c r="O19" s="6">
        <f>SUM(O20)</f>
        <v>26762.400000000001</v>
      </c>
      <c r="S19" s="6">
        <f>SUM(S20)</f>
        <v>0</v>
      </c>
      <c r="T19" s="6">
        <f>SUM(T20)</f>
        <v>34791.120000000003</v>
      </c>
      <c r="U19" s="6">
        <f>SUM(U20)</f>
        <v>34791.120000000003</v>
      </c>
      <c r="Y19" s="9">
        <f>SUM(Y20)</f>
        <v>0</v>
      </c>
      <c r="Z19" s="9">
        <f>SUM(Z20)</f>
        <v>28992.6</v>
      </c>
      <c r="AA19" s="9">
        <f>SUM(AA20)</f>
        <v>28992.6</v>
      </c>
      <c r="AD19" s="5">
        <v>410200584</v>
      </c>
      <c r="AE19" s="5">
        <v>21662438</v>
      </c>
      <c r="AK19" s="6">
        <f t="shared" si="3"/>
        <v>0</v>
      </c>
      <c r="AL19" s="6">
        <f t="shared" si="3"/>
        <v>8028.7200000000012</v>
      </c>
      <c r="AM19" s="6">
        <f t="shared" si="3"/>
        <v>8028.7200000000012</v>
      </c>
      <c r="AN19" s="10">
        <f t="shared" si="4"/>
        <v>0</v>
      </c>
      <c r="AO19" s="10">
        <f t="shared" si="4"/>
        <v>0.30000000000000004</v>
      </c>
      <c r="AP19" s="10">
        <f t="shared" si="4"/>
        <v>0.30000000000000004</v>
      </c>
    </row>
    <row r="20" spans="1:42" ht="18" x14ac:dyDescent="0.3">
      <c r="A20" s="12" t="s">
        <v>87</v>
      </c>
      <c r="B20" s="12" t="s">
        <v>88</v>
      </c>
      <c r="C20" s="18" t="s">
        <v>89</v>
      </c>
      <c r="D20" s="19"/>
      <c r="E20" s="19"/>
      <c r="F20" s="19" t="s">
        <v>57</v>
      </c>
      <c r="G20" s="20">
        <v>1</v>
      </c>
      <c r="H20" s="20"/>
      <c r="I20" s="20">
        <v>32.4</v>
      </c>
      <c r="J20" s="21">
        <v>0</v>
      </c>
      <c r="K20" s="22">
        <v>826</v>
      </c>
      <c r="L20" s="21">
        <f>J20+ROUND(K20, 2)</f>
        <v>826</v>
      </c>
      <c r="M20" s="21">
        <v>0</v>
      </c>
      <c r="N20" s="21">
        <f>ROUND(I20*ROUND(K20, 2), 2)</f>
        <v>26762.400000000001</v>
      </c>
      <c r="O20" s="21">
        <f>M20+N20</f>
        <v>26762.400000000001</v>
      </c>
      <c r="P20" s="21">
        <v>0</v>
      </c>
      <c r="Q20" s="23">
        <v>1073.8</v>
      </c>
      <c r="R20" s="21">
        <f>P20+ROUND(Q20, 2)</f>
        <v>1073.8</v>
      </c>
      <c r="S20" s="21">
        <v>0</v>
      </c>
      <c r="T20" s="21">
        <f>ROUND(I20*ROUND(Q20, 2), 2)</f>
        <v>34791.120000000003</v>
      </c>
      <c r="U20" s="21">
        <f>S20+T20</f>
        <v>34791.120000000003</v>
      </c>
      <c r="V20" s="9"/>
      <c r="W20" s="9">
        <f>ROUND(Q20 / 1.2, 2)</f>
        <v>894.83</v>
      </c>
      <c r="X20" s="9">
        <f>ROUND(R20 / 1.2, 2)</f>
        <v>894.83</v>
      </c>
      <c r="Y20" s="9"/>
      <c r="Z20" s="9">
        <f>ROUND(T20 / 1.2, 2)</f>
        <v>28992.6</v>
      </c>
      <c r="AA20" s="9">
        <f>Y20+Z20</f>
        <v>28992.6</v>
      </c>
      <c r="AD20" s="5">
        <v>410200586</v>
      </c>
      <c r="AE20" s="5">
        <v>36662401</v>
      </c>
      <c r="AG20" s="5" t="s">
        <v>90</v>
      </c>
      <c r="AH20" s="5" t="s">
        <v>91</v>
      </c>
      <c r="AI20" s="5" t="s">
        <v>60</v>
      </c>
      <c r="AK20" s="21">
        <f t="shared" si="3"/>
        <v>0</v>
      </c>
      <c r="AL20" s="21">
        <f t="shared" si="3"/>
        <v>8028.7200000000012</v>
      </c>
      <c r="AM20" s="21">
        <f t="shared" si="3"/>
        <v>8028.7200000000012</v>
      </c>
      <c r="AN20" s="24">
        <f t="shared" si="4"/>
        <v>0</v>
      </c>
      <c r="AO20" s="24">
        <f t="shared" si="4"/>
        <v>0.30000000000000004</v>
      </c>
      <c r="AP20" s="24">
        <f t="shared" si="4"/>
        <v>0.30000000000000004</v>
      </c>
    </row>
    <row r="21" spans="1:42" ht="16.95" customHeight="1" x14ac:dyDescent="0.3">
      <c r="A21" s="12" t="s">
        <v>92</v>
      </c>
      <c r="B21" s="16" t="s">
        <v>93</v>
      </c>
      <c r="C21" s="70" t="s">
        <v>94</v>
      </c>
      <c r="D21" s="71"/>
      <c r="E21" s="71"/>
      <c r="F21" s="71"/>
      <c r="G21" s="71"/>
      <c r="H21" s="71"/>
      <c r="I21" s="72"/>
      <c r="M21" s="6">
        <f>SUM(M22,M32)</f>
        <v>59879.85</v>
      </c>
      <c r="N21" s="6">
        <f>SUM(N22,N32)</f>
        <v>105361.76000000001</v>
      </c>
      <c r="O21" s="6">
        <f>SUM(O22,O32)</f>
        <v>165241.60999999999</v>
      </c>
      <c r="S21" s="6">
        <f>SUM(S22,S32)</f>
        <v>59879.85</v>
      </c>
      <c r="T21" s="6">
        <f>SUM(T22,T32)</f>
        <v>136969.76</v>
      </c>
      <c r="U21" s="6">
        <f>SUM(U22,U32)</f>
        <v>196849.61</v>
      </c>
      <c r="Y21" s="9">
        <f>SUM(Y22,Y32)</f>
        <v>49899.869999999995</v>
      </c>
      <c r="Z21" s="9">
        <f>SUM(Z22,Z32)</f>
        <v>114141.45999999999</v>
      </c>
      <c r="AA21" s="9">
        <f>SUM(AA22,AA32)</f>
        <v>164041.32999999999</v>
      </c>
      <c r="AD21" s="5">
        <v>410200587</v>
      </c>
      <c r="AE21" s="5">
        <v>36660150</v>
      </c>
      <c r="AK21" s="6">
        <f t="shared" si="3"/>
        <v>0</v>
      </c>
      <c r="AL21" s="6">
        <f t="shared" si="3"/>
        <v>31608</v>
      </c>
      <c r="AM21" s="6">
        <f t="shared" si="3"/>
        <v>31608</v>
      </c>
      <c r="AN21" s="10">
        <f t="shared" si="4"/>
        <v>0</v>
      </c>
      <c r="AO21" s="10">
        <f t="shared" si="4"/>
        <v>0.29999498869419033</v>
      </c>
      <c r="AP21" s="10">
        <f t="shared" si="4"/>
        <v>0.19128353929739611</v>
      </c>
    </row>
    <row r="22" spans="1:42" ht="16.95" customHeight="1" x14ac:dyDescent="0.3">
      <c r="A22" s="12" t="s">
        <v>95</v>
      </c>
      <c r="B22" s="17" t="s">
        <v>96</v>
      </c>
      <c r="C22" s="73" t="s">
        <v>53</v>
      </c>
      <c r="D22" s="74"/>
      <c r="E22" s="74"/>
      <c r="F22" s="74"/>
      <c r="G22" s="74"/>
      <c r="H22" s="74"/>
      <c r="I22" s="75"/>
      <c r="M22" s="6">
        <f>SUM(M23,M28)</f>
        <v>59879.85</v>
      </c>
      <c r="N22" s="6">
        <f>SUM(N23,N28)</f>
        <v>72173.36</v>
      </c>
      <c r="O22" s="6">
        <f>SUM(O23,O28)</f>
        <v>132053.21</v>
      </c>
      <c r="S22" s="6">
        <f>SUM(S23,S28)</f>
        <v>59879.85</v>
      </c>
      <c r="T22" s="6">
        <f>SUM(T23,T28)</f>
        <v>93824.84</v>
      </c>
      <c r="U22" s="6">
        <f>SUM(U23,U28)</f>
        <v>153704.69</v>
      </c>
      <c r="Y22" s="9">
        <f>SUM(Y23,Y28)</f>
        <v>49899.869999999995</v>
      </c>
      <c r="Z22" s="9">
        <f>SUM(Z23,Z28)</f>
        <v>78187.359999999986</v>
      </c>
      <c r="AA22" s="9">
        <f>SUM(AA23,AA28)</f>
        <v>128087.22999999998</v>
      </c>
      <c r="AD22" s="5">
        <v>410200588</v>
      </c>
      <c r="AE22" s="5">
        <v>36660160</v>
      </c>
      <c r="AK22" s="6">
        <f t="shared" si="3"/>
        <v>0</v>
      </c>
      <c r="AL22" s="6">
        <f t="shared" si="3"/>
        <v>21651.479999999996</v>
      </c>
      <c r="AM22" s="6">
        <f t="shared" si="3"/>
        <v>21651.48000000001</v>
      </c>
      <c r="AN22" s="10">
        <f t="shared" si="4"/>
        <v>0</v>
      </c>
      <c r="AO22" s="10">
        <f t="shared" si="4"/>
        <v>0.29999268428129156</v>
      </c>
      <c r="AP22" s="10">
        <f t="shared" si="4"/>
        <v>0.16396027025772422</v>
      </c>
    </row>
    <row r="23" spans="1:42" ht="54" x14ac:dyDescent="0.3">
      <c r="A23" s="12" t="s">
        <v>97</v>
      </c>
      <c r="B23" s="12" t="s">
        <v>98</v>
      </c>
      <c r="C23" s="18" t="s">
        <v>99</v>
      </c>
      <c r="D23" s="19"/>
      <c r="E23" s="19" t="s">
        <v>100</v>
      </c>
      <c r="F23" s="19" t="s">
        <v>101</v>
      </c>
      <c r="G23" s="20">
        <v>1</v>
      </c>
      <c r="H23" s="20"/>
      <c r="I23" s="20">
        <v>153.6</v>
      </c>
      <c r="J23" s="21">
        <f>IFERROR(ROUND(SUM(M24,M25,M26,M27)/I23, 2),0)</f>
        <v>381.08</v>
      </c>
      <c r="K23" s="22">
        <v>411.01</v>
      </c>
      <c r="L23" s="21">
        <f>J23+ROUND(K23, 2)</f>
        <v>792.08999999999992</v>
      </c>
      <c r="M23" s="21">
        <f>ROUND(J23*I23, 2)</f>
        <v>58533.89</v>
      </c>
      <c r="N23" s="21">
        <f>ROUND(I23*ROUND(K23, 2), 2)</f>
        <v>63131.14</v>
      </c>
      <c r="O23" s="21">
        <f>M23+N23</f>
        <v>121665.03</v>
      </c>
      <c r="P23" s="21">
        <f>IFERROR(ROUND(SUM(S24,S25,S26,S27)/I23, 2),0)</f>
        <v>381.08</v>
      </c>
      <c r="Q23" s="23">
        <v>534.30999999999995</v>
      </c>
      <c r="R23" s="21">
        <f>P23+ROUND(Q23, 2)</f>
        <v>915.38999999999987</v>
      </c>
      <c r="S23" s="21">
        <f>ROUND(P23*I23, 2)</f>
        <v>58533.89</v>
      </c>
      <c r="T23" s="21">
        <f>ROUND(I23*ROUND(Q23, 2), 2)</f>
        <v>82070.02</v>
      </c>
      <c r="U23" s="21">
        <f>S23+T23</f>
        <v>140603.91</v>
      </c>
      <c r="V23" s="9">
        <f>ROUND(P23 / 1.2, 2)</f>
        <v>317.57</v>
      </c>
      <c r="W23" s="9">
        <f>ROUND(Q23 / 1.2, 2)</f>
        <v>445.26</v>
      </c>
      <c r="X23" s="9">
        <f>ROUND(R23 / 1.2, 2)</f>
        <v>762.83</v>
      </c>
      <c r="Y23" s="9">
        <f>ROUND(S23 / 1.2, 2)</f>
        <v>48778.239999999998</v>
      </c>
      <c r="Z23" s="9">
        <f>ROUND(T23 / 1.2, 2)</f>
        <v>68391.679999999993</v>
      </c>
      <c r="AA23" s="9">
        <f>Y23+Z23</f>
        <v>117169.91999999998</v>
      </c>
      <c r="AD23" s="5">
        <v>410200590</v>
      </c>
      <c r="AE23" s="5">
        <v>36660162</v>
      </c>
      <c r="AG23" s="5" t="s">
        <v>102</v>
      </c>
      <c r="AH23" s="5" t="s">
        <v>103</v>
      </c>
      <c r="AI23" s="5" t="s">
        <v>60</v>
      </c>
      <c r="AK23" s="21">
        <f t="shared" si="3"/>
        <v>0</v>
      </c>
      <c r="AL23" s="21">
        <f t="shared" si="3"/>
        <v>18938.880000000005</v>
      </c>
      <c r="AM23" s="21">
        <f t="shared" si="3"/>
        <v>18938.880000000005</v>
      </c>
      <c r="AN23" s="24">
        <f t="shared" si="4"/>
        <v>0</v>
      </c>
      <c r="AO23" s="24">
        <f t="shared" si="4"/>
        <v>0.29999268189993095</v>
      </c>
      <c r="AP23" s="24">
        <f t="shared" si="4"/>
        <v>0.15566412139955091</v>
      </c>
    </row>
    <row r="24" spans="1:42" ht="18" x14ac:dyDescent="0.3">
      <c r="A24" s="12" t="s">
        <v>104</v>
      </c>
      <c r="B24" s="12"/>
      <c r="C24" s="25" t="s">
        <v>68</v>
      </c>
      <c r="D24" s="19"/>
      <c r="E24" s="19"/>
      <c r="F24" s="26" t="s">
        <v>63</v>
      </c>
      <c r="G24" s="27">
        <v>0.04</v>
      </c>
      <c r="H24" s="27"/>
      <c r="I24" s="27">
        <v>6.1440000000000001</v>
      </c>
      <c r="J24" s="28">
        <v>48.23</v>
      </c>
      <c r="M24" s="29">
        <f>ROUND(ROUND(J24, 2)*I24, 2)</f>
        <v>296.33</v>
      </c>
      <c r="P24" s="30">
        <v>48.23</v>
      </c>
      <c r="S24" s="29">
        <f>ROUND(ROUND(P24, 2)*I24, 2)</f>
        <v>296.33</v>
      </c>
      <c r="V24" s="9">
        <f>ROUND(ROUND(P24, 2)/1.2, 2)</f>
        <v>40.19</v>
      </c>
      <c r="Y24" s="9">
        <f t="shared" ref="Y24:Y31" si="5">ROUND(S24 / 1.2, 2)</f>
        <v>246.94</v>
      </c>
      <c r="AD24" s="5" t="s">
        <v>105</v>
      </c>
      <c r="AE24" s="5" t="s">
        <v>106</v>
      </c>
      <c r="AF24" s="5" t="s">
        <v>71</v>
      </c>
      <c r="AK24" s="29">
        <f t="shared" ref="AK24:AM55" si="6">S24-M24</f>
        <v>0</v>
      </c>
      <c r="AL24" s="29"/>
      <c r="AM24" s="29"/>
      <c r="AN24" s="31">
        <f t="shared" ref="AN24:AP55" si="7">IFERROR(AK24/M24,0)</f>
        <v>0</v>
      </c>
      <c r="AO24" s="29"/>
      <c r="AP24" s="29"/>
    </row>
    <row r="25" spans="1:42" ht="36" x14ac:dyDescent="0.3">
      <c r="A25" s="12" t="s">
        <v>107</v>
      </c>
      <c r="B25" s="12"/>
      <c r="C25" s="25" t="s">
        <v>108</v>
      </c>
      <c r="D25" s="19"/>
      <c r="E25" s="19"/>
      <c r="F25" s="26" t="s">
        <v>63</v>
      </c>
      <c r="G25" s="27">
        <v>1.4999999999999999E-2</v>
      </c>
      <c r="H25" s="27"/>
      <c r="I25" s="27">
        <v>2.3039999999999998</v>
      </c>
      <c r="J25" s="28">
        <v>69.540000000000006</v>
      </c>
      <c r="M25" s="29">
        <f>ROUND(ROUND(J25, 2)*I25, 2)</f>
        <v>160.22</v>
      </c>
      <c r="P25" s="30">
        <v>69.540000000000006</v>
      </c>
      <c r="S25" s="29">
        <f>ROUND(ROUND(P25, 2)*I25, 2)</f>
        <v>160.22</v>
      </c>
      <c r="V25" s="9">
        <f>ROUND(ROUND(P25, 2)/1.2, 2)</f>
        <v>57.95</v>
      </c>
      <c r="Y25" s="9">
        <f t="shared" si="5"/>
        <v>133.52000000000001</v>
      </c>
      <c r="AD25" s="5" t="s">
        <v>109</v>
      </c>
      <c r="AE25" s="5" t="s">
        <v>110</v>
      </c>
      <c r="AF25" s="5" t="s">
        <v>111</v>
      </c>
      <c r="AK25" s="29">
        <f t="shared" si="6"/>
        <v>0</v>
      </c>
      <c r="AL25" s="29"/>
      <c r="AM25" s="29"/>
      <c r="AN25" s="31">
        <f t="shared" si="7"/>
        <v>0</v>
      </c>
      <c r="AO25" s="29"/>
      <c r="AP25" s="29"/>
    </row>
    <row r="26" spans="1:42" ht="36" x14ac:dyDescent="0.3">
      <c r="A26" s="12" t="s">
        <v>112</v>
      </c>
      <c r="B26" s="12"/>
      <c r="C26" s="25" t="s">
        <v>113</v>
      </c>
      <c r="D26" s="19"/>
      <c r="E26" s="19"/>
      <c r="F26" s="26" t="s">
        <v>80</v>
      </c>
      <c r="G26" s="27">
        <v>1.84</v>
      </c>
      <c r="H26" s="27"/>
      <c r="I26" s="27">
        <v>282.62400000000002</v>
      </c>
      <c r="J26" s="28">
        <v>199.26</v>
      </c>
      <c r="M26" s="29">
        <f>ROUND(ROUND(J26, 2)*I26, 2)</f>
        <v>56315.66</v>
      </c>
      <c r="P26" s="30">
        <v>199.26</v>
      </c>
      <c r="S26" s="29">
        <f>ROUND(ROUND(P26, 2)*I26, 2)</f>
        <v>56315.66</v>
      </c>
      <c r="V26" s="9">
        <f>ROUND(ROUND(P26, 2)/1.2, 2)</f>
        <v>166.05</v>
      </c>
      <c r="Y26" s="9">
        <f t="shared" si="5"/>
        <v>46929.72</v>
      </c>
      <c r="AD26" s="5" t="s">
        <v>114</v>
      </c>
      <c r="AE26" s="5" t="s">
        <v>115</v>
      </c>
      <c r="AF26" s="5" t="s">
        <v>116</v>
      </c>
      <c r="AK26" s="29">
        <f t="shared" si="6"/>
        <v>0</v>
      </c>
      <c r="AL26" s="29"/>
      <c r="AM26" s="29"/>
      <c r="AN26" s="31">
        <f t="shared" si="7"/>
        <v>0</v>
      </c>
      <c r="AO26" s="29"/>
      <c r="AP26" s="29"/>
    </row>
    <row r="27" spans="1:42" ht="36" x14ac:dyDescent="0.3">
      <c r="A27" s="12" t="s">
        <v>117</v>
      </c>
      <c r="B27" s="12"/>
      <c r="C27" s="32" t="s">
        <v>118</v>
      </c>
      <c r="D27" s="19"/>
      <c r="E27" s="19"/>
      <c r="F27" s="26" t="s">
        <v>63</v>
      </c>
      <c r="G27" s="27">
        <v>0.7</v>
      </c>
      <c r="H27" s="33"/>
      <c r="I27" s="33">
        <v>107.52</v>
      </c>
      <c r="J27" s="28">
        <v>16.38</v>
      </c>
      <c r="M27" s="29">
        <f>ROUND(ROUND(J27, 2)*I27, 2)</f>
        <v>1761.18</v>
      </c>
      <c r="P27" s="30">
        <v>16.38</v>
      </c>
      <c r="S27" s="29">
        <f>ROUND(ROUND(P27, 2)*I27, 2)</f>
        <v>1761.18</v>
      </c>
      <c r="V27" s="9">
        <f>ROUND(ROUND(P27, 2)/1.2, 2)</f>
        <v>13.65</v>
      </c>
      <c r="Y27" s="9">
        <f t="shared" si="5"/>
        <v>1467.65</v>
      </c>
      <c r="AD27" s="5" t="s">
        <v>119</v>
      </c>
      <c r="AE27" s="5" t="s">
        <v>120</v>
      </c>
      <c r="AF27" s="5" t="s">
        <v>121</v>
      </c>
      <c r="AK27" s="29">
        <f t="shared" si="6"/>
        <v>0</v>
      </c>
      <c r="AL27" s="29"/>
      <c r="AM27" s="29"/>
      <c r="AN27" s="31">
        <f t="shared" si="7"/>
        <v>0</v>
      </c>
      <c r="AO27" s="29"/>
      <c r="AP27" s="29"/>
    </row>
    <row r="28" spans="1:42" ht="54" x14ac:dyDescent="0.3">
      <c r="A28" s="12" t="s">
        <v>122</v>
      </c>
      <c r="B28" s="12" t="s">
        <v>98</v>
      </c>
      <c r="C28" s="18" t="s">
        <v>99</v>
      </c>
      <c r="D28" s="19"/>
      <c r="E28" s="19" t="s">
        <v>123</v>
      </c>
      <c r="F28" s="19" t="s">
        <v>101</v>
      </c>
      <c r="G28" s="20">
        <v>1</v>
      </c>
      <c r="H28" s="20"/>
      <c r="I28" s="20">
        <v>22</v>
      </c>
      <c r="J28" s="21">
        <f>IFERROR(ROUND(SUM(M29,M30,M31)/I28, 2),0)</f>
        <v>61.18</v>
      </c>
      <c r="K28" s="22">
        <v>411.01</v>
      </c>
      <c r="L28" s="21">
        <f>J28+ROUND(K28, 2)</f>
        <v>472.19</v>
      </c>
      <c r="M28" s="21">
        <f>ROUND(J28*I28, 2)</f>
        <v>1345.96</v>
      </c>
      <c r="N28" s="21">
        <f>ROUND(I28*ROUND(K28, 2), 2)</f>
        <v>9042.2199999999993</v>
      </c>
      <c r="O28" s="21">
        <f>M28+N28</f>
        <v>10388.18</v>
      </c>
      <c r="P28" s="21">
        <f>IFERROR(ROUND(SUM(S29,S30,S31)/I28, 2),0)</f>
        <v>61.18</v>
      </c>
      <c r="Q28" s="23">
        <v>534.30999999999995</v>
      </c>
      <c r="R28" s="21">
        <f>P28+ROUND(Q28, 2)</f>
        <v>595.4899999999999</v>
      </c>
      <c r="S28" s="21">
        <f>ROUND(P28*I28, 2)</f>
        <v>1345.96</v>
      </c>
      <c r="T28" s="21">
        <f>ROUND(I28*ROUND(Q28, 2), 2)</f>
        <v>11754.82</v>
      </c>
      <c r="U28" s="21">
        <f>S28+T28</f>
        <v>13100.779999999999</v>
      </c>
      <c r="V28" s="9">
        <f>ROUND(P28 / 1.2, 2)</f>
        <v>50.98</v>
      </c>
      <c r="W28" s="9">
        <f>ROUND(Q28 / 1.2, 2)</f>
        <v>445.26</v>
      </c>
      <c r="X28" s="9">
        <f>ROUND(R28 / 1.2, 2)</f>
        <v>496.24</v>
      </c>
      <c r="Y28" s="9">
        <f t="shared" si="5"/>
        <v>1121.6300000000001</v>
      </c>
      <c r="Z28" s="9">
        <f>ROUND(T28 / 1.2, 2)</f>
        <v>9795.68</v>
      </c>
      <c r="AA28" s="9">
        <f>Y28+Z28</f>
        <v>10917.310000000001</v>
      </c>
      <c r="AD28" s="5">
        <v>410200633</v>
      </c>
      <c r="AE28" s="5">
        <v>36660716</v>
      </c>
      <c r="AG28" s="5" t="s">
        <v>102</v>
      </c>
      <c r="AH28" s="5" t="s">
        <v>103</v>
      </c>
      <c r="AI28" s="5" t="s">
        <v>60</v>
      </c>
      <c r="AK28" s="21">
        <f t="shared" si="6"/>
        <v>0</v>
      </c>
      <c r="AL28" s="21">
        <f>T28-N28</f>
        <v>2712.6000000000004</v>
      </c>
      <c r="AM28" s="21">
        <f>U28-O28</f>
        <v>2712.5999999999985</v>
      </c>
      <c r="AN28" s="24">
        <f t="shared" si="7"/>
        <v>0</v>
      </c>
      <c r="AO28" s="24">
        <f>IFERROR(AL28/N28,0)</f>
        <v>0.29999270090752056</v>
      </c>
      <c r="AP28" s="24">
        <f>IFERROR(AM28/O28,0)</f>
        <v>0.26112370020542564</v>
      </c>
    </row>
    <row r="29" spans="1:42" ht="36" x14ac:dyDescent="0.3">
      <c r="A29" s="12" t="s">
        <v>124</v>
      </c>
      <c r="B29" s="12"/>
      <c r="C29" s="32" t="s">
        <v>118</v>
      </c>
      <c r="D29" s="19"/>
      <c r="E29" s="19"/>
      <c r="F29" s="26" t="s">
        <v>63</v>
      </c>
      <c r="G29" s="27">
        <v>0.7</v>
      </c>
      <c r="H29" s="33"/>
      <c r="I29" s="33">
        <v>15.4</v>
      </c>
      <c r="J29" s="28">
        <v>16.38</v>
      </c>
      <c r="M29" s="29">
        <f>ROUND(ROUND(J29, 2)*I29, 2)</f>
        <v>252.25</v>
      </c>
      <c r="P29" s="30">
        <v>16.38</v>
      </c>
      <c r="S29" s="29">
        <f>ROUND(ROUND(P29, 2)*I29, 2)</f>
        <v>252.25</v>
      </c>
      <c r="V29" s="9">
        <f>ROUND(ROUND(P29, 2)/1.2, 2)</f>
        <v>13.65</v>
      </c>
      <c r="Y29" s="9">
        <f t="shared" si="5"/>
        <v>210.21</v>
      </c>
      <c r="AD29" s="5" t="s">
        <v>125</v>
      </c>
      <c r="AE29" s="5" t="s">
        <v>126</v>
      </c>
      <c r="AF29" s="5" t="s">
        <v>121</v>
      </c>
      <c r="AK29" s="29">
        <f t="shared" si="6"/>
        <v>0</v>
      </c>
      <c r="AL29" s="29"/>
      <c r="AM29" s="29"/>
      <c r="AN29" s="31">
        <f t="shared" si="7"/>
        <v>0</v>
      </c>
      <c r="AO29" s="29"/>
      <c r="AP29" s="29"/>
    </row>
    <row r="30" spans="1:42" ht="36" x14ac:dyDescent="0.3">
      <c r="A30" s="12" t="s">
        <v>127</v>
      </c>
      <c r="B30" s="12"/>
      <c r="C30" s="32" t="s">
        <v>128</v>
      </c>
      <c r="D30" s="19"/>
      <c r="E30" s="19"/>
      <c r="F30" s="26" t="s">
        <v>57</v>
      </c>
      <c r="G30" s="27">
        <v>0.107</v>
      </c>
      <c r="H30" s="27"/>
      <c r="I30" s="27">
        <v>2.3540000000000001</v>
      </c>
      <c r="J30" s="28">
        <v>454.86</v>
      </c>
      <c r="M30" s="29">
        <f>ROUND(ROUND(J30, 2)*I30, 2)</f>
        <v>1070.74</v>
      </c>
      <c r="P30" s="30">
        <v>454.86</v>
      </c>
      <c r="S30" s="29">
        <f>ROUND(ROUND(P30, 2)*I30, 2)</f>
        <v>1070.74</v>
      </c>
      <c r="V30" s="9">
        <f>ROUND(ROUND(P30, 2)/1.2, 2)</f>
        <v>379.05</v>
      </c>
      <c r="Y30" s="9">
        <f t="shared" si="5"/>
        <v>892.28</v>
      </c>
      <c r="AD30" s="5" t="s">
        <v>129</v>
      </c>
      <c r="AE30" s="5" t="s">
        <v>130</v>
      </c>
      <c r="AF30" s="5" t="s">
        <v>131</v>
      </c>
      <c r="AK30" s="29">
        <f t="shared" si="6"/>
        <v>0</v>
      </c>
      <c r="AL30" s="29"/>
      <c r="AM30" s="29"/>
      <c r="AN30" s="31">
        <f t="shared" si="7"/>
        <v>0</v>
      </c>
      <c r="AO30" s="29"/>
      <c r="AP30" s="29"/>
    </row>
    <row r="31" spans="1:42" ht="36" x14ac:dyDescent="0.3">
      <c r="A31" s="12" t="s">
        <v>132</v>
      </c>
      <c r="B31" s="12"/>
      <c r="C31" s="25" t="s">
        <v>108</v>
      </c>
      <c r="D31" s="19"/>
      <c r="E31" s="19"/>
      <c r="F31" s="26" t="s">
        <v>63</v>
      </c>
      <c r="G31" s="27">
        <v>1.4999999999999999E-2</v>
      </c>
      <c r="H31" s="27"/>
      <c r="I31" s="27">
        <v>0.33</v>
      </c>
      <c r="J31" s="28">
        <v>69.540000000000006</v>
      </c>
      <c r="M31" s="29">
        <f>ROUND(ROUND(J31, 2)*I31, 2)</f>
        <v>22.95</v>
      </c>
      <c r="P31" s="30">
        <v>69.540000000000006</v>
      </c>
      <c r="S31" s="29">
        <f>ROUND(ROUND(P31, 2)*I31, 2)</f>
        <v>22.95</v>
      </c>
      <c r="V31" s="9">
        <f>ROUND(ROUND(P31, 2)/1.2, 2)</f>
        <v>57.95</v>
      </c>
      <c r="Y31" s="9">
        <f t="shared" si="5"/>
        <v>19.13</v>
      </c>
      <c r="AD31" s="5" t="s">
        <v>133</v>
      </c>
      <c r="AE31" s="5" t="s">
        <v>134</v>
      </c>
      <c r="AF31" s="5" t="s">
        <v>111</v>
      </c>
      <c r="AK31" s="29">
        <f t="shared" si="6"/>
        <v>0</v>
      </c>
      <c r="AL31" s="29"/>
      <c r="AM31" s="29"/>
      <c r="AN31" s="31">
        <f t="shared" si="7"/>
        <v>0</v>
      </c>
      <c r="AO31" s="29"/>
      <c r="AP31" s="29"/>
    </row>
    <row r="32" spans="1:42" ht="16.95" customHeight="1" x14ac:dyDescent="0.3">
      <c r="A32" s="12" t="s">
        <v>135</v>
      </c>
      <c r="B32" s="17" t="s">
        <v>136</v>
      </c>
      <c r="C32" s="73" t="s">
        <v>86</v>
      </c>
      <c r="D32" s="74"/>
      <c r="E32" s="74"/>
      <c r="F32" s="74"/>
      <c r="G32" s="74"/>
      <c r="H32" s="74"/>
      <c r="I32" s="75"/>
      <c r="M32" s="6">
        <f>SUM(M33)</f>
        <v>0</v>
      </c>
      <c r="N32" s="6">
        <f>SUM(N33)</f>
        <v>33188.400000000001</v>
      </c>
      <c r="O32" s="6">
        <f>SUM(O33)</f>
        <v>33188.400000000001</v>
      </c>
      <c r="S32" s="6">
        <f>SUM(S33)</f>
        <v>0</v>
      </c>
      <c r="T32" s="6">
        <f>SUM(T33)</f>
        <v>43144.92</v>
      </c>
      <c r="U32" s="6">
        <f>SUM(U33)</f>
        <v>43144.92</v>
      </c>
      <c r="Y32" s="9">
        <f>SUM(Y33)</f>
        <v>0</v>
      </c>
      <c r="Z32" s="9">
        <f>SUM(Z33)</f>
        <v>35954.1</v>
      </c>
      <c r="AA32" s="9">
        <f>SUM(AA33)</f>
        <v>35954.1</v>
      </c>
      <c r="AD32" s="5">
        <v>410200591</v>
      </c>
      <c r="AE32" s="5">
        <v>36660149</v>
      </c>
      <c r="AK32" s="6">
        <f t="shared" si="6"/>
        <v>0</v>
      </c>
      <c r="AL32" s="6">
        <f t="shared" si="6"/>
        <v>9956.5199999999968</v>
      </c>
      <c r="AM32" s="6">
        <f t="shared" si="6"/>
        <v>9956.5199999999968</v>
      </c>
      <c r="AN32" s="10">
        <f t="shared" si="7"/>
        <v>0</v>
      </c>
      <c r="AO32" s="10">
        <f t="shared" si="7"/>
        <v>0.29999999999999988</v>
      </c>
      <c r="AP32" s="10">
        <f t="shared" si="7"/>
        <v>0.29999999999999988</v>
      </c>
    </row>
    <row r="33" spans="1:42" ht="18" x14ac:dyDescent="0.3">
      <c r="A33" s="12" t="s">
        <v>137</v>
      </c>
      <c r="B33" s="12" t="s">
        <v>138</v>
      </c>
      <c r="C33" s="18" t="s">
        <v>139</v>
      </c>
      <c r="D33" s="19"/>
      <c r="E33" s="19"/>
      <c r="F33" s="19" t="s">
        <v>101</v>
      </c>
      <c r="G33" s="20">
        <v>1</v>
      </c>
      <c r="H33" s="20"/>
      <c r="I33" s="20">
        <v>175.6</v>
      </c>
      <c r="J33" s="21">
        <v>0</v>
      </c>
      <c r="K33" s="22">
        <v>189</v>
      </c>
      <c r="L33" s="21">
        <f>J33+ROUND(K33, 2)</f>
        <v>189</v>
      </c>
      <c r="M33" s="21">
        <v>0</v>
      </c>
      <c r="N33" s="21">
        <f>ROUND(I33*ROUND(K33, 2), 2)</f>
        <v>33188.400000000001</v>
      </c>
      <c r="O33" s="21">
        <f>M33+N33</f>
        <v>33188.400000000001</v>
      </c>
      <c r="P33" s="21">
        <v>0</v>
      </c>
      <c r="Q33" s="23">
        <v>245.7</v>
      </c>
      <c r="R33" s="21">
        <f>P33+ROUND(Q33, 2)</f>
        <v>245.7</v>
      </c>
      <c r="S33" s="21">
        <v>0</v>
      </c>
      <c r="T33" s="21">
        <f>ROUND(I33*ROUND(Q33, 2), 2)</f>
        <v>43144.92</v>
      </c>
      <c r="U33" s="21">
        <f>S33+T33</f>
        <v>43144.92</v>
      </c>
      <c r="V33" s="9"/>
      <c r="W33" s="9">
        <f>ROUND(Q33 / 1.2, 2)</f>
        <v>204.75</v>
      </c>
      <c r="X33" s="9">
        <f>ROUND(R33 / 1.2, 2)</f>
        <v>204.75</v>
      </c>
      <c r="Y33" s="9"/>
      <c r="Z33" s="9">
        <f>ROUND(T33 / 1.2, 2)</f>
        <v>35954.1</v>
      </c>
      <c r="AA33" s="9">
        <f>Y33+Z33</f>
        <v>35954.1</v>
      </c>
      <c r="AD33" s="5">
        <v>410200593</v>
      </c>
      <c r="AE33" s="5">
        <v>36660158</v>
      </c>
      <c r="AG33" s="5" t="s">
        <v>140</v>
      </c>
      <c r="AH33" s="5" t="s">
        <v>141</v>
      </c>
      <c r="AI33" s="5" t="s">
        <v>60</v>
      </c>
      <c r="AK33" s="21">
        <f t="shared" si="6"/>
        <v>0</v>
      </c>
      <c r="AL33" s="21">
        <f t="shared" si="6"/>
        <v>9956.5199999999968</v>
      </c>
      <c r="AM33" s="21">
        <f t="shared" si="6"/>
        <v>9956.5199999999968</v>
      </c>
      <c r="AN33" s="24">
        <f t="shared" si="7"/>
        <v>0</v>
      </c>
      <c r="AO33" s="24">
        <f t="shared" si="7"/>
        <v>0.29999999999999988</v>
      </c>
      <c r="AP33" s="24">
        <f t="shared" si="7"/>
        <v>0.29999999999999988</v>
      </c>
    </row>
    <row r="34" spans="1:42" ht="16.95" customHeight="1" x14ac:dyDescent="0.3">
      <c r="A34" s="12" t="s">
        <v>142</v>
      </c>
      <c r="B34" s="16" t="s">
        <v>143</v>
      </c>
      <c r="C34" s="70" t="s">
        <v>144</v>
      </c>
      <c r="D34" s="71"/>
      <c r="E34" s="71"/>
      <c r="F34" s="71"/>
      <c r="G34" s="71"/>
      <c r="H34" s="71"/>
      <c r="I34" s="72"/>
      <c r="M34" s="6">
        <f>SUM(M35,M36)</f>
        <v>0</v>
      </c>
      <c r="N34" s="6">
        <f>SUM(N35,N36)</f>
        <v>50111.82</v>
      </c>
      <c r="O34" s="6">
        <f>SUM(O35,O36)</f>
        <v>50111.82</v>
      </c>
      <c r="S34" s="6">
        <f>SUM(S35,S36)</f>
        <v>0</v>
      </c>
      <c r="T34" s="6">
        <f>SUM(T35,T36)</f>
        <v>65145.42</v>
      </c>
      <c r="U34" s="6">
        <f>SUM(U35,U36)</f>
        <v>65145.42</v>
      </c>
      <c r="Y34" s="9">
        <f>SUM(Y35,Y36)</f>
        <v>0</v>
      </c>
      <c r="Z34" s="9">
        <f>SUM(Z35,Z36)</f>
        <v>54287.85</v>
      </c>
      <c r="AA34" s="9">
        <f>SUM(AA35,AA36)</f>
        <v>54287.85</v>
      </c>
      <c r="AD34" s="5">
        <v>410200594</v>
      </c>
      <c r="AE34" s="5">
        <v>21662442</v>
      </c>
      <c r="AK34" s="6">
        <f t="shared" si="6"/>
        <v>0</v>
      </c>
      <c r="AL34" s="6">
        <f t="shared" si="6"/>
        <v>15033.599999999999</v>
      </c>
      <c r="AM34" s="6">
        <f t="shared" si="6"/>
        <v>15033.599999999999</v>
      </c>
      <c r="AN34" s="10">
        <f t="shared" si="7"/>
        <v>0</v>
      </c>
      <c r="AO34" s="10">
        <f t="shared" si="7"/>
        <v>0.30000107759007755</v>
      </c>
      <c r="AP34" s="10">
        <f t="shared" si="7"/>
        <v>0.30000107759007755</v>
      </c>
    </row>
    <row r="35" spans="1:42" ht="18" x14ac:dyDescent="0.3">
      <c r="A35" s="12" t="s">
        <v>145</v>
      </c>
      <c r="B35" s="12" t="s">
        <v>146</v>
      </c>
      <c r="C35" s="18" t="s">
        <v>147</v>
      </c>
      <c r="D35" s="19"/>
      <c r="E35" s="19"/>
      <c r="F35" s="19" t="s">
        <v>148</v>
      </c>
      <c r="G35" s="20">
        <v>1</v>
      </c>
      <c r="H35" s="20"/>
      <c r="I35" s="20">
        <v>18</v>
      </c>
      <c r="J35" s="21">
        <v>0</v>
      </c>
      <c r="K35" s="22">
        <v>1883</v>
      </c>
      <c r="L35" s="21">
        <f>J35+ROUND(K35, 2)</f>
        <v>1883</v>
      </c>
      <c r="M35" s="21">
        <v>0</v>
      </c>
      <c r="N35" s="21">
        <f>ROUND(I35*ROUND(K35, 2), 2)</f>
        <v>33894</v>
      </c>
      <c r="O35" s="21">
        <f>M35+N35</f>
        <v>33894</v>
      </c>
      <c r="P35" s="21">
        <v>0</v>
      </c>
      <c r="Q35" s="23">
        <v>2447.9</v>
      </c>
      <c r="R35" s="21">
        <f>P35+ROUND(Q35, 2)</f>
        <v>2447.9</v>
      </c>
      <c r="S35" s="21">
        <v>0</v>
      </c>
      <c r="T35" s="21">
        <f>ROUND(I35*ROUND(Q35, 2), 2)</f>
        <v>44062.2</v>
      </c>
      <c r="U35" s="21">
        <f>S35+T35</f>
        <v>44062.2</v>
      </c>
      <c r="V35" s="9"/>
      <c r="W35" s="9">
        <f>ROUND(Q35 / 1.2, 2)</f>
        <v>2039.92</v>
      </c>
      <c r="X35" s="9">
        <f>ROUND(R35 / 1.2, 2)</f>
        <v>2039.92</v>
      </c>
      <c r="Y35" s="9"/>
      <c r="Z35" s="9">
        <f>ROUND(T35 / 1.2, 2)</f>
        <v>36718.5</v>
      </c>
      <c r="AA35" s="9">
        <f>Y35+Z35</f>
        <v>36718.5</v>
      </c>
      <c r="AD35" s="5">
        <v>410200596</v>
      </c>
      <c r="AE35" s="5">
        <v>21662439</v>
      </c>
      <c r="AG35" s="5" t="s">
        <v>149</v>
      </c>
      <c r="AH35" s="5" t="s">
        <v>150</v>
      </c>
      <c r="AI35" s="5" t="s">
        <v>60</v>
      </c>
      <c r="AK35" s="21">
        <f t="shared" si="6"/>
        <v>0</v>
      </c>
      <c r="AL35" s="21">
        <f t="shared" si="6"/>
        <v>10168.199999999997</v>
      </c>
      <c r="AM35" s="21">
        <f t="shared" si="6"/>
        <v>10168.199999999997</v>
      </c>
      <c r="AN35" s="24">
        <f t="shared" si="7"/>
        <v>0</v>
      </c>
      <c r="AO35" s="24">
        <f t="shared" si="7"/>
        <v>0.29999999999999993</v>
      </c>
      <c r="AP35" s="24">
        <f t="shared" si="7"/>
        <v>0.29999999999999993</v>
      </c>
    </row>
    <row r="36" spans="1:42" ht="144" x14ac:dyDescent="0.3">
      <c r="A36" s="12" t="s">
        <v>151</v>
      </c>
      <c r="B36" s="12" t="s">
        <v>152</v>
      </c>
      <c r="C36" s="18" t="s">
        <v>153</v>
      </c>
      <c r="D36" s="19" t="s">
        <v>154</v>
      </c>
      <c r="E36" s="19"/>
      <c r="F36" s="19" t="s">
        <v>148</v>
      </c>
      <c r="G36" s="20">
        <v>1</v>
      </c>
      <c r="H36" s="20"/>
      <c r="I36" s="20">
        <v>18</v>
      </c>
      <c r="J36" s="21">
        <v>0</v>
      </c>
      <c r="K36" s="22">
        <v>900.99</v>
      </c>
      <c r="L36" s="21">
        <f>J36+ROUND(K36, 2)</f>
        <v>900.99</v>
      </c>
      <c r="M36" s="21">
        <v>0</v>
      </c>
      <c r="N36" s="21">
        <f>ROUND(I36*ROUND(K36, 2), 2)</f>
        <v>16217.82</v>
      </c>
      <c r="O36" s="21">
        <f>M36+N36</f>
        <v>16217.82</v>
      </c>
      <c r="P36" s="21">
        <v>0</v>
      </c>
      <c r="Q36" s="23">
        <v>1171.29</v>
      </c>
      <c r="R36" s="21">
        <f>P36+ROUND(Q36, 2)</f>
        <v>1171.29</v>
      </c>
      <c r="S36" s="21">
        <v>0</v>
      </c>
      <c r="T36" s="21">
        <f>ROUND(I36*ROUND(Q36, 2), 2)</f>
        <v>21083.22</v>
      </c>
      <c r="U36" s="21">
        <f>S36+T36</f>
        <v>21083.22</v>
      </c>
      <c r="V36" s="9"/>
      <c r="W36" s="9">
        <f>ROUND(Q36 / 1.2, 2)</f>
        <v>976.08</v>
      </c>
      <c r="X36" s="9">
        <f>ROUND(R36 / 1.2, 2)</f>
        <v>976.08</v>
      </c>
      <c r="Y36" s="9"/>
      <c r="Z36" s="9">
        <f>ROUND(T36 / 1.2, 2)</f>
        <v>17569.349999999999</v>
      </c>
      <c r="AA36" s="9">
        <f>Y36+Z36</f>
        <v>17569.349999999999</v>
      </c>
      <c r="AD36" s="5">
        <v>410200598</v>
      </c>
      <c r="AE36" s="5">
        <v>21662433</v>
      </c>
      <c r="AG36" s="5" t="s">
        <v>155</v>
      </c>
      <c r="AH36" s="5" t="s">
        <v>156</v>
      </c>
      <c r="AI36" s="5" t="s">
        <v>60</v>
      </c>
      <c r="AK36" s="21">
        <f t="shared" si="6"/>
        <v>0</v>
      </c>
      <c r="AL36" s="21">
        <f t="shared" si="6"/>
        <v>4865.4000000000015</v>
      </c>
      <c r="AM36" s="21">
        <f t="shared" si="6"/>
        <v>4865.4000000000015</v>
      </c>
      <c r="AN36" s="24">
        <f t="shared" si="7"/>
        <v>0</v>
      </c>
      <c r="AO36" s="24">
        <f t="shared" si="7"/>
        <v>0.30000332967069565</v>
      </c>
      <c r="AP36" s="24">
        <f t="shared" si="7"/>
        <v>0.30000332967069565</v>
      </c>
    </row>
    <row r="37" spans="1:42" ht="16.95" customHeight="1" x14ac:dyDescent="0.3">
      <c r="A37" s="12" t="s">
        <v>157</v>
      </c>
      <c r="B37" s="15" t="s">
        <v>158</v>
      </c>
      <c r="C37" s="67" t="s">
        <v>159</v>
      </c>
      <c r="D37" s="68"/>
      <c r="E37" s="68"/>
      <c r="F37" s="68"/>
      <c r="G37" s="68"/>
      <c r="H37" s="68"/>
      <c r="I37" s="69"/>
      <c r="M37" s="6">
        <f>SUM(M38,M60,M101)</f>
        <v>1976921.8599999999</v>
      </c>
      <c r="N37" s="6">
        <f>SUM(N38,N60,N101)</f>
        <v>5766703.709999999</v>
      </c>
      <c r="O37" s="6">
        <f>SUM(O38,O60,O101)</f>
        <v>7743625.5699999984</v>
      </c>
      <c r="S37" s="6">
        <f>SUM(S38,S60,S101)</f>
        <v>2129074.54</v>
      </c>
      <c r="T37" s="6">
        <f>SUM(T38,T60,T101)</f>
        <v>7643652.0200000005</v>
      </c>
      <c r="U37" s="6">
        <f>SUM(U38,U60,U101)</f>
        <v>9772726.5599999987</v>
      </c>
      <c r="Y37" s="9">
        <f>SUM(Y38,Y60,Y101)</f>
        <v>1774228.81</v>
      </c>
      <c r="Z37" s="9">
        <f>SUM(Z38,Z60,Z101)</f>
        <v>6369710.04</v>
      </c>
      <c r="AA37" s="9">
        <f>SUM(AA38,AA60,AA101)</f>
        <v>8143938.8500000006</v>
      </c>
      <c r="AD37" s="5">
        <v>410200599</v>
      </c>
      <c r="AE37" s="5">
        <v>36659757</v>
      </c>
      <c r="AK37" s="6">
        <f t="shared" si="6"/>
        <v>152152.68000000017</v>
      </c>
      <c r="AL37" s="6">
        <f t="shared" si="6"/>
        <v>1876948.3100000015</v>
      </c>
      <c r="AM37" s="6">
        <f t="shared" si="6"/>
        <v>2029100.9900000002</v>
      </c>
      <c r="AN37" s="10">
        <f t="shared" si="7"/>
        <v>7.6964438038031602E-2</v>
      </c>
      <c r="AO37" s="10">
        <f t="shared" si="7"/>
        <v>0.32548027510849897</v>
      </c>
      <c r="AP37" s="10">
        <f t="shared" si="7"/>
        <v>0.26203500823452142</v>
      </c>
    </row>
    <row r="38" spans="1:42" ht="16.95" customHeight="1" x14ac:dyDescent="0.3">
      <c r="A38" s="12" t="s">
        <v>160</v>
      </c>
      <c r="B38" s="16" t="s">
        <v>161</v>
      </c>
      <c r="C38" s="70" t="s">
        <v>53</v>
      </c>
      <c r="D38" s="71"/>
      <c r="E38" s="71"/>
      <c r="F38" s="71"/>
      <c r="G38" s="71"/>
      <c r="H38" s="71"/>
      <c r="I38" s="72"/>
      <c r="M38" s="6">
        <f>SUM(M39,M44,M49,M54,M56)</f>
        <v>850090.45999999985</v>
      </c>
      <c r="N38" s="6">
        <f>SUM(N39,N44,N49,N54,N56)</f>
        <v>692822.52</v>
      </c>
      <c r="O38" s="6">
        <f>SUM(O39,O44,O49,O54,O56)</f>
        <v>1542912.9799999997</v>
      </c>
      <c r="S38" s="6">
        <f>SUM(S39,S44,S49,S54,S56)</f>
        <v>888978.49999999988</v>
      </c>
      <c r="T38" s="6">
        <f>SUM(T39,T44,T49,T54,T56)</f>
        <v>1047605.0199999999</v>
      </c>
      <c r="U38" s="6">
        <f>SUM(U39,U44,U49,U54,U56)</f>
        <v>1936583.52</v>
      </c>
      <c r="Y38" s="9">
        <f>SUM(Y39,Y44,Y49,Y54,Y56)</f>
        <v>740815.42</v>
      </c>
      <c r="Z38" s="9">
        <f>SUM(Z39,Z44,Z49,Z54,Z56)</f>
        <v>873004.18999999983</v>
      </c>
      <c r="AA38" s="9">
        <f>SUM(AA39,AA44,AA49,AA54,AA56)</f>
        <v>1613819.61</v>
      </c>
      <c r="AD38" s="5">
        <v>410200600</v>
      </c>
      <c r="AE38" s="5">
        <v>36659762</v>
      </c>
      <c r="AK38" s="6">
        <f t="shared" si="6"/>
        <v>38888.040000000037</v>
      </c>
      <c r="AL38" s="6">
        <f t="shared" si="6"/>
        <v>354782.49999999988</v>
      </c>
      <c r="AM38" s="6">
        <f t="shared" si="6"/>
        <v>393670.54000000027</v>
      </c>
      <c r="AN38" s="10">
        <f t="shared" si="7"/>
        <v>4.5745766868151939E-2</v>
      </c>
      <c r="AO38" s="10">
        <f t="shared" si="7"/>
        <v>0.51208280585336619</v>
      </c>
      <c r="AP38" s="10">
        <f t="shared" si="7"/>
        <v>0.25514759750092991</v>
      </c>
    </row>
    <row r="39" spans="1:42" ht="54" x14ac:dyDescent="0.3">
      <c r="A39" s="12" t="s">
        <v>162</v>
      </c>
      <c r="B39" s="12" t="s">
        <v>163</v>
      </c>
      <c r="C39" s="18" t="s">
        <v>164</v>
      </c>
      <c r="D39" s="19"/>
      <c r="E39" s="19" t="s">
        <v>165</v>
      </c>
      <c r="F39" s="19" t="s">
        <v>57</v>
      </c>
      <c r="G39" s="20">
        <v>1</v>
      </c>
      <c r="H39" s="20"/>
      <c r="I39" s="20">
        <v>339.13</v>
      </c>
      <c r="J39" s="21">
        <f>IFERROR(ROUND(SUM(M40,M41,M42,M43)/I39, 2),0)</f>
        <v>1272.1099999999999</v>
      </c>
      <c r="K39" s="22">
        <v>556</v>
      </c>
      <c r="L39" s="21">
        <f>J39+ROUND(K39, 2)</f>
        <v>1828.11</v>
      </c>
      <c r="M39" s="21">
        <f>ROUND(J39*I39, 2)</f>
        <v>431410.66</v>
      </c>
      <c r="N39" s="21">
        <f>ROUND(I39*ROUND(K39, 2), 2)</f>
        <v>188556.28</v>
      </c>
      <c r="O39" s="21">
        <f>M39+N39</f>
        <v>619966.93999999994</v>
      </c>
      <c r="P39" s="21">
        <f>IFERROR(ROUND(SUM(S40,S41,S42,S43)/I39, 2),0)</f>
        <v>1386.78</v>
      </c>
      <c r="Q39" s="23">
        <v>722.8</v>
      </c>
      <c r="R39" s="21">
        <f>P39+ROUND(Q39, 2)</f>
        <v>2109.58</v>
      </c>
      <c r="S39" s="21">
        <f>ROUND(P39*I39, 2)</f>
        <v>470298.7</v>
      </c>
      <c r="T39" s="21">
        <f>ROUND(I39*ROUND(Q39, 2), 2)</f>
        <v>245123.16</v>
      </c>
      <c r="U39" s="21">
        <f>S39+T39</f>
        <v>715421.86</v>
      </c>
      <c r="V39" s="9">
        <f>ROUND(P39 / 1.2, 2)</f>
        <v>1155.6500000000001</v>
      </c>
      <c r="W39" s="9">
        <f>ROUND(Q39 / 1.2, 2)</f>
        <v>602.33000000000004</v>
      </c>
      <c r="X39" s="9">
        <f>ROUND(R39 / 1.2, 2)</f>
        <v>1757.98</v>
      </c>
      <c r="Y39" s="9">
        <f>ROUND(S39 / 1.2, 2)</f>
        <v>391915.58</v>
      </c>
      <c r="Z39" s="9">
        <f>ROUND(T39 / 1.2, 2)</f>
        <v>204269.3</v>
      </c>
      <c r="AA39" s="9">
        <f>Y39+Z39</f>
        <v>596184.88</v>
      </c>
      <c r="AD39" s="5">
        <v>410200602</v>
      </c>
      <c r="AE39" s="5">
        <v>36659764</v>
      </c>
      <c r="AG39" s="5" t="s">
        <v>166</v>
      </c>
      <c r="AH39" s="5" t="s">
        <v>167</v>
      </c>
      <c r="AI39" s="5" t="s">
        <v>60</v>
      </c>
      <c r="AK39" s="21">
        <f t="shared" si="6"/>
        <v>38888.040000000037</v>
      </c>
      <c r="AL39" s="21">
        <f t="shared" si="6"/>
        <v>56566.880000000005</v>
      </c>
      <c r="AM39" s="21">
        <f t="shared" si="6"/>
        <v>95454.920000000042</v>
      </c>
      <c r="AN39" s="24">
        <f t="shared" si="7"/>
        <v>9.0141583427725311E-2</v>
      </c>
      <c r="AO39" s="24">
        <f t="shared" si="7"/>
        <v>0.29999997878617463</v>
      </c>
      <c r="AP39" s="24">
        <f t="shared" si="7"/>
        <v>0.15396775834530799</v>
      </c>
    </row>
    <row r="40" spans="1:42" s="83" customFormat="1" ht="72" x14ac:dyDescent="0.3">
      <c r="A40" s="77" t="s">
        <v>168</v>
      </c>
      <c r="B40" s="77"/>
      <c r="C40" s="78" t="s">
        <v>169</v>
      </c>
      <c r="D40" s="79"/>
      <c r="E40" s="79"/>
      <c r="F40" s="80" t="s">
        <v>57</v>
      </c>
      <c r="G40" s="81">
        <v>1.1000000000000001</v>
      </c>
      <c r="H40" s="81"/>
      <c r="I40" s="81">
        <v>373.04300000000001</v>
      </c>
      <c r="J40" s="82">
        <v>1062.4100000000001</v>
      </c>
      <c r="M40" s="84">
        <f>ROUND(ROUND(J40, 2)*I40, 2)</f>
        <v>396324.61</v>
      </c>
      <c r="P40" s="85">
        <v>1062.4100000000001</v>
      </c>
      <c r="S40" s="84">
        <f>ROUND(ROUND(P40, 2)*I40, 2)</f>
        <v>396324.61</v>
      </c>
      <c r="V40" s="86">
        <f>ROUND(ROUND(P40, 2)/1.2, 2)</f>
        <v>885.34</v>
      </c>
      <c r="Y40" s="86">
        <f t="shared" ref="Y40:Y59" si="8">ROUND(S40 / 1.2, 2)</f>
        <v>330270.51</v>
      </c>
      <c r="AD40" s="87" t="s">
        <v>170</v>
      </c>
      <c r="AE40" s="87" t="s">
        <v>171</v>
      </c>
      <c r="AF40" s="87" t="s">
        <v>172</v>
      </c>
      <c r="AK40" s="84">
        <f t="shared" si="6"/>
        <v>0</v>
      </c>
      <c r="AL40" s="84"/>
      <c r="AM40" s="84"/>
      <c r="AN40" s="88">
        <f t="shared" si="7"/>
        <v>0</v>
      </c>
      <c r="AO40" s="84"/>
      <c r="AP40" s="84"/>
    </row>
    <row r="41" spans="1:42" s="83" customFormat="1" ht="72" x14ac:dyDescent="0.3">
      <c r="A41" s="77" t="s">
        <v>173</v>
      </c>
      <c r="B41" s="77"/>
      <c r="C41" s="78" t="s">
        <v>174</v>
      </c>
      <c r="D41" s="79"/>
      <c r="E41" s="79"/>
      <c r="F41" s="80" t="s">
        <v>101</v>
      </c>
      <c r="G41" s="81">
        <v>1</v>
      </c>
      <c r="H41" s="81"/>
      <c r="I41" s="81">
        <v>169.565</v>
      </c>
      <c r="J41" s="82">
        <v>51.85</v>
      </c>
      <c r="M41" s="84">
        <f>ROUND(ROUND(J41, 2)*I41, 2)</f>
        <v>8791.9500000000007</v>
      </c>
      <c r="P41" s="85">
        <v>51.85</v>
      </c>
      <c r="S41" s="84">
        <f>ROUND(ROUND(P41, 2)*I41, 2)</f>
        <v>8791.9500000000007</v>
      </c>
      <c r="V41" s="86">
        <f>ROUND(ROUND(P41, 2)/1.2, 2)</f>
        <v>43.21</v>
      </c>
      <c r="Y41" s="86">
        <f t="shared" si="8"/>
        <v>7326.63</v>
      </c>
      <c r="AD41" s="87" t="s">
        <v>175</v>
      </c>
      <c r="AE41" s="87" t="s">
        <v>176</v>
      </c>
      <c r="AF41" s="87" t="s">
        <v>177</v>
      </c>
      <c r="AK41" s="84">
        <f t="shared" si="6"/>
        <v>0</v>
      </c>
      <c r="AL41" s="84"/>
      <c r="AM41" s="84"/>
      <c r="AN41" s="88">
        <f t="shared" si="7"/>
        <v>0</v>
      </c>
      <c r="AO41" s="84"/>
      <c r="AP41" s="84"/>
    </row>
    <row r="42" spans="1:42" s="83" customFormat="1" ht="36" x14ac:dyDescent="0.3">
      <c r="A42" s="77" t="s">
        <v>178</v>
      </c>
      <c r="B42" s="77"/>
      <c r="C42" s="89" t="s">
        <v>108</v>
      </c>
      <c r="D42" s="79"/>
      <c r="E42" s="79"/>
      <c r="F42" s="80" t="s">
        <v>63</v>
      </c>
      <c r="G42" s="81">
        <v>0.15</v>
      </c>
      <c r="H42" s="81"/>
      <c r="I42" s="81">
        <v>50.87</v>
      </c>
      <c r="J42" s="82">
        <v>69.540000000000006</v>
      </c>
      <c r="M42" s="84">
        <f>ROUND(ROUND(J42, 2)*I42, 2)</f>
        <v>3537.5</v>
      </c>
      <c r="P42" s="85">
        <v>69.540000000000006</v>
      </c>
      <c r="S42" s="84">
        <f>ROUND(ROUND(P42, 2)*I42, 2)</f>
        <v>3537.5</v>
      </c>
      <c r="V42" s="86">
        <f>ROUND(ROUND(P42, 2)/1.2, 2)</f>
        <v>57.95</v>
      </c>
      <c r="Y42" s="86">
        <f t="shared" si="8"/>
        <v>2947.92</v>
      </c>
      <c r="AD42" s="87" t="s">
        <v>179</v>
      </c>
      <c r="AE42" s="87" t="s">
        <v>180</v>
      </c>
      <c r="AF42" s="87" t="s">
        <v>111</v>
      </c>
      <c r="AK42" s="84">
        <f t="shared" si="6"/>
        <v>0</v>
      </c>
      <c r="AL42" s="84"/>
      <c r="AM42" s="84"/>
      <c r="AN42" s="88">
        <f t="shared" si="7"/>
        <v>0</v>
      </c>
      <c r="AO42" s="84"/>
      <c r="AP42" s="84"/>
    </row>
    <row r="43" spans="1:42" s="83" customFormat="1" ht="72" x14ac:dyDescent="0.3">
      <c r="A43" s="77" t="s">
        <v>181</v>
      </c>
      <c r="B43" s="77"/>
      <c r="C43" s="89" t="s">
        <v>182</v>
      </c>
      <c r="D43" s="79"/>
      <c r="E43" s="79" t="s">
        <v>183</v>
      </c>
      <c r="F43" s="80" t="s">
        <v>63</v>
      </c>
      <c r="G43" s="81">
        <v>0.3</v>
      </c>
      <c r="H43" s="81"/>
      <c r="I43" s="81">
        <v>101.739</v>
      </c>
      <c r="J43" s="82">
        <v>223.66</v>
      </c>
      <c r="M43" s="84">
        <f>ROUND(ROUND(J43, 2)*I43, 2)</f>
        <v>22754.94</v>
      </c>
      <c r="P43" s="85">
        <v>605.9</v>
      </c>
      <c r="S43" s="84">
        <f>ROUND(ROUND(P43, 2)*I43, 2)</f>
        <v>61643.66</v>
      </c>
      <c r="V43" s="86">
        <f>ROUND(ROUND(P43, 2)/1.2, 2)</f>
        <v>504.92</v>
      </c>
      <c r="Y43" s="86">
        <f t="shared" si="8"/>
        <v>51369.72</v>
      </c>
      <c r="AD43" s="87" t="s">
        <v>184</v>
      </c>
      <c r="AE43" s="87" t="s">
        <v>185</v>
      </c>
      <c r="AF43" s="87" t="s">
        <v>186</v>
      </c>
      <c r="AK43" s="84">
        <f t="shared" si="6"/>
        <v>38888.720000000001</v>
      </c>
      <c r="AL43" s="84"/>
      <c r="AM43" s="84"/>
      <c r="AN43" s="88">
        <f t="shared" si="7"/>
        <v>1.7090231835372891</v>
      </c>
      <c r="AO43" s="84"/>
      <c r="AP43" s="84"/>
    </row>
    <row r="44" spans="1:42" ht="54" x14ac:dyDescent="0.3">
      <c r="A44" s="12" t="s">
        <v>187</v>
      </c>
      <c r="B44" s="12" t="s">
        <v>188</v>
      </c>
      <c r="C44" s="18" t="s">
        <v>189</v>
      </c>
      <c r="D44" s="19"/>
      <c r="E44" s="19"/>
      <c r="F44" s="19" t="s">
        <v>57</v>
      </c>
      <c r="G44" s="20">
        <v>1</v>
      </c>
      <c r="H44" s="20"/>
      <c r="I44" s="20">
        <v>110.33</v>
      </c>
      <c r="J44" s="21">
        <f>IFERROR(ROUND(SUM(M45,M46,M47,M48)/I44, 2),0)</f>
        <v>1483.45</v>
      </c>
      <c r="K44" s="22">
        <v>1439</v>
      </c>
      <c r="L44" s="21">
        <f>J44+ROUND(K44, 2)</f>
        <v>2922.45</v>
      </c>
      <c r="M44" s="21">
        <f>ROUND(J44*I44, 2)</f>
        <v>163669.04</v>
      </c>
      <c r="N44" s="21">
        <f>ROUND(I44*ROUND(K44, 2), 2)</f>
        <v>158764.87</v>
      </c>
      <c r="O44" s="21">
        <f>M44+N44</f>
        <v>322433.91000000003</v>
      </c>
      <c r="P44" s="21">
        <f>IFERROR(ROUND(SUM(S45,S46,S47,S48)/I44, 2),0)</f>
        <v>1483.45</v>
      </c>
      <c r="Q44" s="23">
        <v>1870.7</v>
      </c>
      <c r="R44" s="21">
        <f>P44+ROUND(Q44, 2)</f>
        <v>3354.15</v>
      </c>
      <c r="S44" s="21">
        <f>ROUND(P44*I44, 2)</f>
        <v>163669.04</v>
      </c>
      <c r="T44" s="21">
        <f>ROUND(I44*ROUND(Q44, 2), 2)</f>
        <v>206394.33</v>
      </c>
      <c r="U44" s="21">
        <f>S44+T44</f>
        <v>370063.37</v>
      </c>
      <c r="V44" s="9">
        <f>ROUND(P44 / 1.2, 2)</f>
        <v>1236.21</v>
      </c>
      <c r="W44" s="9">
        <f>ROUND(Q44 / 1.2, 2)</f>
        <v>1558.92</v>
      </c>
      <c r="X44" s="9">
        <f>ROUND(R44 / 1.2, 2)</f>
        <v>2795.13</v>
      </c>
      <c r="Y44" s="9">
        <f t="shared" si="8"/>
        <v>136390.87</v>
      </c>
      <c r="Z44" s="9">
        <f>ROUND(T44 / 1.2, 2)</f>
        <v>171995.28</v>
      </c>
      <c r="AA44" s="9">
        <f>Y44+Z44</f>
        <v>308386.15000000002</v>
      </c>
      <c r="AD44" s="5">
        <v>410200604</v>
      </c>
      <c r="AE44" s="5">
        <v>36659754</v>
      </c>
      <c r="AG44" s="5" t="s">
        <v>190</v>
      </c>
      <c r="AH44" s="5" t="s">
        <v>191</v>
      </c>
      <c r="AI44" s="5" t="s">
        <v>60</v>
      </c>
      <c r="AK44" s="21">
        <f t="shared" si="6"/>
        <v>0</v>
      </c>
      <c r="AL44" s="21">
        <f>T44-N44</f>
        <v>47629.459999999992</v>
      </c>
      <c r="AM44" s="21">
        <f>U44-O44</f>
        <v>47629.459999999963</v>
      </c>
      <c r="AN44" s="24">
        <f t="shared" si="7"/>
        <v>0</v>
      </c>
      <c r="AO44" s="24">
        <f>IFERROR(AL44/N44,0)</f>
        <v>0.29999999370137737</v>
      </c>
      <c r="AP44" s="24">
        <f>IFERROR(AM44/O44,0)</f>
        <v>0.14771852005268291</v>
      </c>
    </row>
    <row r="45" spans="1:42" s="83" customFormat="1" ht="18" x14ac:dyDescent="0.3">
      <c r="A45" s="77" t="s">
        <v>192</v>
      </c>
      <c r="B45" s="77"/>
      <c r="C45" s="89" t="s">
        <v>68</v>
      </c>
      <c r="D45" s="79"/>
      <c r="E45" s="79"/>
      <c r="F45" s="80" t="s">
        <v>63</v>
      </c>
      <c r="G45" s="81">
        <v>0.25</v>
      </c>
      <c r="H45" s="81"/>
      <c r="I45" s="81">
        <v>27.582999999999998</v>
      </c>
      <c r="J45" s="82">
        <v>48.23</v>
      </c>
      <c r="M45" s="84">
        <f>ROUND(ROUND(J45, 2)*I45, 2)</f>
        <v>1330.33</v>
      </c>
      <c r="P45" s="85">
        <v>48.23</v>
      </c>
      <c r="S45" s="84">
        <f>ROUND(ROUND(P45, 2)*I45, 2)</f>
        <v>1330.33</v>
      </c>
      <c r="V45" s="86">
        <f>ROUND(ROUND(P45, 2)/1.2, 2)</f>
        <v>40.19</v>
      </c>
      <c r="Y45" s="86">
        <f t="shared" si="8"/>
        <v>1108.6099999999999</v>
      </c>
      <c r="AD45" s="87" t="s">
        <v>193</v>
      </c>
      <c r="AE45" s="87" t="s">
        <v>194</v>
      </c>
      <c r="AF45" s="87" t="s">
        <v>71</v>
      </c>
      <c r="AK45" s="84">
        <f t="shared" si="6"/>
        <v>0</v>
      </c>
      <c r="AL45" s="84"/>
      <c r="AM45" s="84"/>
      <c r="AN45" s="88">
        <f t="shared" si="7"/>
        <v>0</v>
      </c>
      <c r="AO45" s="84"/>
      <c r="AP45" s="84"/>
    </row>
    <row r="46" spans="1:42" s="83" customFormat="1" ht="36" x14ac:dyDescent="0.3">
      <c r="A46" s="77" t="s">
        <v>195</v>
      </c>
      <c r="B46" s="77"/>
      <c r="C46" s="78" t="s">
        <v>196</v>
      </c>
      <c r="D46" s="79"/>
      <c r="E46" s="79"/>
      <c r="F46" s="80" t="s">
        <v>63</v>
      </c>
      <c r="G46" s="81">
        <v>1.2</v>
      </c>
      <c r="H46" s="81"/>
      <c r="I46" s="81">
        <v>661.98</v>
      </c>
      <c r="J46" s="82">
        <v>16.38</v>
      </c>
      <c r="M46" s="84">
        <f>ROUND(ROUND(J46, 2)*I46, 2)</f>
        <v>10843.23</v>
      </c>
      <c r="P46" s="85">
        <v>16.38</v>
      </c>
      <c r="S46" s="84">
        <f>ROUND(ROUND(P46, 2)*I46, 2)</f>
        <v>10843.23</v>
      </c>
      <c r="V46" s="86">
        <f>ROUND(ROUND(P46, 2)/1.2, 2)</f>
        <v>13.65</v>
      </c>
      <c r="Y46" s="86">
        <f t="shared" si="8"/>
        <v>9036.0300000000007</v>
      </c>
      <c r="AD46" s="87" t="s">
        <v>197</v>
      </c>
      <c r="AE46" s="87" t="s">
        <v>198</v>
      </c>
      <c r="AF46" s="87" t="s">
        <v>199</v>
      </c>
      <c r="AK46" s="84">
        <f t="shared" si="6"/>
        <v>0</v>
      </c>
      <c r="AL46" s="84"/>
      <c r="AM46" s="84"/>
      <c r="AN46" s="88">
        <f t="shared" si="7"/>
        <v>0</v>
      </c>
      <c r="AO46" s="84"/>
      <c r="AP46" s="84"/>
    </row>
    <row r="47" spans="1:42" s="83" customFormat="1" ht="36" x14ac:dyDescent="0.3">
      <c r="A47" s="77" t="s">
        <v>200</v>
      </c>
      <c r="B47" s="77"/>
      <c r="C47" s="89" t="s">
        <v>108</v>
      </c>
      <c r="D47" s="79"/>
      <c r="E47" s="79"/>
      <c r="F47" s="80" t="s">
        <v>63</v>
      </c>
      <c r="G47" s="81">
        <v>0.15</v>
      </c>
      <c r="H47" s="81"/>
      <c r="I47" s="81">
        <v>16.55</v>
      </c>
      <c r="J47" s="82">
        <v>69.540000000000006</v>
      </c>
      <c r="M47" s="84">
        <f>ROUND(ROUND(J47, 2)*I47, 2)</f>
        <v>1150.8900000000001</v>
      </c>
      <c r="P47" s="85">
        <v>69.540000000000006</v>
      </c>
      <c r="S47" s="84">
        <f>ROUND(ROUND(P47, 2)*I47, 2)</f>
        <v>1150.8900000000001</v>
      </c>
      <c r="V47" s="86">
        <f>ROUND(ROUND(P47, 2)/1.2, 2)</f>
        <v>57.95</v>
      </c>
      <c r="Y47" s="86">
        <f t="shared" si="8"/>
        <v>959.08</v>
      </c>
      <c r="AD47" s="87" t="s">
        <v>201</v>
      </c>
      <c r="AE47" s="87" t="s">
        <v>202</v>
      </c>
      <c r="AF47" s="87" t="s">
        <v>111</v>
      </c>
      <c r="AK47" s="84">
        <f t="shared" si="6"/>
        <v>0</v>
      </c>
      <c r="AL47" s="84"/>
      <c r="AM47" s="84"/>
      <c r="AN47" s="88">
        <f t="shared" si="7"/>
        <v>0</v>
      </c>
      <c r="AO47" s="84"/>
      <c r="AP47" s="84"/>
    </row>
    <row r="48" spans="1:42" s="83" customFormat="1" ht="36" x14ac:dyDescent="0.3">
      <c r="A48" s="77" t="s">
        <v>203</v>
      </c>
      <c r="B48" s="77"/>
      <c r="C48" s="89" t="s">
        <v>204</v>
      </c>
      <c r="D48" s="79"/>
      <c r="E48" s="79"/>
      <c r="F48" s="80" t="s">
        <v>57</v>
      </c>
      <c r="G48" s="81">
        <v>1.07</v>
      </c>
      <c r="H48" s="81"/>
      <c r="I48" s="81">
        <v>118.053</v>
      </c>
      <c r="J48" s="82">
        <v>1273.53</v>
      </c>
      <c r="M48" s="84">
        <f>ROUND(ROUND(J48, 2)*I48, 2)</f>
        <v>150344.04</v>
      </c>
      <c r="P48" s="85">
        <v>1273.53</v>
      </c>
      <c r="S48" s="84">
        <f>ROUND(ROUND(P48, 2)*I48, 2)</f>
        <v>150344.04</v>
      </c>
      <c r="V48" s="86">
        <f>ROUND(ROUND(P48, 2)/1.2, 2)</f>
        <v>1061.28</v>
      </c>
      <c r="Y48" s="86">
        <f t="shared" si="8"/>
        <v>125286.7</v>
      </c>
      <c r="AD48" s="87" t="s">
        <v>205</v>
      </c>
      <c r="AE48" s="87" t="s">
        <v>206</v>
      </c>
      <c r="AF48" s="87" t="s">
        <v>207</v>
      </c>
      <c r="AK48" s="84">
        <f t="shared" si="6"/>
        <v>0</v>
      </c>
      <c r="AL48" s="84"/>
      <c r="AM48" s="84"/>
      <c r="AN48" s="88">
        <f t="shared" si="7"/>
        <v>0</v>
      </c>
      <c r="AO48" s="84"/>
      <c r="AP48" s="84"/>
    </row>
    <row r="49" spans="1:42" ht="54" x14ac:dyDescent="0.3">
      <c r="A49" s="12" t="s">
        <v>208</v>
      </c>
      <c r="B49" s="12" t="s">
        <v>188</v>
      </c>
      <c r="C49" s="18" t="s">
        <v>189</v>
      </c>
      <c r="D49" s="19"/>
      <c r="E49" s="19"/>
      <c r="F49" s="19" t="s">
        <v>57</v>
      </c>
      <c r="G49" s="20">
        <v>1</v>
      </c>
      <c r="H49" s="20"/>
      <c r="I49" s="20">
        <v>145.83000000000001</v>
      </c>
      <c r="J49" s="21">
        <f>IFERROR(ROUND(SUM(M50,M51,M52,M53)/I49, 2),0)</f>
        <v>607.47</v>
      </c>
      <c r="K49" s="22">
        <v>1439</v>
      </c>
      <c r="L49" s="21">
        <f>J49+ROUND(K49, 2)</f>
        <v>2046.47</v>
      </c>
      <c r="M49" s="21">
        <f>ROUND(J49*I49, 2)</f>
        <v>88587.35</v>
      </c>
      <c r="N49" s="21">
        <f>ROUND(I49*ROUND(K49, 2), 2)</f>
        <v>209849.37</v>
      </c>
      <c r="O49" s="21">
        <f>M49+N49</f>
        <v>298436.71999999997</v>
      </c>
      <c r="P49" s="21">
        <f>IFERROR(ROUND(SUM(S50,S51,S52,S53)/I49, 2),0)</f>
        <v>607.47</v>
      </c>
      <c r="Q49" s="23">
        <v>1870.7</v>
      </c>
      <c r="R49" s="21">
        <f>P49+ROUND(Q49, 2)</f>
        <v>2478.17</v>
      </c>
      <c r="S49" s="21">
        <f>ROUND(P49*I49, 2)</f>
        <v>88587.35</v>
      </c>
      <c r="T49" s="21">
        <f>ROUND(I49*ROUND(Q49, 2), 2)</f>
        <v>272804.18</v>
      </c>
      <c r="U49" s="21">
        <f>S49+T49</f>
        <v>361391.53</v>
      </c>
      <c r="V49" s="9">
        <f>ROUND(P49 / 1.2, 2)</f>
        <v>506.23</v>
      </c>
      <c r="W49" s="9">
        <f>ROUND(Q49 / 1.2, 2)</f>
        <v>1558.92</v>
      </c>
      <c r="X49" s="9">
        <f>ROUND(R49 / 1.2, 2)</f>
        <v>2065.14</v>
      </c>
      <c r="Y49" s="9">
        <f t="shared" si="8"/>
        <v>73822.789999999994</v>
      </c>
      <c r="Z49" s="9">
        <f>ROUND(T49 / 1.2, 2)</f>
        <v>227336.82</v>
      </c>
      <c r="AA49" s="9">
        <f>Y49+Z49</f>
        <v>301159.61</v>
      </c>
      <c r="AD49" s="5">
        <v>410200634</v>
      </c>
      <c r="AE49" s="5">
        <v>36659755</v>
      </c>
      <c r="AG49" s="5" t="s">
        <v>190</v>
      </c>
      <c r="AH49" s="5" t="s">
        <v>191</v>
      </c>
      <c r="AI49" s="5" t="s">
        <v>60</v>
      </c>
      <c r="AK49" s="21">
        <f t="shared" si="6"/>
        <v>0</v>
      </c>
      <c r="AL49" s="21">
        <f>T49-N49</f>
        <v>62954.81</v>
      </c>
      <c r="AM49" s="21">
        <f>U49-O49</f>
        <v>62954.810000000056</v>
      </c>
      <c r="AN49" s="24">
        <f t="shared" si="7"/>
        <v>0</v>
      </c>
      <c r="AO49" s="24">
        <f>IFERROR(AL49/N49,0)</f>
        <v>0.29999999523467713</v>
      </c>
      <c r="AP49" s="24">
        <f>IFERROR(AM49/O49,0)</f>
        <v>0.21094860578818875</v>
      </c>
    </row>
    <row r="50" spans="1:42" s="83" customFormat="1" ht="36" x14ac:dyDescent="0.3">
      <c r="A50" s="77" t="s">
        <v>209</v>
      </c>
      <c r="B50" s="77"/>
      <c r="C50" s="89" t="s">
        <v>108</v>
      </c>
      <c r="D50" s="79"/>
      <c r="E50" s="79"/>
      <c r="F50" s="80" t="s">
        <v>63</v>
      </c>
      <c r="G50" s="81">
        <v>0.15</v>
      </c>
      <c r="H50" s="81"/>
      <c r="I50" s="81">
        <v>21.875</v>
      </c>
      <c r="J50" s="82">
        <v>69.540000000000006</v>
      </c>
      <c r="M50" s="84">
        <f>ROUND(ROUND(J50, 2)*I50, 2)</f>
        <v>1521.19</v>
      </c>
      <c r="P50" s="85">
        <v>69.540000000000006</v>
      </c>
      <c r="S50" s="84">
        <f>ROUND(ROUND(P50, 2)*I50, 2)</f>
        <v>1521.19</v>
      </c>
      <c r="V50" s="86">
        <f>ROUND(ROUND(P50, 2)/1.2, 2)</f>
        <v>57.95</v>
      </c>
      <c r="Y50" s="86">
        <f t="shared" si="8"/>
        <v>1267.6600000000001</v>
      </c>
      <c r="AD50" s="87" t="s">
        <v>210</v>
      </c>
      <c r="AE50" s="87" t="s">
        <v>211</v>
      </c>
      <c r="AF50" s="87" t="s">
        <v>111</v>
      </c>
      <c r="AK50" s="84">
        <f t="shared" si="6"/>
        <v>0</v>
      </c>
      <c r="AL50" s="84"/>
      <c r="AM50" s="84"/>
      <c r="AN50" s="88">
        <f t="shared" si="7"/>
        <v>0</v>
      </c>
      <c r="AO50" s="84"/>
      <c r="AP50" s="84"/>
    </row>
    <row r="51" spans="1:42" s="83" customFormat="1" ht="36" x14ac:dyDescent="0.3">
      <c r="A51" s="77" t="s">
        <v>212</v>
      </c>
      <c r="B51" s="77"/>
      <c r="C51" s="78" t="s">
        <v>196</v>
      </c>
      <c r="D51" s="79"/>
      <c r="E51" s="79"/>
      <c r="F51" s="80" t="s">
        <v>63</v>
      </c>
      <c r="G51" s="81">
        <v>1.2</v>
      </c>
      <c r="H51" s="81"/>
      <c r="I51" s="81">
        <v>874.98</v>
      </c>
      <c r="J51" s="82">
        <v>16.38</v>
      </c>
      <c r="M51" s="84">
        <f>ROUND(ROUND(J51, 2)*I51, 2)</f>
        <v>14332.17</v>
      </c>
      <c r="P51" s="85">
        <v>16.38</v>
      </c>
      <c r="S51" s="84">
        <f>ROUND(ROUND(P51, 2)*I51, 2)</f>
        <v>14332.17</v>
      </c>
      <c r="V51" s="86">
        <f>ROUND(ROUND(P51, 2)/1.2, 2)</f>
        <v>13.65</v>
      </c>
      <c r="Y51" s="86">
        <f t="shared" si="8"/>
        <v>11943.48</v>
      </c>
      <c r="AD51" s="87" t="s">
        <v>213</v>
      </c>
      <c r="AE51" s="87" t="s">
        <v>214</v>
      </c>
      <c r="AF51" s="87" t="s">
        <v>199</v>
      </c>
      <c r="AK51" s="84">
        <f t="shared" si="6"/>
        <v>0</v>
      </c>
      <c r="AL51" s="84"/>
      <c r="AM51" s="84"/>
      <c r="AN51" s="88">
        <f t="shared" si="7"/>
        <v>0</v>
      </c>
      <c r="AO51" s="84"/>
      <c r="AP51" s="84"/>
    </row>
    <row r="52" spans="1:42" s="83" customFormat="1" ht="36" x14ac:dyDescent="0.3">
      <c r="A52" s="77" t="s">
        <v>215</v>
      </c>
      <c r="B52" s="77"/>
      <c r="C52" s="78" t="s">
        <v>128</v>
      </c>
      <c r="D52" s="79"/>
      <c r="E52" s="79"/>
      <c r="F52" s="80" t="s">
        <v>57</v>
      </c>
      <c r="G52" s="81">
        <v>1.07</v>
      </c>
      <c r="H52" s="81"/>
      <c r="I52" s="81">
        <v>156.03800000000001</v>
      </c>
      <c r="J52" s="82">
        <v>454.86</v>
      </c>
      <c r="M52" s="84">
        <f>ROUND(ROUND(J52, 2)*I52, 2)</f>
        <v>70975.44</v>
      </c>
      <c r="P52" s="85">
        <v>454.86</v>
      </c>
      <c r="S52" s="84">
        <f>ROUND(ROUND(P52, 2)*I52, 2)</f>
        <v>70975.44</v>
      </c>
      <c r="V52" s="86">
        <f>ROUND(ROUND(P52, 2)/1.2, 2)</f>
        <v>379.05</v>
      </c>
      <c r="Y52" s="86">
        <f t="shared" si="8"/>
        <v>59146.2</v>
      </c>
      <c r="AD52" s="87" t="s">
        <v>216</v>
      </c>
      <c r="AE52" s="87" t="s">
        <v>217</v>
      </c>
      <c r="AF52" s="87" t="s">
        <v>131</v>
      </c>
      <c r="AK52" s="84">
        <f t="shared" si="6"/>
        <v>0</v>
      </c>
      <c r="AL52" s="84"/>
      <c r="AM52" s="84"/>
      <c r="AN52" s="88">
        <f t="shared" si="7"/>
        <v>0</v>
      </c>
      <c r="AO52" s="84"/>
      <c r="AP52" s="84"/>
    </row>
    <row r="53" spans="1:42" s="83" customFormat="1" ht="18" x14ac:dyDescent="0.3">
      <c r="A53" s="77" t="s">
        <v>218</v>
      </c>
      <c r="B53" s="77"/>
      <c r="C53" s="89" t="s">
        <v>68</v>
      </c>
      <c r="D53" s="79"/>
      <c r="E53" s="79"/>
      <c r="F53" s="80" t="s">
        <v>63</v>
      </c>
      <c r="G53" s="81">
        <v>0.25</v>
      </c>
      <c r="H53" s="81"/>
      <c r="I53" s="81">
        <v>36.457999999999998</v>
      </c>
      <c r="J53" s="82">
        <v>48.23</v>
      </c>
      <c r="M53" s="84">
        <f>ROUND(ROUND(J53, 2)*I53, 2)</f>
        <v>1758.37</v>
      </c>
      <c r="P53" s="85">
        <v>48.23</v>
      </c>
      <c r="S53" s="84">
        <f>ROUND(ROUND(P53, 2)*I53, 2)</f>
        <v>1758.37</v>
      </c>
      <c r="V53" s="86">
        <f>ROUND(ROUND(P53, 2)/1.2, 2)</f>
        <v>40.19</v>
      </c>
      <c r="Y53" s="86">
        <f t="shared" si="8"/>
        <v>1465.31</v>
      </c>
      <c r="AD53" s="87" t="s">
        <v>219</v>
      </c>
      <c r="AE53" s="87" t="s">
        <v>220</v>
      </c>
      <c r="AF53" s="87" t="s">
        <v>71</v>
      </c>
      <c r="AK53" s="84">
        <f t="shared" si="6"/>
        <v>0</v>
      </c>
      <c r="AL53" s="84"/>
      <c r="AM53" s="84"/>
      <c r="AN53" s="88">
        <f t="shared" si="7"/>
        <v>0</v>
      </c>
      <c r="AO53" s="84"/>
      <c r="AP53" s="84"/>
    </row>
    <row r="54" spans="1:42" ht="36" x14ac:dyDescent="0.3">
      <c r="A54" s="12" t="s">
        <v>221</v>
      </c>
      <c r="B54" s="12" t="s">
        <v>222</v>
      </c>
      <c r="C54" s="18" t="s">
        <v>223</v>
      </c>
      <c r="D54" s="19"/>
      <c r="E54" s="19"/>
      <c r="F54" s="19" t="s">
        <v>101</v>
      </c>
      <c r="G54" s="20">
        <v>1</v>
      </c>
      <c r="H54" s="20"/>
      <c r="I54" s="20">
        <v>389.75</v>
      </c>
      <c r="J54" s="21">
        <f>IFERROR(ROUND(SUM(M55)/I54, 2),0)</f>
        <v>384.93</v>
      </c>
      <c r="K54" s="22">
        <v>0</v>
      </c>
      <c r="L54" s="21">
        <f>J54+ROUND(K54, 2)</f>
        <v>384.93</v>
      </c>
      <c r="M54" s="21">
        <f>ROUND(J54*I54, 2)</f>
        <v>150026.47</v>
      </c>
      <c r="N54" s="21">
        <f>ROUND(I54*ROUND(K54, 2), 2)</f>
        <v>0</v>
      </c>
      <c r="O54" s="21">
        <f>M54+N54</f>
        <v>150026.47</v>
      </c>
      <c r="P54" s="21">
        <f>IFERROR(ROUND(SUM(S55)/I54, 2),0)</f>
        <v>384.93</v>
      </c>
      <c r="Q54" s="23">
        <v>377</v>
      </c>
      <c r="R54" s="21">
        <f>P54+ROUND(Q54, 2)</f>
        <v>761.93000000000006</v>
      </c>
      <c r="S54" s="21">
        <f>ROUND(P54*I54, 2)</f>
        <v>150026.47</v>
      </c>
      <c r="T54" s="21">
        <f>ROUND(I54*ROUND(Q54, 2), 2)</f>
        <v>146935.75</v>
      </c>
      <c r="U54" s="21">
        <f>S54+T54</f>
        <v>296962.21999999997</v>
      </c>
      <c r="V54" s="9">
        <f>ROUND(P54 / 1.2, 2)</f>
        <v>320.77999999999997</v>
      </c>
      <c r="W54" s="9">
        <f>ROUND(Q54 / 1.2, 2)</f>
        <v>314.17</v>
      </c>
      <c r="X54" s="9">
        <f>ROUND(R54 / 1.2, 2)</f>
        <v>634.94000000000005</v>
      </c>
      <c r="Y54" s="9">
        <f t="shared" si="8"/>
        <v>125022.06</v>
      </c>
      <c r="Z54" s="9">
        <f>ROUND(T54 / 1.2, 2)</f>
        <v>122446.46</v>
      </c>
      <c r="AA54" s="9">
        <f>Y54+Z54</f>
        <v>247468.52000000002</v>
      </c>
      <c r="AD54" s="5">
        <v>410200606</v>
      </c>
      <c r="AE54" s="5">
        <v>36659747</v>
      </c>
      <c r="AG54" s="5" t="s">
        <v>224</v>
      </c>
      <c r="AH54" s="5" t="s">
        <v>225</v>
      </c>
      <c r="AI54" s="5" t="s">
        <v>60</v>
      </c>
      <c r="AK54" s="21">
        <f t="shared" si="6"/>
        <v>0</v>
      </c>
      <c r="AL54" s="21">
        <f>T54-N54</f>
        <v>146935.75</v>
      </c>
      <c r="AM54" s="21">
        <f>U54-O54</f>
        <v>146935.74999999997</v>
      </c>
      <c r="AN54" s="24">
        <f t="shared" si="7"/>
        <v>0</v>
      </c>
      <c r="AO54" s="24">
        <f>IFERROR(AL54/N54,0)</f>
        <v>0</v>
      </c>
      <c r="AP54" s="24">
        <f>IFERROR(AM54/O54,0)</f>
        <v>0.97939883541884287</v>
      </c>
    </row>
    <row r="55" spans="1:42" s="83" customFormat="1" ht="72" x14ac:dyDescent="0.3">
      <c r="A55" s="77" t="s">
        <v>226</v>
      </c>
      <c r="B55" s="77"/>
      <c r="C55" s="89" t="s">
        <v>227</v>
      </c>
      <c r="D55" s="79"/>
      <c r="E55" s="79"/>
      <c r="F55" s="80" t="s">
        <v>101</v>
      </c>
      <c r="G55" s="81">
        <v>1.1000000000000001</v>
      </c>
      <c r="H55" s="81"/>
      <c r="I55" s="81">
        <v>428.04300000000001</v>
      </c>
      <c r="J55" s="82">
        <v>350.49</v>
      </c>
      <c r="M55" s="84">
        <f>ROUND(ROUND(J55, 2)*I55, 2)</f>
        <v>150024.79</v>
      </c>
      <c r="P55" s="85">
        <v>350.49</v>
      </c>
      <c r="S55" s="84">
        <f>ROUND(ROUND(P55, 2)*I55, 2)</f>
        <v>150024.79</v>
      </c>
      <c r="V55" s="86">
        <f>ROUND(ROUND(P55, 2)/1.2, 2)</f>
        <v>292.08</v>
      </c>
      <c r="Y55" s="86">
        <f t="shared" si="8"/>
        <v>125020.66</v>
      </c>
      <c r="AD55" s="87" t="s">
        <v>228</v>
      </c>
      <c r="AE55" s="87" t="s">
        <v>229</v>
      </c>
      <c r="AF55" s="87" t="s">
        <v>230</v>
      </c>
      <c r="AK55" s="84">
        <f t="shared" si="6"/>
        <v>0</v>
      </c>
      <c r="AL55" s="84"/>
      <c r="AM55" s="84"/>
      <c r="AN55" s="88">
        <f t="shared" si="7"/>
        <v>0</v>
      </c>
      <c r="AO55" s="84"/>
      <c r="AP55" s="84"/>
    </row>
    <row r="56" spans="1:42" ht="72" x14ac:dyDescent="0.3">
      <c r="A56" s="12" t="s">
        <v>231</v>
      </c>
      <c r="B56" s="12" t="s">
        <v>232</v>
      </c>
      <c r="C56" s="18" t="s">
        <v>233</v>
      </c>
      <c r="D56" s="19" t="s">
        <v>234</v>
      </c>
      <c r="E56" s="19"/>
      <c r="F56" s="19" t="s">
        <v>57</v>
      </c>
      <c r="G56" s="20">
        <v>1</v>
      </c>
      <c r="H56" s="20"/>
      <c r="I56" s="20">
        <v>339.13</v>
      </c>
      <c r="J56" s="21">
        <f>IFERROR(ROUND(SUM(M57,M58,M59)/I56, 2),0)</f>
        <v>48.35</v>
      </c>
      <c r="K56" s="22">
        <v>400</v>
      </c>
      <c r="L56" s="21">
        <f>J56+ROUND(K56, 2)</f>
        <v>448.35</v>
      </c>
      <c r="M56" s="21">
        <f>ROUND(J56*I56, 2)</f>
        <v>16396.939999999999</v>
      </c>
      <c r="N56" s="21">
        <f>ROUND(I56*ROUND(K56, 2), 2)</f>
        <v>135652</v>
      </c>
      <c r="O56" s="21">
        <f>M56+N56</f>
        <v>152048.94</v>
      </c>
      <c r="P56" s="21">
        <f>IFERROR(ROUND(SUM(S57,S58,S59)/I56, 2),0)</f>
        <v>48.35</v>
      </c>
      <c r="Q56" s="23">
        <v>520</v>
      </c>
      <c r="R56" s="21">
        <f>P56+ROUND(Q56, 2)</f>
        <v>568.35</v>
      </c>
      <c r="S56" s="21">
        <f>ROUND(P56*I56, 2)</f>
        <v>16396.939999999999</v>
      </c>
      <c r="T56" s="21">
        <f>ROUND(I56*ROUND(Q56, 2), 2)</f>
        <v>176347.6</v>
      </c>
      <c r="U56" s="21">
        <f>S56+T56</f>
        <v>192744.54</v>
      </c>
      <c r="V56" s="9">
        <f>ROUND(P56 / 1.2, 2)</f>
        <v>40.29</v>
      </c>
      <c r="W56" s="9">
        <f>ROUND(Q56 / 1.2, 2)</f>
        <v>433.33</v>
      </c>
      <c r="X56" s="9">
        <f>ROUND(R56 / 1.2, 2)</f>
        <v>473.63</v>
      </c>
      <c r="Y56" s="9">
        <f t="shared" si="8"/>
        <v>13664.12</v>
      </c>
      <c r="Z56" s="9">
        <f>ROUND(T56 / 1.2, 2)</f>
        <v>146956.32999999999</v>
      </c>
      <c r="AA56" s="9">
        <f>Y56+Z56</f>
        <v>160620.44999999998</v>
      </c>
      <c r="AD56" s="5">
        <v>410200608</v>
      </c>
      <c r="AE56" s="5">
        <v>36659748</v>
      </c>
      <c r="AG56" s="5" t="s">
        <v>235</v>
      </c>
      <c r="AH56" s="5" t="s">
        <v>236</v>
      </c>
      <c r="AI56" s="5" t="s">
        <v>60</v>
      </c>
      <c r="AK56" s="21">
        <f t="shared" ref="AK56:AM101" si="9">S56-M56</f>
        <v>0</v>
      </c>
      <c r="AL56" s="21">
        <f>T56-N56</f>
        <v>40695.600000000006</v>
      </c>
      <c r="AM56" s="21">
        <f>U56-O56</f>
        <v>40695.600000000006</v>
      </c>
      <c r="AN56" s="24">
        <f t="shared" ref="AN56:AP101" si="10">IFERROR(AK56/M56,0)</f>
        <v>0</v>
      </c>
      <c r="AO56" s="24">
        <f>IFERROR(AL56/N56,0)</f>
        <v>0.30000000000000004</v>
      </c>
      <c r="AP56" s="24">
        <f>IFERROR(AM56/O56,0)</f>
        <v>0.2676480349024466</v>
      </c>
    </row>
    <row r="57" spans="1:42" s="83" customFormat="1" ht="36" x14ac:dyDescent="0.3">
      <c r="A57" s="77" t="s">
        <v>237</v>
      </c>
      <c r="B57" s="77"/>
      <c r="C57" s="89" t="s">
        <v>62</v>
      </c>
      <c r="D57" s="79"/>
      <c r="E57" s="79"/>
      <c r="F57" s="80" t="s">
        <v>63</v>
      </c>
      <c r="G57" s="81">
        <v>0.255</v>
      </c>
      <c r="H57" s="81"/>
      <c r="I57" s="81">
        <v>86.477999999999994</v>
      </c>
      <c r="J57" s="82">
        <v>90.28</v>
      </c>
      <c r="M57" s="84">
        <f>ROUND(ROUND(J57, 2)*I57, 2)</f>
        <v>7807.23</v>
      </c>
      <c r="P57" s="85">
        <v>90.28</v>
      </c>
      <c r="S57" s="84">
        <f>ROUND(ROUND(P57, 2)*I57, 2)</f>
        <v>7807.23</v>
      </c>
      <c r="V57" s="86">
        <f>ROUND(ROUND(P57, 2)/1.2, 2)</f>
        <v>75.23</v>
      </c>
      <c r="Y57" s="86">
        <f t="shared" si="8"/>
        <v>6506.03</v>
      </c>
      <c r="AD57" s="87" t="s">
        <v>238</v>
      </c>
      <c r="AE57" s="87" t="s">
        <v>239</v>
      </c>
      <c r="AF57" s="87" t="s">
        <v>66</v>
      </c>
      <c r="AK57" s="84">
        <f t="shared" si="9"/>
        <v>0</v>
      </c>
      <c r="AL57" s="84"/>
      <c r="AM57" s="84"/>
      <c r="AN57" s="88">
        <f t="shared" si="10"/>
        <v>0</v>
      </c>
      <c r="AO57" s="84"/>
      <c r="AP57" s="84"/>
    </row>
    <row r="58" spans="1:42" s="83" customFormat="1" ht="18" x14ac:dyDescent="0.3">
      <c r="A58" s="77" t="s">
        <v>240</v>
      </c>
      <c r="B58" s="77"/>
      <c r="C58" s="89" t="s">
        <v>241</v>
      </c>
      <c r="D58" s="79"/>
      <c r="E58" s="79"/>
      <c r="F58" s="80" t="s">
        <v>101</v>
      </c>
      <c r="G58" s="81">
        <v>1</v>
      </c>
      <c r="H58" s="81"/>
      <c r="I58" s="81">
        <v>339.13</v>
      </c>
      <c r="J58" s="82">
        <v>10.58</v>
      </c>
      <c r="M58" s="84">
        <f>ROUND(ROUND(J58, 2)*I58, 2)</f>
        <v>3588</v>
      </c>
      <c r="P58" s="85">
        <v>10.58</v>
      </c>
      <c r="S58" s="84">
        <f>ROUND(ROUND(P58, 2)*I58, 2)</f>
        <v>3588</v>
      </c>
      <c r="V58" s="86">
        <f>ROUND(ROUND(P58, 2)/1.2, 2)</f>
        <v>8.82</v>
      </c>
      <c r="Y58" s="86">
        <f t="shared" si="8"/>
        <v>2990</v>
      </c>
      <c r="AD58" s="87" t="s">
        <v>242</v>
      </c>
      <c r="AE58" s="87" t="s">
        <v>243</v>
      </c>
      <c r="AF58" s="87" t="s">
        <v>244</v>
      </c>
      <c r="AK58" s="84">
        <f t="shared" si="9"/>
        <v>0</v>
      </c>
      <c r="AL58" s="84"/>
      <c r="AM58" s="84"/>
      <c r="AN58" s="88">
        <f t="shared" si="10"/>
        <v>0</v>
      </c>
      <c r="AO58" s="84"/>
      <c r="AP58" s="84"/>
    </row>
    <row r="59" spans="1:42" s="83" customFormat="1" ht="36" x14ac:dyDescent="0.3">
      <c r="A59" s="77" t="s">
        <v>245</v>
      </c>
      <c r="B59" s="77"/>
      <c r="C59" s="78" t="s">
        <v>246</v>
      </c>
      <c r="D59" s="79"/>
      <c r="E59" s="79"/>
      <c r="F59" s="80" t="s">
        <v>63</v>
      </c>
      <c r="G59" s="81">
        <v>1.6</v>
      </c>
      <c r="H59" s="81"/>
      <c r="I59" s="81">
        <v>542.60799999999995</v>
      </c>
      <c r="J59" s="82">
        <v>9.2200000000000006</v>
      </c>
      <c r="M59" s="84">
        <f>ROUND(ROUND(J59, 2)*I59, 2)</f>
        <v>5002.8500000000004</v>
      </c>
      <c r="P59" s="85">
        <v>9.2200000000000006</v>
      </c>
      <c r="S59" s="84">
        <f>ROUND(ROUND(P59, 2)*I59, 2)</f>
        <v>5002.8500000000004</v>
      </c>
      <c r="V59" s="86">
        <f>ROUND(ROUND(P59, 2)/1.2, 2)</f>
        <v>7.68</v>
      </c>
      <c r="Y59" s="86">
        <f t="shared" si="8"/>
        <v>4169.04</v>
      </c>
      <c r="AD59" s="87" t="s">
        <v>247</v>
      </c>
      <c r="AE59" s="87" t="s">
        <v>248</v>
      </c>
      <c r="AF59" s="87" t="s">
        <v>249</v>
      </c>
      <c r="AK59" s="84">
        <f t="shared" si="9"/>
        <v>0</v>
      </c>
      <c r="AL59" s="84"/>
      <c r="AM59" s="84"/>
      <c r="AN59" s="88">
        <f t="shared" si="10"/>
        <v>0</v>
      </c>
      <c r="AO59" s="84"/>
      <c r="AP59" s="84"/>
    </row>
    <row r="60" spans="1:42" ht="16.95" customHeight="1" x14ac:dyDescent="0.3">
      <c r="A60" s="12" t="s">
        <v>250</v>
      </c>
      <c r="B60" s="16" t="s">
        <v>251</v>
      </c>
      <c r="C60" s="70" t="s">
        <v>252</v>
      </c>
      <c r="D60" s="71"/>
      <c r="E60" s="71"/>
      <c r="F60" s="71"/>
      <c r="G60" s="71"/>
      <c r="H60" s="71"/>
      <c r="I60" s="72"/>
      <c r="M60" s="6">
        <f>SUM(M61,M66,M71,M76,M79,M82,M85,M88,M92,M95,M98)</f>
        <v>1126831.3999999999</v>
      </c>
      <c r="N60" s="6">
        <f>SUM(N61,N66,N71,N76,N79,N82,N85,N88,N92,N95,N98)</f>
        <v>4220227.84</v>
      </c>
      <c r="O60" s="6">
        <f>SUM(O61,O66,O71,O76,O79,O82,O85,O88,O92,O95,O98)</f>
        <v>5347059.2399999993</v>
      </c>
      <c r="S60" s="6">
        <f>SUM(S61,S66,S71,S76,S79,S82,S85,S88,S92,S95,S98)</f>
        <v>1240096.04</v>
      </c>
      <c r="T60" s="6">
        <f>SUM(T61,T66,T71,T76,T79,T82,T85,T88,T92,T95,T98)</f>
        <v>5486294.6700000009</v>
      </c>
      <c r="U60" s="6">
        <f>SUM(U61,U66,U71,U76,U79,U82,U85,U88,U92,U95,U98)</f>
        <v>6726390.709999999</v>
      </c>
      <c r="Y60" s="9">
        <f>SUM(Y61,Y66,Y71,Y76,Y79,Y82,Y85,Y88,Y92,Y95,Y98)</f>
        <v>1033413.39</v>
      </c>
      <c r="Z60" s="9">
        <f>SUM(Z61,Z66,Z71,Z76,Z79,Z82,Z85,Z88,Z92,Z95,Z98)</f>
        <v>4571912.2300000004</v>
      </c>
      <c r="AA60" s="9">
        <f>SUM(AA61,AA66,AA71,AA76,AA79,AA82,AA85,AA88,AA92,AA95,AA98)</f>
        <v>5605325.6200000001</v>
      </c>
      <c r="AD60" s="5">
        <v>410200609</v>
      </c>
      <c r="AE60" s="5">
        <v>36662394</v>
      </c>
      <c r="AK60" s="6">
        <f t="shared" si="9"/>
        <v>113264.64000000013</v>
      </c>
      <c r="AL60" s="6">
        <f>T60-N60</f>
        <v>1266066.830000001</v>
      </c>
      <c r="AM60" s="6">
        <f>U60-O60</f>
        <v>1379331.4699999997</v>
      </c>
      <c r="AN60" s="10">
        <f t="shared" si="10"/>
        <v>0.10051604880730174</v>
      </c>
      <c r="AO60" s="10">
        <f>IFERROR(AL60/N60,0)</f>
        <v>0.29999963935596452</v>
      </c>
      <c r="AP60" s="10">
        <f>IFERROR(AM60/O60,0)</f>
        <v>0.25796076087610353</v>
      </c>
    </row>
    <row r="61" spans="1:42" ht="108" x14ac:dyDescent="0.3">
      <c r="A61" s="12" t="s">
        <v>253</v>
      </c>
      <c r="B61" s="12" t="s">
        <v>254</v>
      </c>
      <c r="C61" s="18" t="s">
        <v>255</v>
      </c>
      <c r="D61" s="19"/>
      <c r="E61" s="19" t="s">
        <v>256</v>
      </c>
      <c r="F61" s="19" t="s">
        <v>57</v>
      </c>
      <c r="G61" s="20">
        <v>1</v>
      </c>
      <c r="H61" s="20"/>
      <c r="I61" s="20">
        <v>173.48</v>
      </c>
      <c r="J61" s="21">
        <f>IFERROR(ROUND(SUM(M62,M63,M64,M65)/I61, 2),0)</f>
        <v>1146.95</v>
      </c>
      <c r="K61" s="22">
        <v>2056.0100000000002</v>
      </c>
      <c r="L61" s="21">
        <f>J61+ROUND(K61, 2)</f>
        <v>3202.96</v>
      </c>
      <c r="M61" s="21">
        <f>ROUND(J61*I61, 2)</f>
        <v>198972.89</v>
      </c>
      <c r="N61" s="21">
        <f>ROUND(I61*ROUND(K61, 2), 2)</f>
        <v>356676.61</v>
      </c>
      <c r="O61" s="21">
        <f>M61+N61</f>
        <v>555649.5</v>
      </c>
      <c r="P61" s="21">
        <f>IFERROR(ROUND(SUM(S62,S63,S64,S65)/I61, 2),0)</f>
        <v>1146.95</v>
      </c>
      <c r="Q61" s="23">
        <v>2672.81</v>
      </c>
      <c r="R61" s="21">
        <f>P61+ROUND(Q61, 2)</f>
        <v>3819.76</v>
      </c>
      <c r="S61" s="21">
        <f>ROUND(P61*I61, 2)</f>
        <v>198972.89</v>
      </c>
      <c r="T61" s="21">
        <f>ROUND(I61*ROUND(Q61, 2), 2)</f>
        <v>463679.08</v>
      </c>
      <c r="U61" s="21">
        <f>S61+T61</f>
        <v>662651.97</v>
      </c>
      <c r="V61" s="9">
        <f>ROUND(P61 / 1.2, 2)</f>
        <v>955.79</v>
      </c>
      <c r="W61" s="9">
        <f>ROUND(Q61 / 1.2, 2)</f>
        <v>2227.34</v>
      </c>
      <c r="X61" s="9">
        <f>ROUND(R61 / 1.2, 2)</f>
        <v>3183.13</v>
      </c>
      <c r="Y61" s="9">
        <f>ROUND(S61 / 1.2, 2)</f>
        <v>165810.74</v>
      </c>
      <c r="Z61" s="9">
        <f>ROUND(T61 / 1.2, 2)</f>
        <v>386399.23</v>
      </c>
      <c r="AA61" s="9">
        <f>Y61+Z61</f>
        <v>552209.97</v>
      </c>
      <c r="AD61" s="5">
        <v>410200611</v>
      </c>
      <c r="AE61" s="5">
        <v>36664408</v>
      </c>
      <c r="AG61" s="5" t="s">
        <v>257</v>
      </c>
      <c r="AH61" s="5" t="s">
        <v>258</v>
      </c>
      <c r="AI61" s="5" t="s">
        <v>60</v>
      </c>
      <c r="AK61" s="21">
        <f t="shared" si="9"/>
        <v>0</v>
      </c>
      <c r="AL61" s="21">
        <f>T61-N61</f>
        <v>107002.47000000003</v>
      </c>
      <c r="AM61" s="21">
        <f>U61-O61</f>
        <v>107002.46999999997</v>
      </c>
      <c r="AN61" s="24">
        <f t="shared" si="10"/>
        <v>0</v>
      </c>
      <c r="AO61" s="24">
        <f>IFERROR(AL61/N61,0)</f>
        <v>0.29999856172234013</v>
      </c>
      <c r="AP61" s="24">
        <f>IFERROR(AM61/O61,0)</f>
        <v>0.19257188209473772</v>
      </c>
    </row>
    <row r="62" spans="1:42" s="83" customFormat="1" ht="36" x14ac:dyDescent="0.3">
      <c r="A62" s="77" t="s">
        <v>259</v>
      </c>
      <c r="B62" s="77"/>
      <c r="C62" s="89" t="s">
        <v>108</v>
      </c>
      <c r="D62" s="79"/>
      <c r="E62" s="79"/>
      <c r="F62" s="80" t="s">
        <v>63</v>
      </c>
      <c r="G62" s="81">
        <v>0.15</v>
      </c>
      <c r="H62" s="81"/>
      <c r="I62" s="81">
        <v>26.021999999999998</v>
      </c>
      <c r="J62" s="82">
        <v>69.540000000000006</v>
      </c>
      <c r="M62" s="84">
        <f>ROUND(ROUND(J62, 2)*I62, 2)</f>
        <v>1809.57</v>
      </c>
      <c r="P62" s="85">
        <v>69.540000000000006</v>
      </c>
      <c r="S62" s="84">
        <f>ROUND(ROUND(P62, 2)*I62, 2)</f>
        <v>1809.57</v>
      </c>
      <c r="V62" s="86">
        <f>ROUND(ROUND(P62, 2)/1.2, 2)</f>
        <v>57.95</v>
      </c>
      <c r="Y62" s="86">
        <f t="shared" ref="Y62:Y100" si="11">ROUND(S62 / 1.2, 2)</f>
        <v>1507.98</v>
      </c>
      <c r="AD62" s="87" t="s">
        <v>260</v>
      </c>
      <c r="AE62" s="87" t="s">
        <v>261</v>
      </c>
      <c r="AF62" s="87" t="s">
        <v>111</v>
      </c>
      <c r="AK62" s="84">
        <f t="shared" si="9"/>
        <v>0</v>
      </c>
      <c r="AL62" s="84"/>
      <c r="AM62" s="84"/>
      <c r="AN62" s="88">
        <f t="shared" si="10"/>
        <v>0</v>
      </c>
      <c r="AO62" s="84"/>
      <c r="AP62" s="84"/>
    </row>
    <row r="63" spans="1:42" s="83" customFormat="1" ht="36" x14ac:dyDescent="0.3">
      <c r="A63" s="77" t="s">
        <v>262</v>
      </c>
      <c r="B63" s="77"/>
      <c r="C63" s="89" t="s">
        <v>263</v>
      </c>
      <c r="D63" s="79"/>
      <c r="E63" s="79"/>
      <c r="F63" s="80" t="s">
        <v>63</v>
      </c>
      <c r="G63" s="81">
        <v>0.25</v>
      </c>
      <c r="H63" s="81"/>
      <c r="I63" s="81">
        <v>43.37</v>
      </c>
      <c r="J63" s="82">
        <v>40.94</v>
      </c>
      <c r="M63" s="84">
        <f>ROUND(ROUND(J63, 2)*I63, 2)</f>
        <v>1775.57</v>
      </c>
      <c r="P63" s="85">
        <v>40.94</v>
      </c>
      <c r="S63" s="84">
        <f>ROUND(ROUND(P63, 2)*I63, 2)</f>
        <v>1775.57</v>
      </c>
      <c r="V63" s="86">
        <f>ROUND(ROUND(P63, 2)/1.2, 2)</f>
        <v>34.119999999999997</v>
      </c>
      <c r="Y63" s="86">
        <f t="shared" si="11"/>
        <v>1479.64</v>
      </c>
      <c r="AD63" s="87" t="s">
        <v>264</v>
      </c>
      <c r="AE63" s="87" t="s">
        <v>265</v>
      </c>
      <c r="AF63" s="87" t="s">
        <v>266</v>
      </c>
      <c r="AK63" s="84">
        <f t="shared" si="9"/>
        <v>0</v>
      </c>
      <c r="AL63" s="84"/>
      <c r="AM63" s="84"/>
      <c r="AN63" s="88">
        <f t="shared" si="10"/>
        <v>0</v>
      </c>
      <c r="AO63" s="84"/>
      <c r="AP63" s="84"/>
    </row>
    <row r="64" spans="1:42" s="83" customFormat="1" ht="36" x14ac:dyDescent="0.3">
      <c r="A64" s="77" t="s">
        <v>267</v>
      </c>
      <c r="B64" s="77"/>
      <c r="C64" s="78" t="s">
        <v>268</v>
      </c>
      <c r="D64" s="79"/>
      <c r="E64" s="79"/>
      <c r="F64" s="80" t="s">
        <v>57</v>
      </c>
      <c r="G64" s="81">
        <v>1.07</v>
      </c>
      <c r="H64" s="81"/>
      <c r="I64" s="81">
        <v>185.624</v>
      </c>
      <c r="J64" s="82">
        <v>960.75</v>
      </c>
      <c r="M64" s="84">
        <f>ROUND(ROUND(J64, 2)*I64, 2)</f>
        <v>178338.26</v>
      </c>
      <c r="P64" s="85">
        <v>960.75</v>
      </c>
      <c r="S64" s="84">
        <f>ROUND(ROUND(P64, 2)*I64, 2)</f>
        <v>178338.26</v>
      </c>
      <c r="V64" s="86">
        <f>ROUND(ROUND(P64, 2)/1.2, 2)</f>
        <v>800.63</v>
      </c>
      <c r="Y64" s="86">
        <f t="shared" si="11"/>
        <v>148615.22</v>
      </c>
      <c r="AD64" s="87" t="s">
        <v>269</v>
      </c>
      <c r="AE64" s="87" t="s">
        <v>270</v>
      </c>
      <c r="AF64" s="87" t="s">
        <v>271</v>
      </c>
      <c r="AK64" s="84">
        <f t="shared" si="9"/>
        <v>0</v>
      </c>
      <c r="AL64" s="84"/>
      <c r="AM64" s="84"/>
      <c r="AN64" s="88">
        <f t="shared" si="10"/>
        <v>0</v>
      </c>
      <c r="AO64" s="84"/>
      <c r="AP64" s="84"/>
    </row>
    <row r="65" spans="1:42" s="83" customFormat="1" ht="36" x14ac:dyDescent="0.3">
      <c r="A65" s="77" t="s">
        <v>272</v>
      </c>
      <c r="B65" s="77"/>
      <c r="C65" s="78" t="s">
        <v>118</v>
      </c>
      <c r="D65" s="79"/>
      <c r="E65" s="79"/>
      <c r="F65" s="80" t="s">
        <v>63</v>
      </c>
      <c r="G65" s="81">
        <v>1.2</v>
      </c>
      <c r="H65" s="81"/>
      <c r="I65" s="81">
        <v>1040.8800000000001</v>
      </c>
      <c r="J65" s="82">
        <v>16.38</v>
      </c>
      <c r="M65" s="84">
        <f>ROUND(ROUND(J65, 2)*I65, 2)</f>
        <v>17049.61</v>
      </c>
      <c r="P65" s="85">
        <v>16.38</v>
      </c>
      <c r="S65" s="84">
        <f>ROUND(ROUND(P65, 2)*I65, 2)</f>
        <v>17049.61</v>
      </c>
      <c r="V65" s="86">
        <f>ROUND(ROUND(P65, 2)/1.2, 2)</f>
        <v>13.65</v>
      </c>
      <c r="Y65" s="86">
        <f t="shared" si="11"/>
        <v>14208.01</v>
      </c>
      <c r="AD65" s="87" t="s">
        <v>273</v>
      </c>
      <c r="AE65" s="87" t="s">
        <v>274</v>
      </c>
      <c r="AF65" s="87" t="s">
        <v>121</v>
      </c>
      <c r="AK65" s="84">
        <f t="shared" si="9"/>
        <v>0</v>
      </c>
      <c r="AL65" s="84"/>
      <c r="AM65" s="84"/>
      <c r="AN65" s="88">
        <f t="shared" si="10"/>
        <v>0</v>
      </c>
      <c r="AO65" s="84"/>
      <c r="AP65" s="84"/>
    </row>
    <row r="66" spans="1:42" ht="144" x14ac:dyDescent="0.3">
      <c r="A66" s="12" t="s">
        <v>275</v>
      </c>
      <c r="B66" s="12" t="s">
        <v>254</v>
      </c>
      <c r="C66" s="18" t="s">
        <v>255</v>
      </c>
      <c r="D66" s="19"/>
      <c r="E66" s="19" t="s">
        <v>276</v>
      </c>
      <c r="F66" s="19" t="s">
        <v>57</v>
      </c>
      <c r="G66" s="20">
        <v>1</v>
      </c>
      <c r="H66" s="20"/>
      <c r="I66" s="20">
        <v>332.85</v>
      </c>
      <c r="J66" s="21">
        <f>IFERROR(ROUND(SUM(M67,M68,M69,M70)/I66, 2),0)</f>
        <v>826.17</v>
      </c>
      <c r="K66" s="22">
        <v>2056.0100000000002</v>
      </c>
      <c r="L66" s="21">
        <f>J66+ROUND(K66, 2)</f>
        <v>2882.1800000000003</v>
      </c>
      <c r="M66" s="21">
        <f>ROUND(J66*I66, 2)</f>
        <v>274990.68</v>
      </c>
      <c r="N66" s="21">
        <f>ROUND(I66*ROUND(K66, 2), 2)</f>
        <v>684342.93</v>
      </c>
      <c r="O66" s="21">
        <f>M66+N66</f>
        <v>959333.6100000001</v>
      </c>
      <c r="P66" s="21">
        <f>IFERROR(ROUND(SUM(S67,S68,S69,S70)/I66, 2),0)</f>
        <v>826.17</v>
      </c>
      <c r="Q66" s="23">
        <v>2672.81</v>
      </c>
      <c r="R66" s="21">
        <f>P66+ROUND(Q66, 2)</f>
        <v>3498.98</v>
      </c>
      <c r="S66" s="21">
        <f>ROUND(P66*I66, 2)</f>
        <v>274990.68</v>
      </c>
      <c r="T66" s="21">
        <f>ROUND(I66*ROUND(Q66, 2), 2)</f>
        <v>889644.81</v>
      </c>
      <c r="U66" s="21">
        <f>S66+T66</f>
        <v>1164635.49</v>
      </c>
      <c r="V66" s="9">
        <f>ROUND(P66 / 1.2, 2)</f>
        <v>688.48</v>
      </c>
      <c r="W66" s="9">
        <f>ROUND(Q66 / 1.2, 2)</f>
        <v>2227.34</v>
      </c>
      <c r="X66" s="9">
        <f>ROUND(R66 / 1.2, 2)</f>
        <v>2915.82</v>
      </c>
      <c r="Y66" s="9">
        <f t="shared" si="11"/>
        <v>229158.9</v>
      </c>
      <c r="Z66" s="9">
        <f>ROUND(T66 / 1.2, 2)</f>
        <v>741370.68</v>
      </c>
      <c r="AA66" s="9">
        <f>Y66+Z66</f>
        <v>970529.58000000007</v>
      </c>
      <c r="AD66" s="5">
        <v>410200635</v>
      </c>
      <c r="AE66" s="5">
        <v>36664409</v>
      </c>
      <c r="AG66" s="5" t="s">
        <v>257</v>
      </c>
      <c r="AH66" s="5" t="s">
        <v>258</v>
      </c>
      <c r="AI66" s="5" t="s">
        <v>60</v>
      </c>
      <c r="AK66" s="21">
        <f t="shared" si="9"/>
        <v>0</v>
      </c>
      <c r="AL66" s="21">
        <f>T66-N66</f>
        <v>205301.88</v>
      </c>
      <c r="AM66" s="21">
        <f>U66-O66</f>
        <v>205301.87999999989</v>
      </c>
      <c r="AN66" s="24">
        <f t="shared" si="10"/>
        <v>0</v>
      </c>
      <c r="AO66" s="24">
        <f>IFERROR(AL66/N66,0)</f>
        <v>0.29999854020556621</v>
      </c>
      <c r="AP66" s="24">
        <f>IFERROR(AM66/O66,0)</f>
        <v>0.21400467768454381</v>
      </c>
    </row>
    <row r="67" spans="1:42" s="83" customFormat="1" ht="36" x14ac:dyDescent="0.3">
      <c r="A67" s="77" t="s">
        <v>277</v>
      </c>
      <c r="B67" s="77"/>
      <c r="C67" s="78" t="s">
        <v>278</v>
      </c>
      <c r="D67" s="79"/>
      <c r="E67" s="79"/>
      <c r="F67" s="80" t="s">
        <v>57</v>
      </c>
      <c r="G67" s="81">
        <v>1.03</v>
      </c>
      <c r="H67" s="81"/>
      <c r="I67" s="81">
        <v>342.83600000000001</v>
      </c>
      <c r="J67" s="82">
        <v>686.62</v>
      </c>
      <c r="M67" s="84">
        <f>ROUND(ROUND(J67, 2)*I67, 2)</f>
        <v>235398.05</v>
      </c>
      <c r="P67" s="85">
        <v>686.62</v>
      </c>
      <c r="S67" s="84">
        <f>ROUND(ROUND(P67, 2)*I67, 2)</f>
        <v>235398.05</v>
      </c>
      <c r="V67" s="86">
        <f>ROUND(ROUND(P67, 2)/1.2, 2)</f>
        <v>572.17999999999995</v>
      </c>
      <c r="Y67" s="86">
        <f t="shared" si="11"/>
        <v>196165.04</v>
      </c>
      <c r="AD67" s="87" t="s">
        <v>279</v>
      </c>
      <c r="AE67" s="87" t="s">
        <v>280</v>
      </c>
      <c r="AF67" s="87" t="s">
        <v>281</v>
      </c>
      <c r="AK67" s="84">
        <f t="shared" si="9"/>
        <v>0</v>
      </c>
      <c r="AL67" s="84"/>
      <c r="AM67" s="84"/>
      <c r="AN67" s="88">
        <f t="shared" si="10"/>
        <v>0</v>
      </c>
      <c r="AO67" s="84"/>
      <c r="AP67" s="84"/>
    </row>
    <row r="68" spans="1:42" s="83" customFormat="1" ht="36" x14ac:dyDescent="0.3">
      <c r="A68" s="77" t="s">
        <v>282</v>
      </c>
      <c r="B68" s="77"/>
      <c r="C68" s="78" t="s">
        <v>118</v>
      </c>
      <c r="D68" s="79"/>
      <c r="E68" s="79"/>
      <c r="F68" s="80" t="s">
        <v>63</v>
      </c>
      <c r="G68" s="81">
        <v>1.2</v>
      </c>
      <c r="H68" s="81"/>
      <c r="I68" s="81">
        <v>1997.1</v>
      </c>
      <c r="J68" s="82">
        <v>16.38</v>
      </c>
      <c r="M68" s="84">
        <f>ROUND(ROUND(J68, 2)*I68, 2)</f>
        <v>32712.5</v>
      </c>
      <c r="P68" s="85">
        <v>16.38</v>
      </c>
      <c r="S68" s="84">
        <f>ROUND(ROUND(P68, 2)*I68, 2)</f>
        <v>32712.5</v>
      </c>
      <c r="V68" s="86">
        <f>ROUND(ROUND(P68, 2)/1.2, 2)</f>
        <v>13.65</v>
      </c>
      <c r="Y68" s="86">
        <f t="shared" si="11"/>
        <v>27260.42</v>
      </c>
      <c r="AD68" s="87" t="s">
        <v>283</v>
      </c>
      <c r="AE68" s="87" t="s">
        <v>284</v>
      </c>
      <c r="AF68" s="87" t="s">
        <v>121</v>
      </c>
      <c r="AK68" s="84">
        <f t="shared" si="9"/>
        <v>0</v>
      </c>
      <c r="AL68" s="84"/>
      <c r="AM68" s="84"/>
      <c r="AN68" s="88">
        <f t="shared" si="10"/>
        <v>0</v>
      </c>
      <c r="AO68" s="84"/>
      <c r="AP68" s="84"/>
    </row>
    <row r="69" spans="1:42" s="83" customFormat="1" ht="36" x14ac:dyDescent="0.3">
      <c r="A69" s="77" t="s">
        <v>285</v>
      </c>
      <c r="B69" s="77"/>
      <c r="C69" s="89" t="s">
        <v>263</v>
      </c>
      <c r="D69" s="79"/>
      <c r="E69" s="79"/>
      <c r="F69" s="80" t="s">
        <v>63</v>
      </c>
      <c r="G69" s="81">
        <v>0.25</v>
      </c>
      <c r="H69" s="81"/>
      <c r="I69" s="81">
        <v>83.212999999999994</v>
      </c>
      <c r="J69" s="82">
        <v>40.94</v>
      </c>
      <c r="M69" s="84">
        <f>ROUND(ROUND(J69, 2)*I69, 2)</f>
        <v>3406.74</v>
      </c>
      <c r="P69" s="85">
        <v>40.94</v>
      </c>
      <c r="S69" s="84">
        <f>ROUND(ROUND(P69, 2)*I69, 2)</f>
        <v>3406.74</v>
      </c>
      <c r="V69" s="86">
        <f>ROUND(ROUND(P69, 2)/1.2, 2)</f>
        <v>34.119999999999997</v>
      </c>
      <c r="Y69" s="86">
        <f t="shared" si="11"/>
        <v>2838.95</v>
      </c>
      <c r="AD69" s="87" t="s">
        <v>286</v>
      </c>
      <c r="AE69" s="87" t="s">
        <v>287</v>
      </c>
      <c r="AF69" s="87" t="s">
        <v>266</v>
      </c>
      <c r="AK69" s="84">
        <f t="shared" si="9"/>
        <v>0</v>
      </c>
      <c r="AL69" s="84"/>
      <c r="AM69" s="84"/>
      <c r="AN69" s="88">
        <f t="shared" si="10"/>
        <v>0</v>
      </c>
      <c r="AO69" s="84"/>
      <c r="AP69" s="84"/>
    </row>
    <row r="70" spans="1:42" s="83" customFormat="1" ht="36" x14ac:dyDescent="0.3">
      <c r="A70" s="77" t="s">
        <v>288</v>
      </c>
      <c r="B70" s="77"/>
      <c r="C70" s="89" t="s">
        <v>108</v>
      </c>
      <c r="D70" s="79"/>
      <c r="E70" s="79"/>
      <c r="F70" s="80" t="s">
        <v>63</v>
      </c>
      <c r="G70" s="81">
        <v>0.15</v>
      </c>
      <c r="H70" s="81"/>
      <c r="I70" s="81">
        <v>49.927999999999997</v>
      </c>
      <c r="J70" s="82">
        <v>69.540000000000006</v>
      </c>
      <c r="M70" s="84">
        <f>ROUND(ROUND(J70, 2)*I70, 2)</f>
        <v>3471.99</v>
      </c>
      <c r="P70" s="85">
        <v>69.540000000000006</v>
      </c>
      <c r="S70" s="84">
        <f>ROUND(ROUND(P70, 2)*I70, 2)</f>
        <v>3471.99</v>
      </c>
      <c r="V70" s="86">
        <f>ROUND(ROUND(P70, 2)/1.2, 2)</f>
        <v>57.95</v>
      </c>
      <c r="Y70" s="86">
        <f t="shared" si="11"/>
        <v>2893.33</v>
      </c>
      <c r="AD70" s="87" t="s">
        <v>289</v>
      </c>
      <c r="AE70" s="87" t="s">
        <v>290</v>
      </c>
      <c r="AF70" s="87" t="s">
        <v>111</v>
      </c>
      <c r="AK70" s="84">
        <f t="shared" si="9"/>
        <v>0</v>
      </c>
      <c r="AL70" s="84"/>
      <c r="AM70" s="84"/>
      <c r="AN70" s="88">
        <f t="shared" si="10"/>
        <v>0</v>
      </c>
      <c r="AO70" s="84"/>
      <c r="AP70" s="84"/>
    </row>
    <row r="71" spans="1:42" ht="54" x14ac:dyDescent="0.3">
      <c r="A71" s="12" t="s">
        <v>291</v>
      </c>
      <c r="B71" s="12" t="s">
        <v>292</v>
      </c>
      <c r="C71" s="18" t="s">
        <v>293</v>
      </c>
      <c r="D71" s="19"/>
      <c r="E71" s="19"/>
      <c r="F71" s="19" t="s">
        <v>57</v>
      </c>
      <c r="G71" s="20">
        <v>1</v>
      </c>
      <c r="H71" s="20"/>
      <c r="I71" s="20">
        <v>454.55</v>
      </c>
      <c r="J71" s="21">
        <f>IFERROR(ROUND(SUM(M72,M73,M74,M75)/I71, 2),0)</f>
        <v>312.02</v>
      </c>
      <c r="K71" s="22">
        <v>826</v>
      </c>
      <c r="L71" s="21">
        <f>J71+ROUND(K71, 2)</f>
        <v>1138.02</v>
      </c>
      <c r="M71" s="21">
        <f>ROUND(J71*I71, 2)</f>
        <v>141828.69</v>
      </c>
      <c r="N71" s="21">
        <f>ROUND(I71*ROUND(K71, 2), 2)</f>
        <v>375458.3</v>
      </c>
      <c r="O71" s="21">
        <f>M71+N71</f>
        <v>517286.99</v>
      </c>
      <c r="P71" s="21">
        <f>IFERROR(ROUND(SUM(S72,S73,S74,S75)/I71, 2),0)</f>
        <v>312.02</v>
      </c>
      <c r="Q71" s="23">
        <v>1073.8</v>
      </c>
      <c r="R71" s="21">
        <f>P71+ROUND(Q71, 2)</f>
        <v>1385.82</v>
      </c>
      <c r="S71" s="21">
        <f>ROUND(P71*I71, 2)</f>
        <v>141828.69</v>
      </c>
      <c r="T71" s="21">
        <f>ROUND(I71*ROUND(Q71, 2), 2)</f>
        <v>488095.79</v>
      </c>
      <c r="U71" s="21">
        <f>S71+T71</f>
        <v>629924.48</v>
      </c>
      <c r="V71" s="9">
        <f>ROUND(P71 / 1.2, 2)</f>
        <v>260.02</v>
      </c>
      <c r="W71" s="9">
        <f>ROUND(Q71 / 1.2, 2)</f>
        <v>894.83</v>
      </c>
      <c r="X71" s="9">
        <f>ROUND(R71 / 1.2, 2)</f>
        <v>1154.8499999999999</v>
      </c>
      <c r="Y71" s="9">
        <f t="shared" si="11"/>
        <v>118190.58</v>
      </c>
      <c r="Z71" s="9">
        <f>ROUND(T71 / 1.2, 2)</f>
        <v>406746.49</v>
      </c>
      <c r="AA71" s="9">
        <f>Y71+Z71</f>
        <v>524937.06999999995</v>
      </c>
      <c r="AD71" s="5">
        <v>410200613</v>
      </c>
      <c r="AE71" s="5">
        <v>36662405</v>
      </c>
      <c r="AG71" s="5" t="s">
        <v>294</v>
      </c>
      <c r="AH71" s="5" t="s">
        <v>295</v>
      </c>
      <c r="AI71" s="5" t="s">
        <v>60</v>
      </c>
      <c r="AK71" s="21">
        <f t="shared" si="9"/>
        <v>0</v>
      </c>
      <c r="AL71" s="21">
        <f>T71-N71</f>
        <v>112637.48999999999</v>
      </c>
      <c r="AM71" s="21">
        <f>U71-O71</f>
        <v>112637.48999999999</v>
      </c>
      <c r="AN71" s="24">
        <f t="shared" si="10"/>
        <v>0</v>
      </c>
      <c r="AO71" s="24">
        <f>IFERROR(AL71/N71,0)</f>
        <v>0.3</v>
      </c>
      <c r="AP71" s="24">
        <f>IFERROR(AM71/O71,0)</f>
        <v>0.21774661295850489</v>
      </c>
    </row>
    <row r="72" spans="1:42" s="83" customFormat="1" ht="18" x14ac:dyDescent="0.3">
      <c r="A72" s="77" t="s">
        <v>296</v>
      </c>
      <c r="B72" s="77"/>
      <c r="C72" s="89" t="s">
        <v>297</v>
      </c>
      <c r="D72" s="79"/>
      <c r="E72" s="79"/>
      <c r="F72" s="80" t="s">
        <v>101</v>
      </c>
      <c r="G72" s="81">
        <v>1.05</v>
      </c>
      <c r="H72" s="81"/>
      <c r="I72" s="81">
        <v>477.27800000000002</v>
      </c>
      <c r="J72" s="82">
        <v>16.02</v>
      </c>
      <c r="M72" s="84">
        <f>ROUND(ROUND(J72, 2)*I72, 2)</f>
        <v>7645.99</v>
      </c>
      <c r="P72" s="85">
        <v>16.02</v>
      </c>
      <c r="S72" s="84">
        <f>ROUND(ROUND(P72, 2)*I72, 2)</f>
        <v>7645.99</v>
      </c>
      <c r="V72" s="86">
        <f>ROUND(ROUND(P72, 2)/1.2, 2)</f>
        <v>13.35</v>
      </c>
      <c r="Y72" s="86">
        <f t="shared" si="11"/>
        <v>6371.66</v>
      </c>
      <c r="AD72" s="87" t="s">
        <v>298</v>
      </c>
      <c r="AE72" s="87" t="s">
        <v>299</v>
      </c>
      <c r="AF72" s="87" t="s">
        <v>300</v>
      </c>
      <c r="AK72" s="84">
        <f t="shared" si="9"/>
        <v>0</v>
      </c>
      <c r="AL72" s="84"/>
      <c r="AM72" s="84"/>
      <c r="AN72" s="88">
        <f t="shared" si="10"/>
        <v>0</v>
      </c>
      <c r="AO72" s="84"/>
      <c r="AP72" s="84"/>
    </row>
    <row r="73" spans="1:42" s="83" customFormat="1" ht="18" x14ac:dyDescent="0.3">
      <c r="A73" s="77" t="s">
        <v>301</v>
      </c>
      <c r="B73" s="77"/>
      <c r="C73" s="89" t="s">
        <v>302</v>
      </c>
      <c r="D73" s="79"/>
      <c r="E73" s="79"/>
      <c r="F73" s="80" t="s">
        <v>63</v>
      </c>
      <c r="G73" s="81">
        <v>0.25</v>
      </c>
      <c r="H73" s="81"/>
      <c r="I73" s="81">
        <v>113.63800000000001</v>
      </c>
      <c r="J73" s="82">
        <v>101.66</v>
      </c>
      <c r="M73" s="84">
        <f>ROUND(ROUND(J73, 2)*I73, 2)</f>
        <v>11552.44</v>
      </c>
      <c r="P73" s="85">
        <v>101.66</v>
      </c>
      <c r="S73" s="84">
        <f>ROUND(ROUND(P73, 2)*I73, 2)</f>
        <v>11552.44</v>
      </c>
      <c r="V73" s="86">
        <f>ROUND(ROUND(P73, 2)/1.2, 2)</f>
        <v>84.72</v>
      </c>
      <c r="Y73" s="86">
        <f t="shared" si="11"/>
        <v>9627.0300000000007</v>
      </c>
      <c r="AD73" s="87" t="s">
        <v>303</v>
      </c>
      <c r="AE73" s="87" t="s">
        <v>304</v>
      </c>
      <c r="AF73" s="87" t="s">
        <v>305</v>
      </c>
      <c r="AK73" s="84">
        <f t="shared" si="9"/>
        <v>0</v>
      </c>
      <c r="AL73" s="84"/>
      <c r="AM73" s="84"/>
      <c r="AN73" s="88">
        <f t="shared" si="10"/>
        <v>0</v>
      </c>
      <c r="AO73" s="84"/>
      <c r="AP73" s="84"/>
    </row>
    <row r="74" spans="1:42" s="83" customFormat="1" ht="36" x14ac:dyDescent="0.3">
      <c r="A74" s="77" t="s">
        <v>306</v>
      </c>
      <c r="B74" s="77"/>
      <c r="C74" s="89" t="s">
        <v>307</v>
      </c>
      <c r="D74" s="79"/>
      <c r="E74" s="79"/>
      <c r="F74" s="80" t="s">
        <v>57</v>
      </c>
      <c r="G74" s="81">
        <v>1.1000000000000001</v>
      </c>
      <c r="H74" s="81"/>
      <c r="I74" s="81">
        <v>500.005</v>
      </c>
      <c r="J74" s="82">
        <v>101.26</v>
      </c>
      <c r="M74" s="84">
        <f>ROUND(ROUND(J74, 2)*I74, 2)</f>
        <v>50630.51</v>
      </c>
      <c r="P74" s="85">
        <v>101.26</v>
      </c>
      <c r="S74" s="84">
        <f>ROUND(ROUND(P74, 2)*I74, 2)</f>
        <v>50630.51</v>
      </c>
      <c r="V74" s="86">
        <f>ROUND(ROUND(P74, 2)/1.2, 2)</f>
        <v>84.38</v>
      </c>
      <c r="Y74" s="86">
        <f t="shared" si="11"/>
        <v>42192.09</v>
      </c>
      <c r="AD74" s="87" t="s">
        <v>308</v>
      </c>
      <c r="AE74" s="87" t="s">
        <v>309</v>
      </c>
      <c r="AF74" s="87" t="s">
        <v>310</v>
      </c>
      <c r="AK74" s="84">
        <f t="shared" si="9"/>
        <v>0</v>
      </c>
      <c r="AL74" s="84"/>
      <c r="AM74" s="84"/>
      <c r="AN74" s="88">
        <f t="shared" si="10"/>
        <v>0</v>
      </c>
      <c r="AO74" s="84"/>
      <c r="AP74" s="84"/>
    </row>
    <row r="75" spans="1:42" s="83" customFormat="1" ht="36" x14ac:dyDescent="0.3">
      <c r="A75" s="77" t="s">
        <v>311</v>
      </c>
      <c r="B75" s="77"/>
      <c r="C75" s="78" t="s">
        <v>312</v>
      </c>
      <c r="D75" s="79"/>
      <c r="E75" s="79"/>
      <c r="F75" s="80" t="s">
        <v>63</v>
      </c>
      <c r="G75" s="81">
        <v>1</v>
      </c>
      <c r="H75" s="81"/>
      <c r="I75" s="81">
        <v>9091</v>
      </c>
      <c r="J75" s="82">
        <v>7.92</v>
      </c>
      <c r="M75" s="84">
        <f>ROUND(ROUND(J75, 2)*I75, 2)</f>
        <v>72000.72</v>
      </c>
      <c r="P75" s="85">
        <v>7.92</v>
      </c>
      <c r="S75" s="84">
        <f>ROUND(ROUND(P75, 2)*I75, 2)</f>
        <v>72000.72</v>
      </c>
      <c r="V75" s="86">
        <f>ROUND(ROUND(P75, 2)/1.2, 2)</f>
        <v>6.6</v>
      </c>
      <c r="Y75" s="86">
        <f t="shared" si="11"/>
        <v>60000.6</v>
      </c>
      <c r="AD75" s="87" t="s">
        <v>313</v>
      </c>
      <c r="AE75" s="87" t="s">
        <v>314</v>
      </c>
      <c r="AF75" s="87" t="s">
        <v>315</v>
      </c>
      <c r="AK75" s="84">
        <f t="shared" si="9"/>
        <v>0</v>
      </c>
      <c r="AL75" s="84"/>
      <c r="AM75" s="84"/>
      <c r="AN75" s="88">
        <f t="shared" si="10"/>
        <v>0</v>
      </c>
      <c r="AO75" s="84"/>
      <c r="AP75" s="84"/>
    </row>
    <row r="76" spans="1:42" ht="72" x14ac:dyDescent="0.3">
      <c r="A76" s="12" t="s">
        <v>316</v>
      </c>
      <c r="B76" s="12" t="s">
        <v>317</v>
      </c>
      <c r="C76" s="18" t="s">
        <v>318</v>
      </c>
      <c r="D76" s="19"/>
      <c r="E76" s="19" t="s">
        <v>319</v>
      </c>
      <c r="F76" s="19" t="s">
        <v>57</v>
      </c>
      <c r="G76" s="20">
        <v>1</v>
      </c>
      <c r="H76" s="20"/>
      <c r="I76" s="20">
        <v>678.86</v>
      </c>
      <c r="J76" s="21">
        <f>IFERROR(ROUND(SUM(M77,M78)/I76, 2),0)</f>
        <v>299.87</v>
      </c>
      <c r="K76" s="22">
        <v>428</v>
      </c>
      <c r="L76" s="21">
        <f>J76+ROUND(K76, 2)</f>
        <v>727.87</v>
      </c>
      <c r="M76" s="21">
        <f>ROUND(J76*I76, 2)</f>
        <v>203569.75</v>
      </c>
      <c r="N76" s="21">
        <f>ROUND(I76*ROUND(K76, 2), 2)</f>
        <v>290552.08</v>
      </c>
      <c r="O76" s="21">
        <f>M76+N76</f>
        <v>494121.83</v>
      </c>
      <c r="P76" s="21">
        <f>IFERROR(ROUND(SUM(S77,S78)/I76, 2),0)</f>
        <v>299.87</v>
      </c>
      <c r="Q76" s="23">
        <v>556.4</v>
      </c>
      <c r="R76" s="21">
        <f>P76+ROUND(Q76, 2)</f>
        <v>856.27</v>
      </c>
      <c r="S76" s="21">
        <f>ROUND(P76*I76, 2)</f>
        <v>203569.75</v>
      </c>
      <c r="T76" s="21">
        <f>ROUND(I76*ROUND(Q76, 2), 2)</f>
        <v>377717.7</v>
      </c>
      <c r="U76" s="21">
        <f>S76+T76</f>
        <v>581287.44999999995</v>
      </c>
      <c r="V76" s="9">
        <f>ROUND(P76 / 1.2, 2)</f>
        <v>249.89</v>
      </c>
      <c r="W76" s="9">
        <f>ROUND(Q76 / 1.2, 2)</f>
        <v>463.67</v>
      </c>
      <c r="X76" s="9">
        <f>ROUND(R76 / 1.2, 2)</f>
        <v>713.56</v>
      </c>
      <c r="Y76" s="9">
        <f t="shared" si="11"/>
        <v>169641.46</v>
      </c>
      <c r="Z76" s="9">
        <f>ROUND(T76 / 1.2, 2)</f>
        <v>314764.75</v>
      </c>
      <c r="AA76" s="9">
        <f>Y76+Z76</f>
        <v>484406.20999999996</v>
      </c>
      <c r="AD76" s="5">
        <v>410200615</v>
      </c>
      <c r="AE76" s="5">
        <v>36663239</v>
      </c>
      <c r="AG76" s="5" t="s">
        <v>320</v>
      </c>
      <c r="AH76" s="5" t="s">
        <v>321</v>
      </c>
      <c r="AI76" s="5" t="s">
        <v>60</v>
      </c>
      <c r="AK76" s="21">
        <f t="shared" si="9"/>
        <v>0</v>
      </c>
      <c r="AL76" s="21">
        <f>T76-N76</f>
        <v>87165.62</v>
      </c>
      <c r="AM76" s="21">
        <f>U76-O76</f>
        <v>87165.619999999937</v>
      </c>
      <c r="AN76" s="24">
        <f t="shared" si="10"/>
        <v>0</v>
      </c>
      <c r="AO76" s="24">
        <f>IFERROR(AL76/N76,0)</f>
        <v>0.29999998623310487</v>
      </c>
      <c r="AP76" s="24">
        <f>IFERROR(AM76/O76,0)</f>
        <v>0.17640511855143079</v>
      </c>
    </row>
    <row r="77" spans="1:42" s="83" customFormat="1" ht="36" x14ac:dyDescent="0.3">
      <c r="A77" s="77" t="s">
        <v>322</v>
      </c>
      <c r="B77" s="77"/>
      <c r="C77" s="89" t="s">
        <v>323</v>
      </c>
      <c r="D77" s="79"/>
      <c r="E77" s="79"/>
      <c r="F77" s="80" t="s">
        <v>63</v>
      </c>
      <c r="G77" s="81">
        <v>0.3</v>
      </c>
      <c r="H77" s="81"/>
      <c r="I77" s="81">
        <v>203.65799999999999</v>
      </c>
      <c r="J77" s="82">
        <v>954.43</v>
      </c>
      <c r="M77" s="84">
        <f>ROUND(ROUND(J77, 2)*I77, 2)</f>
        <v>194377.3</v>
      </c>
      <c r="P77" s="85">
        <v>954.43</v>
      </c>
      <c r="S77" s="84">
        <f>ROUND(ROUND(P77, 2)*I77, 2)</f>
        <v>194377.3</v>
      </c>
      <c r="V77" s="86">
        <f>ROUND(ROUND(P77, 2)/1.2, 2)</f>
        <v>795.36</v>
      </c>
      <c r="Y77" s="86">
        <f t="shared" si="11"/>
        <v>161981.07999999999</v>
      </c>
      <c r="AD77" s="87" t="s">
        <v>324</v>
      </c>
      <c r="AE77" s="87" t="s">
        <v>325</v>
      </c>
      <c r="AF77" s="87" t="s">
        <v>326</v>
      </c>
      <c r="AK77" s="84">
        <f t="shared" si="9"/>
        <v>0</v>
      </c>
      <c r="AL77" s="84"/>
      <c r="AM77" s="84"/>
      <c r="AN77" s="88">
        <f t="shared" si="10"/>
        <v>0</v>
      </c>
      <c r="AO77" s="84"/>
      <c r="AP77" s="84"/>
    </row>
    <row r="78" spans="1:42" s="83" customFormat="1" ht="36" x14ac:dyDescent="0.3">
      <c r="A78" s="77" t="s">
        <v>327</v>
      </c>
      <c r="B78" s="77"/>
      <c r="C78" s="89" t="s">
        <v>328</v>
      </c>
      <c r="D78" s="79"/>
      <c r="E78" s="79"/>
      <c r="F78" s="80" t="s">
        <v>63</v>
      </c>
      <c r="G78" s="81">
        <v>0.15</v>
      </c>
      <c r="H78" s="81"/>
      <c r="I78" s="81">
        <v>101.82899999999999</v>
      </c>
      <c r="J78" s="82">
        <v>90.28</v>
      </c>
      <c r="M78" s="84">
        <f>ROUND(ROUND(J78, 2)*I78, 2)</f>
        <v>9193.1200000000008</v>
      </c>
      <c r="P78" s="85">
        <v>90.28</v>
      </c>
      <c r="S78" s="84">
        <f>ROUND(ROUND(P78, 2)*I78, 2)</f>
        <v>9193.1200000000008</v>
      </c>
      <c r="V78" s="86">
        <f>ROUND(ROUND(P78, 2)/1.2, 2)</f>
        <v>75.23</v>
      </c>
      <c r="Y78" s="86">
        <f t="shared" si="11"/>
        <v>7660.93</v>
      </c>
      <c r="AD78" s="87" t="s">
        <v>329</v>
      </c>
      <c r="AE78" s="87" t="s">
        <v>330</v>
      </c>
      <c r="AF78" s="87" t="s">
        <v>331</v>
      </c>
      <c r="AK78" s="84">
        <f t="shared" si="9"/>
        <v>0</v>
      </c>
      <c r="AL78" s="84"/>
      <c r="AM78" s="84"/>
      <c r="AN78" s="88">
        <f t="shared" si="10"/>
        <v>0</v>
      </c>
      <c r="AO78" s="84"/>
      <c r="AP78" s="84"/>
    </row>
    <row r="79" spans="1:42" ht="72" x14ac:dyDescent="0.3">
      <c r="A79" s="12" t="s">
        <v>332</v>
      </c>
      <c r="B79" s="12" t="s">
        <v>317</v>
      </c>
      <c r="C79" s="18" t="s">
        <v>318</v>
      </c>
      <c r="D79" s="19"/>
      <c r="E79" s="19" t="s">
        <v>333</v>
      </c>
      <c r="F79" s="19" t="s">
        <v>57</v>
      </c>
      <c r="G79" s="20">
        <v>1</v>
      </c>
      <c r="H79" s="20"/>
      <c r="I79" s="20">
        <v>586.29</v>
      </c>
      <c r="J79" s="21">
        <f>IFERROR(ROUND(SUM(M80,M81)/I79, 2),0)</f>
        <v>13.54</v>
      </c>
      <c r="K79" s="22">
        <v>428</v>
      </c>
      <c r="L79" s="21">
        <f>J79+ROUND(K79, 2)</f>
        <v>441.54</v>
      </c>
      <c r="M79" s="21">
        <f>ROUND(J79*I79, 2)</f>
        <v>7938.37</v>
      </c>
      <c r="N79" s="21">
        <f>ROUND(I79*ROUND(K79, 2), 2)</f>
        <v>250932.12</v>
      </c>
      <c r="O79" s="21">
        <f>M79+N79</f>
        <v>258870.49</v>
      </c>
      <c r="P79" s="21">
        <f>IFERROR(ROUND(SUM(S80,S81)/I79, 2),0)</f>
        <v>124.15</v>
      </c>
      <c r="Q79" s="23">
        <v>556.4</v>
      </c>
      <c r="R79" s="21">
        <f>P79+ROUND(Q79, 2)</f>
        <v>680.55</v>
      </c>
      <c r="S79" s="21">
        <f>ROUND(P79*I79, 2)</f>
        <v>72787.899999999994</v>
      </c>
      <c r="T79" s="21">
        <f>ROUND(I79*ROUND(Q79, 2), 2)</f>
        <v>326211.76</v>
      </c>
      <c r="U79" s="21">
        <f>S79+T79</f>
        <v>398999.66000000003</v>
      </c>
      <c r="V79" s="9">
        <f>ROUND(P79 / 1.2, 2)</f>
        <v>103.46</v>
      </c>
      <c r="W79" s="9">
        <f>ROUND(Q79 / 1.2, 2)</f>
        <v>463.67</v>
      </c>
      <c r="X79" s="9">
        <f>ROUND(R79 / 1.2, 2)</f>
        <v>567.13</v>
      </c>
      <c r="Y79" s="9">
        <f t="shared" si="11"/>
        <v>60656.58</v>
      </c>
      <c r="Z79" s="9">
        <f>ROUND(T79 / 1.2, 2)</f>
        <v>271843.13</v>
      </c>
      <c r="AA79" s="9">
        <f>Y79+Z79</f>
        <v>332499.71000000002</v>
      </c>
      <c r="AD79" s="5">
        <v>410200636</v>
      </c>
      <c r="AE79" s="5">
        <v>36663240</v>
      </c>
      <c r="AG79" s="5" t="s">
        <v>320</v>
      </c>
      <c r="AH79" s="5" t="s">
        <v>321</v>
      </c>
      <c r="AI79" s="5" t="s">
        <v>60</v>
      </c>
      <c r="AK79" s="21">
        <f t="shared" si="9"/>
        <v>64849.529999999992</v>
      </c>
      <c r="AL79" s="21">
        <f>T79-N79</f>
        <v>75279.640000000014</v>
      </c>
      <c r="AM79" s="21">
        <f>U79-O79</f>
        <v>140129.17000000004</v>
      </c>
      <c r="AN79" s="24">
        <f t="shared" si="10"/>
        <v>8.1691241400942509</v>
      </c>
      <c r="AO79" s="24">
        <f>IFERROR(AL79/N79,0)</f>
        <v>0.30000001594056597</v>
      </c>
      <c r="AP79" s="24">
        <f>IFERROR(AM79/O79,0)</f>
        <v>0.54130994228040452</v>
      </c>
    </row>
    <row r="80" spans="1:42" s="83" customFormat="1" ht="54" x14ac:dyDescent="0.3">
      <c r="A80" s="77" t="s">
        <v>334</v>
      </c>
      <c r="B80" s="77"/>
      <c r="C80" s="89" t="s">
        <v>335</v>
      </c>
      <c r="D80" s="79"/>
      <c r="E80" s="79"/>
      <c r="F80" s="80" t="s">
        <v>63</v>
      </c>
      <c r="G80" s="81">
        <v>0.3</v>
      </c>
      <c r="H80" s="81"/>
      <c r="I80" s="81">
        <v>175.887</v>
      </c>
      <c r="J80" s="82">
        <v>0</v>
      </c>
      <c r="M80" s="84">
        <f>ROUND(ROUND(J80, 2)*I80, 2)</f>
        <v>0</v>
      </c>
      <c r="P80" s="85">
        <v>368.7</v>
      </c>
      <c r="S80" s="84">
        <f>ROUND(ROUND(P80, 2)*I80, 2)</f>
        <v>64849.54</v>
      </c>
      <c r="V80" s="86">
        <f>ROUND(ROUND(P80, 2)/1.2, 2)</f>
        <v>307.25</v>
      </c>
      <c r="Y80" s="86">
        <f t="shared" si="11"/>
        <v>54041.279999999999</v>
      </c>
      <c r="AD80" s="87" t="s">
        <v>336</v>
      </c>
      <c r="AE80" s="87" t="s">
        <v>337</v>
      </c>
      <c r="AF80" s="87" t="s">
        <v>338</v>
      </c>
      <c r="AK80" s="84">
        <f t="shared" si="9"/>
        <v>64849.54</v>
      </c>
      <c r="AL80" s="84"/>
      <c r="AM80" s="84"/>
      <c r="AN80" s="88">
        <f t="shared" si="10"/>
        <v>0</v>
      </c>
      <c r="AO80" s="84"/>
      <c r="AP80" s="84"/>
    </row>
    <row r="81" spans="1:42" s="83" customFormat="1" ht="36" x14ac:dyDescent="0.3">
      <c r="A81" s="77" t="s">
        <v>339</v>
      </c>
      <c r="B81" s="77"/>
      <c r="C81" s="89" t="s">
        <v>328</v>
      </c>
      <c r="D81" s="79"/>
      <c r="E81" s="79"/>
      <c r="F81" s="80" t="s">
        <v>63</v>
      </c>
      <c r="G81" s="81">
        <v>0.15</v>
      </c>
      <c r="H81" s="81"/>
      <c r="I81" s="81">
        <v>87.944000000000003</v>
      </c>
      <c r="J81" s="82">
        <v>90.28</v>
      </c>
      <c r="M81" s="84">
        <f>ROUND(ROUND(J81, 2)*I81, 2)</f>
        <v>7939.58</v>
      </c>
      <c r="P81" s="85">
        <v>90.28</v>
      </c>
      <c r="S81" s="84">
        <f>ROUND(ROUND(P81, 2)*I81, 2)</f>
        <v>7939.58</v>
      </c>
      <c r="V81" s="86">
        <f>ROUND(ROUND(P81, 2)/1.2, 2)</f>
        <v>75.23</v>
      </c>
      <c r="Y81" s="86">
        <f t="shared" si="11"/>
        <v>6616.32</v>
      </c>
      <c r="AD81" s="87" t="s">
        <v>340</v>
      </c>
      <c r="AE81" s="87" t="s">
        <v>341</v>
      </c>
      <c r="AF81" s="87" t="s">
        <v>331</v>
      </c>
      <c r="AK81" s="84">
        <f t="shared" si="9"/>
        <v>0</v>
      </c>
      <c r="AL81" s="84"/>
      <c r="AM81" s="84"/>
      <c r="AN81" s="88">
        <f t="shared" si="10"/>
        <v>0</v>
      </c>
      <c r="AO81" s="84"/>
      <c r="AP81" s="84"/>
    </row>
    <row r="82" spans="1:42" ht="72" x14ac:dyDescent="0.3">
      <c r="A82" s="12" t="s">
        <v>342</v>
      </c>
      <c r="B82" s="12" t="s">
        <v>343</v>
      </c>
      <c r="C82" s="18" t="s">
        <v>344</v>
      </c>
      <c r="D82" s="19"/>
      <c r="E82" s="19" t="s">
        <v>345</v>
      </c>
      <c r="F82" s="19" t="s">
        <v>57</v>
      </c>
      <c r="G82" s="20">
        <v>1</v>
      </c>
      <c r="H82" s="20"/>
      <c r="I82" s="20">
        <v>402.27</v>
      </c>
      <c r="J82" s="21">
        <f>IFERROR(ROUND(SUM(M83,M84)/I82, 2),0)</f>
        <v>299.87</v>
      </c>
      <c r="K82" s="22">
        <v>464</v>
      </c>
      <c r="L82" s="21">
        <f>J82+ROUND(K82, 2)</f>
        <v>763.87</v>
      </c>
      <c r="M82" s="21">
        <f>ROUND(J82*I82, 2)</f>
        <v>120628.7</v>
      </c>
      <c r="N82" s="21">
        <f>ROUND(I82*ROUND(K82, 2), 2)</f>
        <v>186653.28</v>
      </c>
      <c r="O82" s="21">
        <f>M82+N82</f>
        <v>307281.98</v>
      </c>
      <c r="P82" s="21">
        <f>IFERROR(ROUND(SUM(S83,S84)/I82, 2),0)</f>
        <v>299.87</v>
      </c>
      <c r="Q82" s="23">
        <v>603.20000000000005</v>
      </c>
      <c r="R82" s="21">
        <f>P82+ROUND(Q82, 2)</f>
        <v>903.07</v>
      </c>
      <c r="S82" s="21">
        <f>ROUND(P82*I82, 2)</f>
        <v>120628.7</v>
      </c>
      <c r="T82" s="21">
        <f>ROUND(I82*ROUND(Q82, 2), 2)</f>
        <v>242649.26</v>
      </c>
      <c r="U82" s="21">
        <f>S82+T82</f>
        <v>363277.96</v>
      </c>
      <c r="V82" s="9">
        <f>ROUND(P82 / 1.2, 2)</f>
        <v>249.89</v>
      </c>
      <c r="W82" s="9">
        <f>ROUND(Q82 / 1.2, 2)</f>
        <v>502.67</v>
      </c>
      <c r="X82" s="9">
        <f>ROUND(R82 / 1.2, 2)</f>
        <v>752.56</v>
      </c>
      <c r="Y82" s="9">
        <f t="shared" si="11"/>
        <v>100523.92</v>
      </c>
      <c r="Z82" s="9">
        <f>ROUND(T82 / 1.2, 2)</f>
        <v>202207.72</v>
      </c>
      <c r="AA82" s="9">
        <f>Y82+Z82</f>
        <v>302731.64</v>
      </c>
      <c r="AD82" s="5">
        <v>410200616</v>
      </c>
      <c r="AE82" s="5">
        <v>36665012</v>
      </c>
      <c r="AG82" s="5" t="s">
        <v>346</v>
      </c>
      <c r="AH82" s="5" t="s">
        <v>347</v>
      </c>
      <c r="AI82" s="5" t="s">
        <v>60</v>
      </c>
      <c r="AK82" s="21">
        <f t="shared" si="9"/>
        <v>0</v>
      </c>
      <c r="AL82" s="21">
        <f>T82-N82</f>
        <v>55995.98000000001</v>
      </c>
      <c r="AM82" s="21">
        <f>U82-O82</f>
        <v>55995.98000000004</v>
      </c>
      <c r="AN82" s="24">
        <f t="shared" si="10"/>
        <v>0</v>
      </c>
      <c r="AO82" s="24">
        <f>IFERROR(AL82/N82,0)</f>
        <v>0.2999999785698918</v>
      </c>
      <c r="AP82" s="24">
        <f>IFERROR(AM82/O82,0)</f>
        <v>0.18222995048391721</v>
      </c>
    </row>
    <row r="83" spans="1:42" s="83" customFormat="1" ht="36" x14ac:dyDescent="0.3">
      <c r="A83" s="77" t="s">
        <v>348</v>
      </c>
      <c r="B83" s="77"/>
      <c r="C83" s="89" t="s">
        <v>328</v>
      </c>
      <c r="D83" s="79"/>
      <c r="E83" s="79"/>
      <c r="F83" s="80" t="s">
        <v>63</v>
      </c>
      <c r="G83" s="81">
        <v>0.15</v>
      </c>
      <c r="H83" s="81"/>
      <c r="I83" s="81">
        <v>60.341000000000001</v>
      </c>
      <c r="J83" s="82">
        <v>90.28</v>
      </c>
      <c r="M83" s="84">
        <f>ROUND(ROUND(J83, 2)*I83, 2)</f>
        <v>5447.59</v>
      </c>
      <c r="P83" s="85">
        <v>90.28</v>
      </c>
      <c r="S83" s="84">
        <f>ROUND(ROUND(P83, 2)*I83, 2)</f>
        <v>5447.59</v>
      </c>
      <c r="V83" s="86">
        <f>ROUND(ROUND(P83, 2)/1.2, 2)</f>
        <v>75.23</v>
      </c>
      <c r="Y83" s="86">
        <f t="shared" si="11"/>
        <v>4539.66</v>
      </c>
      <c r="AD83" s="87" t="s">
        <v>349</v>
      </c>
      <c r="AE83" s="87" t="s">
        <v>350</v>
      </c>
      <c r="AF83" s="87" t="s">
        <v>331</v>
      </c>
      <c r="AK83" s="84">
        <f t="shared" si="9"/>
        <v>0</v>
      </c>
      <c r="AL83" s="84"/>
      <c r="AM83" s="84"/>
      <c r="AN83" s="88">
        <f t="shared" si="10"/>
        <v>0</v>
      </c>
      <c r="AO83" s="84"/>
      <c r="AP83" s="84"/>
    </row>
    <row r="84" spans="1:42" s="83" customFormat="1" ht="36" x14ac:dyDescent="0.3">
      <c r="A84" s="77" t="s">
        <v>351</v>
      </c>
      <c r="B84" s="77"/>
      <c r="C84" s="89" t="s">
        <v>323</v>
      </c>
      <c r="D84" s="79"/>
      <c r="E84" s="79"/>
      <c r="F84" s="80" t="s">
        <v>63</v>
      </c>
      <c r="G84" s="81">
        <v>0.3</v>
      </c>
      <c r="H84" s="81"/>
      <c r="I84" s="81">
        <v>120.681</v>
      </c>
      <c r="J84" s="82">
        <v>954.43</v>
      </c>
      <c r="M84" s="84">
        <f>ROUND(ROUND(J84, 2)*I84, 2)</f>
        <v>115181.57</v>
      </c>
      <c r="P84" s="85">
        <v>954.43</v>
      </c>
      <c r="S84" s="84">
        <f>ROUND(ROUND(P84, 2)*I84, 2)</f>
        <v>115181.57</v>
      </c>
      <c r="V84" s="86">
        <f>ROUND(ROUND(P84, 2)/1.2, 2)</f>
        <v>795.36</v>
      </c>
      <c r="Y84" s="86">
        <f t="shared" si="11"/>
        <v>95984.639999999999</v>
      </c>
      <c r="AD84" s="87" t="s">
        <v>352</v>
      </c>
      <c r="AE84" s="87" t="s">
        <v>353</v>
      </c>
      <c r="AF84" s="87" t="s">
        <v>326</v>
      </c>
      <c r="AK84" s="84">
        <f t="shared" si="9"/>
        <v>0</v>
      </c>
      <c r="AL84" s="84"/>
      <c r="AM84" s="84"/>
      <c r="AN84" s="88">
        <f t="shared" si="10"/>
        <v>0</v>
      </c>
      <c r="AO84" s="84"/>
      <c r="AP84" s="84"/>
    </row>
    <row r="85" spans="1:42" ht="72" x14ac:dyDescent="0.3">
      <c r="A85" s="12" t="s">
        <v>354</v>
      </c>
      <c r="B85" s="12" t="s">
        <v>343</v>
      </c>
      <c r="C85" s="18" t="s">
        <v>344</v>
      </c>
      <c r="D85" s="19"/>
      <c r="E85" s="19" t="s">
        <v>355</v>
      </c>
      <c r="F85" s="19" t="s">
        <v>57</v>
      </c>
      <c r="G85" s="20">
        <v>1</v>
      </c>
      <c r="H85" s="20"/>
      <c r="I85" s="20">
        <v>437.71</v>
      </c>
      <c r="J85" s="21">
        <f>IFERROR(ROUND(SUM(M86,M87)/I85, 2),0)</f>
        <v>13.54</v>
      </c>
      <c r="K85" s="22">
        <v>464</v>
      </c>
      <c r="L85" s="21">
        <f>J85+ROUND(K85, 2)</f>
        <v>477.54</v>
      </c>
      <c r="M85" s="21">
        <f>ROUND(J85*I85, 2)</f>
        <v>5926.59</v>
      </c>
      <c r="N85" s="21">
        <f>ROUND(I85*ROUND(K85, 2), 2)</f>
        <v>203097.44</v>
      </c>
      <c r="O85" s="21">
        <f>M85+N85</f>
        <v>209024.03</v>
      </c>
      <c r="P85" s="21">
        <f>IFERROR(ROUND(SUM(S86,S87)/I85, 2),0)</f>
        <v>124.15</v>
      </c>
      <c r="Q85" s="23">
        <v>603.20000000000005</v>
      </c>
      <c r="R85" s="21">
        <f>P85+ROUND(Q85, 2)</f>
        <v>727.35</v>
      </c>
      <c r="S85" s="21">
        <f>ROUND(P85*I85, 2)</f>
        <v>54341.7</v>
      </c>
      <c r="T85" s="21">
        <f>ROUND(I85*ROUND(Q85, 2), 2)</f>
        <v>264026.67</v>
      </c>
      <c r="U85" s="21">
        <f>S85+T85</f>
        <v>318368.37</v>
      </c>
      <c r="V85" s="9">
        <f>ROUND(P85 / 1.2, 2)</f>
        <v>103.46</v>
      </c>
      <c r="W85" s="9">
        <f>ROUND(Q85 / 1.2, 2)</f>
        <v>502.67</v>
      </c>
      <c r="X85" s="9">
        <f>ROUND(R85 / 1.2, 2)</f>
        <v>606.13</v>
      </c>
      <c r="Y85" s="9">
        <f t="shared" si="11"/>
        <v>45284.75</v>
      </c>
      <c r="Z85" s="9">
        <f>ROUND(T85 / 1.2, 2)</f>
        <v>220022.23</v>
      </c>
      <c r="AA85" s="9">
        <f>Y85+Z85</f>
        <v>265306.98</v>
      </c>
      <c r="AD85" s="5">
        <v>410200637</v>
      </c>
      <c r="AE85" s="5">
        <v>36665013</v>
      </c>
      <c r="AG85" s="5" t="s">
        <v>346</v>
      </c>
      <c r="AH85" s="5" t="s">
        <v>347</v>
      </c>
      <c r="AI85" s="5" t="s">
        <v>60</v>
      </c>
      <c r="AK85" s="21">
        <f t="shared" si="9"/>
        <v>48415.11</v>
      </c>
      <c r="AL85" s="21">
        <f>T85-N85</f>
        <v>60929.229999999981</v>
      </c>
      <c r="AM85" s="21">
        <f>U85-O85</f>
        <v>109344.34</v>
      </c>
      <c r="AN85" s="24">
        <f t="shared" si="10"/>
        <v>8.1691343588809087</v>
      </c>
      <c r="AO85" s="24">
        <f>IFERROR(AL85/N85,0)</f>
        <v>0.29999999015250994</v>
      </c>
      <c r="AP85" s="24">
        <f>IFERROR(AM85/O85,0)</f>
        <v>0.52311851417274846</v>
      </c>
    </row>
    <row r="86" spans="1:42" s="83" customFormat="1" ht="54" x14ac:dyDescent="0.3">
      <c r="A86" s="77" t="s">
        <v>356</v>
      </c>
      <c r="B86" s="77"/>
      <c r="C86" s="89" t="s">
        <v>357</v>
      </c>
      <c r="D86" s="79"/>
      <c r="E86" s="79"/>
      <c r="F86" s="80" t="s">
        <v>63</v>
      </c>
      <c r="G86" s="81">
        <v>0.3</v>
      </c>
      <c r="H86" s="81"/>
      <c r="I86" s="81">
        <v>131.31299999999999</v>
      </c>
      <c r="J86" s="82">
        <v>0</v>
      </c>
      <c r="M86" s="84">
        <f>ROUND(ROUND(J86, 2)*I86, 2)</f>
        <v>0</v>
      </c>
      <c r="P86" s="85">
        <v>368.7</v>
      </c>
      <c r="S86" s="84">
        <f>ROUND(ROUND(P86, 2)*I86, 2)</f>
        <v>48415.1</v>
      </c>
      <c r="V86" s="86">
        <f>ROUND(ROUND(P86, 2)/1.2, 2)</f>
        <v>307.25</v>
      </c>
      <c r="Y86" s="86">
        <f t="shared" si="11"/>
        <v>40345.919999999998</v>
      </c>
      <c r="AD86" s="87" t="s">
        <v>358</v>
      </c>
      <c r="AE86" s="87" t="s">
        <v>359</v>
      </c>
      <c r="AF86" s="87" t="s">
        <v>360</v>
      </c>
      <c r="AK86" s="84">
        <f t="shared" si="9"/>
        <v>48415.1</v>
      </c>
      <c r="AL86" s="84"/>
      <c r="AM86" s="84"/>
      <c r="AN86" s="88">
        <f t="shared" si="10"/>
        <v>0</v>
      </c>
      <c r="AO86" s="84"/>
      <c r="AP86" s="84"/>
    </row>
    <row r="87" spans="1:42" s="83" customFormat="1" ht="36" x14ac:dyDescent="0.3">
      <c r="A87" s="77" t="s">
        <v>361</v>
      </c>
      <c r="B87" s="77"/>
      <c r="C87" s="89" t="s">
        <v>328</v>
      </c>
      <c r="D87" s="79"/>
      <c r="E87" s="79"/>
      <c r="F87" s="80" t="s">
        <v>63</v>
      </c>
      <c r="G87" s="81">
        <v>0.15</v>
      </c>
      <c r="H87" s="81"/>
      <c r="I87" s="81">
        <v>65.656999999999996</v>
      </c>
      <c r="J87" s="82">
        <v>90.28</v>
      </c>
      <c r="M87" s="84">
        <f>ROUND(ROUND(J87, 2)*I87, 2)</f>
        <v>5927.51</v>
      </c>
      <c r="P87" s="85">
        <v>90.28</v>
      </c>
      <c r="S87" s="84">
        <f>ROUND(ROUND(P87, 2)*I87, 2)</f>
        <v>5927.51</v>
      </c>
      <c r="V87" s="86">
        <f>ROUND(ROUND(P87, 2)/1.2, 2)</f>
        <v>75.23</v>
      </c>
      <c r="Y87" s="86">
        <f t="shared" si="11"/>
        <v>4939.59</v>
      </c>
      <c r="AD87" s="87" t="s">
        <v>362</v>
      </c>
      <c r="AE87" s="87" t="s">
        <v>363</v>
      </c>
      <c r="AF87" s="87" t="s">
        <v>331</v>
      </c>
      <c r="AK87" s="84">
        <f t="shared" si="9"/>
        <v>0</v>
      </c>
      <c r="AL87" s="84"/>
      <c r="AM87" s="84"/>
      <c r="AN87" s="88">
        <f t="shared" si="10"/>
        <v>0</v>
      </c>
      <c r="AO87" s="84"/>
      <c r="AP87" s="84"/>
    </row>
    <row r="88" spans="1:42" ht="36" x14ac:dyDescent="0.3">
      <c r="A88" s="12" t="s">
        <v>364</v>
      </c>
      <c r="B88" s="12" t="s">
        <v>365</v>
      </c>
      <c r="C88" s="18" t="s">
        <v>366</v>
      </c>
      <c r="D88" s="19"/>
      <c r="E88" s="19" t="s">
        <v>367</v>
      </c>
      <c r="F88" s="19" t="s">
        <v>57</v>
      </c>
      <c r="G88" s="20">
        <v>1</v>
      </c>
      <c r="H88" s="20"/>
      <c r="I88" s="20">
        <v>1075.3699999999999</v>
      </c>
      <c r="J88" s="21">
        <f>IFERROR(ROUND(SUM(M89,M90,M91)/I88, 2),0)</f>
        <v>57.91</v>
      </c>
      <c r="K88" s="22">
        <v>508</v>
      </c>
      <c r="L88" s="21">
        <f>J88+ROUND(K88, 2)</f>
        <v>565.91</v>
      </c>
      <c r="M88" s="21">
        <f>ROUND(J88*I88, 2)</f>
        <v>62274.68</v>
      </c>
      <c r="N88" s="21">
        <f>ROUND(I88*ROUND(K88, 2), 2)</f>
        <v>546287.96</v>
      </c>
      <c r="O88" s="21">
        <f>M88+N88</f>
        <v>608562.64</v>
      </c>
      <c r="P88" s="21">
        <f>IFERROR(ROUND(SUM(S89,S90,S91)/I88, 2),0)</f>
        <v>57.91</v>
      </c>
      <c r="Q88" s="23">
        <v>660.4</v>
      </c>
      <c r="R88" s="21">
        <f>P88+ROUND(Q88, 2)</f>
        <v>718.31</v>
      </c>
      <c r="S88" s="21">
        <f>ROUND(P88*I88, 2)</f>
        <v>62274.68</v>
      </c>
      <c r="T88" s="21">
        <f>ROUND(I88*ROUND(Q88, 2), 2)</f>
        <v>710174.35</v>
      </c>
      <c r="U88" s="21">
        <f>S88+T88</f>
        <v>772449.03</v>
      </c>
      <c r="V88" s="9">
        <f>ROUND(P88 / 1.2, 2)</f>
        <v>48.26</v>
      </c>
      <c r="W88" s="9">
        <f>ROUND(Q88 / 1.2, 2)</f>
        <v>550.33000000000004</v>
      </c>
      <c r="X88" s="9">
        <f>ROUND(R88 / 1.2, 2)</f>
        <v>598.59</v>
      </c>
      <c r="Y88" s="9">
        <f t="shared" si="11"/>
        <v>51895.57</v>
      </c>
      <c r="Z88" s="9">
        <f>ROUND(T88 / 1.2, 2)</f>
        <v>591811.96</v>
      </c>
      <c r="AA88" s="9">
        <f>Y88+Z88</f>
        <v>643707.52999999991</v>
      </c>
      <c r="AD88" s="5">
        <v>410200618</v>
      </c>
      <c r="AE88" s="5">
        <v>36662409</v>
      </c>
      <c r="AG88" s="5" t="s">
        <v>368</v>
      </c>
      <c r="AH88" s="5" t="s">
        <v>369</v>
      </c>
      <c r="AI88" s="5" t="s">
        <v>60</v>
      </c>
      <c r="AK88" s="21">
        <f t="shared" si="9"/>
        <v>0</v>
      </c>
      <c r="AL88" s="21">
        <f>T88-N88</f>
        <v>163886.39000000001</v>
      </c>
      <c r="AM88" s="21">
        <f>U88-O88</f>
        <v>163886.39000000001</v>
      </c>
      <c r="AN88" s="24">
        <f t="shared" si="10"/>
        <v>0</v>
      </c>
      <c r="AO88" s="24">
        <f>IFERROR(AL88/N88,0)</f>
        <v>0.30000000366107288</v>
      </c>
      <c r="AP88" s="24">
        <f>IFERROR(AM88/O88,0)</f>
        <v>0.26930077403371327</v>
      </c>
    </row>
    <row r="89" spans="1:42" s="83" customFormat="1" ht="36" x14ac:dyDescent="0.3">
      <c r="A89" s="77" t="s">
        <v>370</v>
      </c>
      <c r="B89" s="77"/>
      <c r="C89" s="89" t="s">
        <v>328</v>
      </c>
      <c r="D89" s="79"/>
      <c r="E89" s="79"/>
      <c r="F89" s="80" t="s">
        <v>63</v>
      </c>
      <c r="G89" s="81">
        <v>0.15</v>
      </c>
      <c r="H89" s="81"/>
      <c r="I89" s="81">
        <v>161.30600000000001</v>
      </c>
      <c r="J89" s="82">
        <v>90.28</v>
      </c>
      <c r="M89" s="84">
        <f>ROUND(ROUND(J89, 2)*I89, 2)</f>
        <v>14562.71</v>
      </c>
      <c r="P89" s="85">
        <v>90.28</v>
      </c>
      <c r="S89" s="84">
        <f>ROUND(ROUND(P89, 2)*I89, 2)</f>
        <v>14562.71</v>
      </c>
      <c r="V89" s="86">
        <f>ROUND(ROUND(P89, 2)/1.2, 2)</f>
        <v>75.23</v>
      </c>
      <c r="Y89" s="86">
        <f t="shared" si="11"/>
        <v>12135.59</v>
      </c>
      <c r="AD89" s="87" t="s">
        <v>371</v>
      </c>
      <c r="AE89" s="87" t="s">
        <v>372</v>
      </c>
      <c r="AF89" s="87" t="s">
        <v>331</v>
      </c>
      <c r="AK89" s="84">
        <f t="shared" si="9"/>
        <v>0</v>
      </c>
      <c r="AL89" s="84"/>
      <c r="AM89" s="84"/>
      <c r="AN89" s="88">
        <f t="shared" si="10"/>
        <v>0</v>
      </c>
      <c r="AO89" s="84"/>
      <c r="AP89" s="84"/>
    </row>
    <row r="90" spans="1:42" s="83" customFormat="1" ht="18" x14ac:dyDescent="0.3">
      <c r="A90" s="77" t="s">
        <v>373</v>
      </c>
      <c r="B90" s="77"/>
      <c r="C90" s="89" t="s">
        <v>374</v>
      </c>
      <c r="D90" s="79"/>
      <c r="E90" s="79"/>
      <c r="F90" s="80" t="s">
        <v>80</v>
      </c>
      <c r="G90" s="81">
        <v>0.3</v>
      </c>
      <c r="H90" s="81"/>
      <c r="I90" s="81">
        <v>322.61099999999999</v>
      </c>
      <c r="J90" s="82">
        <v>74.319999999999993</v>
      </c>
      <c r="M90" s="84">
        <f>ROUND(ROUND(J90, 2)*I90, 2)</f>
        <v>23976.45</v>
      </c>
      <c r="P90" s="85">
        <v>74.319999999999993</v>
      </c>
      <c r="S90" s="84">
        <f>ROUND(ROUND(P90, 2)*I90, 2)</f>
        <v>23976.45</v>
      </c>
      <c r="V90" s="86">
        <f>ROUND(ROUND(P90, 2)/1.2, 2)</f>
        <v>61.93</v>
      </c>
      <c r="Y90" s="86">
        <f t="shared" si="11"/>
        <v>19980.38</v>
      </c>
      <c r="AD90" s="87" t="s">
        <v>375</v>
      </c>
      <c r="AE90" s="87" t="s">
        <v>376</v>
      </c>
      <c r="AF90" s="87" t="s">
        <v>377</v>
      </c>
      <c r="AK90" s="84">
        <f t="shared" si="9"/>
        <v>0</v>
      </c>
      <c r="AL90" s="84"/>
      <c r="AM90" s="84"/>
      <c r="AN90" s="88">
        <f t="shared" si="10"/>
        <v>0</v>
      </c>
      <c r="AO90" s="84"/>
      <c r="AP90" s="84"/>
    </row>
    <row r="91" spans="1:42" s="83" customFormat="1" ht="36" x14ac:dyDescent="0.3">
      <c r="A91" s="77" t="s">
        <v>378</v>
      </c>
      <c r="B91" s="77"/>
      <c r="C91" s="78" t="s">
        <v>379</v>
      </c>
      <c r="D91" s="79"/>
      <c r="E91" s="79"/>
      <c r="F91" s="80" t="s">
        <v>63</v>
      </c>
      <c r="G91" s="81">
        <v>1.8</v>
      </c>
      <c r="H91" s="81"/>
      <c r="I91" s="81">
        <v>1935.6659999999999</v>
      </c>
      <c r="J91" s="82">
        <v>12.26</v>
      </c>
      <c r="M91" s="84">
        <f>ROUND(ROUND(J91, 2)*I91, 2)</f>
        <v>23731.27</v>
      </c>
      <c r="P91" s="85">
        <v>12.26</v>
      </c>
      <c r="S91" s="84">
        <f>ROUND(ROUND(P91, 2)*I91, 2)</f>
        <v>23731.27</v>
      </c>
      <c r="V91" s="86">
        <f>ROUND(ROUND(P91, 2)/1.2, 2)</f>
        <v>10.220000000000001</v>
      </c>
      <c r="Y91" s="86">
        <f t="shared" si="11"/>
        <v>19776.060000000001</v>
      </c>
      <c r="AD91" s="87" t="s">
        <v>380</v>
      </c>
      <c r="AE91" s="87" t="s">
        <v>381</v>
      </c>
      <c r="AF91" s="87" t="s">
        <v>382</v>
      </c>
      <c r="AK91" s="84">
        <f t="shared" si="9"/>
        <v>0</v>
      </c>
      <c r="AL91" s="84"/>
      <c r="AM91" s="84"/>
      <c r="AN91" s="88">
        <f t="shared" si="10"/>
        <v>0</v>
      </c>
      <c r="AO91" s="84"/>
      <c r="AP91" s="84"/>
    </row>
    <row r="92" spans="1:42" ht="36" x14ac:dyDescent="0.3">
      <c r="A92" s="12" t="s">
        <v>383</v>
      </c>
      <c r="B92" s="12" t="s">
        <v>365</v>
      </c>
      <c r="C92" s="18" t="s">
        <v>366</v>
      </c>
      <c r="D92" s="19"/>
      <c r="E92" s="19" t="s">
        <v>384</v>
      </c>
      <c r="F92" s="19" t="s">
        <v>57</v>
      </c>
      <c r="G92" s="20">
        <v>1</v>
      </c>
      <c r="H92" s="20"/>
      <c r="I92" s="20">
        <v>1075.3699999999999</v>
      </c>
      <c r="J92" s="21">
        <f>IFERROR(ROUND(SUM(M93,M94)/I92, 2),0)</f>
        <v>55.64</v>
      </c>
      <c r="K92" s="22">
        <v>508</v>
      </c>
      <c r="L92" s="21">
        <f>J92+ROUND(K92, 2)</f>
        <v>563.64</v>
      </c>
      <c r="M92" s="21">
        <f>ROUND(J92*I92, 2)</f>
        <v>59833.59</v>
      </c>
      <c r="N92" s="21">
        <f>ROUND(I92*ROUND(K92, 2), 2)</f>
        <v>546287.96</v>
      </c>
      <c r="O92" s="21">
        <f>M92+N92</f>
        <v>606121.54999999993</v>
      </c>
      <c r="P92" s="21">
        <f>IFERROR(ROUND(SUM(S93,S94)/I92, 2),0)</f>
        <v>55.64</v>
      </c>
      <c r="Q92" s="23">
        <v>660.4</v>
      </c>
      <c r="R92" s="21">
        <f>P92+ROUND(Q92, 2)</f>
        <v>716.04</v>
      </c>
      <c r="S92" s="21">
        <f>ROUND(P92*I92, 2)</f>
        <v>59833.59</v>
      </c>
      <c r="T92" s="21">
        <f>ROUND(I92*ROUND(Q92, 2), 2)</f>
        <v>710174.35</v>
      </c>
      <c r="U92" s="21">
        <f>S92+T92</f>
        <v>770007.94</v>
      </c>
      <c r="V92" s="9">
        <f>ROUND(P92 / 1.2, 2)</f>
        <v>46.37</v>
      </c>
      <c r="W92" s="9">
        <f>ROUND(Q92 / 1.2, 2)</f>
        <v>550.33000000000004</v>
      </c>
      <c r="X92" s="9">
        <f>ROUND(R92 / 1.2, 2)</f>
        <v>596.70000000000005</v>
      </c>
      <c r="Y92" s="9">
        <f t="shared" si="11"/>
        <v>49861.33</v>
      </c>
      <c r="Z92" s="9">
        <f>ROUND(T92 / 1.2, 2)</f>
        <v>591811.96</v>
      </c>
      <c r="AA92" s="9">
        <f>Y92+Z92</f>
        <v>641673.28999999992</v>
      </c>
      <c r="AD92" s="5">
        <v>410200638</v>
      </c>
      <c r="AE92" s="5">
        <v>36662410</v>
      </c>
      <c r="AG92" s="5" t="s">
        <v>368</v>
      </c>
      <c r="AH92" s="5" t="s">
        <v>369</v>
      </c>
      <c r="AI92" s="5" t="s">
        <v>60</v>
      </c>
      <c r="AK92" s="21">
        <f t="shared" si="9"/>
        <v>0</v>
      </c>
      <c r="AL92" s="21">
        <f>T92-N92</f>
        <v>163886.39000000001</v>
      </c>
      <c r="AM92" s="21">
        <f>U92-O92</f>
        <v>163886.39000000001</v>
      </c>
      <c r="AN92" s="24">
        <f t="shared" si="10"/>
        <v>0</v>
      </c>
      <c r="AO92" s="24">
        <f>IFERROR(AL92/N92,0)</f>
        <v>0.30000000366107288</v>
      </c>
      <c r="AP92" s="24">
        <f>IFERROR(AM92/O92,0)</f>
        <v>0.27038535422474258</v>
      </c>
    </row>
    <row r="93" spans="1:42" s="83" customFormat="1" ht="36" x14ac:dyDescent="0.3">
      <c r="A93" s="77" t="s">
        <v>385</v>
      </c>
      <c r="B93" s="77"/>
      <c r="C93" s="89" t="s">
        <v>386</v>
      </c>
      <c r="D93" s="79"/>
      <c r="E93" s="79"/>
      <c r="F93" s="80" t="s">
        <v>63</v>
      </c>
      <c r="G93" s="81">
        <v>1.8</v>
      </c>
      <c r="H93" s="81"/>
      <c r="I93" s="81">
        <v>1935.6659999999999</v>
      </c>
      <c r="J93" s="82">
        <v>23.39</v>
      </c>
      <c r="M93" s="84">
        <f>ROUND(ROUND(J93, 2)*I93, 2)</f>
        <v>45275.23</v>
      </c>
      <c r="P93" s="85">
        <v>23.39</v>
      </c>
      <c r="S93" s="84">
        <f>ROUND(ROUND(P93, 2)*I93, 2)</f>
        <v>45275.23</v>
      </c>
      <c r="V93" s="86">
        <f>ROUND(ROUND(P93, 2)/1.2, 2)</f>
        <v>19.489999999999998</v>
      </c>
      <c r="Y93" s="86">
        <f t="shared" si="11"/>
        <v>37729.360000000001</v>
      </c>
      <c r="AD93" s="87" t="s">
        <v>387</v>
      </c>
      <c r="AE93" s="87" t="s">
        <v>388</v>
      </c>
      <c r="AF93" s="87" t="s">
        <v>389</v>
      </c>
      <c r="AK93" s="84">
        <f t="shared" si="9"/>
        <v>0</v>
      </c>
      <c r="AL93" s="84"/>
      <c r="AM93" s="84"/>
      <c r="AN93" s="88">
        <f t="shared" si="10"/>
        <v>0</v>
      </c>
      <c r="AO93" s="84"/>
      <c r="AP93" s="84"/>
    </row>
    <row r="94" spans="1:42" s="83" customFormat="1" ht="36" x14ac:dyDescent="0.3">
      <c r="A94" s="77" t="s">
        <v>390</v>
      </c>
      <c r="B94" s="77"/>
      <c r="C94" s="89" t="s">
        <v>328</v>
      </c>
      <c r="D94" s="79"/>
      <c r="E94" s="79"/>
      <c r="F94" s="80" t="s">
        <v>63</v>
      </c>
      <c r="G94" s="81">
        <v>0.15</v>
      </c>
      <c r="H94" s="81"/>
      <c r="I94" s="81">
        <v>161.30600000000001</v>
      </c>
      <c r="J94" s="82">
        <v>90.28</v>
      </c>
      <c r="M94" s="84">
        <f>ROUND(ROUND(J94, 2)*I94, 2)</f>
        <v>14562.71</v>
      </c>
      <c r="P94" s="85">
        <v>90.28</v>
      </c>
      <c r="S94" s="84">
        <f>ROUND(ROUND(P94, 2)*I94, 2)</f>
        <v>14562.71</v>
      </c>
      <c r="V94" s="86">
        <f>ROUND(ROUND(P94, 2)/1.2, 2)</f>
        <v>75.23</v>
      </c>
      <c r="Y94" s="86">
        <f t="shared" si="11"/>
        <v>12135.59</v>
      </c>
      <c r="AD94" s="87" t="s">
        <v>391</v>
      </c>
      <c r="AE94" s="87" t="s">
        <v>392</v>
      </c>
      <c r="AF94" s="87" t="s">
        <v>331</v>
      </c>
      <c r="AK94" s="84">
        <f t="shared" si="9"/>
        <v>0</v>
      </c>
      <c r="AL94" s="84"/>
      <c r="AM94" s="84"/>
      <c r="AN94" s="88">
        <f t="shared" si="10"/>
        <v>0</v>
      </c>
      <c r="AO94" s="84"/>
      <c r="AP94" s="84"/>
    </row>
    <row r="95" spans="1:42" ht="36" x14ac:dyDescent="0.3">
      <c r="A95" s="12" t="s">
        <v>393</v>
      </c>
      <c r="B95" s="12" t="s">
        <v>394</v>
      </c>
      <c r="C95" s="18" t="s">
        <v>395</v>
      </c>
      <c r="D95" s="19"/>
      <c r="E95" s="19" t="s">
        <v>396</v>
      </c>
      <c r="F95" s="19" t="s">
        <v>57</v>
      </c>
      <c r="G95" s="20">
        <v>1</v>
      </c>
      <c r="H95" s="20"/>
      <c r="I95" s="20">
        <v>714.23</v>
      </c>
      <c r="J95" s="21">
        <f>IFERROR(ROUND(SUM(M96,M97)/I95, 2),0)</f>
        <v>35.61</v>
      </c>
      <c r="K95" s="22">
        <v>546</v>
      </c>
      <c r="L95" s="21">
        <f>J95+ROUND(K95, 2)</f>
        <v>581.61</v>
      </c>
      <c r="M95" s="21">
        <f>ROUND(J95*I95, 2)</f>
        <v>25433.73</v>
      </c>
      <c r="N95" s="21">
        <f>ROUND(I95*ROUND(K95, 2), 2)</f>
        <v>389969.58</v>
      </c>
      <c r="O95" s="21">
        <f>M95+N95</f>
        <v>415403.31</v>
      </c>
      <c r="P95" s="21">
        <f>IFERROR(ROUND(SUM(S96,S97)/I95, 2),0)</f>
        <v>35.61</v>
      </c>
      <c r="Q95" s="23">
        <v>709.8</v>
      </c>
      <c r="R95" s="21">
        <f>P95+ROUND(Q95, 2)</f>
        <v>745.41</v>
      </c>
      <c r="S95" s="21">
        <f>ROUND(P95*I95, 2)</f>
        <v>25433.73</v>
      </c>
      <c r="T95" s="21">
        <f>ROUND(I95*ROUND(Q95, 2), 2)</f>
        <v>506960.45</v>
      </c>
      <c r="U95" s="21">
        <f>S95+T95</f>
        <v>532394.18000000005</v>
      </c>
      <c r="V95" s="9">
        <f>ROUND(P95 / 1.2, 2)</f>
        <v>29.68</v>
      </c>
      <c r="W95" s="9">
        <f>ROUND(Q95 / 1.2, 2)</f>
        <v>591.5</v>
      </c>
      <c r="X95" s="9">
        <f>ROUND(R95 / 1.2, 2)</f>
        <v>621.17999999999995</v>
      </c>
      <c r="Y95" s="9">
        <f t="shared" si="11"/>
        <v>21194.78</v>
      </c>
      <c r="Z95" s="9">
        <f>ROUND(T95 / 1.2, 2)</f>
        <v>422467.04</v>
      </c>
      <c r="AA95" s="9">
        <f>Y95+Z95</f>
        <v>443661.81999999995</v>
      </c>
      <c r="AD95" s="5">
        <v>410200619</v>
      </c>
      <c r="AE95" s="5">
        <v>36665230</v>
      </c>
      <c r="AG95" s="5" t="s">
        <v>397</v>
      </c>
      <c r="AH95" s="5" t="s">
        <v>398</v>
      </c>
      <c r="AI95" s="5" t="s">
        <v>60</v>
      </c>
      <c r="AK95" s="21">
        <f t="shared" si="9"/>
        <v>0</v>
      </c>
      <c r="AL95" s="21">
        <f>T95-N95</f>
        <v>116990.87</v>
      </c>
      <c r="AM95" s="21">
        <f>U95-O95</f>
        <v>116990.87000000005</v>
      </c>
      <c r="AN95" s="24">
        <f t="shared" si="10"/>
        <v>0</v>
      </c>
      <c r="AO95" s="24">
        <f>IFERROR(AL95/N95,0)</f>
        <v>0.29999998974278963</v>
      </c>
      <c r="AP95" s="24">
        <f>IFERROR(AM95/O95,0)</f>
        <v>0.28163201203187344</v>
      </c>
    </row>
    <row r="96" spans="1:42" s="83" customFormat="1" ht="36" x14ac:dyDescent="0.3">
      <c r="A96" s="77" t="s">
        <v>399</v>
      </c>
      <c r="B96" s="77"/>
      <c r="C96" s="89" t="s">
        <v>62</v>
      </c>
      <c r="D96" s="79"/>
      <c r="E96" s="79"/>
      <c r="F96" s="80" t="s">
        <v>63</v>
      </c>
      <c r="G96" s="81">
        <v>0.15</v>
      </c>
      <c r="H96" s="81"/>
      <c r="I96" s="81">
        <v>107.13500000000001</v>
      </c>
      <c r="J96" s="82">
        <v>90.28</v>
      </c>
      <c r="M96" s="84">
        <f>ROUND(ROUND(J96, 2)*I96, 2)</f>
        <v>9672.15</v>
      </c>
      <c r="P96" s="85">
        <v>90.28</v>
      </c>
      <c r="S96" s="84">
        <f>ROUND(ROUND(P96, 2)*I96, 2)</f>
        <v>9672.15</v>
      </c>
      <c r="V96" s="86">
        <f>ROUND(ROUND(P96, 2)/1.2, 2)</f>
        <v>75.23</v>
      </c>
      <c r="Y96" s="86">
        <f t="shared" si="11"/>
        <v>8060.13</v>
      </c>
      <c r="AD96" s="87" t="s">
        <v>400</v>
      </c>
      <c r="AE96" s="87" t="s">
        <v>401</v>
      </c>
      <c r="AF96" s="87" t="s">
        <v>66</v>
      </c>
      <c r="AK96" s="84">
        <f t="shared" si="9"/>
        <v>0</v>
      </c>
      <c r="AL96" s="84"/>
      <c r="AM96" s="84"/>
      <c r="AN96" s="88">
        <f t="shared" si="10"/>
        <v>0</v>
      </c>
      <c r="AO96" s="84"/>
      <c r="AP96" s="84"/>
    </row>
    <row r="97" spans="1:42" s="83" customFormat="1" ht="54" x14ac:dyDescent="0.3">
      <c r="A97" s="77" t="s">
        <v>402</v>
      </c>
      <c r="B97" s="77"/>
      <c r="C97" s="78" t="s">
        <v>403</v>
      </c>
      <c r="D97" s="79"/>
      <c r="E97" s="79"/>
      <c r="F97" s="80" t="s">
        <v>63</v>
      </c>
      <c r="G97" s="81">
        <v>1.8</v>
      </c>
      <c r="H97" s="81"/>
      <c r="I97" s="81">
        <v>1285.614</v>
      </c>
      <c r="J97" s="82">
        <v>12.26</v>
      </c>
      <c r="M97" s="84">
        <f>ROUND(ROUND(J97, 2)*I97, 2)</f>
        <v>15761.63</v>
      </c>
      <c r="P97" s="85">
        <v>12.26</v>
      </c>
      <c r="S97" s="84">
        <f>ROUND(ROUND(P97, 2)*I97, 2)</f>
        <v>15761.63</v>
      </c>
      <c r="V97" s="86">
        <f>ROUND(ROUND(P97, 2)/1.2, 2)</f>
        <v>10.220000000000001</v>
      </c>
      <c r="Y97" s="86">
        <f t="shared" si="11"/>
        <v>13134.69</v>
      </c>
      <c r="AD97" s="87" t="s">
        <v>404</v>
      </c>
      <c r="AE97" s="87" t="s">
        <v>405</v>
      </c>
      <c r="AF97" s="87" t="s">
        <v>406</v>
      </c>
      <c r="AK97" s="84">
        <f t="shared" si="9"/>
        <v>0</v>
      </c>
      <c r="AL97" s="84"/>
      <c r="AM97" s="84"/>
      <c r="AN97" s="88">
        <f t="shared" si="10"/>
        <v>0</v>
      </c>
      <c r="AO97" s="84"/>
      <c r="AP97" s="84"/>
    </row>
    <row r="98" spans="1:42" ht="36" x14ac:dyDescent="0.3">
      <c r="A98" s="12" t="s">
        <v>407</v>
      </c>
      <c r="B98" s="12" t="s">
        <v>394</v>
      </c>
      <c r="C98" s="18" t="s">
        <v>395</v>
      </c>
      <c r="D98" s="19"/>
      <c r="E98" s="19" t="s">
        <v>408</v>
      </c>
      <c r="F98" s="19" t="s">
        <v>57</v>
      </c>
      <c r="G98" s="20">
        <v>1</v>
      </c>
      <c r="H98" s="20"/>
      <c r="I98" s="20">
        <v>714.23</v>
      </c>
      <c r="J98" s="21">
        <f>IFERROR(ROUND(SUM(M99,M100)/I98, 2),0)</f>
        <v>35.61</v>
      </c>
      <c r="K98" s="22">
        <v>546</v>
      </c>
      <c r="L98" s="21">
        <f>J98+ROUND(K98, 2)</f>
        <v>581.61</v>
      </c>
      <c r="M98" s="21">
        <f>ROUND(J98*I98, 2)</f>
        <v>25433.73</v>
      </c>
      <c r="N98" s="21">
        <f>ROUND(I98*ROUND(K98, 2), 2)</f>
        <v>389969.58</v>
      </c>
      <c r="O98" s="21">
        <f>M98+N98</f>
        <v>415403.31</v>
      </c>
      <c r="P98" s="21">
        <f>IFERROR(ROUND(SUM(S99,S100)/I98, 2),0)</f>
        <v>35.61</v>
      </c>
      <c r="Q98" s="23">
        <v>709.8</v>
      </c>
      <c r="R98" s="21">
        <f>P98+ROUND(Q98, 2)</f>
        <v>745.41</v>
      </c>
      <c r="S98" s="21">
        <f>ROUND(P98*I98, 2)</f>
        <v>25433.73</v>
      </c>
      <c r="T98" s="21">
        <f>ROUND(I98*ROUND(Q98, 2), 2)</f>
        <v>506960.45</v>
      </c>
      <c r="U98" s="21">
        <f>S98+T98</f>
        <v>532394.18000000005</v>
      </c>
      <c r="V98" s="9">
        <f>ROUND(P98 / 1.2, 2)</f>
        <v>29.68</v>
      </c>
      <c r="W98" s="9">
        <f>ROUND(Q98 / 1.2, 2)</f>
        <v>591.5</v>
      </c>
      <c r="X98" s="9">
        <f>ROUND(R98 / 1.2, 2)</f>
        <v>621.17999999999995</v>
      </c>
      <c r="Y98" s="9">
        <f t="shared" si="11"/>
        <v>21194.78</v>
      </c>
      <c r="Z98" s="9">
        <f>ROUND(T98 / 1.2, 2)</f>
        <v>422467.04</v>
      </c>
      <c r="AA98" s="9">
        <f>Y98+Z98</f>
        <v>443661.81999999995</v>
      </c>
      <c r="AD98" s="5">
        <v>410200639</v>
      </c>
      <c r="AE98" s="5">
        <v>36665231</v>
      </c>
      <c r="AG98" s="5" t="s">
        <v>397</v>
      </c>
      <c r="AH98" s="5" t="s">
        <v>398</v>
      </c>
      <c r="AI98" s="5" t="s">
        <v>60</v>
      </c>
      <c r="AK98" s="21">
        <f t="shared" si="9"/>
        <v>0</v>
      </c>
      <c r="AL98" s="21">
        <f>T98-N98</f>
        <v>116990.87</v>
      </c>
      <c r="AM98" s="21">
        <f>U98-O98</f>
        <v>116990.87000000005</v>
      </c>
      <c r="AN98" s="24">
        <f t="shared" si="10"/>
        <v>0</v>
      </c>
      <c r="AO98" s="24">
        <f>IFERROR(AL98/N98,0)</f>
        <v>0.29999998974278963</v>
      </c>
      <c r="AP98" s="24">
        <f>IFERROR(AM98/O98,0)</f>
        <v>0.28163201203187344</v>
      </c>
    </row>
    <row r="99" spans="1:42" s="83" customFormat="1" ht="54" x14ac:dyDescent="0.3">
      <c r="A99" s="77" t="s">
        <v>409</v>
      </c>
      <c r="B99" s="77"/>
      <c r="C99" s="78" t="s">
        <v>403</v>
      </c>
      <c r="D99" s="79"/>
      <c r="E99" s="79"/>
      <c r="F99" s="80" t="s">
        <v>63</v>
      </c>
      <c r="G99" s="81">
        <v>1.8</v>
      </c>
      <c r="H99" s="81"/>
      <c r="I99" s="81">
        <v>1285.614</v>
      </c>
      <c r="J99" s="82">
        <v>12.26</v>
      </c>
      <c r="M99" s="84">
        <f>ROUND(ROUND(J99, 2)*I99, 2)</f>
        <v>15761.63</v>
      </c>
      <c r="P99" s="85">
        <v>12.26</v>
      </c>
      <c r="S99" s="84">
        <f>ROUND(ROUND(P99, 2)*I99, 2)</f>
        <v>15761.63</v>
      </c>
      <c r="V99" s="86">
        <f>ROUND(ROUND(P99, 2)/1.2, 2)</f>
        <v>10.220000000000001</v>
      </c>
      <c r="Y99" s="86">
        <f t="shared" si="11"/>
        <v>13134.69</v>
      </c>
      <c r="AD99" s="87" t="s">
        <v>410</v>
      </c>
      <c r="AE99" s="87" t="s">
        <v>411</v>
      </c>
      <c r="AF99" s="87" t="s">
        <v>406</v>
      </c>
      <c r="AK99" s="84">
        <f t="shared" si="9"/>
        <v>0</v>
      </c>
      <c r="AL99" s="84"/>
      <c r="AM99" s="84"/>
      <c r="AN99" s="88">
        <f t="shared" si="10"/>
        <v>0</v>
      </c>
      <c r="AO99" s="84"/>
      <c r="AP99" s="84"/>
    </row>
    <row r="100" spans="1:42" s="83" customFormat="1" ht="36" x14ac:dyDescent="0.3">
      <c r="A100" s="77" t="s">
        <v>412</v>
      </c>
      <c r="B100" s="77"/>
      <c r="C100" s="89" t="s">
        <v>62</v>
      </c>
      <c r="D100" s="79"/>
      <c r="E100" s="79"/>
      <c r="F100" s="80" t="s">
        <v>63</v>
      </c>
      <c r="G100" s="81">
        <v>0.15</v>
      </c>
      <c r="H100" s="81"/>
      <c r="I100" s="81">
        <v>107.13500000000001</v>
      </c>
      <c r="J100" s="82">
        <v>90.28</v>
      </c>
      <c r="M100" s="84">
        <f>ROUND(ROUND(J100, 2)*I100, 2)</f>
        <v>9672.15</v>
      </c>
      <c r="P100" s="85">
        <v>90.28</v>
      </c>
      <c r="S100" s="84">
        <f>ROUND(ROUND(P100, 2)*I100, 2)</f>
        <v>9672.15</v>
      </c>
      <c r="V100" s="86">
        <f>ROUND(ROUND(P100, 2)/1.2, 2)</f>
        <v>75.23</v>
      </c>
      <c r="Y100" s="86">
        <f t="shared" si="11"/>
        <v>8060.13</v>
      </c>
      <c r="AD100" s="87" t="s">
        <v>413</v>
      </c>
      <c r="AE100" s="87" t="s">
        <v>414</v>
      </c>
      <c r="AF100" s="87" t="s">
        <v>66</v>
      </c>
      <c r="AK100" s="84">
        <f t="shared" si="9"/>
        <v>0</v>
      </c>
      <c r="AL100" s="84"/>
      <c r="AM100" s="84"/>
      <c r="AN100" s="88">
        <f t="shared" si="10"/>
        <v>0</v>
      </c>
      <c r="AO100" s="84"/>
      <c r="AP100" s="84"/>
    </row>
    <row r="101" spans="1:42" ht="16.95" customHeight="1" x14ac:dyDescent="0.3">
      <c r="A101" s="12" t="s">
        <v>415</v>
      </c>
      <c r="B101" s="16" t="s">
        <v>416</v>
      </c>
      <c r="C101" s="70" t="s">
        <v>86</v>
      </c>
      <c r="D101" s="71"/>
      <c r="E101" s="71"/>
      <c r="F101" s="71"/>
      <c r="G101" s="71"/>
      <c r="H101" s="71"/>
      <c r="I101" s="72"/>
      <c r="M101" s="6">
        <f>SUM(M102,M103,M104,M105,M106,M107)</f>
        <v>0</v>
      </c>
      <c r="N101" s="6">
        <f>SUM(N102,N103,N104,N105,N106,N107)</f>
        <v>853653.35</v>
      </c>
      <c r="O101" s="6">
        <f>SUM(O102,O103,O104,O105,O106,O107)</f>
        <v>853653.35</v>
      </c>
      <c r="S101" s="6">
        <f>SUM(S102,S103,S104,S105,S106,S107)</f>
        <v>0</v>
      </c>
      <c r="T101" s="6">
        <f>SUM(T102,T103,T104,T105,T106,T107)</f>
        <v>1109752.33</v>
      </c>
      <c r="U101" s="6">
        <f>SUM(U102,U103,U104,U105,U106,U107)</f>
        <v>1109752.33</v>
      </c>
      <c r="Y101" s="9">
        <f>SUM(Y102,Y103,Y104,Y105,Y106,Y107)</f>
        <v>0</v>
      </c>
      <c r="Z101" s="9">
        <f>SUM(Z102,Z103,Z104,Z105,Z106,Z107)</f>
        <v>924793.62000000011</v>
      </c>
      <c r="AA101" s="9">
        <f>SUM(AA102,AA103,AA104,AA105,AA106,AA107)</f>
        <v>924793.62000000011</v>
      </c>
      <c r="AD101" s="5">
        <v>410200620</v>
      </c>
      <c r="AE101" s="5">
        <v>36659743</v>
      </c>
      <c r="AK101" s="6">
        <f t="shared" si="9"/>
        <v>0</v>
      </c>
      <c r="AL101" s="6">
        <f t="shared" si="9"/>
        <v>256098.9800000001</v>
      </c>
      <c r="AM101" s="6">
        <f t="shared" si="9"/>
        <v>256098.9800000001</v>
      </c>
      <c r="AN101" s="10">
        <f t="shared" si="10"/>
        <v>0</v>
      </c>
      <c r="AO101" s="10">
        <f t="shared" si="10"/>
        <v>0.30000348502117413</v>
      </c>
      <c r="AP101" s="10">
        <f t="shared" si="10"/>
        <v>0.30000348502117413</v>
      </c>
    </row>
    <row r="102" spans="1:42" ht="18" x14ac:dyDescent="0.3">
      <c r="A102" s="12" t="s">
        <v>417</v>
      </c>
      <c r="B102" s="12" t="s">
        <v>418</v>
      </c>
      <c r="C102" s="18" t="s">
        <v>419</v>
      </c>
      <c r="D102" s="19"/>
      <c r="E102" s="19"/>
      <c r="F102" s="19" t="s">
        <v>57</v>
      </c>
      <c r="G102" s="20">
        <v>1</v>
      </c>
      <c r="H102" s="20"/>
      <c r="I102" s="20">
        <v>256.17</v>
      </c>
      <c r="J102" s="21">
        <v>0</v>
      </c>
      <c r="K102" s="22">
        <v>629</v>
      </c>
      <c r="L102" s="21">
        <f t="shared" ref="L102:L107" si="12">J102+ROUND(K102, 2)</f>
        <v>629</v>
      </c>
      <c r="M102" s="21">
        <v>0</v>
      </c>
      <c r="N102" s="21">
        <f t="shared" ref="N102:N107" si="13">ROUND(I102*ROUND(K102, 2), 2)</f>
        <v>161130.93</v>
      </c>
      <c r="O102" s="21">
        <f t="shared" ref="O102:O108" si="14">M102+N102</f>
        <v>161130.93</v>
      </c>
      <c r="P102" s="21">
        <v>0</v>
      </c>
      <c r="Q102" s="23">
        <v>817.7</v>
      </c>
      <c r="R102" s="21">
        <f t="shared" ref="R102:R107" si="15">P102+ROUND(Q102, 2)</f>
        <v>817.7</v>
      </c>
      <c r="S102" s="21">
        <v>0</v>
      </c>
      <c r="T102" s="21">
        <f t="shared" ref="T102:T107" si="16">ROUND(I102*ROUND(Q102, 2), 2)</f>
        <v>209470.21</v>
      </c>
      <c r="U102" s="21">
        <f t="shared" ref="U102:U108" si="17">S102+T102</f>
        <v>209470.21</v>
      </c>
      <c r="V102" s="9"/>
      <c r="W102" s="9">
        <f t="shared" ref="W102:X107" si="18">ROUND(Q102 / 1.2, 2)</f>
        <v>681.42</v>
      </c>
      <c r="X102" s="9">
        <f t="shared" si="18"/>
        <v>681.42</v>
      </c>
      <c r="Y102" s="9"/>
      <c r="Z102" s="9">
        <f t="shared" ref="Z102:Z107" si="19">ROUND(T102 / 1.2, 2)</f>
        <v>174558.51</v>
      </c>
      <c r="AA102" s="9">
        <f t="shared" ref="AA102:AA108" si="20">Y102+Z102</f>
        <v>174558.51</v>
      </c>
      <c r="AD102" s="5">
        <v>410200622</v>
      </c>
      <c r="AE102" s="5">
        <v>36659753</v>
      </c>
      <c r="AG102" s="5" t="s">
        <v>420</v>
      </c>
      <c r="AH102" s="5" t="s">
        <v>421</v>
      </c>
      <c r="AI102" s="5" t="s">
        <v>60</v>
      </c>
      <c r="AK102" s="21">
        <f t="shared" ref="AK102:AM131" si="21">S102-M102</f>
        <v>0</v>
      </c>
      <c r="AL102" s="21">
        <f t="shared" si="21"/>
        <v>48339.28</v>
      </c>
      <c r="AM102" s="21">
        <f t="shared" si="21"/>
        <v>48339.28</v>
      </c>
      <c r="AN102" s="24">
        <f t="shared" ref="AN102:AP131" si="22">IFERROR(AK102/M102,0)</f>
        <v>0</v>
      </c>
      <c r="AO102" s="24">
        <f t="shared" si="22"/>
        <v>0.3000000062061331</v>
      </c>
      <c r="AP102" s="24">
        <f t="shared" si="22"/>
        <v>0.3000000062061331</v>
      </c>
    </row>
    <row r="103" spans="1:42" ht="36" x14ac:dyDescent="0.3">
      <c r="A103" s="12" t="s">
        <v>422</v>
      </c>
      <c r="B103" s="12" t="s">
        <v>423</v>
      </c>
      <c r="C103" s="18" t="s">
        <v>424</v>
      </c>
      <c r="D103" s="19"/>
      <c r="E103" s="19"/>
      <c r="F103" s="19" t="s">
        <v>57</v>
      </c>
      <c r="G103" s="20">
        <v>1</v>
      </c>
      <c r="H103" s="20"/>
      <c r="I103" s="20">
        <v>339.13</v>
      </c>
      <c r="J103" s="21">
        <v>0</v>
      </c>
      <c r="K103" s="22">
        <v>153</v>
      </c>
      <c r="L103" s="21">
        <f t="shared" si="12"/>
        <v>153</v>
      </c>
      <c r="M103" s="21">
        <v>0</v>
      </c>
      <c r="N103" s="21">
        <f t="shared" si="13"/>
        <v>51886.89</v>
      </c>
      <c r="O103" s="21">
        <f t="shared" si="14"/>
        <v>51886.89</v>
      </c>
      <c r="P103" s="21">
        <v>0</v>
      </c>
      <c r="Q103" s="23">
        <v>198.9</v>
      </c>
      <c r="R103" s="21">
        <f t="shared" si="15"/>
        <v>198.9</v>
      </c>
      <c r="S103" s="21">
        <v>0</v>
      </c>
      <c r="T103" s="21">
        <f t="shared" si="16"/>
        <v>67452.960000000006</v>
      </c>
      <c r="U103" s="21">
        <f t="shared" si="17"/>
        <v>67452.960000000006</v>
      </c>
      <c r="V103" s="9"/>
      <c r="W103" s="9">
        <f t="shared" si="18"/>
        <v>165.75</v>
      </c>
      <c r="X103" s="9">
        <f t="shared" si="18"/>
        <v>165.75</v>
      </c>
      <c r="Y103" s="9"/>
      <c r="Z103" s="9">
        <f t="shared" si="19"/>
        <v>56210.8</v>
      </c>
      <c r="AA103" s="9">
        <f t="shared" si="20"/>
        <v>56210.8</v>
      </c>
      <c r="AD103" s="5">
        <v>410200624</v>
      </c>
      <c r="AE103" s="5">
        <v>36663229</v>
      </c>
      <c r="AG103" s="5" t="s">
        <v>425</v>
      </c>
      <c r="AH103" s="5" t="s">
        <v>426</v>
      </c>
      <c r="AI103" s="5" t="s">
        <v>60</v>
      </c>
      <c r="AK103" s="21">
        <f t="shared" si="21"/>
        <v>0</v>
      </c>
      <c r="AL103" s="21">
        <f t="shared" si="21"/>
        <v>15566.070000000007</v>
      </c>
      <c r="AM103" s="21">
        <f t="shared" si="21"/>
        <v>15566.070000000007</v>
      </c>
      <c r="AN103" s="24">
        <f t="shared" si="22"/>
        <v>0</v>
      </c>
      <c r="AO103" s="24">
        <f t="shared" si="22"/>
        <v>0.30000005781807326</v>
      </c>
      <c r="AP103" s="24">
        <f t="shared" si="22"/>
        <v>0.30000005781807326</v>
      </c>
    </row>
    <row r="104" spans="1:42" ht="18" x14ac:dyDescent="0.3">
      <c r="A104" s="12" t="s">
        <v>427</v>
      </c>
      <c r="B104" s="12" t="s">
        <v>428</v>
      </c>
      <c r="C104" s="18" t="s">
        <v>429</v>
      </c>
      <c r="D104" s="19"/>
      <c r="E104" s="19"/>
      <c r="F104" s="19" t="s">
        <v>57</v>
      </c>
      <c r="G104" s="20">
        <v>1</v>
      </c>
      <c r="H104" s="20"/>
      <c r="I104" s="20">
        <v>339.13</v>
      </c>
      <c r="J104" s="21">
        <v>0</v>
      </c>
      <c r="K104" s="22">
        <v>198.01</v>
      </c>
      <c r="L104" s="21">
        <f t="shared" si="12"/>
        <v>198.01</v>
      </c>
      <c r="M104" s="21">
        <v>0</v>
      </c>
      <c r="N104" s="21">
        <f t="shared" si="13"/>
        <v>67151.13</v>
      </c>
      <c r="O104" s="21">
        <f t="shared" si="14"/>
        <v>67151.13</v>
      </c>
      <c r="P104" s="21">
        <v>0</v>
      </c>
      <c r="Q104" s="23">
        <v>257.41000000000003</v>
      </c>
      <c r="R104" s="21">
        <f t="shared" si="15"/>
        <v>257.41000000000003</v>
      </c>
      <c r="S104" s="21">
        <v>0</v>
      </c>
      <c r="T104" s="21">
        <f t="shared" si="16"/>
        <v>87295.45</v>
      </c>
      <c r="U104" s="21">
        <f t="shared" si="17"/>
        <v>87295.45</v>
      </c>
      <c r="V104" s="9"/>
      <c r="W104" s="9">
        <f t="shared" si="18"/>
        <v>214.51</v>
      </c>
      <c r="X104" s="9">
        <f t="shared" si="18"/>
        <v>214.51</v>
      </c>
      <c r="Y104" s="9"/>
      <c r="Z104" s="9">
        <f t="shared" si="19"/>
        <v>72746.210000000006</v>
      </c>
      <c r="AA104" s="9">
        <f t="shared" si="20"/>
        <v>72746.210000000006</v>
      </c>
      <c r="AD104" s="5">
        <v>410200626</v>
      </c>
      <c r="AE104" s="5">
        <v>36659763</v>
      </c>
      <c r="AG104" s="5" t="s">
        <v>430</v>
      </c>
      <c r="AH104" s="5" t="s">
        <v>431</v>
      </c>
      <c r="AI104" s="5" t="s">
        <v>60</v>
      </c>
      <c r="AK104" s="21">
        <f t="shared" si="21"/>
        <v>0</v>
      </c>
      <c r="AL104" s="21">
        <f t="shared" si="21"/>
        <v>20144.319999999992</v>
      </c>
      <c r="AM104" s="21">
        <f t="shared" si="21"/>
        <v>20144.319999999992</v>
      </c>
      <c r="AN104" s="24">
        <f t="shared" si="22"/>
        <v>0</v>
      </c>
      <c r="AO104" s="24">
        <f t="shared" si="22"/>
        <v>0.29998482527397513</v>
      </c>
      <c r="AP104" s="24">
        <f t="shared" si="22"/>
        <v>0.29998482527397513</v>
      </c>
    </row>
    <row r="105" spans="1:42" ht="18" x14ac:dyDescent="0.3">
      <c r="A105" s="12" t="s">
        <v>432</v>
      </c>
      <c r="B105" s="12" t="s">
        <v>433</v>
      </c>
      <c r="C105" s="18" t="s">
        <v>434</v>
      </c>
      <c r="D105" s="19"/>
      <c r="E105" s="19"/>
      <c r="F105" s="19" t="s">
        <v>101</v>
      </c>
      <c r="G105" s="20">
        <v>1</v>
      </c>
      <c r="H105" s="20"/>
      <c r="I105" s="20">
        <v>389.75</v>
      </c>
      <c r="J105" s="21">
        <v>0</v>
      </c>
      <c r="K105" s="22">
        <v>106.99</v>
      </c>
      <c r="L105" s="21">
        <f t="shared" si="12"/>
        <v>106.99</v>
      </c>
      <c r="M105" s="21">
        <v>0</v>
      </c>
      <c r="N105" s="21">
        <f t="shared" si="13"/>
        <v>41699.35</v>
      </c>
      <c r="O105" s="21">
        <f t="shared" si="14"/>
        <v>41699.35</v>
      </c>
      <c r="P105" s="21">
        <v>0</v>
      </c>
      <c r="Q105" s="23">
        <v>139.09</v>
      </c>
      <c r="R105" s="21">
        <f t="shared" si="15"/>
        <v>139.09</v>
      </c>
      <c r="S105" s="21">
        <v>0</v>
      </c>
      <c r="T105" s="21">
        <f t="shared" si="16"/>
        <v>54210.33</v>
      </c>
      <c r="U105" s="21">
        <f t="shared" si="17"/>
        <v>54210.33</v>
      </c>
      <c r="V105" s="9"/>
      <c r="W105" s="9">
        <f t="shared" si="18"/>
        <v>115.91</v>
      </c>
      <c r="X105" s="9">
        <f t="shared" si="18"/>
        <v>115.91</v>
      </c>
      <c r="Y105" s="9"/>
      <c r="Z105" s="9">
        <f t="shared" si="19"/>
        <v>45175.28</v>
      </c>
      <c r="AA105" s="9">
        <f t="shared" si="20"/>
        <v>45175.28</v>
      </c>
      <c r="AD105" s="5">
        <v>410200628</v>
      </c>
      <c r="AE105" s="5">
        <v>36659742</v>
      </c>
      <c r="AG105" s="5" t="s">
        <v>435</v>
      </c>
      <c r="AH105" s="5" t="s">
        <v>436</v>
      </c>
      <c r="AI105" s="5" t="s">
        <v>60</v>
      </c>
      <c r="AK105" s="21">
        <f t="shared" si="21"/>
        <v>0</v>
      </c>
      <c r="AL105" s="21">
        <f t="shared" si="21"/>
        <v>12510.980000000003</v>
      </c>
      <c r="AM105" s="21">
        <f t="shared" si="21"/>
        <v>12510.980000000003</v>
      </c>
      <c r="AN105" s="24">
        <f t="shared" si="22"/>
        <v>0</v>
      </c>
      <c r="AO105" s="24">
        <f t="shared" si="22"/>
        <v>0.3000281778972575</v>
      </c>
      <c r="AP105" s="24">
        <f t="shared" si="22"/>
        <v>0.3000281778972575</v>
      </c>
    </row>
    <row r="106" spans="1:42" ht="18" x14ac:dyDescent="0.3">
      <c r="A106" s="12" t="s">
        <v>437</v>
      </c>
      <c r="B106" s="12" t="s">
        <v>438</v>
      </c>
      <c r="C106" s="18" t="s">
        <v>439</v>
      </c>
      <c r="D106" s="19"/>
      <c r="E106" s="19"/>
      <c r="F106" s="19" t="s">
        <v>57</v>
      </c>
      <c r="G106" s="20">
        <v>1</v>
      </c>
      <c r="H106" s="20"/>
      <c r="I106" s="20">
        <v>506.37</v>
      </c>
      <c r="J106" s="21">
        <v>0</v>
      </c>
      <c r="K106" s="22">
        <v>737</v>
      </c>
      <c r="L106" s="21">
        <f t="shared" si="12"/>
        <v>737</v>
      </c>
      <c r="M106" s="21">
        <v>0</v>
      </c>
      <c r="N106" s="21">
        <f t="shared" si="13"/>
        <v>373194.69</v>
      </c>
      <c r="O106" s="21">
        <f t="shared" si="14"/>
        <v>373194.69</v>
      </c>
      <c r="P106" s="21">
        <v>0</v>
      </c>
      <c r="Q106" s="23">
        <v>958.1</v>
      </c>
      <c r="R106" s="21">
        <f t="shared" si="15"/>
        <v>958.1</v>
      </c>
      <c r="S106" s="21">
        <v>0</v>
      </c>
      <c r="T106" s="21">
        <f t="shared" si="16"/>
        <v>485153.1</v>
      </c>
      <c r="U106" s="21">
        <f t="shared" si="17"/>
        <v>485153.1</v>
      </c>
      <c r="V106" s="9"/>
      <c r="W106" s="9">
        <f t="shared" si="18"/>
        <v>798.42</v>
      </c>
      <c r="X106" s="9">
        <f t="shared" si="18"/>
        <v>798.42</v>
      </c>
      <c r="Y106" s="9"/>
      <c r="Z106" s="9">
        <f t="shared" si="19"/>
        <v>404294.25</v>
      </c>
      <c r="AA106" s="9">
        <f t="shared" si="20"/>
        <v>404294.25</v>
      </c>
      <c r="AD106" s="5">
        <v>410200630</v>
      </c>
      <c r="AE106" s="5">
        <v>36660156</v>
      </c>
      <c r="AG106" s="5" t="s">
        <v>440</v>
      </c>
      <c r="AH106" s="5" t="s">
        <v>441</v>
      </c>
      <c r="AI106" s="5" t="s">
        <v>60</v>
      </c>
      <c r="AK106" s="21">
        <f t="shared" si="21"/>
        <v>0</v>
      </c>
      <c r="AL106" s="21">
        <f t="shared" si="21"/>
        <v>111958.40999999997</v>
      </c>
      <c r="AM106" s="21">
        <f t="shared" si="21"/>
        <v>111958.40999999997</v>
      </c>
      <c r="AN106" s="24">
        <f t="shared" si="22"/>
        <v>0</v>
      </c>
      <c r="AO106" s="24">
        <f t="shared" si="22"/>
        <v>0.30000000803869953</v>
      </c>
      <c r="AP106" s="24">
        <f t="shared" si="22"/>
        <v>0.30000000803869953</v>
      </c>
    </row>
    <row r="107" spans="1:42" ht="36" x14ac:dyDescent="0.3">
      <c r="A107" s="12" t="s">
        <v>442</v>
      </c>
      <c r="B107" s="12" t="s">
        <v>443</v>
      </c>
      <c r="C107" s="18" t="s">
        <v>444</v>
      </c>
      <c r="D107" s="19"/>
      <c r="E107" s="19"/>
      <c r="F107" s="19" t="s">
        <v>57</v>
      </c>
      <c r="G107" s="20">
        <v>1</v>
      </c>
      <c r="H107" s="20"/>
      <c r="I107" s="20">
        <v>938.46</v>
      </c>
      <c r="J107" s="21">
        <v>0</v>
      </c>
      <c r="K107" s="22">
        <v>168.99</v>
      </c>
      <c r="L107" s="21">
        <f t="shared" si="12"/>
        <v>168.99</v>
      </c>
      <c r="M107" s="21">
        <v>0</v>
      </c>
      <c r="N107" s="21">
        <f t="shared" si="13"/>
        <v>158590.35999999999</v>
      </c>
      <c r="O107" s="21">
        <f t="shared" si="14"/>
        <v>158590.35999999999</v>
      </c>
      <c r="P107" s="21">
        <v>0</v>
      </c>
      <c r="Q107" s="23">
        <v>219.69</v>
      </c>
      <c r="R107" s="21">
        <f t="shared" si="15"/>
        <v>219.69</v>
      </c>
      <c r="S107" s="21">
        <v>0</v>
      </c>
      <c r="T107" s="21">
        <f t="shared" si="16"/>
        <v>206170.28</v>
      </c>
      <c r="U107" s="21">
        <f t="shared" si="17"/>
        <v>206170.28</v>
      </c>
      <c r="V107" s="9"/>
      <c r="W107" s="9">
        <f t="shared" si="18"/>
        <v>183.08</v>
      </c>
      <c r="X107" s="9">
        <f t="shared" si="18"/>
        <v>183.08</v>
      </c>
      <c r="Y107" s="9"/>
      <c r="Z107" s="9">
        <f t="shared" si="19"/>
        <v>171808.57</v>
      </c>
      <c r="AA107" s="9">
        <f t="shared" si="20"/>
        <v>171808.57</v>
      </c>
      <c r="AD107" s="5">
        <v>410200632</v>
      </c>
      <c r="AE107" s="5">
        <v>36663235</v>
      </c>
      <c r="AG107" s="5" t="s">
        <v>445</v>
      </c>
      <c r="AH107" s="5" t="s">
        <v>446</v>
      </c>
      <c r="AI107" s="5" t="s">
        <v>60</v>
      </c>
      <c r="AK107" s="21">
        <f t="shared" si="21"/>
        <v>0</v>
      </c>
      <c r="AL107" s="21">
        <f t="shared" si="21"/>
        <v>47579.920000000013</v>
      </c>
      <c r="AM107" s="21">
        <f t="shared" si="21"/>
        <v>47579.920000000013</v>
      </c>
      <c r="AN107" s="24">
        <f t="shared" si="22"/>
        <v>0</v>
      </c>
      <c r="AO107" s="24">
        <f t="shared" si="22"/>
        <v>0.30001773121644981</v>
      </c>
      <c r="AP107" s="24">
        <f t="shared" si="22"/>
        <v>0.30001773121644981</v>
      </c>
    </row>
    <row r="108" spans="1:42" ht="24" customHeight="1" x14ac:dyDescent="0.3">
      <c r="A108" s="34"/>
      <c r="B108" s="34"/>
      <c r="C108" s="34"/>
      <c r="D108" s="35" t="s">
        <v>447</v>
      </c>
      <c r="E108" s="34"/>
      <c r="F108" s="34"/>
      <c r="G108" s="34"/>
      <c r="H108" s="34"/>
      <c r="I108" s="34"/>
      <c r="J108" s="34"/>
      <c r="K108" s="34"/>
      <c r="L108" s="34"/>
      <c r="M108" s="36">
        <f>SUM(M8)</f>
        <v>2092992.38</v>
      </c>
      <c r="N108" s="36">
        <f>SUM(N8)</f>
        <v>6014031.2899999991</v>
      </c>
      <c r="O108" s="36">
        <f t="shared" si="14"/>
        <v>8107023.669999999</v>
      </c>
      <c r="P108" s="34"/>
      <c r="Q108" s="34"/>
      <c r="R108" s="34"/>
      <c r="S108" s="36">
        <f>SUM(S8)</f>
        <v>2245145.06</v>
      </c>
      <c r="T108" s="36">
        <f>SUM(T8)</f>
        <v>7965177.4000000004</v>
      </c>
      <c r="U108" s="36">
        <f t="shared" si="17"/>
        <v>10210322.460000001</v>
      </c>
      <c r="Y108" s="9">
        <f>SUM(Y8)</f>
        <v>1870954.24</v>
      </c>
      <c r="Z108" s="9">
        <f>SUM(Z8)</f>
        <v>6637647.8499999996</v>
      </c>
      <c r="AA108" s="9">
        <f t="shared" si="20"/>
        <v>8508602.0899999999</v>
      </c>
      <c r="AK108" s="36">
        <f t="shared" si="21"/>
        <v>152152.68000000017</v>
      </c>
      <c r="AL108" s="36">
        <f t="shared" si="21"/>
        <v>1951146.1100000013</v>
      </c>
      <c r="AM108" s="36">
        <f t="shared" si="21"/>
        <v>2103298.7900000019</v>
      </c>
      <c r="AN108" s="37">
        <f t="shared" si="22"/>
        <v>7.2696241732136735E-2</v>
      </c>
      <c r="AO108" s="37">
        <f t="shared" si="22"/>
        <v>0.32443231767754926</v>
      </c>
      <c r="AP108" s="37">
        <f t="shared" si="22"/>
        <v>0.25944155039083561</v>
      </c>
    </row>
    <row r="109" spans="1:42" ht="22.8" x14ac:dyDescent="0.3">
      <c r="A109" s="58" t="s">
        <v>448</v>
      </c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60"/>
    </row>
    <row r="110" spans="1:42" ht="46.8" x14ac:dyDescent="0.3">
      <c r="A110" s="39"/>
      <c r="B110" s="3" t="s">
        <v>449</v>
      </c>
      <c r="C110" s="38" t="s">
        <v>450</v>
      </c>
      <c r="D110" s="38" t="s">
        <v>451</v>
      </c>
      <c r="E110" s="40"/>
      <c r="F110" s="40"/>
      <c r="G110" s="40"/>
      <c r="H110" s="53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54"/>
    </row>
    <row r="111" spans="1:42" ht="31.2" x14ac:dyDescent="0.3">
      <c r="A111" s="39"/>
      <c r="B111" s="3" t="s">
        <v>452</v>
      </c>
      <c r="C111" s="38" t="s">
        <v>453</v>
      </c>
      <c r="D111" s="38" t="s">
        <v>454</v>
      </c>
      <c r="E111" s="40"/>
      <c r="F111" s="40"/>
      <c r="G111" s="40"/>
      <c r="H111" s="53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54"/>
    </row>
    <row r="112" spans="1:42" ht="46.8" x14ac:dyDescent="0.3">
      <c r="A112" s="39"/>
      <c r="B112" s="3" t="s">
        <v>455</v>
      </c>
      <c r="C112" s="38" t="s">
        <v>456</v>
      </c>
      <c r="D112" s="38" t="s">
        <v>457</v>
      </c>
      <c r="E112" s="40"/>
      <c r="F112" s="40"/>
      <c r="G112" s="40"/>
      <c r="H112" s="53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54"/>
    </row>
    <row r="113" spans="1:21" ht="15.6" x14ac:dyDescent="0.3">
      <c r="A113" s="39"/>
      <c r="B113" s="3" t="s">
        <v>458</v>
      </c>
      <c r="C113" s="38" t="s">
        <v>459</v>
      </c>
      <c r="D113" s="38" t="s">
        <v>460</v>
      </c>
      <c r="E113" s="40"/>
      <c r="F113" s="40"/>
      <c r="G113" s="40"/>
      <c r="H113" s="53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54"/>
    </row>
    <row r="114" spans="1:21" ht="31.2" x14ac:dyDescent="0.3">
      <c r="A114" s="39"/>
      <c r="B114" s="3" t="s">
        <v>461</v>
      </c>
      <c r="C114" s="38" t="s">
        <v>462</v>
      </c>
      <c r="D114" s="38" t="s">
        <v>454</v>
      </c>
      <c r="E114" s="40"/>
      <c r="F114" s="40"/>
      <c r="G114" s="40"/>
      <c r="H114" s="53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54"/>
    </row>
    <row r="115" spans="1:21" ht="78" x14ac:dyDescent="0.3">
      <c r="A115" s="39"/>
      <c r="B115" s="3" t="s">
        <v>463</v>
      </c>
      <c r="C115" s="38" t="s">
        <v>464</v>
      </c>
      <c r="D115" s="38" t="s">
        <v>465</v>
      </c>
      <c r="E115" s="40"/>
      <c r="F115" s="40"/>
      <c r="G115" s="40"/>
      <c r="H115" s="53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54"/>
    </row>
    <row r="116" spans="1:21" ht="93.6" x14ac:dyDescent="0.3">
      <c r="A116" s="39"/>
      <c r="B116" s="3" t="s">
        <v>466</v>
      </c>
      <c r="C116" s="38" t="s">
        <v>467</v>
      </c>
      <c r="D116" s="38" t="s">
        <v>468</v>
      </c>
      <c r="E116" s="40"/>
      <c r="F116" s="40"/>
      <c r="G116" s="40"/>
      <c r="H116" s="53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54"/>
    </row>
    <row r="117" spans="1:21" ht="31.2" x14ac:dyDescent="0.3">
      <c r="A117" s="39"/>
      <c r="B117" s="3" t="s">
        <v>469</v>
      </c>
      <c r="C117" s="38" t="s">
        <v>470</v>
      </c>
      <c r="D117" s="38" t="s">
        <v>471</v>
      </c>
      <c r="E117" s="40"/>
      <c r="F117" s="40"/>
      <c r="G117" s="40"/>
      <c r="H117" s="53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54"/>
    </row>
    <row r="118" spans="1:21" ht="62.4" x14ac:dyDescent="0.3">
      <c r="A118" s="39"/>
      <c r="B118" s="3" t="s">
        <v>472</v>
      </c>
      <c r="C118" s="38" t="s">
        <v>473</v>
      </c>
      <c r="D118" s="38" t="s">
        <v>474</v>
      </c>
      <c r="E118" s="40"/>
      <c r="F118" s="40"/>
      <c r="G118" s="40"/>
      <c r="H118" s="53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54"/>
    </row>
    <row r="119" spans="1:21" ht="124.8" x14ac:dyDescent="0.3">
      <c r="A119" s="39"/>
      <c r="B119" s="3" t="s">
        <v>475</v>
      </c>
      <c r="C119" s="38" t="s">
        <v>476</v>
      </c>
      <c r="D119" s="38" t="s">
        <v>477</v>
      </c>
      <c r="E119" s="40"/>
      <c r="F119" s="40"/>
      <c r="G119" s="40"/>
      <c r="H119" s="53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54"/>
    </row>
    <row r="120" spans="1:21" ht="78" x14ac:dyDescent="0.3">
      <c r="A120" s="39"/>
      <c r="B120" s="3" t="s">
        <v>478</v>
      </c>
      <c r="C120" s="38" t="s">
        <v>479</v>
      </c>
      <c r="D120" s="38" t="s">
        <v>480</v>
      </c>
      <c r="E120" s="40"/>
      <c r="F120" s="40"/>
      <c r="G120" s="40"/>
      <c r="H120" s="53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54"/>
    </row>
    <row r="121" spans="1:21" ht="46.8" x14ac:dyDescent="0.3">
      <c r="A121" s="39"/>
      <c r="B121" s="3" t="s">
        <v>481</v>
      </c>
      <c r="C121" s="38" t="s">
        <v>482</v>
      </c>
      <c r="D121" s="38" t="s">
        <v>483</v>
      </c>
      <c r="E121" s="40"/>
      <c r="F121" s="40"/>
      <c r="G121" s="40"/>
      <c r="H121" s="53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54"/>
    </row>
    <row r="122" spans="1:21" ht="31.2" x14ac:dyDescent="0.3">
      <c r="A122" s="39"/>
      <c r="B122" s="3" t="s">
        <v>484</v>
      </c>
      <c r="C122" s="38" t="s">
        <v>485</v>
      </c>
      <c r="D122" s="38" t="s">
        <v>486</v>
      </c>
      <c r="E122" s="40"/>
      <c r="F122" s="40"/>
      <c r="G122" s="40"/>
      <c r="H122" s="53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54"/>
    </row>
    <row r="123" spans="1:21" ht="48" customHeight="1" x14ac:dyDescent="0.3">
      <c r="A123" s="39"/>
      <c r="B123" s="3" t="s">
        <v>487</v>
      </c>
      <c r="C123" s="38" t="s">
        <v>488</v>
      </c>
      <c r="D123" s="38" t="s">
        <v>489</v>
      </c>
      <c r="E123" s="40"/>
      <c r="F123" s="40"/>
      <c r="G123" s="40"/>
      <c r="H123" s="53" t="s">
        <v>490</v>
      </c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54"/>
    </row>
    <row r="124" spans="1:21" ht="31.2" x14ac:dyDescent="0.3">
      <c r="A124" s="39"/>
      <c r="B124" s="3" t="s">
        <v>491</v>
      </c>
      <c r="C124" s="38" t="s">
        <v>492</v>
      </c>
      <c r="D124" s="38" t="s">
        <v>493</v>
      </c>
      <c r="E124" s="40"/>
      <c r="F124" s="40"/>
      <c r="G124" s="40"/>
      <c r="H124" s="53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54"/>
    </row>
    <row r="125" spans="1:21" ht="15.6" x14ac:dyDescent="0.3">
      <c r="A125" s="39"/>
      <c r="B125" s="3" t="s">
        <v>494</v>
      </c>
      <c r="C125" s="38" t="s">
        <v>495</v>
      </c>
      <c r="D125" s="40"/>
      <c r="E125" s="40"/>
      <c r="F125" s="40"/>
      <c r="G125" s="40"/>
      <c r="H125" s="53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54"/>
    </row>
    <row r="126" spans="1:21" ht="15.6" x14ac:dyDescent="0.3">
      <c r="A126" s="39"/>
      <c r="B126" s="3" t="s">
        <v>496</v>
      </c>
      <c r="C126" s="38" t="s">
        <v>497</v>
      </c>
      <c r="D126" s="40"/>
      <c r="E126" s="40"/>
      <c r="F126" s="40"/>
      <c r="G126" s="40"/>
      <c r="H126" s="53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54"/>
    </row>
    <row r="127" spans="1:21" ht="15.6" x14ac:dyDescent="0.3">
      <c r="A127" s="39"/>
      <c r="B127" s="3" t="s">
        <v>498</v>
      </c>
      <c r="C127" s="38" t="s">
        <v>499</v>
      </c>
      <c r="D127" s="40"/>
      <c r="E127" s="40"/>
      <c r="F127" s="40"/>
      <c r="G127" s="40"/>
      <c r="H127" s="53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54"/>
    </row>
  </sheetData>
  <mergeCells count="62">
    <mergeCell ref="H122:U122"/>
    <mergeCell ref="H123:U123"/>
    <mergeCell ref="H124:U124"/>
    <mergeCell ref="H125:U125"/>
    <mergeCell ref="H126:U126"/>
    <mergeCell ref="H127:U127"/>
    <mergeCell ref="H116:U116"/>
    <mergeCell ref="H117:U117"/>
    <mergeCell ref="H118:U118"/>
    <mergeCell ref="H119:U119"/>
    <mergeCell ref="H120:U120"/>
    <mergeCell ref="H121:U121"/>
    <mergeCell ref="H110:U110"/>
    <mergeCell ref="H111:U111"/>
    <mergeCell ref="H112:U112"/>
    <mergeCell ref="H113:U113"/>
    <mergeCell ref="H114:U114"/>
    <mergeCell ref="H115:U115"/>
    <mergeCell ref="C34:I34"/>
    <mergeCell ref="C37:I37"/>
    <mergeCell ref="C38:I38"/>
    <mergeCell ref="C60:I60"/>
    <mergeCell ref="C101:I101"/>
    <mergeCell ref="A109:U109"/>
    <mergeCell ref="C12:I12"/>
    <mergeCell ref="C13:I13"/>
    <mergeCell ref="C19:I19"/>
    <mergeCell ref="C21:I21"/>
    <mergeCell ref="C22:I22"/>
    <mergeCell ref="C32:I32"/>
    <mergeCell ref="AN6:AO6"/>
    <mergeCell ref="AP6:AP7"/>
    <mergeCell ref="A8:I8"/>
    <mergeCell ref="C9:I9"/>
    <mergeCell ref="C10:I10"/>
    <mergeCell ref="C11:I11"/>
    <mergeCell ref="P6:Q6"/>
    <mergeCell ref="R6:R7"/>
    <mergeCell ref="S6:T6"/>
    <mergeCell ref="U6:U7"/>
    <mergeCell ref="AK6:AL6"/>
    <mergeCell ref="AM6:AM7"/>
    <mergeCell ref="H5:H7"/>
    <mergeCell ref="I5:I7"/>
    <mergeCell ref="J5:O5"/>
    <mergeCell ref="P5:R5"/>
    <mergeCell ref="S5:U5"/>
    <mergeCell ref="AK5:AP5"/>
    <mergeCell ref="J6:K6"/>
    <mergeCell ref="L6:L7"/>
    <mergeCell ref="M6:N6"/>
    <mergeCell ref="O6:O7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2026-08-12T07:03:31Z</dcterms:created>
  <dcterms:modified xsi:type="dcterms:W3CDTF">2026-08-12T13:58:41Z</dcterms:modified>
  <cp:category/>
</cp:coreProperties>
</file>