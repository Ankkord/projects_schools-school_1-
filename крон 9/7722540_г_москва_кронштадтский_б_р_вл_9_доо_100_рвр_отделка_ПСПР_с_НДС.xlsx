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bookViews>
    <workbookView xWindow="0" yWindow="0" windowWidth="11508" windowHeight="7380"/>
  </bookViews>
  <sheets>
    <sheet name="ТКП" sheetId="1" r:id="rId1"/>
  </sheets>
  <definedNames>
    <definedName name="_xlnm._FilterDatabase" localSheetId="0" hidden="1">ТКП!$A$7:$U$127</definedName>
  </definedNames>
  <calcPr calcId="152511"/>
</workbook>
</file>

<file path=xl/calcChain.xml><?xml version="1.0" encoding="utf-8"?>
<calcChain xmlns="http://schemas.openxmlformats.org/spreadsheetml/2006/main">
  <c r="AL107" i="1" l="1"/>
  <c r="AO107" i="1" s="1"/>
  <c r="AK107" i="1"/>
  <c r="AN107" i="1" s="1"/>
  <c r="Z107" i="1"/>
  <c r="AA107" i="1" s="1"/>
  <c r="X107" i="1"/>
  <c r="W107" i="1"/>
  <c r="T107" i="1"/>
  <c r="U107" i="1" s="1"/>
  <c r="AM107" i="1" s="1"/>
  <c r="AP107" i="1" s="1"/>
  <c r="R107" i="1"/>
  <c r="O107" i="1"/>
  <c r="N107" i="1"/>
  <c r="L107" i="1"/>
  <c r="AK106" i="1"/>
  <c r="AN106" i="1" s="1"/>
  <c r="Z106" i="1"/>
  <c r="AA106" i="1" s="1"/>
  <c r="X106" i="1"/>
  <c r="W106" i="1"/>
  <c r="T106" i="1"/>
  <c r="AL106" i="1" s="1"/>
  <c r="AO106" i="1" s="1"/>
  <c r="R106" i="1"/>
  <c r="O106" i="1"/>
  <c r="N106" i="1"/>
  <c r="L106" i="1"/>
  <c r="AK105" i="1"/>
  <c r="AN105" i="1" s="1"/>
  <c r="X105" i="1"/>
  <c r="W105" i="1"/>
  <c r="T105" i="1"/>
  <c r="T101" i="1" s="1"/>
  <c r="AL101" i="1" s="1"/>
  <c r="AO101" i="1" s="1"/>
  <c r="R105" i="1"/>
  <c r="O105" i="1"/>
  <c r="N105" i="1"/>
  <c r="L105" i="1"/>
  <c r="AK104" i="1"/>
  <c r="AN104" i="1" s="1"/>
  <c r="X104" i="1"/>
  <c r="W104" i="1"/>
  <c r="T104" i="1"/>
  <c r="AL104" i="1" s="1"/>
  <c r="AO104" i="1" s="1"/>
  <c r="R104" i="1"/>
  <c r="O104" i="1"/>
  <c r="N104" i="1"/>
  <c r="L104" i="1"/>
  <c r="AL103" i="1"/>
  <c r="AO103" i="1" s="1"/>
  <c r="AK103" i="1"/>
  <c r="AN103" i="1" s="1"/>
  <c r="X103" i="1"/>
  <c r="W103" i="1"/>
  <c r="T103" i="1"/>
  <c r="Z103" i="1" s="1"/>
  <c r="AA103" i="1" s="1"/>
  <c r="R103" i="1"/>
  <c r="O103" i="1"/>
  <c r="N103" i="1"/>
  <c r="L103" i="1"/>
  <c r="AM102" i="1"/>
  <c r="AP102" i="1" s="1"/>
  <c r="AL102" i="1"/>
  <c r="AO102" i="1" s="1"/>
  <c r="AK102" i="1"/>
  <c r="AN102" i="1" s="1"/>
  <c r="Z102" i="1"/>
  <c r="X102" i="1"/>
  <c r="W102" i="1"/>
  <c r="U102" i="1"/>
  <c r="T102" i="1"/>
  <c r="R102" i="1"/>
  <c r="O102" i="1"/>
  <c r="N102" i="1"/>
  <c r="L102" i="1"/>
  <c r="AK101" i="1"/>
  <c r="AN101" i="1" s="1"/>
  <c r="Y101" i="1"/>
  <c r="S101" i="1"/>
  <c r="O101" i="1"/>
  <c r="N101" i="1"/>
  <c r="M101" i="1"/>
  <c r="V100" i="1"/>
  <c r="S100" i="1"/>
  <c r="M100" i="1"/>
  <c r="V99" i="1"/>
  <c r="S99" i="1"/>
  <c r="M99" i="1"/>
  <c r="J98" i="1" s="1"/>
  <c r="W98" i="1"/>
  <c r="T98" i="1"/>
  <c r="N98" i="1"/>
  <c r="V97" i="1"/>
  <c r="S97" i="1"/>
  <c r="M97" i="1"/>
  <c r="J95" i="1" s="1"/>
  <c r="V96" i="1"/>
  <c r="S96" i="1"/>
  <c r="P95" i="1" s="1"/>
  <c r="M96" i="1"/>
  <c r="W95" i="1"/>
  <c r="T95" i="1"/>
  <c r="N95" i="1"/>
  <c r="V94" i="1"/>
  <c r="S94" i="1"/>
  <c r="AK94" i="1" s="1"/>
  <c r="AN94" i="1" s="1"/>
  <c r="M94" i="1"/>
  <c r="AN93" i="1"/>
  <c r="AK93" i="1"/>
  <c r="Y93" i="1"/>
  <c r="V93" i="1"/>
  <c r="S93" i="1"/>
  <c r="M93" i="1"/>
  <c r="AL92" i="1"/>
  <c r="AO92" i="1" s="1"/>
  <c r="Z92" i="1"/>
  <c r="W92" i="1"/>
  <c r="T92" i="1"/>
  <c r="N92" i="1"/>
  <c r="J92" i="1"/>
  <c r="M92" i="1" s="1"/>
  <c r="O92" i="1" s="1"/>
  <c r="V91" i="1"/>
  <c r="S91" i="1"/>
  <c r="M91" i="1"/>
  <c r="AN90" i="1"/>
  <c r="AK90" i="1"/>
  <c r="Y90" i="1"/>
  <c r="V90" i="1"/>
  <c r="S90" i="1"/>
  <c r="M90" i="1"/>
  <c r="V89" i="1"/>
  <c r="S89" i="1"/>
  <c r="M89" i="1"/>
  <c r="W88" i="1"/>
  <c r="T88" i="1"/>
  <c r="Z88" i="1" s="1"/>
  <c r="P88" i="1"/>
  <c r="V88" i="1" s="1"/>
  <c r="N88" i="1"/>
  <c r="V87" i="1"/>
  <c r="S87" i="1"/>
  <c r="M87" i="1"/>
  <c r="V86" i="1"/>
  <c r="S86" i="1"/>
  <c r="M86" i="1"/>
  <c r="J85" i="1" s="1"/>
  <c r="W85" i="1"/>
  <c r="T85" i="1"/>
  <c r="N85" i="1"/>
  <c r="V84" i="1"/>
  <c r="S84" i="1"/>
  <c r="M84" i="1"/>
  <c r="AN83" i="1"/>
  <c r="AK83" i="1"/>
  <c r="V83" i="1"/>
  <c r="S83" i="1"/>
  <c r="Y83" i="1" s="1"/>
  <c r="M83" i="1"/>
  <c r="W82" i="1"/>
  <c r="T82" i="1"/>
  <c r="N82" i="1"/>
  <c r="V81" i="1"/>
  <c r="S81" i="1"/>
  <c r="M81" i="1"/>
  <c r="J79" i="1" s="1"/>
  <c r="V80" i="1"/>
  <c r="S80" i="1"/>
  <c r="M80" i="1"/>
  <c r="W79" i="1"/>
  <c r="T79" i="1"/>
  <c r="AL79" i="1" s="1"/>
  <c r="AO79" i="1" s="1"/>
  <c r="N79" i="1"/>
  <c r="V78" i="1"/>
  <c r="S78" i="1"/>
  <c r="AK78" i="1" s="1"/>
  <c r="AN78" i="1" s="1"/>
  <c r="M78" i="1"/>
  <c r="AK77" i="1"/>
  <c r="AN77" i="1" s="1"/>
  <c r="Y77" i="1"/>
  <c r="V77" i="1"/>
  <c r="S77" i="1"/>
  <c r="P76" i="1" s="1"/>
  <c r="M77" i="1"/>
  <c r="AL76" i="1"/>
  <c r="AO76" i="1" s="1"/>
  <c r="Z76" i="1"/>
  <c r="W76" i="1"/>
  <c r="T76" i="1"/>
  <c r="N76" i="1"/>
  <c r="J76" i="1"/>
  <c r="L76" i="1" s="1"/>
  <c r="AK75" i="1"/>
  <c r="AN75" i="1" s="1"/>
  <c r="Y75" i="1"/>
  <c r="V75" i="1"/>
  <c r="S75" i="1"/>
  <c r="M75" i="1"/>
  <c r="AN74" i="1"/>
  <c r="AK74" i="1"/>
  <c r="Y74" i="1"/>
  <c r="V74" i="1"/>
  <c r="S74" i="1"/>
  <c r="M74" i="1"/>
  <c r="V73" i="1"/>
  <c r="S73" i="1"/>
  <c r="AK73" i="1" s="1"/>
  <c r="AN73" i="1" s="1"/>
  <c r="M73" i="1"/>
  <c r="J71" i="1" s="1"/>
  <c r="AK72" i="1"/>
  <c r="AN72" i="1" s="1"/>
  <c r="V72" i="1"/>
  <c r="S72" i="1"/>
  <c r="M72" i="1"/>
  <c r="W71" i="1"/>
  <c r="T71" i="1"/>
  <c r="N71" i="1"/>
  <c r="V70" i="1"/>
  <c r="S70" i="1"/>
  <c r="AK70" i="1" s="1"/>
  <c r="AN70" i="1" s="1"/>
  <c r="M70" i="1"/>
  <c r="AK69" i="1"/>
  <c r="AN69" i="1" s="1"/>
  <c r="Y69" i="1"/>
  <c r="V69" i="1"/>
  <c r="S69" i="1"/>
  <c r="M69" i="1"/>
  <c r="V68" i="1"/>
  <c r="S68" i="1"/>
  <c r="M68" i="1"/>
  <c r="Y67" i="1"/>
  <c r="V67" i="1"/>
  <c r="S67" i="1"/>
  <c r="M67" i="1"/>
  <c r="J66" i="1" s="1"/>
  <c r="W66" i="1"/>
  <c r="T66" i="1"/>
  <c r="T60" i="1" s="1"/>
  <c r="N66" i="1"/>
  <c r="V65" i="1"/>
  <c r="S65" i="1"/>
  <c r="AK65" i="1" s="1"/>
  <c r="AN65" i="1" s="1"/>
  <c r="M65" i="1"/>
  <c r="V64" i="1"/>
  <c r="S64" i="1"/>
  <c r="AK64" i="1" s="1"/>
  <c r="AN64" i="1" s="1"/>
  <c r="M64" i="1"/>
  <c r="V63" i="1"/>
  <c r="S63" i="1"/>
  <c r="M63" i="1"/>
  <c r="AN62" i="1"/>
  <c r="Y62" i="1"/>
  <c r="V62" i="1"/>
  <c r="S62" i="1"/>
  <c r="AK62" i="1" s="1"/>
  <c r="M62" i="1"/>
  <c r="W61" i="1"/>
  <c r="T61" i="1"/>
  <c r="P61" i="1"/>
  <c r="V61" i="1" s="1"/>
  <c r="N61" i="1"/>
  <c r="V59" i="1"/>
  <c r="S59" i="1"/>
  <c r="M59" i="1"/>
  <c r="Y58" i="1"/>
  <c r="V58" i="1"/>
  <c r="S58" i="1"/>
  <c r="AK58" i="1" s="1"/>
  <c r="AN58" i="1" s="1"/>
  <c r="M58" i="1"/>
  <c r="AK57" i="1"/>
  <c r="AN57" i="1" s="1"/>
  <c r="Y57" i="1"/>
  <c r="V57" i="1"/>
  <c r="S57" i="1"/>
  <c r="P56" i="1" s="1"/>
  <c r="M57" i="1"/>
  <c r="AL56" i="1"/>
  <c r="AO56" i="1" s="1"/>
  <c r="Z56" i="1"/>
  <c r="W56" i="1"/>
  <c r="T56" i="1"/>
  <c r="N56" i="1"/>
  <c r="J56" i="1"/>
  <c r="M56" i="1" s="1"/>
  <c r="O56" i="1" s="1"/>
  <c r="V55" i="1"/>
  <c r="S55" i="1"/>
  <c r="P54" i="1" s="1"/>
  <c r="V54" i="1" s="1"/>
  <c r="M55" i="1"/>
  <c r="J54" i="1" s="1"/>
  <c r="W54" i="1"/>
  <c r="T54" i="1"/>
  <c r="AL54" i="1" s="1"/>
  <c r="AO54" i="1" s="1"/>
  <c r="N54" i="1"/>
  <c r="V53" i="1"/>
  <c r="S53" i="1"/>
  <c r="Y53" i="1" s="1"/>
  <c r="M53" i="1"/>
  <c r="AN52" i="1"/>
  <c r="AK52" i="1"/>
  <c r="Y52" i="1"/>
  <c r="V52" i="1"/>
  <c r="S52" i="1"/>
  <c r="M52" i="1"/>
  <c r="V51" i="1"/>
  <c r="S51" i="1"/>
  <c r="M51" i="1"/>
  <c r="V50" i="1"/>
  <c r="S50" i="1"/>
  <c r="AK50" i="1" s="1"/>
  <c r="AN50" i="1" s="1"/>
  <c r="M50" i="1"/>
  <c r="J49" i="1" s="1"/>
  <c r="W49" i="1"/>
  <c r="T49" i="1"/>
  <c r="P49" i="1"/>
  <c r="V49" i="1" s="1"/>
  <c r="N49" i="1"/>
  <c r="Y48" i="1"/>
  <c r="V48" i="1"/>
  <c r="S48" i="1"/>
  <c r="AK48" i="1" s="1"/>
  <c r="AN48" i="1" s="1"/>
  <c r="M48" i="1"/>
  <c r="V47" i="1"/>
  <c r="S47" i="1"/>
  <c r="AK47" i="1" s="1"/>
  <c r="AN47" i="1" s="1"/>
  <c r="M47" i="1"/>
  <c r="Y46" i="1"/>
  <c r="V46" i="1"/>
  <c r="S46" i="1"/>
  <c r="M46" i="1"/>
  <c r="AK46" i="1" s="1"/>
  <c r="AN46" i="1" s="1"/>
  <c r="V45" i="1"/>
  <c r="S45" i="1"/>
  <c r="Y45" i="1" s="1"/>
  <c r="M45" i="1"/>
  <c r="W44" i="1"/>
  <c r="T44" i="1"/>
  <c r="N44" i="1"/>
  <c r="V43" i="1"/>
  <c r="S43" i="1"/>
  <c r="M43" i="1"/>
  <c r="V42" i="1"/>
  <c r="S42" i="1"/>
  <c r="Y42" i="1" s="1"/>
  <c r="M42" i="1"/>
  <c r="AK41" i="1"/>
  <c r="AN41" i="1" s="1"/>
  <c r="Y41" i="1"/>
  <c r="V41" i="1"/>
  <c r="S41" i="1"/>
  <c r="M41" i="1"/>
  <c r="Y40" i="1"/>
  <c r="V40" i="1"/>
  <c r="S40" i="1"/>
  <c r="M40" i="1"/>
  <c r="J39" i="1" s="1"/>
  <c r="W39" i="1"/>
  <c r="T39" i="1"/>
  <c r="P39" i="1"/>
  <c r="V39" i="1" s="1"/>
  <c r="N39" i="1"/>
  <c r="N38" i="1" s="1"/>
  <c r="AN36" i="1"/>
  <c r="AK36" i="1"/>
  <c r="W36" i="1"/>
  <c r="T36" i="1"/>
  <c r="R36" i="1"/>
  <c r="X36" i="1" s="1"/>
  <c r="O36" i="1"/>
  <c r="N36" i="1"/>
  <c r="L36" i="1"/>
  <c r="AN35" i="1"/>
  <c r="AK35" i="1"/>
  <c r="W35" i="1"/>
  <c r="T35" i="1"/>
  <c r="R35" i="1"/>
  <c r="X35" i="1" s="1"/>
  <c r="N35" i="1"/>
  <c r="N34" i="1" s="1"/>
  <c r="L35" i="1"/>
  <c r="Y34" i="1"/>
  <c r="S34" i="1"/>
  <c r="M34" i="1"/>
  <c r="AN33" i="1"/>
  <c r="AK33" i="1"/>
  <c r="W33" i="1"/>
  <c r="T33" i="1"/>
  <c r="R33" i="1"/>
  <c r="X33" i="1" s="1"/>
  <c r="N33" i="1"/>
  <c r="O33" i="1" s="1"/>
  <c r="L33" i="1"/>
  <c r="Y32" i="1"/>
  <c r="T32" i="1"/>
  <c r="S32" i="1"/>
  <c r="AK32" i="1" s="1"/>
  <c r="AN32" i="1" s="1"/>
  <c r="O32" i="1"/>
  <c r="N32" i="1"/>
  <c r="M32" i="1"/>
  <c r="AN31" i="1"/>
  <c r="AK31" i="1"/>
  <c r="V31" i="1"/>
  <c r="S31" i="1"/>
  <c r="Y31" i="1" s="1"/>
  <c r="M31" i="1"/>
  <c r="V30" i="1"/>
  <c r="S30" i="1"/>
  <c r="M30" i="1"/>
  <c r="V29" i="1"/>
  <c r="S29" i="1"/>
  <c r="Y29" i="1" s="1"/>
  <c r="M29" i="1"/>
  <c r="J28" i="1" s="1"/>
  <c r="W28" i="1"/>
  <c r="T28" i="1"/>
  <c r="N28" i="1"/>
  <c r="V27" i="1"/>
  <c r="S27" i="1"/>
  <c r="Y27" i="1" s="1"/>
  <c r="M27" i="1"/>
  <c r="Y26" i="1"/>
  <c r="V26" i="1"/>
  <c r="S26" i="1"/>
  <c r="AK26" i="1" s="1"/>
  <c r="AN26" i="1" s="1"/>
  <c r="M26" i="1"/>
  <c r="V25" i="1"/>
  <c r="S25" i="1"/>
  <c r="Y25" i="1" s="1"/>
  <c r="M25" i="1"/>
  <c r="AK25" i="1" s="1"/>
  <c r="AN25" i="1" s="1"/>
  <c r="V24" i="1"/>
  <c r="S24" i="1"/>
  <c r="AK24" i="1" s="1"/>
  <c r="AN24" i="1" s="1"/>
  <c r="M24" i="1"/>
  <c r="W23" i="1"/>
  <c r="T23" i="1"/>
  <c r="Z23" i="1" s="1"/>
  <c r="P23" i="1"/>
  <c r="V23" i="1" s="1"/>
  <c r="N23" i="1"/>
  <c r="N22" i="1" s="1"/>
  <c r="N21" i="1" s="1"/>
  <c r="AK20" i="1"/>
  <c r="AN20" i="1" s="1"/>
  <c r="X20" i="1"/>
  <c r="W20" i="1"/>
  <c r="T20" i="1"/>
  <c r="R20" i="1"/>
  <c r="N20" i="1"/>
  <c r="O20" i="1" s="1"/>
  <c r="O19" i="1" s="1"/>
  <c r="L20" i="1"/>
  <c r="Y19" i="1"/>
  <c r="S19" i="1"/>
  <c r="N19" i="1"/>
  <c r="M19" i="1"/>
  <c r="AK18" i="1"/>
  <c r="AN18" i="1" s="1"/>
  <c r="Y18" i="1"/>
  <c r="V18" i="1"/>
  <c r="S18" i="1"/>
  <c r="M18" i="1"/>
  <c r="Y17" i="1"/>
  <c r="V17" i="1"/>
  <c r="S17" i="1"/>
  <c r="AK17" i="1" s="1"/>
  <c r="AN17" i="1" s="1"/>
  <c r="M17" i="1"/>
  <c r="V16" i="1"/>
  <c r="S16" i="1"/>
  <c r="M16" i="1"/>
  <c r="V15" i="1"/>
  <c r="S15" i="1"/>
  <c r="M15" i="1"/>
  <c r="J14" i="1" s="1"/>
  <c r="M14" i="1" s="1"/>
  <c r="AO14" i="1"/>
  <c r="Z14" i="1"/>
  <c r="Z13" i="1" s="1"/>
  <c r="W14" i="1"/>
  <c r="T14" i="1"/>
  <c r="P14" i="1"/>
  <c r="N14" i="1"/>
  <c r="AL14" i="1" s="1"/>
  <c r="T13" i="1"/>
  <c r="M13" i="1" l="1"/>
  <c r="M12" i="1" s="1"/>
  <c r="O14" i="1"/>
  <c r="O13" i="1" s="1"/>
  <c r="O12" i="1" s="1"/>
  <c r="L71" i="1"/>
  <c r="M71" i="1"/>
  <c r="O71" i="1" s="1"/>
  <c r="V14" i="1"/>
  <c r="S14" i="1"/>
  <c r="M28" i="1"/>
  <c r="O28" i="1" s="1"/>
  <c r="L28" i="1"/>
  <c r="Y84" i="1"/>
  <c r="AK84" i="1"/>
  <c r="AN84" i="1" s="1"/>
  <c r="R23" i="1"/>
  <c r="X23" i="1" s="1"/>
  <c r="AL32" i="1"/>
  <c r="AO32" i="1" s="1"/>
  <c r="S56" i="1"/>
  <c r="R56" i="1"/>
  <c r="X56" i="1" s="1"/>
  <c r="V56" i="1"/>
  <c r="AK91" i="1"/>
  <c r="AN91" i="1" s="1"/>
  <c r="Y91" i="1"/>
  <c r="Z39" i="1"/>
  <c r="AL39" i="1"/>
  <c r="AO39" i="1" s="1"/>
  <c r="T38" i="1"/>
  <c r="S49" i="1"/>
  <c r="M76" i="1"/>
  <c r="O76" i="1" s="1"/>
  <c r="Y96" i="1"/>
  <c r="U105" i="1"/>
  <c r="AM105" i="1" s="1"/>
  <c r="AP105" i="1" s="1"/>
  <c r="AK29" i="1"/>
  <c r="AN29" i="1" s="1"/>
  <c r="AK96" i="1"/>
  <c r="AN96" i="1" s="1"/>
  <c r="M39" i="1"/>
  <c r="L39" i="1"/>
  <c r="M95" i="1"/>
  <c r="O95" i="1" s="1"/>
  <c r="L95" i="1"/>
  <c r="AL88" i="1"/>
  <c r="AO88" i="1" s="1"/>
  <c r="AL20" i="1"/>
  <c r="AO20" i="1" s="1"/>
  <c r="T19" i="1"/>
  <c r="AL19" i="1" s="1"/>
  <c r="AO19" i="1" s="1"/>
  <c r="Z20" i="1"/>
  <c r="L79" i="1"/>
  <c r="M79" i="1"/>
  <c r="O79" i="1" s="1"/>
  <c r="AK81" i="1"/>
  <c r="AN81" i="1" s="1"/>
  <c r="P98" i="1"/>
  <c r="AK99" i="1"/>
  <c r="AN99" i="1" s="1"/>
  <c r="Y99" i="1"/>
  <c r="S23" i="1"/>
  <c r="S39" i="1"/>
  <c r="AK45" i="1"/>
  <c r="AN45" i="1" s="1"/>
  <c r="Z22" i="1"/>
  <c r="Y73" i="1"/>
  <c r="S88" i="1"/>
  <c r="AK55" i="1"/>
  <c r="AN55" i="1" s="1"/>
  <c r="R61" i="1"/>
  <c r="X61" i="1" s="1"/>
  <c r="AK67" i="1"/>
  <c r="AN67" i="1" s="1"/>
  <c r="P82" i="1"/>
  <c r="AK27" i="1"/>
  <c r="AN27" i="1" s="1"/>
  <c r="M49" i="1"/>
  <c r="O49" i="1" s="1"/>
  <c r="L49" i="1"/>
  <c r="AL61" i="1"/>
  <c r="AO61" i="1" s="1"/>
  <c r="Z61" i="1"/>
  <c r="AL71" i="1"/>
  <c r="AO71" i="1" s="1"/>
  <c r="Z71" i="1"/>
  <c r="AK15" i="1"/>
  <c r="AN15" i="1" s="1"/>
  <c r="AL33" i="1"/>
  <c r="AO33" i="1" s="1"/>
  <c r="Z33" i="1"/>
  <c r="L56" i="1"/>
  <c r="U33" i="1"/>
  <c r="AA102" i="1"/>
  <c r="Y24" i="1"/>
  <c r="P44" i="1"/>
  <c r="Y50" i="1"/>
  <c r="AK53" i="1"/>
  <c r="AN53" i="1" s="1"/>
  <c r="Y68" i="1"/>
  <c r="AK68" i="1"/>
  <c r="AN68" i="1" s="1"/>
  <c r="P85" i="1"/>
  <c r="AK86" i="1"/>
  <c r="AN86" i="1" s="1"/>
  <c r="Y94" i="1"/>
  <c r="U20" i="1"/>
  <c r="AK63" i="1"/>
  <c r="AN63" i="1" s="1"/>
  <c r="Y81" i="1"/>
  <c r="M66" i="1"/>
  <c r="O66" i="1" s="1"/>
  <c r="L66" i="1"/>
  <c r="N13" i="1"/>
  <c r="N12" i="1" s="1"/>
  <c r="N11" i="1" s="1"/>
  <c r="Z35" i="1"/>
  <c r="AL35" i="1"/>
  <c r="AO35" i="1" s="1"/>
  <c r="U35" i="1"/>
  <c r="T34" i="1"/>
  <c r="AL34" i="1" s="1"/>
  <c r="AO34" i="1" s="1"/>
  <c r="M85" i="1"/>
  <c r="O85" i="1" s="1"/>
  <c r="L85" i="1"/>
  <c r="AK16" i="1"/>
  <c r="AN16" i="1" s="1"/>
  <c r="Y16" i="1"/>
  <c r="P28" i="1"/>
  <c r="AL95" i="1"/>
  <c r="AO95" i="1" s="1"/>
  <c r="Z95" i="1"/>
  <c r="M98" i="1"/>
  <c r="O98" i="1" s="1"/>
  <c r="L98" i="1"/>
  <c r="R14" i="1"/>
  <c r="X14" i="1" s="1"/>
  <c r="AL36" i="1"/>
  <c r="AO36" i="1" s="1"/>
  <c r="Z36" i="1"/>
  <c r="AA36" i="1" s="1"/>
  <c r="U36" i="1"/>
  <c r="AM36" i="1" s="1"/>
  <c r="AP36" i="1" s="1"/>
  <c r="R39" i="1"/>
  <c r="X39" i="1" s="1"/>
  <c r="R49" i="1"/>
  <c r="X49" i="1" s="1"/>
  <c r="Z105" i="1"/>
  <c r="AA105" i="1" s="1"/>
  <c r="AL105" i="1"/>
  <c r="AO105" i="1" s="1"/>
  <c r="S61" i="1"/>
  <c r="O35" i="1"/>
  <c r="O34" i="1" s="1"/>
  <c r="Y64" i="1"/>
  <c r="AK97" i="1"/>
  <c r="AN97" i="1" s="1"/>
  <c r="Y97" i="1"/>
  <c r="P66" i="1"/>
  <c r="S76" i="1"/>
  <c r="R76" i="1"/>
  <c r="X76" i="1" s="1"/>
  <c r="V76" i="1"/>
  <c r="Z79" i="1"/>
  <c r="Y86" i="1"/>
  <c r="J23" i="1"/>
  <c r="L14" i="1"/>
  <c r="AL44" i="1"/>
  <c r="AO44" i="1" s="1"/>
  <c r="Z44" i="1"/>
  <c r="R54" i="1"/>
  <c r="X54" i="1" s="1"/>
  <c r="AK59" i="1"/>
  <c r="AN59" i="1" s="1"/>
  <c r="Y59" i="1"/>
  <c r="U106" i="1"/>
  <c r="AM106" i="1" s="1"/>
  <c r="AP106" i="1" s="1"/>
  <c r="AL66" i="1"/>
  <c r="AO66" i="1" s="1"/>
  <c r="Z66" i="1"/>
  <c r="M54" i="1"/>
  <c r="O54" i="1" s="1"/>
  <c r="L54" i="1"/>
  <c r="R95" i="1"/>
  <c r="X95" i="1" s="1"/>
  <c r="V95" i="1"/>
  <c r="R88" i="1"/>
  <c r="X88" i="1" s="1"/>
  <c r="Y55" i="1"/>
  <c r="AK51" i="1"/>
  <c r="AN51" i="1" s="1"/>
  <c r="Y51" i="1"/>
  <c r="S54" i="1"/>
  <c r="S95" i="1"/>
  <c r="Y78" i="1"/>
  <c r="AK100" i="1"/>
  <c r="AN100" i="1" s="1"/>
  <c r="Y100" i="1"/>
  <c r="U103" i="1"/>
  <c r="Z104" i="1"/>
  <c r="AA104" i="1" s="1"/>
  <c r="AK34" i="1"/>
  <c r="AN34" i="1" s="1"/>
  <c r="AK42" i="1"/>
  <c r="AN42" i="1" s="1"/>
  <c r="Y47" i="1"/>
  <c r="J88" i="1"/>
  <c r="AL49" i="1"/>
  <c r="AO49" i="1" s="1"/>
  <c r="Z49" i="1"/>
  <c r="U104" i="1"/>
  <c r="AM104" i="1" s="1"/>
  <c r="AP104" i="1" s="1"/>
  <c r="AK19" i="1"/>
  <c r="AN19" i="1" s="1"/>
  <c r="AL28" i="1"/>
  <c r="AO28" i="1" s="1"/>
  <c r="Z28" i="1"/>
  <c r="P92" i="1"/>
  <c r="J61" i="1"/>
  <c r="P79" i="1"/>
  <c r="AK87" i="1"/>
  <c r="AN87" i="1" s="1"/>
  <c r="AL23" i="1"/>
  <c r="AO23" i="1" s="1"/>
  <c r="Y65" i="1"/>
  <c r="Y70" i="1"/>
  <c r="P71" i="1"/>
  <c r="Y80" i="1"/>
  <c r="AL85" i="1"/>
  <c r="AO85" i="1" s="1"/>
  <c r="Z85" i="1"/>
  <c r="AK89" i="1"/>
  <c r="AN89" i="1" s="1"/>
  <c r="L92" i="1"/>
  <c r="AL98" i="1"/>
  <c r="AO98" i="1" s="1"/>
  <c r="Z98" i="1"/>
  <c r="Z82" i="1"/>
  <c r="AL82" i="1"/>
  <c r="AO82" i="1" s="1"/>
  <c r="AL13" i="1"/>
  <c r="AO13" i="1" s="1"/>
  <c r="AK30" i="1"/>
  <c r="AN30" i="1" s="1"/>
  <c r="Y30" i="1"/>
  <c r="Z54" i="1"/>
  <c r="AK80" i="1"/>
  <c r="AN80" i="1" s="1"/>
  <c r="T22" i="1"/>
  <c r="N60" i="1"/>
  <c r="AL60" i="1" s="1"/>
  <c r="AO60" i="1" s="1"/>
  <c r="T12" i="1"/>
  <c r="AK40" i="1"/>
  <c r="AN40" i="1" s="1"/>
  <c r="AK43" i="1"/>
  <c r="AN43" i="1" s="1"/>
  <c r="Y43" i="1"/>
  <c r="J44" i="1"/>
  <c r="Y72" i="1"/>
  <c r="J82" i="1"/>
  <c r="Y89" i="1"/>
  <c r="Y15" i="1"/>
  <c r="Y63" i="1"/>
  <c r="Y87" i="1"/>
  <c r="U56" i="1" l="1"/>
  <c r="AM56" i="1" s="1"/>
  <c r="AP56" i="1" s="1"/>
  <c r="Y56" i="1"/>
  <c r="AA56" i="1" s="1"/>
  <c r="AK56" i="1"/>
  <c r="AN56" i="1" s="1"/>
  <c r="AA33" i="1"/>
  <c r="AA32" i="1" s="1"/>
  <c r="Z32" i="1"/>
  <c r="M88" i="1"/>
  <c r="O88" i="1" s="1"/>
  <c r="L88" i="1"/>
  <c r="AK76" i="1"/>
  <c r="AN76" i="1" s="1"/>
  <c r="U76" i="1"/>
  <c r="AM76" i="1" s="1"/>
  <c r="AP76" i="1" s="1"/>
  <c r="Y76" i="1"/>
  <c r="AA76" i="1" s="1"/>
  <c r="AL22" i="1"/>
  <c r="AO22" i="1" s="1"/>
  <c r="T21" i="1"/>
  <c r="AL21" i="1" s="1"/>
  <c r="AO21" i="1" s="1"/>
  <c r="V98" i="1"/>
  <c r="S98" i="1"/>
  <c r="R98" i="1"/>
  <c r="X98" i="1" s="1"/>
  <c r="U14" i="1"/>
  <c r="Y14" i="1"/>
  <c r="S13" i="1"/>
  <c r="AK14" i="1"/>
  <c r="AN14" i="1" s="1"/>
  <c r="Y61" i="1"/>
  <c r="U61" i="1"/>
  <c r="N37" i="1"/>
  <c r="N10" i="1" s="1"/>
  <c r="N9" i="1" s="1"/>
  <c r="N8" i="1" s="1"/>
  <c r="N108" i="1" s="1"/>
  <c r="Z38" i="1"/>
  <c r="AK54" i="1"/>
  <c r="AN54" i="1" s="1"/>
  <c r="Y54" i="1"/>
  <c r="AA54" i="1" s="1"/>
  <c r="U54" i="1"/>
  <c r="AM54" i="1" s="1"/>
  <c r="AP54" i="1" s="1"/>
  <c r="AM35" i="1"/>
  <c r="AP35" i="1" s="1"/>
  <c r="U34" i="1"/>
  <c r="AM34" i="1" s="1"/>
  <c r="AP34" i="1" s="1"/>
  <c r="V44" i="1"/>
  <c r="S44" i="1"/>
  <c r="R44" i="1"/>
  <c r="X44" i="1" s="1"/>
  <c r="Y39" i="1"/>
  <c r="AK39" i="1"/>
  <c r="AN39" i="1" s="1"/>
  <c r="U39" i="1"/>
  <c r="Z60" i="1"/>
  <c r="V85" i="1"/>
  <c r="S85" i="1"/>
  <c r="R85" i="1"/>
  <c r="X85" i="1" s="1"/>
  <c r="AK49" i="1"/>
  <c r="AN49" i="1" s="1"/>
  <c r="Y49" i="1"/>
  <c r="AA49" i="1" s="1"/>
  <c r="U49" i="1"/>
  <c r="AM49" i="1" s="1"/>
  <c r="AP49" i="1" s="1"/>
  <c r="V82" i="1"/>
  <c r="S82" i="1"/>
  <c r="R82" i="1"/>
  <c r="X82" i="1" s="1"/>
  <c r="AA20" i="1"/>
  <c r="AA19" i="1" s="1"/>
  <c r="Z19" i="1"/>
  <c r="Z12" i="1" s="1"/>
  <c r="M82" i="1"/>
  <c r="O82" i="1" s="1"/>
  <c r="L82" i="1"/>
  <c r="S92" i="1"/>
  <c r="R92" i="1"/>
  <c r="X92" i="1" s="1"/>
  <c r="V92" i="1"/>
  <c r="M23" i="1"/>
  <c r="L23" i="1"/>
  <c r="Z34" i="1"/>
  <c r="AA35" i="1"/>
  <c r="AA34" i="1" s="1"/>
  <c r="AA101" i="1"/>
  <c r="Z101" i="1"/>
  <c r="Z21" i="1"/>
  <c r="T11" i="1"/>
  <c r="AL12" i="1"/>
  <c r="AO12" i="1" s="1"/>
  <c r="O39" i="1"/>
  <c r="R71" i="1"/>
  <c r="X71" i="1" s="1"/>
  <c r="V71" i="1"/>
  <c r="S71" i="1"/>
  <c r="S66" i="1"/>
  <c r="S60" i="1" s="1"/>
  <c r="R66" i="1"/>
  <c r="X66" i="1" s="1"/>
  <c r="V66" i="1"/>
  <c r="AM20" i="1"/>
  <c r="AP20" i="1" s="1"/>
  <c r="U19" i="1"/>
  <c r="AM19" i="1" s="1"/>
  <c r="AP19" i="1" s="1"/>
  <c r="AK23" i="1"/>
  <c r="AN23" i="1" s="1"/>
  <c r="Y23" i="1"/>
  <c r="U23" i="1"/>
  <c r="S28" i="1"/>
  <c r="R28" i="1"/>
  <c r="X28" i="1" s="1"/>
  <c r="V28" i="1"/>
  <c r="AM103" i="1"/>
  <c r="AP103" i="1" s="1"/>
  <c r="U101" i="1"/>
  <c r="AM101" i="1" s="1"/>
  <c r="AP101" i="1" s="1"/>
  <c r="R79" i="1"/>
  <c r="X79" i="1" s="1"/>
  <c r="V79" i="1"/>
  <c r="S79" i="1"/>
  <c r="AL38" i="1"/>
  <c r="AO38" i="1" s="1"/>
  <c r="T37" i="1"/>
  <c r="AL37" i="1" s="1"/>
  <c r="AO37" i="1" s="1"/>
  <c r="M61" i="1"/>
  <c r="L61" i="1"/>
  <c r="AK95" i="1"/>
  <c r="AN95" i="1" s="1"/>
  <c r="U95" i="1"/>
  <c r="AM95" i="1" s="1"/>
  <c r="AP95" i="1" s="1"/>
  <c r="Y95" i="1"/>
  <c r="AA95" i="1" s="1"/>
  <c r="L44" i="1"/>
  <c r="M44" i="1"/>
  <c r="O44" i="1" s="1"/>
  <c r="AM33" i="1"/>
  <c r="AP33" i="1" s="1"/>
  <c r="U32" i="1"/>
  <c r="AM32" i="1" s="1"/>
  <c r="AP32" i="1" s="1"/>
  <c r="Y88" i="1"/>
  <c r="AA88" i="1" s="1"/>
  <c r="U88" i="1"/>
  <c r="AM88" i="1" s="1"/>
  <c r="AP88" i="1" s="1"/>
  <c r="T10" i="1" l="1"/>
  <c r="AL11" i="1"/>
  <c r="AO11" i="1" s="1"/>
  <c r="AK28" i="1"/>
  <c r="AN28" i="1" s="1"/>
  <c r="Y28" i="1"/>
  <c r="AA28" i="1" s="1"/>
  <c r="U28" i="1"/>
  <c r="AM28" i="1" s="1"/>
  <c r="AP28" i="1" s="1"/>
  <c r="AM14" i="1"/>
  <c r="AP14" i="1" s="1"/>
  <c r="U13" i="1"/>
  <c r="S22" i="1"/>
  <c r="AK82" i="1"/>
  <c r="AN82" i="1" s="1"/>
  <c r="U82" i="1"/>
  <c r="AM82" i="1" s="1"/>
  <c r="AP82" i="1" s="1"/>
  <c r="Y82" i="1"/>
  <c r="AA82" i="1" s="1"/>
  <c r="AK98" i="1"/>
  <c r="AN98" i="1" s="1"/>
  <c r="U98" i="1"/>
  <c r="AM98" i="1" s="1"/>
  <c r="AP98" i="1" s="1"/>
  <c r="Y98" i="1"/>
  <c r="AA98" i="1" s="1"/>
  <c r="M60" i="1"/>
  <c r="AK60" i="1" s="1"/>
  <c r="AN60" i="1" s="1"/>
  <c r="O61" i="1"/>
  <c r="O60" i="1" s="1"/>
  <c r="AK85" i="1"/>
  <c r="AN85" i="1" s="1"/>
  <c r="Y85" i="1"/>
  <c r="AA85" i="1" s="1"/>
  <c r="U85" i="1"/>
  <c r="AM85" i="1" s="1"/>
  <c r="AP85" i="1" s="1"/>
  <c r="AK79" i="1"/>
  <c r="AN79" i="1" s="1"/>
  <c r="Y79" i="1"/>
  <c r="AA79" i="1" s="1"/>
  <c r="U79" i="1"/>
  <c r="AM79" i="1" s="1"/>
  <c r="AP79" i="1" s="1"/>
  <c r="Y92" i="1"/>
  <c r="AA92" i="1" s="1"/>
  <c r="U92" i="1"/>
  <c r="AM92" i="1" s="1"/>
  <c r="AP92" i="1" s="1"/>
  <c r="AK92" i="1"/>
  <c r="AN92" i="1" s="1"/>
  <c r="AM61" i="1"/>
  <c r="AP61" i="1" s="1"/>
  <c r="AK88" i="1"/>
  <c r="AN88" i="1" s="1"/>
  <c r="AK61" i="1"/>
  <c r="AN61" i="1" s="1"/>
  <c r="AK44" i="1"/>
  <c r="AN44" i="1" s="1"/>
  <c r="Y44" i="1"/>
  <c r="AA44" i="1" s="1"/>
  <c r="U44" i="1"/>
  <c r="AM44" i="1" s="1"/>
  <c r="AP44" i="1" s="1"/>
  <c r="AA23" i="1"/>
  <c r="M22" i="1"/>
  <c r="M21" i="1" s="1"/>
  <c r="M11" i="1" s="1"/>
  <c r="O23" i="1"/>
  <c r="O22" i="1" s="1"/>
  <c r="O21" i="1" s="1"/>
  <c r="O11" i="1" s="1"/>
  <c r="AK66" i="1"/>
  <c r="AN66" i="1" s="1"/>
  <c r="Y66" i="1"/>
  <c r="AA66" i="1" s="1"/>
  <c r="U66" i="1"/>
  <c r="AM66" i="1" s="1"/>
  <c r="AP66" i="1" s="1"/>
  <c r="AM39" i="1"/>
  <c r="AP39" i="1" s="1"/>
  <c r="U38" i="1"/>
  <c r="AA61" i="1"/>
  <c r="Y60" i="1"/>
  <c r="O38" i="1"/>
  <c r="O37" i="1" s="1"/>
  <c r="AA39" i="1"/>
  <c r="AA38" i="1" s="1"/>
  <c r="Y71" i="1"/>
  <c r="AA71" i="1" s="1"/>
  <c r="AK71" i="1"/>
  <c r="AN71" i="1" s="1"/>
  <c r="U71" i="1"/>
  <c r="AM71" i="1" s="1"/>
  <c r="AP71" i="1" s="1"/>
  <c r="M38" i="1"/>
  <c r="M37" i="1" s="1"/>
  <c r="Z11" i="1"/>
  <c r="AK13" i="1"/>
  <c r="AN13" i="1" s="1"/>
  <c r="S12" i="1"/>
  <c r="Z37" i="1"/>
  <c r="S38" i="1"/>
  <c r="Y13" i="1"/>
  <c r="Y12" i="1" s="1"/>
  <c r="AA14" i="1"/>
  <c r="AA13" i="1" s="1"/>
  <c r="AA12" i="1" s="1"/>
  <c r="U60" i="1" l="1"/>
  <c r="AM60" i="1" s="1"/>
  <c r="AP60" i="1" s="1"/>
  <c r="AA60" i="1"/>
  <c r="Y11" i="1"/>
  <c r="AK12" i="1"/>
  <c r="AN12" i="1" s="1"/>
  <c r="AA37" i="1"/>
  <c r="AM38" i="1"/>
  <c r="AP38" i="1" s="1"/>
  <c r="U37" i="1"/>
  <c r="AM37" i="1" s="1"/>
  <c r="AP37" i="1" s="1"/>
  <c r="AK22" i="1"/>
  <c r="AN22" i="1" s="1"/>
  <c r="S21" i="1"/>
  <c r="AK21" i="1" s="1"/>
  <c r="AN21" i="1" s="1"/>
  <c r="AK38" i="1"/>
  <c r="AN38" i="1" s="1"/>
  <c r="S37" i="1"/>
  <c r="AK37" i="1" s="1"/>
  <c r="AN37" i="1" s="1"/>
  <c r="U12" i="1"/>
  <c r="AM13" i="1"/>
  <c r="AP13" i="1" s="1"/>
  <c r="O10" i="1"/>
  <c r="O9" i="1" s="1"/>
  <c r="O8" i="1" s="1"/>
  <c r="Z10" i="1"/>
  <c r="Z9" i="1" s="1"/>
  <c r="Z8" i="1" s="1"/>
  <c r="Z108" i="1" s="1"/>
  <c r="M10" i="1"/>
  <c r="M9" i="1" s="1"/>
  <c r="M8" i="1" s="1"/>
  <c r="M108" i="1" s="1"/>
  <c r="O108" i="1" s="1"/>
  <c r="Y22" i="1"/>
  <c r="Y21" i="1" s="1"/>
  <c r="AM23" i="1"/>
  <c r="AP23" i="1" s="1"/>
  <c r="AA22" i="1"/>
  <c r="AA21" i="1" s="1"/>
  <c r="AA11" i="1" s="1"/>
  <c r="AA10" i="1" s="1"/>
  <c r="AA9" i="1" s="1"/>
  <c r="AA8" i="1" s="1"/>
  <c r="U22" i="1"/>
  <c r="T9" i="1"/>
  <c r="AL10" i="1"/>
  <c r="AO10" i="1" s="1"/>
  <c r="Y38" i="1"/>
  <c r="Y37" i="1" s="1"/>
  <c r="T8" i="1" l="1"/>
  <c r="AL9" i="1"/>
  <c r="AO9" i="1" s="1"/>
  <c r="S11" i="1"/>
  <c r="AM12" i="1"/>
  <c r="AP12" i="1" s="1"/>
  <c r="AM22" i="1"/>
  <c r="AP22" i="1" s="1"/>
  <c r="U21" i="1"/>
  <c r="AM21" i="1" s="1"/>
  <c r="AP21" i="1" s="1"/>
  <c r="Y10" i="1"/>
  <c r="Y9" i="1" s="1"/>
  <c r="Y8" i="1" s="1"/>
  <c r="Y108" i="1" s="1"/>
  <c r="AA108" i="1" s="1"/>
  <c r="U11" i="1" l="1"/>
  <c r="S10" i="1"/>
  <c r="AK11" i="1"/>
  <c r="AN11" i="1" s="1"/>
  <c r="AL8" i="1"/>
  <c r="AO8" i="1" s="1"/>
  <c r="T108" i="1"/>
  <c r="AL108" i="1" s="1"/>
  <c r="AO108" i="1" s="1"/>
  <c r="S9" i="1" l="1"/>
  <c r="AK10" i="1"/>
  <c r="AN10" i="1" s="1"/>
  <c r="U10" i="1"/>
  <c r="AM11" i="1"/>
  <c r="AP11" i="1" s="1"/>
  <c r="U9" i="1" l="1"/>
  <c r="AM10" i="1"/>
  <c r="AP10" i="1" s="1"/>
  <c r="S8" i="1"/>
  <c r="AK9" i="1"/>
  <c r="AN9" i="1" s="1"/>
  <c r="S108" i="1" l="1"/>
  <c r="AK8" i="1"/>
  <c r="AN8" i="1" s="1"/>
  <c r="U8" i="1"/>
  <c r="AM8" i="1" s="1"/>
  <c r="AP8" i="1" s="1"/>
  <c r="AM9" i="1"/>
  <c r="AP9" i="1" s="1"/>
  <c r="U108" i="1" l="1"/>
  <c r="AM108" i="1" s="1"/>
  <c r="AP108" i="1" s="1"/>
  <c r="AK108" i="1"/>
  <c r="AN108" i="1" s="1"/>
</calcChain>
</file>

<file path=xl/sharedStrings.xml><?xml version="1.0" encoding="utf-8"?>
<sst xmlns="http://schemas.openxmlformats.org/spreadsheetml/2006/main" count="707" uniqueCount="500">
  <si>
    <t>Указать название организации (на бланке организации)</t>
  </si>
  <si>
    <t>{"estimateId":5149114,"estimateVersionId":7722540}</t>
  </si>
  <si>
    <t>2</t>
  </si>
  <si>
    <t>VBUJXiLL+Gp4i0538xm4luS12YYBpiaYX9TRUkjN5OjkSr2KdRlSwZlYwY07aEzrZx01mCcy9VGAjXpzDgjZs4cnlFSiETzm4w6tZvH4BwJ27vJjhCLwksJFpJitGAYqvkOlcltaDQ0kO02dhQ4B1vMFCR9iIzNc3BcL4tbf7Po=</t>
  </si>
  <si>
    <t>ТЕХНИКО-КОММЕРЧЕСКОЕ ПРЕДЛОЖЕНИЕ (ТКП)</t>
  </si>
  <si>
    <t>г. Москва, Кронштадтский б-р, вл. 9, ДОО на 100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</si>
  <si>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</si>
  <si>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</si>
  <si>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</si>
  <si>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</si>
  <si>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Разница</t>
  </si>
  <si>
    <t>Цена подрядчика - ПСПР</t>
  </si>
  <si>
    <t>Материалы/
оборудование</t>
  </si>
  <si>
    <t>СМР, ПНР</t>
  </si>
  <si>
    <t>Общая стоимость руб.</t>
  </si>
  <si>
    <t>%</t>
  </si>
  <si>
    <t>eF7tvWtzHMeRLvxXJhSxETIwPadv1RdG7AcQgrigiAvRA5HA4QnHXL0M86KXovbiDUfoYq3t1a4tr+VdvbIlmfK5fXk3KIpc0SRF/YWef/RWdfcMgZmq7sycyW4wYmXjPgCfJ6s688nKrKp/eOXu3781euXcKzd7b73SfuVvejfeGXWz79x658aN9iujvxuMbuTfeOXt6Qvk5/9w7ZXB7Zs3b9+69sq5/y6/UH9Ffvriu+1rL/7YteKvXXvx57LXvv3iZdnX6Z/SJ+n99Nv0/uT9yT+30u+yLx7I99+lj9NHrfT55N30m+JL9ap/lB8ft15VL2ylX6dPsx89Mb7yB9m/N7h9+87w+q3e3fwf3XCy747evnv9pvzewe2/3R6eAHzr7vW7f3/hnevT7/20fZrtrfH1H9HY/sO1ay/+Wflvyq/OCcePHcdvn/zRm6M7b1+/fat4RRi6rvDtn+qovLYMFTkBaDx0SF5fBsnb139EnEA6KFvLQFlqNn+V/i79X+nn6afpZ+kXlnqX/kH+73fpH9P/I9/fy77zu1b6pfzG79JP0t/LL/9NfqZ+43dyVn8lX/Clfs665w7dpmh902lJFs8n78knTT6b7Vb6mXzYnqffTX4xeV8+cg/lw6t+9jj9s3worcm78hUP0qedViw/+URy/CJ7sluObbfSZ+mjyXuT97UkvXOHXlMk70kqzyWFZ4qo8kbt1uSDqXeS8CWBya8lr1b6vST/KH0onc/z9D/lZ8rjPM4oP0mfTn41+bl8/aPJ++q10iyP0q+z31OfKjM8kr/19eRD+f6h+tcmH6lv5w7w3ez9R7mx5G98lH4vX/Y0+6XCH06/8Vz6uuct+Q8+l4C/l996lD6R/8L9lvoj0jE+V0PSkhPrk/Rey3X/Qmtu/9yh35S5vyyM+Eia7J8L4yq7nx6D3NjPM5f+QJkse8mDUzzlc/OlfLTkM6V9ci6Kc3uiKZZ/SP+nJbF9JZ/3L9L/t6UehfQLHcp9ce6gKZRxaDuu40ZBqEOWiHOHTSGTZlOPn5z7Mpzf187hN8S5jf3G8P3v7Mm8nz+XDyfvTn4t3/9cTlfpN1pWazox9ciDcxuXgqaQ/0H5Gumm3pVg78tn8COpNf7btWu3lHdSWkr6vofy85kU01MIm4J/TxL4Y1sZ+HODeS81hu0L6d9/aXJomWW/7mgh78gZsdMU7L/QQtqVkPZe7km625RFAZN0rzFs5Em6L2fEfmOwP88Ej5wR0uWqySDf60DKoNAYxM9UKFDa8VuVnraktL+nH/3z4tz5xlB+Lp8ZNeSPMjF5IuM+IUV1oDfFuc3GQH+WjX4GWiUemV/4cxZ8S8z8mjj32hlEPC8XdNC3xLmtxqD/Ln0o8z6lvJ9pPcHr4tzrjYGTdp38y+RnnWyivlekU1obXhDnLjQJM31qqdSllf5Gr/z/Spz7q8bw5VHgkXrun8yg6lBui3PbjaEsVHZ7GpcqM9uLwbk3XmrRcrExW1dqluY0P3oaXArONZcF6NaTgLhlHrD7Uk/fxpKY6unbXDZQprjb0sDQ2bEXnGsubUA/gzJduPxSz+Xmcp3KuXy5MWjoaXAQnDtoDO0SrjgJznVf6umbNGf1qunbbQzaqlzxYXDucBkSd2/f7d1Y4HDtlVu9m6P8z9J5nKiQwKf7a44dMfB56+237nTVz3bkn7xzvXdj6/955/pbN+Vf07Acz7H8y+Rw59WdSFvc2WHGm9y8s3/rDhTkrh7kLjPI/TvXB7rpsoBRWWt9hmZeVvCgvLvUsCd6iyaMWHFD3tUD7DICBA+3stJ61zDchzwI//r6cDi6tdyzfqS36RE7YtzQH+thHrPDBE8AZbH1Y8ME2NhYDuhSAfizTLQ8TR9PfpavfmbtWs9ftFk8zhekskXT9Il8P/2+/NbPsl6vZ/kvTX6tJefY8Tk5xeOmCH6sQ3XeceymAH1e2Pvn+Sr//Vw1Tt6T33r3hYbUW3OzQdwP0/utV//iB62s2POd6qvRIXytOYQ6OH8l4cjp1xim9DeG6ddYZ9xvlQ7N5tl3p3t7HmdffJB+Lz/LvvnkhHAtOp5UMe1B1i2kiilP826oya8MU7UxjmqqVk7TptAZpqmjpmlTmNJ/NUzTxjodjdM0m3xZkqU8ZzFVvy66j59n3X1PJh9MftVSPcjZBFahS07S1qv5NM97m6ce+PFJD3xfqyM2GzSDnMmvTtkBXG9TOA1z2lVzuilM6W8Nc9prCtC9LMA/aSlXe7qhVAmq6eRWTRXvq77K97OfPcyWnbQF1c0GuWTNwx3DNGwKlWEaemoaNoUp/cQwDf2mAP32pF9M/yw/fpT+Wa1b5bNTtFRgN/ScNAgbFNSbQmeYeb6aeU1h2jJMPNEQnvTTxZSxpfoxvs92NDzK+h++y2Oy6sz/p6yVXrlCGQLlHJUhezr+rek3fpB1+z/Pm9PlFP6okKnKlX4rxerTyT9n3T5KLTxb+JeMSVZjJjLxVLUG1VZTNf+bAm6Y/0LN/6Ywpf9meAAaKyP9q5zcD+UcPVkQyPaM5Cm/Kg08mm5EeaLZdyJFrJzjH8hfPdG2lvnvZ9lDM1nYeCdfIH9kmOWN2eGBssMJK1iZJNc0QRpmeVPADbM8ULO8KUzpvxtm+TLlsKUA6VO3rC/w+0z6FltM1SLCN9nrnqsu4getQgCrZcZ8d2n67+oL+fZtWW/mZoNcIT65KXCG2Rqq2doUpvRTw2xtbAF8bjn2ntogZphljWHMll4zz686mO8DFgKagmqYc5Gac01hSj8zzLnGahJfSL360eT9k1tEpSh4ryVd52eqTeNT+cGwWpWtCqgFrl/Kb3043ZWZC2XpSq0TW2UzL/sXuVfN/kTFbvzNBi1yQu+rud1akAjqu3+hk0RaCf9ac1QMT4AqgjWGKf29/glwGyuLnHgCFibnVCyo3iqpbdUsz2aDmt8ndxur35imdE8z5ZBvnHEtr5UJi9xtnn4eiqwqm0Kq2160ZnvFH6nZpf61k8mn+jcVpOxh+3ZOjsgfGp6k5iw79yTNY86+lxlH/9w0Blz/3LiqetcYpvQPhuemsTrN/8kEdF54e6GuT9Tp7supXISG7KCD7HSCzKWq8V/8XV0Cmhf4H8rH4tdaj0tbq27OaCc21KjZX76/5rXmgBoeAVUZbAxT+rnhEWisrPNJvpyXh45virL1uy+Cx/QkjnwJwbD20Rz8h9LzqlkolXzhi78xTMOmIBqmoSrmNYZJn5PJaeg1Bijv/C5VImU65PmJ3381Ux7S+0ofLbX9D4qNtA+zOZwt76mF4A8mH2bLe0/zVvTsoJ/nag+ryh9+nnniwq2rx0BBcm3HV5NMfhTFx6CAZNItjdkzQ2W9SHJfCJWqb0rb5k3V0qKP0m+LxmotwdeaI6jGwLp27ZYag+JjaBkeNVWwbAxo+qXhUfObAnRPTvo/q8cM5tqbwiln5HtZtcawTvlac9AM80yVJxvDZDiKwXFFU4B+m4nYTMLmZ2FlhXHphh9nWiNLByfvts610v/ZST/tpF90ThwDlsvpya/auRh+2mm3RtbN3vUbhlnaFEvDVFCVusYwpfcMU6Gxooo6LuBky/NztWrwNDv96vlqxr8paobxVzWsxjClXxnGv7EyhToUL6tHZmcIFgeyPGnl50IW+e+LpDefKoaBboqDYaBV+QeL6X9kf2k42u/d/Wv5PYkw6A/cfr9nWyN/LCw/ssdWFIVjq+d7ds8TvjMc9vJX3rn9t/kncf5hxm10YzTbi3KSHHjTnSMfv38tsr/n01UNNU6PNd+3TvQ4z71cHQaqbdPeiM5tw4sWUKP8VP6i6kYDGmMFO/Zi/Y49Jmo+nhpuu8+uns8uEx+B5wPeF6To7Onp7DHRgT+GS24Y1NNKeGipJWIMLdyM6+q5dJm4ODguqNl2qKdyyEAlm27utdNRYJ7b26PB3euaECejwDs3+yPdEC3GAUdHaUNfbfMdzws9zw7meeXRV5ofjFCFxB++lcXEapCuDuN5Isb5h7jEirBYmn4iY+FUyz7OFWyRAT06VaZuZxU0tVJVyJ/8JdnSV966VaxXnS5MP9Ox34zPbRMNsBBAzRZYQQB1bH0EpYKfD5EA8DiHtWtAvEtFLPCIUW5pzwB4jwoY/oQsGeYMwBMi8IVAVgEcNy+6BrRdKlq4OyeEKgPYQwrYbFJcqyMWGaKRYQvqFHVoNDEYJC4c6WGep8KEP29nJSJld5c8ynYPfJtl+r+Uf7NovzZUR+xz21T71BywnPaOF+qDFplBDVHLae8aYO+SYQs8bJSb2pOo9wyo98io4c/TsvHLaScG9AkVPXcQc9pdA+QuGTI8GFAimdM+NCA+JCE+CZk9npkimr4nZQo8MpoaDBMb0TquIagRkcIfQmhQ+0LGnuyqlexeivQP6Rf6cuum48hYQ4Rdc6xx2zuuije+Id5QWdQQb9z2rqtijh76Lhm6wENHOZQ9iXzPVXFHj3yPjBw+5ZeNO247cVXs0TNIqAy4Y4/b7roq/uhhd8mw4c6bEn/c9qGrYpAe9SEJdZ0plTkI6TvSpshjo73BQAlByJRbEbHCn0loGMriTsux1L7/f8nK3P+pQ7zpuDIKEVHXHIW89o5jKHSRGdQQgbz2rgH2Lhm2wMNGuZM9iXrPgHqPjBo+y5eNPF47MaBPqOi5o47X7hogd8mQ4b6aEnG89qEB8SEJcd3RxhRvvDLsjm20NhgqKd6YIg4RLfxZhEacL9VK3uQjHcpNx5NRhoi05ihjynGo6GuIMKbchgpZ4CGjXMeeAfEeGTF8Ni8bWUy5DBE5d1Qx5TBUuHB/TIkoptyFgjabF+G1WRT572Vh5W9v3/mxhgMlppiiil/KwTVaHIaUGFI6TmiKK0S8887aZFlgUPkiu3g+a8rN7ny+35qdYZp1cqvu7SdFQ/cz+Zpvss/yctJ3+d6Z77M/8H6xlUbtwc926GQt38X3fpHViB60s59Odz4+yK+Qe1GXyv9c9m9IAN8VJ6A8mf4r6gu1aefDF3t0dJbdpFp2PpAYZ8JN5dF+eP1tyMTVIXyNilCgEBLRbVHRBTB0N0e9t9+5A5qcz1wdwNepAEMYwNHfvTW69bYO4K05gE7Htm0dxAtUiBEM4t/cvvEO6PnWgfsrKrh5EWAAlwUmiPWCjnZ8t6n4nPlYbwCoRFUWOEkyZfv1rYODvYNXD/YOd197Nde0or3jBPItlG/RD9QWO0mi3XJ/0Nb3X1wkUwQG1hlFo56ZHw3XtuOOfja/QUYLDK4ztBD7S9ut57Z/I7exDvIlMmRgfF0uE8rxSyZr22YOO2QOPpIDXPTmwCXotVNDYKKwS6YgkBTA00dadX0KayE9oqIFhr63Vuh0Eul0Eul0Eul0EpDT2SfTAwbOt1AOx7edyOBwLpORAuPnW9DZsj9zNpfND+oBGS4mopLmTY59v9zRJFT8C8l1GX66k7lc7mS6ZPjAYIrMtOWU6eodzCEJqYLa7w9GvbEXW8L3B5YfRmOrF9jC8p1+NHT6vaEnirEwpuA3i/mjIUhLw02JuMBxhJLTJeslnDAJu47HeU4e8yKjbGyAifxv55Lm++oYO7Xr8kFx0sWpDdm/Tz9O76VfpZ+mf5Bvn/8wP98o/VP6efpZ+oV8/5V6zX/IL+61Lu0Lp6W/BGiT00gCbqRlM15GFvPSoIQFIjN+oj/y5nVOJvMqoIQJPIW2OwXkhQyakcm8SihhsmSmzUhiXjuUkIBm5G7H93Q8tjl5LGTtJURQmfs8u9juuNrb4y6y0kP4+lUkldPUUii5JFWfMKeXnKwRbg+cFYEHdJ+VGvbBg1ArHcz96sFM2BjnfdJCjNz+SFjxoO9Yfl+4VuQPXcuPPd9xI2cQxYVPrVF+ahcPNwynyJcYAkaudvnJyAPhkqDy899PlHzut7I71b/Nb/tWp07d2/K8HyqJ6Xit7PS24rBB0xU5jNwFnPuyqpKRBcK9rkJVMjJhUpXFQUwLqpKRSX2qkpEENrgBBsPv2NrB2ObkUZuq9KOOqxXNF1npIVz4KlVlUAiRwKwqOVkj3B5ZVRoHdJ+VGvbBg1CrUJWVg5mwMc5U5SgOQzuKYysQg8jyXa9v9aQEla8dj6LI742i4fha3apSO/QbhtteSgwBI1e7qmTkgXBJUFX5WXYW8Ikeo+eTn+dLmNkxtn/KGpF+lrUvnbz6u1jkzE4Azq4CsbLFzo+zY20/Tv+oPyxvk9M4Am6cZWUnIwuE/12F7GRkwiI7DTnpBU4i9alORhLY4AcZi9jv+Doi25xEapOdTtDxDIuZnPQQPn6VsjMslEpolp2crBFujyw7jQO6z0oN++RBqFXIzsrBTNgYZ7KzF3vjnh/2rCiMpDB1RGz1AhFaYdjz/bjXF8OwapfU6mWn1lVtGC58KzEEjFztspORB8IlQWXnvRMd8I+znvXv0vvZrcc/z26gyK6KfazuSXjRGv84uz8iv1BCXRh0qlP+fis7Dll+914mYj9Iv2vlJXfPticfBuqd47TUZQz5t197TX5P/uxAZ85NTnMKuDnhQlWK78fp9+daUtD/0RLqg2lHQXZv0osdBfdPGCjO7NNuvTG607vZa+307vR+8pPrLXWbTfrn7KKm79QGg6zh4X35F563siF7N0sGkguu47jKoPK/Cweda9du6Uy7xWlaRBiBq+fJL/SL6K9zMmFRz1oXeIGTRn3amZEENoIDRiLwO1opss3Jozbp7NtuJ9D2nV5k5YcIVKvUzlEhtyKzduZkjXB6ZO1sHtF9Vm7YRw/CrUI8V45mwsZY/vc/fnrCbRrV8UrPEDBU+eNSkt48ybrOENC6zfNUtPBd11Bl+4k6njOdXszyn5qzQHUENp343DaVRL3HC7iGc6bJ6H08enine3a8gAHyLhmywEOGd7er4wUMiPfIiOETne5Hs00zBuQJFTnz8QIGuF0yXLirRm56UMcLGNAektCe8H81ni5gONN5w3B/8pSCMBochpQYbDqx4XABKtx5V73k4QJz0UZztMDcIsrzuVUTHblNKrl5T863v5+KUKAQEtFtUdHNK3m2/f1UgMBtivAVCfP+firE+RUHlv39VHDzUZhrfz8VH8v+/sXWQf2QXySjBkYr/Jb9yA1MO/bJYIEBC7dj37WnO/Zd27hjnwwZGLRQyQV0VuyQUQOjESGpKLbPuvbaKaMb9+iTKQgkBfCEkVZdn8KazzHIaIHhi7wIZZoi+2TEwHiG23bvBMI1bbsnIwWGNfi2+5nHuGz2GAdkuJhAt8qpkFAR8260n3mKy+WeokuGDwyByJxTTpKu3ksckpBm65sn0qA6Fjj1y5vFJQwm+LVfvJdnnJ4O63kqVviaDzTdzI/kVtuQ8tPi8rXN4nBuw2FxrnNum8qg5pVNt73jGSo4ZAbzKgTAAO5e8tVNt71rgL1Lhi3wsOFuJVvhdNt7BtR7ZNTwGQ+OPIZVTredGNAnVPTcK51uu2uA3CVDhvttZOTJVjvd9qEB8SEJcTZHrtUXeUxLnW4p9gZu2ctij2mlk4gW/ixCo0/Z8dyuK6MMEWnNUcZr77iRIcpQGdQQZbz2rgH2Lhm2wMNGuZA9iXrPgHqPjBo+s5eNMl47MaBPqOi5o4zX7hogd8mQ4T6aEmW89qEB8SEJcQa5cCm1FdaUEzdEG6+UA/jyoRUW1jz1wRhviHiBi5TQYPOnrJSmdrz9OTsJ+4HqLc7aZlWxbfKBOu+rorq2cHr34zNwdjfVvPMRhrG2R0QoUAgB6GY91V+mv7e0k3WLihW4VIqo9KkZ8E2npb/E/nUqTuAC6UoKfkSIwJXRJQt+RHCYdVCA9cLA0DZMxcdS8FuIs5oDvV1fqmAh3wL5FuZn68pIXHKgN5kiMOTiq4O+I2ez1i+8QQYLjLrI6qA3qw565uogFTIw8C6XOhW91q63tm3msEPmAIxuhORpWgHw1k4NgblWSKUgkBTA00dadX0KayGHoqIFBkBwrRDgcxLpcxLpcxLpcxKQz9kn0wPGTVxhMXLdjq0tZ1wmAwVGT0Rd0ZvVFY3P6QEZLiaekqZNsQug3M8kVPzMVUZv7ZTpzVVGKnxgKEVm4XLKdPX+5ZCENIMKOiVHkTGm5jd7q9uC7OYfdRw3XB/HEUpOl8SXcMIk8joe5zl5zGuMsrEBJvgrPU+Rk7uAc4fntjoWW5ws5gN+CQtE1ms62IaTCcvWXLtj+zomFziZ1LY7l5PEvCQoIQFNs72OHWp11jYnkfq25xoPVGSlh/Dhq8gVpxmjn+/ndM23QLGyRvg9cLIDHtB9VmrYJw9CrXQw96sHM2FjnMnKwB+G4WDkWX0niiw/kK/teaO+fG1v6PSD3jASg2t1y0qtq9oozudFGAJGrnZZycgD4ZKgsnLxlpji6hf9ZTH5cSyq/vNQFW4s+eGx/On3xaseq71d+at0xtnkNI6AG2dZ3cnIAuF/V6E7GZlw6U7D9TCcVOoTnowksOEPMBrSmwuD8GQkUpvwDOKO8HX0LrLSQ3j5VQrP4koR13w/DCtrhOMjC0/jgO6zUsM+eRBqFcKzcjATNsaZ8Bz6bijC0LE8dxBZjjMaWT3Hdq2hEwROb2D3+3ExzWsUntqcY8MNsIaAkatdeDLyQLgkqPD88mRvUklTUn5y94kj/U6d3PffvPPdVn4YoMgOSzx53J/14rg/ncU2OS0m4BZbVo0yskA4ZbgaNR5QyMmERY06nUgbTi5wMqlPjDKSwIZEyGD40sM7BjnKSKU2OerEcacgsqBHOfkhnP8q9WhxGYlrvlmGlTXC9ZH1qHlE91m5YZ8+CLcKQVo5mgkb4/y+7FEY9MOxbQ0j17F81/Gsnt0X1tAfxn07ipxoXLXVavWCVBs8Ntzyw841hoCRq12QMvJA+CSUID15o4wSpdltMy8uw17p7TKc9hFw+ywrPxlZIHwwXH6aF0MZmbDIT7sT6ohc4CRSn/pkJIGNf4CxEF4n1EbybU4i9WlP4+0yrPQQbn6V0rO4kMQ13y7Dyhrh9ujS03i7DCs17JMHoVahPCsHM2FjrKRnmaJc5W5KQ1U9KqMWuPPUGt9NScQ77yj+azelzrybVPP6MPOuYjclEaFAIQSgO7Wb0tNh3aJinffv7LspiTiBu0LggrVkNyUR4rwc5dlNSQSH2f0BsZ7WZW5T0TW3lzJu73i2fHOKPU1R6T5KKj1gsF3tPkoqWGC8Re6jjGb7KI23g1wiQwaG3FXocslkbdvMYYfMARjXlthHGa2dGgLzPkoqBYGkAJ4+0qrrU1hzaPfIaIGhD5zWAPxNIv1NIv1NAvI3+2RqwGi5uj2UVKDAmInYQxnN9lAan9EDMlxMFCVNmWmiWOpjEip+5j2U0dop05v3UFLhA8Modg9ltN7V+5ZDEtIzWuIxHqkX4zhCydVe4mHkgVj7g6b19Zd4GO0j4PaBZ706FlucLBBrnYh82FjiYWRSb4mHkUh9JR5GEtiFZsBYhPqx2OakcRYKPJz0EE5+FYnkNJ2Mi5pAbE4pOVkjnB44EwIP6D4rNexzB6FWUeCpHMyEjXHe6z4aiCjsRVYw9keW3xv3rf5Qvot7QWg70aAXuoNrdetOfTnIK70FQWcIGLm6dScnD4RLgurOF7fbP5bK89HkPbXRcv5ee/mq5/JLVWNSivP5VJLem11Zn32dXIgdz7bt3fxL+emaeotU97vOVpucthJwWy2pQTlZINwxQoMa7rLjJMIkQR1bL0I5qdQmQjlJYIMhYDSkhw/1MpSTSG0y1Bd+J9L3uLPyQzj9FepQz86li2e80mqHlTXC8ZF1qHlE91m5YZ89CLdyIVo9mgkb47N62odr2HTpOVhDwMjVLkQZeSB8ElSI1nvaB6dxBNw4yypPRhYIB4xQnqbVT04mTNLTdNoHJ5X6pCcjCWz4A42GE2hHY5uTSG3S03zaBys9hJdfpfJ0Cq3imJUnJ2uE4yMrT/NpH6zUsE8ehFqF8KwczISNcX5HanvmNY3KcqUX1RlWN90ykq49T9LU7L7qi+q0y/DnqWjn59fyF9V9kj7K2te/Ky5G/S6/J1WtWH6dPp+8b7jDznPPbVNJ1HuHnecZXBwVvY9HD2/tye6vM0DeJUMWeMjwdh51d50B8R4ZMXyi0/1o1iBoQJ5QkTPfWWeA2yXDhbtqZJeXuq/OgPaQhPZEpqFA13RVnamLy/NKKbhGg8OQEoNNJzTsraLCnXfVS+6tmos22H1V91s6cptUcvOenG9nExWhQCEkotuiogM2dCNWL8r3MlFxAruz4WsT5r1MVIjAvuwl1xyI4OaD8ZJ7maLQcDMcFR/LbibNepR2yC+SUQODFn6TkhPFBrBvkMEC4xZuk5I3u+zNM1/2RoYMjF2oHAM6K3bIqIFBiZBbFNsGvNn1bl759W5kCgJJATxhpFXXp7AWUg0qWmAUIy9FmabIPhkxMJ7hdht5YWQAepkMFBjV4LuNZg7jstlhHJDhYuLcKmdCQkXMu79o5igulzuKLhk+MAIiM085Sbp6J3FIQpqtcmY6qJggdaxzavFveH4pfs9oaTBQSuIZxzqw56lg4Ws/0LTzS7WbZ/JzmVxCljb9c9tU6DUvbYr2jhcYljepDOb1B4AB3LPky5uivWuAvUuGLfCw4R4lW+IU7T0D6j0yavhUBwcdwzKnaCcG9AkVPfdSp2h3DZC7ZMhwj40MOtlyp2gfGhAfkhCfWIGrbcnTcDrThidKCQijyWE4aXHHhPY8FS0wZ4QGnvzizvvTizufZV9mF3eqNiv1rQeqKyvbkvrB5Fc6KptUKvOOnHF1k4hQoBAS0W1R0QHzQvjqpuHkeyo+YBa4klVNIkRg/rfkqiYRHCbbA1hPq4G3qeAaXtKkogYGJcqSZuQZ1zSpaIGhCbmmKWZrmsYLeC6RIQPjEyq5gE6LHTJqYCgiJBTTpQqxdsro5jVNKgWBpACeMNKq61NYC3kFFS0wdjGsaVIRA6MZdk0zCIyLmlSkwKCGWNQUs0VNo8c4IMPFhLlVToWEiph5UVOsnTK2eVGTCh8YA5H5pZwkXb2XOCQhVYua7ZlCqzG7dHUcNryglENotDYMJzG7jEzZJREtMHpDs8s/ZeuY09wy66BRX8ovnk/eb6UPF1s7Jx+eWP/MTx2eHSz87fRI4QcqUX00+UV2brH6/4NW9qPvsiOJ/5x+l29K11lmk2oZoELAJavZuu9jRUZi/7W6GW7yntrU9DB9qj48T7+e/FNmo3nz5UcxP5D2+oXM2H81+aX86ht1/NPsV9otlbVnBpkdEPWg2uTyr+VfSiA/z66qu99ppZ+nj/J/U4P1yYl/dPLBHM7HC/+AblBeow6KQA0KYEB06Lao6IAaZ/n8nIgPqGhWkp8TIQKlzJL5OREcRrgArGfIz4ngGs7PqaiBYR2fn8e2bSgDvkEGC4ztyPQ8mKXnxuvILpEhAwM8U3pORQ0Mvkuk58HaKaOb03MqBYGkAJ4w0qrrU1gL6TkVLTB0MaTnVMTAYIZLz53IljJb2wt6mYwUGNMQ6XkwS8+NHuOADBcT5VY5FRIqYub0PFg7ZWxzek6FDwyB2PQ8WO/qvcQhCems58gtQooxM19Zz5EhMS+9H8mNjHYGw8Tn5treqPNUpPAeDGhe/oXM61Qm+DTPzO+ln6W/0UHe9MJz21TYNbcaRe2dwG7vOLZj6Dei0pgXHwAacK+S9xtF7V2JfdeEfZeMXeCxw11K1nQUtfck9D0T9D0ydPisB4ceLYVEUkgkhcREIaFS4G4/itpdibtrwt0l44Z7cGQQynqQovahhH1ogn1Igp1NmWt1BSJTB1Lp5QDuwlV9tYQi0woxESv8sYQGoy/VyaKm1dpIxh8i0prjT9ze8X35Jj8K+VGY2l6pbGoIQ3F7V1LYlRR2JYVdA4VdMgWBp4DyLXuSwZ5ksCcZ7EkGewYGe2QG8Nm/bFCK24lkkkgmiWSSGJgkVCbcsSludyX8roTflfC7BvhdMny4b6eEqLh9KNEfSvSHEv2hAf0hCb2CX2/LrIoDhoAVlxHwHKP5YThJ0crcMUsEC1zyhIYrw+2rz9MnquaYXZ/66/wbT2fHBWRHCGTfeTT5QJXzdAQ3qQTnI8NKSpM6hK9REQoUQgC62f2nv7fk3JYfThu41e3d+fHo7t1Oqzu6+dbt1v6Nd95uObbtqeMko9hzgrY60fwP2hWFLSpL4KIpvN5nPKWbCBC4RrqSgh8RInBxdMmCHxEcZikUYj11BpzhuGwiQpaq30KQ1Fyb6ttS+jryzZVvXn6VoZfdeWG6OpVMERgk8SVCIUy9eG+QwQIjJbJEGM9KhMZrRS6RIQPj5XI50/Skx3ht28xhh8wBGBIJmdK0DBCvnRoCc8GQSkEgKYCnj7Tq+hTWQmJERQuMfeCCIcDnJNLnJNLnJNLnJCCfs0+mB4ycyOqiI0WvqfmXihQYQBHVxXhWXTQ+qAdkuJiQSpo301NISx1NQsXPXGuM106Z3lxrpMIHxlJkDi2nTFfvYA5JSLMsrjd0Y2dsW1Fk9yx/6DtWPwxG1ihwY9d3RdyPilhrzKZv9oxn3VIyakNO7ds4hlBqury7hBEm99bxOM/JY15ilI0MMC2fzwBfnW+ifZLfK1BUO39QXC3gtoVqJn42u87qQdb0+jR9bk3eO323VZZKLmaSxQ/zhLO49sov/tw8qPTL9F/T/9VSrbr50YEnu3MLvA/z1tqsoVm19GYXHjw0LBlwDpKADxI8cdex2OJkMS9MSlgsn5hzEmG5w8DgxC5wEqntBgNOEvO6pYQEeDkgCjrC1a8HcFKp7Q4Dxw7cjq+dcBdZCSLCzSqy2iK39Ysbl3zz/VmsrBGeD5yWIYZ0n5Uc9vmDkCsdzv3q4UzYGGcKuN+3XTF0QsvzR7Hli55vRYNAWLEdu6Hr9ALPGV+rVwFro+BGMR8QZoBRq10BM/JAuCSoAlba9X5xjlguKSe/yE5teXemLRfqUFCZPJW3J2Qy+p8qxK/UszON3bJaucoutG6VBs7/+diJHK3L2eQcMQEfsWXlMCMLRFBAyOHyU7E5+fCoYh2NC5w06tPEjCSwMRkwEpHfCSOhY7LNyaQ2SSycjp7eRVZ6iOizSkFc3ATlm6/1YmWN8H1kQWwc0H1WathHD0KtQg5XDmbCxvjs3SfrlhyJ67tYM8Co1S6HGXkgHBJUDtd7myyncQTcOMsqT0YWCO+LUJ6m22Q5mbBoTrtjuEyWk0l9spORBDb2AQbDFR1fv1lym5NJbbLTfJssKz2El1+l7HQLpeKaZScna4TjI8tO822yrNSwjx6EWoXsrBzMhI1xvslM/sRzhbBEvxfIV4xCq98fRJYbxiOn77hR3Cue4tpkp3bgN3wPawYYtdplJyMPhEOCys7P1IrniXI+rPWfk6SAk4TLxxnP12/f6d9ubb1z5/bg9o2WiOPs87d741Ereeet0Z2W1co7LNrZGW2Tf5n8rFOcL/ZhJrbvt/6yZbd9oX78TbsVRrb85EEnfbaWffcvW55wTDJvi9NuCL+9CsHKyIRJsHo6Ihc4idSnVxlJYIMmYCyE3YlC7ar1NieT2vSq63qdQKvHL7LyQ8SHVQpWr9A4xhvEdlhZIxwfXbDaohNrW5/3WblhHz4ItwrFWjmaCRvj6SG6xYjWuN/U0BnglxIF3w620v2mgWG/KRXsvNOodb9pdmJudjjsw6JG/zg7AzZf48xOz50ep/tiaTT79vfZF2q180P1yuzfelzU+0vvvP5u+vtPsy/VmbwKxbfZVTKPs9N/n+cdAmp19YHO1ptUW/swW69g6ysVoUAhJKLboqKbd/VsW1apAIEbb+Cy1bxllQoRuONmSUFKBIfZXwOwnhAdx9ChSgTY3I5V0d7xA/kWyrco3z3m+2U7VskUgWEWv2PV8T3jRdpktMBgi9uy6vvTLau5jXWQL5EhA0PuKjS6ZLK2beawQ+bgIzmgd5NJ4KeGwLhllUxBICmAp4+06voU1hzaPTJaYOwDpzgAp5NIp5NIp5NIp5OAnM4+mR4wcuK2rLqR+RJuMlJgAIVvWZ05m8vmB/WADBcTUknzZpo4ljqahIqfd8vqzMlcLncyXTJ8YDBFblmVU6ardzCHJKQZVCFGbn8krHjQdyy/L1wr8oeuTNc9X6boziCKi6lvTMhLlicoSblpy6rAMYRS06XuJYww6buOx3lOHoilQGhm/+8nMuT7rfR/yzT92/zuVXU5zr0tz/uhChCO11IvzIom/6h+puO+ycldwLkvm8cyskAsayLyXWM9h5EJUz3HFTomFziZ1FfQYSSBXVMGDIbjdcJYW1/b5mRSW0HHjwyHpF9kpYdw4qvIFacZoygqAMbLE3dYWSMcHzjZAQ/oPis17KMHoVZRzqkczISNca4q414/tm3PEn3fUy1KoRX1e+oXgsCNbOEPw9G1elWlodgToM0Aola7qmTkgXBIUFU5a0CaFmRmmzTzWs6fsrLNz+TbP2baU1V97r84heR7VV76Mv00/cxK76VfpR+nn6efyPd/TL/SWWeT0zoCbp1ldScjC4T7XYXuZGTCojsNteILnETqk52MJLCxDzAWnud0bO1wbHMyqU12OkGnOLN7QXZy0kN4+VXKzqBQKsZLwXZYWSP8Hll2Ggd0n5Ua9tGDUKuQnZWDmbAxPpvbLV3TdsvS62N0ZoBRq112MvJAOCSo7Kx5uyWjcQTcOMuqTkYWCO+7CtXJyIRFdZq3WzIyqU92MpLAxj7AYEQdNwx0RLY5idSmOkt2W3LSQzj5VarOsBAqoVl1crJG+D2y6izZbclJDfvkQahVqM7KwUzYGGeqc9gfuEPHCax+PAgtv+eOrdiXvzB2Iq8fe8HAjXrX6lWd2oHf8COsGWDUaledjDwQDgmqOj+b9aQ/nvxcfq6OjHusljFPNKi30k/kp39WB82l32UV9eRC4NiebavPTx5Hd+LIZ/WjwLYnH2bvTMfNMRpLwI21rAplZIHwxggVauoxZyTCIkKdjq1tpr7AyaQ+EcpIAhsKAYMh4o7tGdY+GZnUpkIdN/Q6QrtmcpGVIMLtr1KHRoV0icw6lJM1wvORdWjJkO6zksM+fhByFUq0cjgTNsZKipYpzNXtmjSsaMZlxIIFYs3umiSCnfcS/7VrErBrkmhrH2brVeyaJCIUKIREdFtUdPO+nW/XJBEgcO8HSqmadk0SIc7LUJ5dk0RwmC0eAOuFbic2KEsiwMZ2TQq7vSMc+ebKt+LOPb/0nk8yRWCYXfGuSSpaYLBF7pqcXfTpmy/6JEMGhtxViHLJZG3bzGGHzAEYypbYNTm76NMvv+iTTEEgKYCnj7Tq+hTWHNo9Mlpg7APnNACnk0ink0ink0ink4Cczj6ZHjByrnDXJBUpMIAidk3OLvo0P6gHZLiYkEqaN9NEsdTRJFT8zLsmZxd9ljuZLhk+MJhid03G6129gzkkIc3ENag8pMgYE/KS5QhKUm7YNSlsHEMotbpLPpw8EGt/0My+3kYjTuMIuHGWTHQ5WSAWOhEJsanRiJMJS43H2GjEyaS2Gg8niXnFUEICmog7difW9wtvczKprcZj7jRipYfw8qtIJouUUhQXMgrz/ZqsrBGOD5wNgQd0n5Ua9tGDUCuv71QPZsLG+Gxuq/QM2yqFgzUDjFrtspORB8IhQWVnzdsqOa0j4NZZVncyskC431XoTkYmLLrTtK2Sk0h9spORBDb2AcbC98KO0BeAOJnUJjvN2ypZ6SG8/CplZ3HxoTDfYsnKGuH3yLLTvK2SlRr20YNQq5CdlYOZsDHOG9xHAxGFvcgKxv7I8nvjvtUfyndxLwhtJxr0Qrfu1U5PZ4aNwn8hzACjVrvsZOSBcEhw2bnY4H4/b12aNg7db8lXqT4mddWQkpzPfzi7pr3oZs+/Ti7Ejmfb9m7+pfx0Tb1F6nYena02OW0l4LZaVoQyskA4Y4QINXQDcRJh0qCG/nZOJvWJUEYS2EgIGAxVgnZ9HZNtTia1iVBf+J1Iu4v0Iis/hNNfpQot7kEU5kstWVkjHB9ZhZpHdJ+VG/bhg3CrkKGVo5mwMT6bRxV7hn2WxW4HhBlg1GqXoYw8EB4JKkNXelQxJ3cB576srGRkgfCuCFlpXNtkZMKiK41HFXMyqU9XMpLAhjbAYDimk1+3OYnUJyuNJxWz0kP48FWqyuKuQmG+eZKVNcLv0VWl8aRiVmrYJw9CrUJUVg5mwsZ4evHk9DFVYrGmmycNutEvY+qJeaa17KF0bMMmSiraea+xik2U+ZJi0WpZ7Jh8nD7L1J/6wTfp81bWbql2OD7J7jn/1eSXUiB+k22HnC5Vqo7NyQfqha1X08/TR62iDfN51qb5bV4vly/5Z7UN0lYrRx3XdkX6jXbmblIt5MMstIKtj1SEAoWQiG6Lig64/QOhStUU+KbT0i9Bv07FCdzHAdec5h2QVIjADRxLikkiOMx2DYj1Yr8jtGvB21SEzW2BFPkOJFF6WSSZFjAy4rc92qY9j2SowOCI2/MoZjdFCvNNkWTIwAi5Ck0tmaxtmznskDn4SA7o7UhidlOkKL8pkkxBICmAp4+06voU1hzaPTJaYNADpyQAL5OAvMw+mRIwPuL2OYrI5GMuk4ECoyR8m+PMv1w2P5sHZLiYuEmaKtPkrtS3JFT8vNscZ37lcrlf6ZLhA4MncpujnDJdvU85JCFVUIcjxw2G47HluUPbcpzRyOo5tmsNnSBwegO734+LWGXMmUuWECh5s2mbo8AxhFLTZdcljDAZto7HeU4eiNU6aO795cmkuZU+lGmyTKWz72Up+KPJBzLjVsl08aPn6deTf5Jp95N8Z6Tq/vks/c0PWo5tt1SHT+vKpezz13p3fty6cKf39zLL9oPWa7dv3Pjx6FYL/A9Of/JQnZqZ9SOdWAN4qF7wWJ1apL79VDcQm5wDIeADsWwCzcgCsQy6ukSbkQ9LEcjR+6sLnETqqwExksCuRAPGwnX8ju0a8ntGKrVVgTxhd/QHHVxk5YcILKtIWaeJa3HHoTBfWMnKGuH/wDkXfET3Wblhnz4It4o6UOVoJmyMZ3WgQunVWAcSOqYbIihlGs4zracOZLiY/TwVLXCVC6pFtYdpfqdO2MjO2/hu8tHkw2lpSElPpR9R52Wq/3+f/QNP8m2W05dLkSlF5/eTn83KTX9uZa/I/2zR2J59/nTyy476hedS5bbMLe1Ei/owi+LqRum/SkqPskM/pVEeZ8eRPHthlOeT91t5jUy+l/JeaesHk48KQ3+nrJAdY5ptEPg6e3lWl/swP2RU/tmTG1GfqwNJn6q/+0ANTLZ79YPJrzo6M71GNZNAmQlgIh26LSo64DoeQlObOvWJAIGrchiRbKxaESEC1+OWlL9EcJjVN4j11PELBlVLRNhc1Sps74hIvsXFunJQWr2i0gPGc3z1yrfN9SsqWGBQR9avgln9ynhX4yUyZGBkX0UyIJmsbZs57JA5AGPpEvWrYO3UEJjrV1QKAkkBPH2kVdensObQ7pHRAuMeOJcC+JtE+ptE+psE5G/2ydSAERNXx4qMvuYyGSgwbiLqWMGsjmV8Rg/IcDGRlDRlpslpqY9JqPiZ61jB2inTm+tYVPjAMIqtYwXrXb1vOSQhVVD7/cGoN/ZiS/j+wPLDaGz1AltYvtOPhk6/N/REMRbGnL9kCYSS95vqWOUX1S0whFLTrQ6UMMKsEOh4nOfkgVhuhK4dLB7XqT+nMz8m6ffpx9nxSJ+mf5Bvn083sv8p/Tz9LP1Cvv9KveY/5Bf3Wpf2hdNKP9YZaZPTSAJupGXzXEYW85qghAUiHzZuMWJkwlJdUluMhI7KBU4q9dWXGElgV7gBo+F7HdPWdUYitVWXYjnbDOcncdJDePtV5JPTrLK4U1aYLwhmZY1wfOCECDyg+6zUsE8ehFrpYO5XD2bCxjiTn74zDu2wH1uhMwrlK2zHioKxa4W9sRsPAzEW49G1euWndkl4Q0RYM8Co1S4/GXkgHBJUfv6+qBXdb6mb36QGfZYf3JkfojRfXpLfzPaxR2uObWc1JPmFa5tqSYymEHBTLCsyGVkgfC1CZFY0MjHyYZGahjYmRhr1yUxGEthgBxmJknoPI5PadKZjd4RBZ3LSQ7j1VerM4sZYYb4AmJU1wveRdaZxQPdZqWEfPQi1Cp1ZOZgJG+O8XX/sD6PQ6VmRI0aWbweBFQ0GjjXyvHjsjb1BXLvO9HRm2BAx1gwwarXrTEYeCIcE1Zmfv+iGetHo9PTF+uVqD4dntI2A22ZZ4cnIAuF8EcLTuLrJyIRHcna0VaALnETqE52MJLCRDzAWbuh0PEe7aLDNSaU21Rl3XC27i6zsED5+laIzLnSK+apbVtYIv0cWnabx3Gdlhn3yIMwqNGflWCZsjLO++ROSyygq3x4N7l6/fUtjBbSm1K9bBnYpxWieoqlh3gwUIxWnPfNarOepWOfnVolRgXLw3uT9bOHxIx3OzcA+t03FuuDYzGCX82tZ12jgtHeCoL0Tyo+h+hi3dyJXvgn5FrV3Yvl5LD+PI72zI7P08SzhbTyK2q6ktiup7Upqu6H6GLd3JbVdSW1XUtuV1HYltV0DtV0yNYGnBm/xkcz2JLM9yWxPMtsL1ce4vSeZ7Ulme5LZnmS2J5ntGZjtkZnBnyO6i86aCyXDRDJMJMMkVB/jdiIZJpJhIhkmkmEiGSYGhgmV4UJbWQVD3JTsSlpdSasraXVD9TFudyWtrqTVlbS6klZX0uoaaHXJtOBRBdlxJlkdSlaHktWhZHUYqo9x+1CyOpSsDiWrQ8nqULI6NLA6JLE6EYJq23Nm2MW1EZTeIOPbxmGB4STFTxPY81Sw82FpyS1nX6RfZxec/OOsbcywdSz7IENttulM7SF7lD7MjhLMzqaWX+W3QGdrMoY9aY+zHViz863V9ya/yK6MflCs3zzR3MLy/ORlgNmXOntuUu05HwBXsuFMh/A1KkKBQghAl36VPk6/P6dOrvjK8jtOC3T7TVu97H6xbfBhtldOjcb3LWHbccu17cmH2bugE+fnYLwxutO72Wvd7N3p/eQn19unB/9+a3N0Z/T29butza2W57Vbtq/24D3KJtbX2aRSE+65lX9Trd+189Lyo3xCpk9arnH74RbV1sAOfsRalmHnGhUgsA8fs0Rl2rlGhQjswF9u8YkKbl46LblzLQo6oa8DuE0F2NjGtUCmGIEn33z5VhyKFjhlm9fIFIHCAL95zbVF0LG1AfcNMlqgPMDtXguc6e61wHgl3iUyZKBIWC5xLZbiAmdt28xhh8wBGJgJaWmxu0QCPzUExt1rZAoCSQE8faRV16ewFrJKKlpg7AOvZwKcTiKdTiKdTiKdTgJyOvtkesDIidvB5jtS6dvaEH+ZjBQYQOFb2GbO5rL5QT0gw8WEVNK8KdaJyx1NQsXPu4Vt5mQulzuZLhk+MJgiFxTklOnqHcwhCWkmrv1hGA5GntV3osjyA+FaPW/UVze3Dp1+0BtGYpCTMS4h3OytrrdDpeiGhQQXxxBKTbfYUMIIs+Cg43Gekwei7gddi1jcwlb0deh3suUZqlo+eKgWHiz5Ib/qIH/VY/mD7/JX6YyzyWkcATcOPG3XsdjiZIEociISYlNzBycTluYOu6ME3iKTC5xMauvu4CSBrTEDBsPxZN6n9ebbnExqa+5QHdO+jt5FVnoIL7+KZHKaUhbXdAbmS1dZWSMcHzgbAg/oPis17KMHoVbe3lE9mAkb40x2DtzYc12nbw1jb2D5vutbkWvb1sjpx3E/dIJwVEzz2mSnNmHcCDysGWDUapedjDwQDgkqO4F3rlYXKHTG2OQ0hoAbY1mZycgC4W1XITMZmTDJTMMlrJxM6pOZjCSwsQ4wGK7TCSLtcGxzMqlNZvp2JzbITE56CK++SplZXNwZmG9hZWWNcHxkmWkc0H1WathHD0KtQmZWDmbCxjiTmaE9dofC71u9vhCW7/V9KU492+qJcTSOxCi048Kr1iYzPZ0ZNgIfawYYtdplJiMPhEOCykxdj81j1dv0Tfbt7zK5ebpnZrqt7TdZe9VH02O4VcNN/gN9Q072s2lDjs50m5ymE3DTLStKGVkgfDNClJqagRiJsGhSdW2wjskFTib1aVJGEtjACBiM2O1Ehn1tnExq06RxYHdCoeN3kZUfIgasUpT6hY4xX2jKyhrh+Mii1Dyi+6zcsA8fhFuFKq0czYSNcX5s7CgM+uHYtoaR61i+63hWz+4La+gP474dRU40LlRobarU15lhIxBYM8Co1a5KGXkgPBJUlX5ZNHhnh3XlpyQUV8MwnanAaR8Bt8+y0pORBcIDI6SncT2UkQmT9tRqnQucROqTnowksNEPMBbCtTu+1p9vczKpTXo6QcfTnvt0kZUews+vUnkW99cF5tsIWVkj/B5ZeRoHdJ+VGvbRg1CrEJ6Vg5mwMVbKs0xQrm4fqKGOHpQRk1J8jliz+0CJYOd9xH/tA82IbFLt6cPsuYp9oESEAoUQgO7UPlAB3weaLS172V7Pdr7Xsz1duN7JF65br+Zr1nKUHqk/n92jKOfWo1Zk2/YPyveCdlq2W9VqYdgL2mmlv5Uz9d3sUsbn+YHEJ5qFFbeM09PsCvUn+S3rz1t5z3B2p7v86xkubc/wFnXogFtrEHLetJJMBAjcHINR6cZtpUSIwF0xS+pvIjjMHhiI9dRZZYYlXSLC5vaVhu2dIJJvcXsntIstXqWXIpIpAoXGiveVUtEC5QZyX+nsVsTAfCsiGTJQdKwiKZFM1rbNHHbIHICBfol9pbNbEYPyWxHJFASSAnj6SKuuT2HNod0jowUGP3BOB3A6iXQ6iXQ6iXQ6Ccjp7JPpAUPnCveVUpECIyhiX+nsakTzg3pAhouJqaR5M02VSx1NQsXPvK90djViuZPpkuEDgyl2X2mw3tU7mEMS0iwVHvrReOgMLRFFseX3Y9fqjyLHCgZ9MfaCnu32C6dvXJIoWZChLEuY9pWWXtGzyBBKrfYaFyMPxNondG3jyxfJq35pQeWGcwmszFNb3oszjdqx6aihTU5jCLgx4Gm/jsUWJ4t5AVDCYgUZMCMRpnqWre3TvMDJpL6CFiMJ7Ko6ZDDCoONrw9M2J5PaClpBFHQC7YNzkZUfwquvInmcppDFrXmB+QpEVtYIxwfOfuAjus/KDfvwQbiVjuZ+9WgmbIzPZi+VsQAWYc0Ao1a7zmTkgfBIWJ1ZXy8Vo30E3D7LSk9GFggPjJCexl4qRiZM2tPQS8VIpD7pyUgCG/0gY2G7YSc2FH0YqdSmPUuaqTjpIRz9KqVncZFeYL4VkZU1wvGRpWdJMxUnNeyzB6FWoTwrBzNhY3w2jzBxTXtLY6wZYNRqV56MPBAOCao8mY8wYTSGgBtjWZnJyALhbVchMxmZsMhM8xEmjEzq05mMJLCxDjAYvtuJtM57m5NIbSqz5AQTTnoIp75KlVlcnReYr0FkZY3we2SVWXKCCSc17JMHoVahMisHM2FjfDbPZ3YNe0XD0puqdGaAUatbZXLyQDgkqMqs93xmTuMIuHGWVJ2cLBDedwWqk5MJk+o0nM/MyaQ21clJAhv7AIPhik4QaxeLtjmZ1CY7zeczs9JDePkVys7QzpVK/lHHeoeVNcLxkWWn+XxmVmrYRw9CrVx2Vg9mwsY4u367PXM4ajbXdIOoNgPeCJ0yor47T7SWnaOxHux5Kth5n7HkztH/O3lf6j/VRCk/FiuQJzaJyu99KLXes2zrqPygtuz9uvhSCsfslfezDaOz/aHPlCbMvnhA32WaC1P1naeTX3bkqybvt5ygLfK7KbNtf65jvEByk2pcH2bcFWwjpSIUKIREdFtUdMDNIgg9a+gTpQIEbveAy1TzTkkqROA+jyX1JxHcfIBbdqdkHHYCrX/cpiJsbKdk6LZ3Qk+++fKtuAwvLL2Bk0wRGFjxOyUjN+jop/MbZLDA6IrbKBnOLuAMzRdwkiEDY+wqNLlksrZt5rBD5gAMZfSNkuHsAs6w/AJOMgWBpACePtKq61NYc2j3yGiBsQ+c0gB8TiJ9TiJ9TiJ9TgLyOftkesDIidso6cjUwuBwLpORAgMofKPkzNlcNj+oB2S4mJBKmjfTTLHU0SRU/LwbJWdO5nK5k+mS4QNjKXKjpJwyXb2DOSQhVVD7Xr/nRI5teU4wsnzHiazYlln5YOTGQzGIPDssfJAxAy9Zj6Bk4YaNkqGLYwilpsvVSxhh8nUdj/OcPBBLf9BU/kvVkq7a01V6XeThk5/nmbjqDsqaiNIv0z9od0htcrIVcLbLZq6MLBALl4gMVx3U9U2npV/JeJ2TD0vdRibEQsfkAieT+uo2jCSwi8eAwXDtsCMMp8tzUqmtcOMEhnM2LrLSQ3jvVSSJ01SxuIsxNF+sycoa4f/AWQ54QPdZqWGfPQi1isJN5WAmbIwzORkFkTsIh6HV90Lb8oPR2IoHft/yYs+Ox3Gv540Kt1qbnNQO/EboYc0Ao1a7nGTkgXBIUDm52C+U/ib9XfpV+kX6uZV+pj5kmxw/S7/KlKWO8yYnZwHnvKyoZGSBcKoIUWlsA2JkwiInjc3nnEzqk5OMJLAhDTAYftzxbUMbECOT+tSk7XT0x1tdZOWH8N6rlJPFnYuh+QJNVtYIz0eXk8YR3Wflhn34INwq9GTlaCZsjDM96fTHnpSZPasnJajlOKPIiuyRb9m2sEUQRU4sCrVVm57UVpY3Qh9rBhi12vUkIw+ER4LqyXvpo+IUt6K/SJ2u8Tz/Vvqd/PpB1nLu2rbULmql8pnMjLIVTHVDpvo9MflQmFt+GK0h4NZYVmkyskD4W4TSNDXoMBJhEZqOvphxgZNIfTqTkQQ21AHGwnXCjgwxOirbnFRqFZquQWhy8kO49VUKzeIaxdB8KSYra4TjW0po6kd0n5Ub9umDcKsQmpWjmbAxzuvgtogdOxpZQTAYWX5PBFYcBsIaxK4/8gd2P+oXEaI2oenrzLBRXJKKMAOMWu1Ck5EHwiNBhaaupT39Rl2WM3kvP7Nt8uvKI92mF+cYj3RrtzzbtMy2yWkxAbfYsmKUkQXCJyPEqHHZk5EJjxrV0bjASaM+LcpIAhsNASPhycjT0Qb2bU4mtUlR06l1F1nZIdz+KoVoca1iaL4jk5U1wumRhahpPPdZmWEfPAizChlaOZYJG+PpxsfpQ6rkZU07Hw1KMyhlurDFs5adj45tuDSTinbeaSy59fH3Uump5sgnxcWC04N/H2U3DaZfq8XJyUfqAsTP0t8UevHFq09tlMx/+KCV3XyoVjUNh2IQifsw4qvYlkhEKFAIAehO3W7pZLdbnjB81tz6/lTMw44pabcONi61Ytv22uqqzD847ZaTHfHcaeVH6WUXT97PEoJfd1rd6z/+8Tt3rt/otSSU38lfuKcz2BbVYPOhgG+nJBEgcL8HQtKad0oSIQI3eiwpV4ngMNs6ANbzvLjjG1ZEiQib2ykZtnfCqNitVHqXJJkaMADjd0j6bmTcIUkFC4zCyB2Ss6skQ/NVkmTIwFC8Cu0umaxtmznskDkAo+oSOyRnV0mG5VdJkikIJAXw9JFWXZ/CmkO7R0YLjHng1AfgaxLpaxKQr9kn0wJGStzOyEiYdmJfJgMFxkvExsjZDZLm5/OADBcTQUnTZZpJlvqXhIqfeWPk7AbJct/SJcMHhlDsxshgvav3K4ckpJkO9KKR1/MH1sgf2pbvBJ7Vc4c9qzcYh5HfC4K4V29ByDdtjAxxDKHUdKl8CSNMOq/jcZ6TB2JlEJron8ocIanii+SvqBNNM8f8q/2DvddbW4cHe61QZ55NTvMIuHngybaOxRYni3klUMICkQEbqz+MTFiqP7a+c/ECJ5H66j+MJLDL0ICxUI0dkRvrqGxzUqmtABQL37CycJGVH8LRryKNnCaTxTWEoflSSVbWCM8HzoPgI7rPyg379EG4lY7mfvVoJmyM80PXx5EdjOXLxq49tvxBEFvRMI6twWjk24E37tl+3dJTuwy8EUZYM8Co1S49GXkgPBJUei5uotSftp7fIPn79OOszejT9A/y7fNCfF7at4TTSj/W2WOT0x4Cbo9ltSYjC4THXYXWZGTCpDVN56wzMqlPbDKSwIY7wGAIuxPrh2Obk0l9WtPuuNr9oxdZ6SEc+yqlZnHvYGi+RJKVNcLx0aWmaUD3WalhHz0ItQqlWTmYCRtjJTXLFOTquou0rmcjjMuIBWKeWMPdRUS0wJImVPk10F1EJO7DiK+iu4iIUKAQAtCd6i7yFrqLnqffqB2p+f2a+ebTxf4hu+2c7B7Ktg8U3UPyBX+Unz+UWv8b9ff+Lb1nOZ42Mdui2gRYTEVIWlMDERHgvFrlbCAiQgQWRJeUoERwmPInwHpuLOe5r0O4TUXYWANRZLd3Iqco6selDURUasAYu9oGIipYYKBFNhDFswYi45WGl8iQgdF2FXJcMlnbNnPYIXMABs4lGojitVNDYG4golIQSArg6SOtuj6FNYd2j4wWGPPA2QzA1yTS1yQgX7NPpgWMlKtrIKICBcZLRANRPGsgMj6fB2S4mAhKmi7T3LDUvyRU/MwNRPHaKdObG4io8IEhFNtAFK939X7lkIQ0yy9cu++6455lO17P8ocitmIvDCzbiyO/J5xgEBW+3piDl6xAUPJwQwNRVH6V2wJDKLW6qzicPBCLfdBcHt9AlKXseZqYfy7fvZJ+mX6c/j79VGaff0w/Vjnin2QC+qn6kdpk8qeW6zm2ZfuxJRzPjh3bsVzb8dutVuIFoc6Qm5yGFHBDwjNvHYstThaIVVBErmwq/3AyYSr/6FuNOInUVv3hJDEvLkpIQFP0KOzEvnYRZpuTSW3VH9sgSC+yskPEg1Vkm0XOGRX3skbmS3ZZWSPcHjhdWtiTFkSdUDui+6zcsI8ehFt59ad6NBM2xmezz0gY+oyi0tuNdGaAUatdoTLyQHgkqEJl7zPitIeA22NZocnIAuFxVyE0GZkwCU1DnxEnk/qUJiMJbLgDDIbvdWL99XTbnExqU5rmPiNWegjHvkqp6RTixHyLLCtrhOMjS01znxErNeyjB6FWoTQrBzNhY6yONWrnMqum04y0G0E3IreMoG9ecYbhxGjDU/1GWsV7nooWWAGFKsDl+43UaZeZgHya3xkJ7TuiGsCHGWAFfUdUhAKFEIBu1nf0pTrVqCXl9xk5xohqIWBFFiF4DV1IVIDA2ipcx5q7kKgQgVXVJQUqERymhgqwnms7pi4kKsLmupC89k7k550BkVvWhUSmBoy8hC6kwDd1IZHBAsMvrgspcqddSJHxosRLZMjAGLwKsS6ZrG2bOeyQOQDDKL0LSQI/NQTGLiQyBYGkAJ4+0qrrU1hzaPfIaIExD5zrAHxNIn1NAvI1+2RawEiJ60KKjd2Ol8lAgfES3oU08zGXzc/nARkuJoKSpss0cyz1LwkVP28X0sy3XC73LV0yfGAIRXYhySnT1fuVQxLSTEuDsnRFxpiZl6xPULJzUxeSh2MIpabL4UsYYfJ4HY/znDwQS4HQDJ+/xsNoDwG3Bzyd1rHY4mSBWOpEpLzGGg8jk5prPIxM6qvxMJLALjQDBsOTo2Gq8TAyOQs1Hk56CMe+irRxmjwWt7tG5rt6WVkjHB847wEP6D4rNeyjB6FWUeOpHMyEjfHZPDAzMHUT+VgzwKjVrjQZeSAcElRp4vvdlzswk9M8Am6eZYUnIwuE/12F8GRkwiQ8PR2RC5xE6tOdjCSwwQ8wFoEcDFMXOyOT+nSn+bxMVn4IP79K4Vnc9hqZ7+5lZY1wfHThaT4vk5Ub9uGDcKtQnpWjmbAxru8UI63I2IhEGbEgmCfWcFcREe28l3h5u4qIBvBhBlhFVxERoUAhBKA71VUkaGcZlTYRwU8zotoEWFNFaFtTHxER4Lxs5ewjIkIE1kWXFKNEcJgqKMB6rhN1Im336DYVYXN9REF7JwqL2r4o7SOiUgPG2tX2EVHBAgMuso9IzPqIjBfGXiJDBkbdVehyyWRt28xhh8wBGDiX6CMSa6eGwNxHRKUgkBTA00dadX0Kaw7tHhktMOaB0xqAr0mkr0lAvmafTAsYKVfXR0QFCoyXiD4iMesjMj6fB2S4mAhKmi7THLHUvyRU/Mx9RGLtlOnNfURU+MAQiu0jEutdvV85JCFVUG136EVjx7H6fdux/EEUWj0R+VbfcRwp+aPA88Y5GWMuXrISQcnHTX1EAY4hlFrt1R1GHohVP2hOj6/urPY0ozz1dLTqfZPTlgJuS3jyrWOxxckCsSKKSJeNpSBGJvWWghiJ1FcKYiSBXY0GjEUgOoHQtnRsczKprRRkPtCIkx0iJKwi4ZymnUFROjDfxM3KGuH2wBkT5kAjTm7YRw/CrXQ096tHM2FjfDab3UNTC1KINQOMWu0ilZEHwiNBRSp/szujPQTcHssKTUYWCI+7CqHJyIRJaJqa3RmZ1Kc0GUlgwx1gMDzXeEkvJ5PalGZJszsnPYRjX6XULG51jcx39LKyRjg+stQsaXbnpIZ99CDUKpRm5WAmbIzVgUYZ7UI6imu1nWykHduNqPyKuHCeaT09SI7+3rfzVLTAaihUCn6ZLVF+U7QRPZh1FRVS8EO1epnfwHWqD2nu+jT5C63JLybvSxmpWmDkx8m78rNH+Y/d9Fn6TGeETaoRfJgRVtGHREQoUAgB6NL/K62s+sWeSrs/OHWHXbuVfi1/9K0atUyy571f6Z91jLaojOYdN18XEREgsDYKF6ElXUREiMCq6JLqkggOUwMFWE94YScwqEYiwua6iOL2TmzLt+Kuoigq7SSi0gNGTHwnkbCN96KRwQLDJrKTKJp1Ehnvgr1EhgyMnatQ25LJ2raZww6ZAzD0LdFJFK2dGgJzJxGVgkBSAE8fadX1Kaw5tHtktMC4B05WAP4mkf4mkf4mAfmbfTI1YMTEdRM5tmO8HI2MFBg4Ee1E0aydyPiQHpDhYkIpac5M879SJ5NQ8TO3E0Vrp0xvbieiwgfGUWw7UbTe1TuXQxLSTFSDcm1FxphWl6wyUFJrUztRjGMIpaZLwEsYYZJwHY/znDwQC3rQ9Jy/UsNoDwG3BzwP1rHY4mSBWLBE5L7GSg0jk5orNYxM6qvUMJLALhcDBiOyO4HwdUy2OZmchUoNJz2EY19F7jjNIONicd98uzYra4TjAyc/4AHdZ6WGffQg1CoqNZWDmbAxzpVmrxf1vX5shYHnW749jq2eGMh3tusMRp4Yh9O8vDalqe8JikvvetOaAUStbqXJyQPhkKBK80+qCJSVDZ600meZrvz15N1cWU6F5F966bPsU1dMPnRFy1jX4eQu4NyXVJWcLBDOFa4qVQlOx+R1TiZMqtLTEbnASaQ2UclJAhvZAGPhBE7Hs0MdlW1OKrWpytDv6E9cuMhKD+HEV6gq4+K21dh8dy4ra4TjI6tK44Dus1LDPnsQauWqsnowEzbGmarsO5E6g2hgCSF/we95fSvujwZW5Huj8Sj27LE3uFavqtQGjo249F43nRlg1GpXlYw8EA4JqiqzppXJ+yeaVqTMfJx+r047yi/mKrRl+rV8xdMXGyKlHlXn4/xMvv2jfHs3f/ls02TWcZR+mX6afmZlS54fp5+nn8j3f0y/arc827S+tslpPwG337LKlJEFwkHDlalxvZOTCYsydfTdhxc4idSnTBlJYKMjYCziIOxEhuMwOanUpkwdGdICHb2LrPQQgWCVyrS4nTU2X7XLyhrh+MjK1Dig+6zUsM8ehFqFMq0czISNcX2HYcY6YhuxW0YsWCDWbCM6Fe28k3ipG9GpRvBhRlhBIzoVoUAhBKArbURXgj0T7r8oehJKW9GpnIAteQh5amhFpwIENtZhVKepFZ0KEdhRt6SeJILD9M8BrFfSik5F2Fgreuy1d+Lissq49GJcMjVgvFxpGzoZLDBo4trQ49nFuLH5YlwyZGDkXIW0lkzWts0cdsgcgIGP3oYezy7GjcsvxiVTEEgK4Okjrbo+hTWHdo+MFhjzwJkJwNck0tckIF+zT6YFjJSra0EnIwUGTHgL+szJXDY/oAdkuJgQSpov00Sv1MEkVPy8Legz53K53Ll0yfCBMRTZgi6nTFfvWA5JSBXU8VDE8WgQWuNef2j5Kp/uu45nRXFsD0dBIIZjkZMxJtQlywmUpNrQgh57OIZQarWXcBh5IFbuoIm5poTzfdYp9Fhm049Ui1BWkZE54AfF+ZYncsC8WPP/ZUdZ3pNvv08/+6EKJy/KPfkdZvteeEVnrE1OYwm4seDpsY7FFicLxLIlIiE21msYmdRbr2EkUl+9hpEEds0YMBal9RpGKrXVa1yv42nXGS6y0kN4/VUkldPUsrhpNTZfm8vKGuH4wFkReED3Walhnz0ItYp6TeVgJmyMz+ZOyNjUn+5jzQCjVrsMZeSBcEhQGcq+E5LTHgJuj2WVJiMLhMNdhdJkZMKiNI07ITmZ1Cc1GUlgwx1gMEp2QnIyqU1pmndCstJDOPZVKs3iZtXYfE8uK2uE4yMrTfNOSFZq2EcPQq1CaVYOZsLGWJ1Z2c4DWU1HVTraKsRGLMoY+tE8w7pahLS9aeepaOe9RTMtQqcuyb2/bKMQ0RQ+zBSraBQiIhQohAB0mkah00OBO7eSygtYOEUoVlOzEBEgsAQKF6IlzUJEiMDa55IKkwgOU+kEWM8Thq2ORHjNdQoF7Z24uI4yLr36lkwNGDcJnUK+qYD/BhksMHYiO4VmV9/G5qtvyZCBAXQVUlsyWds2c9ghcwBGviU6hWZX38blV9+SKQgkBfD0kVZdn8KaQ7tHRgsMeOBMBeBrEulrEpCv2SfTAoZJbKdQ7Bo7hahIgdES0Sk0u/vW/IAekOFi4idpvkwTv1IHk1DxM3cKze6+LXcuXTJ8YAzFdgqJ9a7esRySkCqo/f5g1Bt7sSV8f2D5YTS2eoEtLN/pR0On3xt6ohgLY2JdsrxASq5NrUIBjiKUmy4FL6GEScN1PM5z8kAs5UET9FXUaNI/pZ/L3P0L+f4r9Zr/kF/ca13aLyncMBpJwI0ET4x1LLY4WSDWLxFpsLFww8ik5sINI5P6CjeMJLCrx4DBEF5HaEdjm5PIWajbcNJDOPtVJJPTlLK4CDU2X2vLyhrh98DZEHhA91mpYZ88CLWKuk3lYCZsjDP56bnC7/v9kdUbCM/ye25s9YauZ8Wh2x+Foj9w/f61muWnoUUoxNoBxq12+cnIA+GRoPKzycOGWq+e397RPhWbnFYUcCsuq08ZWSD89Cr0KSMTFn1qbGFnJFKfPGUkgQ2SgLEIfFdfJN/mJFKbPC05cIiTHiIYrFKeFrenxuarcFlZI9weWZ6WHDjESQ375EGoVcjTysFM2BjXd+CQY1jvLL1/KDAvPsOAYoQkpJ2IiBZYDYXKxTPRTkQ0hQ8zxSraiYgIBQohAB2gnQh5+hCRGbC+ilCqpoYiIkBgpRQjQI0NRUSIwBLpktKSCA5TEAVYz9hQRITXXENR3N5xbLuo8pdegUvmBgydq+0oooIFhk9kR9HsCtzYfAUuGTIwhq5CZUsma9tmDjtkDsDgt0RH0ewK3Lj8ClwyBYGkAJ4+0qrrU1hzaPfIaIERD5ykAJxNIp1NAnM2+2RewEC5wpYiKlJgvES0FM3uvzU/oQdkuJgISpow06Sv1MMkVPzMLUWz+2/LvUuXDB8YRLEtRdF6V+9ZDklIz2ZNxzG1FMU4ilButdd0GHkglvGgSfpZrekwWlHArQjPnnUstjhZIBY3EZmysabDyKTemg4jkfpqOowksCvLgLEoqekwEjkLNR1OeohgsIpsc5pzFvesxuZLc1lZI9weOF0CD+g+KzXskwehVlHTqRzMhI3xGe14dwwtR06RcSIMASNXtz5lJYLwSVCB2kzPO6uVBNxKSwpQVhoIV7wCBcpKhUWCGtveWanUJkJZWWBjIWA4zI3vrExqk6Hmzndefgifv0IdKjnl2qX4REd8h5c4wv+Rpai5+52XG/b5g3Ar16KQAU34SKuTi356wn8a9ebbo8Hd67dvaQyBlpuejqNUmuX3tsXzHE3NRmakGBE57TfSzsLzZLDzE6zErECh+En6KH0mRaKSivfT/8wU4aPW5F35xdeqjWXykY6BVHrOuW0yjQXvZ+axnPPLGgQc21UdAp5656t3Qr0L1LvQ5AGpxHw8MXilRrHZVWx2FZtdxWZXsdlVbHZNbHbpbASeDbxwI8nsKTJ7isyeIrOnyOwpMnsmMnt0MvBnh+6bsxqxIpUoUokilShSiSKVmEglZFILJcEKUri51lVMuopJVzHpKiZdxaRrYtKlM4FHDGSBUBI5VEQOFZFDReRQETlURA5NRA5pRE4keIpPLaf5eYbSoORcxkA4xqGAASWFw06gR3uejBbYOkSMhy1VmMtvFlHLJaprs6U6aLMA+Sx9PPm5/Pw9+Z3sB9+r+0fkLz5JH+tIbpJJzocVvsZaMkSBgkiEt0WGB2wWQiy5GNpjyQiBbT/wlRRzfywZI7DhZ9klEiI6TH8PxH5u1LG1An6bDJGlS3ZxCU0/7hfpsIHBC98AG7ixqQGWjhYYwXAdsBLOtAVWyQlTDywdNTCSoTIi6NTYocMGxiZCvlN0pkloa6cNb+x8pbMQSBbgeaMsuz4DtpjOUAEDAxp5Dc00U/bpkIERDtnY6grT9b2X6VCBgQ7e2frCe1wu8R4HdMSY4LfK+ZCQIfP2s77wGlODGzta6QyAYRGZsaq5MgO1mJhSwKp12vZMY9aYm2pJyNzUKyXhGS0OA0rLTUNjbkpEC4zoq8lNJx9NPsx3ij6ZvCu/eD99LHPSV7MrMb/LdiM+mnyQPsvuuXyW3pcZ7LMX321N3mtNPsiyWdUy8KzIZdU/Jb/9Xnpf++Rski0DFA0rSWiJEAUKIhHeFhkeMP6vIqElIgSG+9UktESMwDi/bEJLRIeJ6RD7BXHHsOuTDLHphJYKGxjx8AmtIzxzQktFCwx72ITWe5HQGi9YvERHDQx/XAktFTYwNi2T0Hprpw1fktBSWQgkC/C8UZZdnwFbTGipgIEBjSOhpUIGRjhcQuvZpi3hl+lIgXEOk896L/JZo/M4oCPGxL5VToeEDJk7n/XWThu8JJ+lMgBGRXQ+663PQC3msxSwRT5bTJIa81ktCZnP+qUkhNHiMKC0fDY25rNEtMCAvlQ++zRrUlcJ6zdqL2SW3qoDjTRENslEgCF+JeknEaJAQSTC2yLDA0brVaSfRITA4Lya9JOIERiWl00/iegwIRhiv7L0kwix6fSTChsYoAjpZxx1bK3bf4OOFhilsOmn/yL9NN66eomOGhituNJPKmwfCZugJP2104YvST+pLASSBXjeKMuuz4Atpp9UwMCAxpF+UiEDIxwy/Yxl+qkNxZfpSIFxDpN++i/ST6PzOKAjxsS+VU6HhAyZO/30104bvCT9pDIARkV0+umvz0Atpp8UsEX6OVUfNeafWhYy/xSlLBbuJq8l/zRdhHaeDBcY0skJ6FzRs5U+TJ+qY3nmaqjpfR2tTTItH0ZrJekoEaJAQSTC2yLDA0ZvRDqqFh6+6bT0JyS/TgYKjNmryUqJGIHRetmslIgOE5kh9ot9c1ZKhNh0VkqFDQxbhKzUDjrFmSiLWSkVLTB2YbNS8SIrNd+dTUcNDGFcWSkVNjBELZOVirXThi/JSqksBJIFeN4oy67PgC1mpVTAwLjGkZVSIQMjHC4rdR2voz/l8zIdKTDOYbJS8SIrNd+JTUeMiX2rnA4JGTJ3VirWThu8JCulMgBGRXRWKtZnoBazUgrYaVZaf5evloXMSoNSFuAzGVablZrbfIlwgSGdnJWC9puqE7uye2EeqVZgHcFNMkFg8F9JfkqEKFAQifC2yPCAcRyRnxrLpUSEwLC9msSUiBEYsJdNTInoMMEZYD/Xizr68LBNhth0YkqFDYxc+MQ09EJzty4VLTB8YRPT4EViarzs+BIdNTCKcSWmVNjA2LRMYhqsnTZ8SWJKZSGQLMDzRll2fQZsMTGlAgYGNI7ElAoZ</t>
  </si>
  <si>
    <t>GOFwianjh765XZcKFRjoMJlp8CIzNXqPAzpiTPBb5XxIyJC5M9Ng7bTBSzJTKgNgWERnpsH6DNRiZkoBO81Mi3ldY2aqZSEz09JLV4NmzkZyImNmSoQLjOnUzHTyi7l7UB638kw0fawyU93do4+zLl/TjabTBFZnhU2yFYASYSXpKxGiQEEkwtsiwwNG+1Wkr0SEwOC+mvSViBEY1ZdNX4noMBEcYD/fiztCW/LbJkNsOn2lwgaGN3z66gSRua5KRQuMcdj0NXyRvhovQ79ERw0MdVzpKxU2MDYtk76Ga6cNX5K+UlkIJAvwvFGWXZ8BW0xfqYCBAY0jfaVCBkY4XPoq/1FzXZWKFBjnMNlr+CJ7NTqPAzpiTOxb5XRIyJC5s9dw7bTBS7JXKgNgVERnr+H6DNRi9koBmx1yn/0nf/zX14fD0a1NmeDtZ/mdohD0B26/37OtkT8Wlh/ZYyuKwrHV8z275wnfGQ57+StnGa8r5tiPboxmk+m0AfJ/ERy0Fk1yuPPqUawdvaNIaw7Fet4SUJbZ0M67VxA5+CxVjI71jI6ZGM17XxAj+KyVhDY29Iw2NhgonRR65jlpPoN7JXPS0d+cfRSXPaN2oH1GdbMOBB856wyYj6mY5+cVCDNyXhkwywlHAJ3NnKYnjtM+8vQHtx85dikpc5tPLbPHaR8bgB+TgdcyhZz2xoYBuZpgBOgnNUBzM8ltH7lqNvmG2eSUMjNfdl7LbHLbx66aUXrwx2TwtcwoV84oN5tWevhq0hHwnwn/5LWPHIPictxSUuZiTy0zymsfG4Afk4HXMps8OZEMyNVcI0A/ExPJ5Ja8MkKO3ewkMrkjKuhaJpDRCVFQn1ywWSh2usAF1pwMeB3bkMvvO35+navTMR47/aZahiwh6RqHBrjqeoIKfDJNFyCq8V8h4/fR+OHIDwDIr5KRCwxyuhvKqSQAKkdkKsDFWJJHyvF3AfiPyfiBK7MU5ySNuj4FtuiaKIAVYtjtjqcj37zTulnMJjbHNXVf+T4aOXilDkzgTAG1gfZRq6S+/OMmKqfrERvlPDMTYuT2R8KKB33H8vvCtSJ/6Fp+7PmOGzmDKJ6/87O5KRKApkiAtRfMBk1NkQAwRbgoZ1NkFIehHcWxFYhBZPmu17d6cj7J145HUeT3RtFwfGamSAiaIqXVAZ29YDZoaoqEgCnCRTmbIr3YG/f8sGdFYSQnkSNi6XFEaIVhz/fjXl8Mw4UUq7EpEoGmiH4xvsReMBs0NUUiwBThomy8PbruNNs1FCKc0gVyx3yObh1ptgH0MRl0HWm2AbRauyGgVrDja41m2Von4ZauhzvmA7BqSKddu/KJv0LG76Pxw5EfAJBfJSMXGORkd6P1MmTMNeTNAJsfk/Fz5s2uvT4FtuBrSIDzJpD2rKe+uWDlto88Q6h2SysmTrOlcwn82AD8mAy8lqClSlUG5KqGRYB+FooLrtc+ciPDRCqtmDjNVtEl8GMD8GMy8FomkqpSGZCraUaAflI2NKWBppUG16sMFm+65eUUcxWxDmlUjf8KGT+vNKpGfpWMXGCQ031SkZECqByRqdShmKrxH5Pxsyomb30KbNE1UQC/bMvIrg9ZAFIPMsYUUBs0tADkVhfGjtgoZ1Mk8IdhOBh5Vt+JIssP5Gt73qgvX9sbOv2gN4zE4MxMEVAxSg0jzl4wGzQ1RQDFKDbK2RQZ+m4owtCxPHcQWY4zGlk9x3atoRMETm9g9/vxQlbW2BQBFaNUJMLZC2aDpqYIoBjFRjkvaY/CoB+ObWsYudLjuI5n9ey+sIb+MO7bUeRE4zNTaXBBxSi3vDKjsRfMBk1NEUAxio2ymiNNJkbVVZY33dIqS+DOc681MarGf4WM30fjhyM/ACC/SkY+/xBVq/ElJlECoHJEplJHYlSN/5iMnzUxitanwBYTIwrgly5exaB4VVrBWzQF1AZNxau4croesVHOVe9oIKKwF1nB2B9Zfm/ct/pD+S7uBaHtRINe6J6ZxMizIVPEKy286OwFs0FDU8SrLo4dsVF+6XJnzwFNkdJqis5eMBs0NUUcwBThonxm+ms8z8C8tOLhNruNxQD6mAy6jgqTAbQqXxJQK9gN72LRO4nS5Wh34YmpM1fyqtf/r5Dx+2j8cOQHAORXycgFBjnZ3ei9DBVzDUkRwObHZPycSZHnrU+BLfoaCuBZf406z6zZaCXaR15giFh+KbVmO0Il8GMD8GMy8FqillANNnrkan84AbrC3nBbhI7Nm54oJdNoa6hXXei5QsbPG7qqkV8lIxcY5GTfo3c3VMx1hK5qmx+T8bOGLrE+BbboayiAi9OtTYdbN+puglI+5na4OtxNddHwChk/r7upRn6VjFxgkK/Y3VAx1+Fuqm1+TMbP6m6C9SmwRXdDATxTytOHtDmlHLWPArt95NiOQS6XFnTdZo9PkuiPJfpjE/pjMvpaNHMkNbOEr07f0uNXB3YRCCgGTbeme3H7yPflm/wo5EdhSsdKy28uvBEUxAc7v+L2sSRxLEkcSxLHBhLHZBK1TLNYzjDJQr5Tnwn1mYGImpMEJmcgU5v2aXjVNb83vdKan2c+7rYORVWN/woZP6+iqkZ+lYxcYJDTPde05FNN5YhMpQ6hVY3/mIyfVWjF61Ngi56JAjjzTL2hGztj24oiu2f5Q9+x+mEwskaBG7u+K+J+VPgos9O62aunwuqDivB+aUV60RRQG2gftUrqSz9uPqAIz0a5OE3JdsXQCS3PH8WWL3q+FQ0CYcV27Iau0ws8Z3xmpgioCO+XVqR19oLZoKkpAijCs1F+6fo0fBc0RUrryTp7wWzQ1BRxAVOEi3KecsmfeK4Qluj3AvmKUWj1+4PIcsN45PQdN4p7Z+ZMNt8DTZHSMqDOXjAbNDVFqku1R2yUp2vMhf5rOlHyq3eNven7pbYwVxxrSJQA+K+Q8fto/HDkBwDkV8nI5x+qanW+xCRKAFSOyFRqSJQA+I/J+DkTJd9fnwJbSJRIgPPJA9nyeUbiF2gbpy9wpoDaoKn4VV2vPWKjnE+RuNePbduTsc73lAgKrajfU78QBG5kC6mWRmdmioC2cfoB2l4gGzQ1RaprbEdslF++RAm0jdMvrcHo7AWzQVNTBLCNk41yvi2mP3CHjhNY/XgQWn7PHVuxL39h7EReP/aCgRv1zswUAZ0p6peWTXT2gtmgqSlSvdHviI1ywzt9/erF8zf90rXooNnEqBr/FTJ+H40fjvwAgPwqGfn8Q1StxpeYRAmAyhGZSh2JUTX+YzJ+1sQoXp8CW0yMKIBfNkkjQBUkUb6nkR7fdY9aJfWlHzcBqCCxUX7pEiMBqiCJ8j2N9CyhoSkCqCCxUX7pNoMLUAVJlJZTdPaC2aCpKQKoILFRfulW4ASogiRKyynaRwpkg6amCKCCxEZ5WkFyiipi0yUkUb16/qbwy4zhNbpZCoD/Chm/j8YPR34AQH6VjHz+qaqW50tMogRA5YhMpYZMCYD/mIyfM1MS/voU2EKmRAKcaxzHDYbjseW5Q/uMH/MoQCUkIXCmgNqgqQAGKCGxUZ4FsGLIGw9g1cWSN0V5saTR7XcA/FfI+HkDWDXyq2Tk809VtddcYhIlACpHZCp1BLBq/Mdk/KwBLFifAlsMYBTACjHsgs0zEsBA1UtRXspbMAXUBk0FMED1ko1yNkV8ZxzaYT+2QmcUylfYjhUFY9cKe2M3HgZiLMajMzNFQNVLUV7K09gLZoOmpgigeslGOZfBY38YhU7Pihwxsnw7CKxoMHCskefFY2/sDeIzNEVAR4OK0tqJzl4wGzQ1RarrW0dslGeH+rnzc2DeEKDtoCQ7ZHt0A6d9FATto1B+DNXHuH0UufJNyLeofRTLz2P5eWy4Yioo35TT7N5wSe5YkjuW5I5D9TFuH0tyx5LcsSR3LMkdS3LHBnLHZHJ17OmV5OS7QL4L1Wdh9pna3Rupi84idRhTpHaXx+rLWH1poKk2oBN4npi9TSdxQXVh582gtLDj28axrCGJA+C/Qsbvo/HDkR8AkF8lIxcY5HQ/WMQDAJUjMpUakjgA/mMyfs4kLnDWp8AWPRMFsEIMK9yfDfkVgCqtQWnZcdEUUBs0JL8CQKWVjXI2RQZu7Lmu07eGsScTPt/1rci1bWvk9OO4HzpBODozC9UBqNIalJYddfaC2aCpKQKotLJRzo9NtsfuUPh9q9cXwvK9vi8nlmdbPTGOxpEYhfbZKcYHoIvvAh9rL5gNmpoi1aW3IzbK+Woh6C6IMzJFQOWuQGDtBbNBU1MEUO5io9xwI3tQvbD/ZlC6Ti69ikkT1pEYVeO/Qsbvo/HDkR8AkF8lI59/iKrV+BKTKAFQOSJTqSMxqsZ/TMbPmhgF61Ngi4kRBbBC7A39aDx0hpaIotjy+7Fr9UeRYwWDvhh7Qc92+8WDcQbiFai6FZSWehZNAbVBU/EKUN1io/zySRpQdSsov+BNYy+YDZqaIoDqFhvlly93BlW3gtJSj85eMBs0NUUA1S02yi/dClwI2jEVlm8f0tgLZoOGpkgI2DHFRnnaBxjntJWzaLKCFFYvnr8Zlq9Fu/O2qDNRAuC/Qsbvo/HDkR8AkF8lI59/qKrV+RKTKAFQOSJTqSFRAuA/JuPnTJRCZ30KbCFRIgHOVLDX7zmRY1ueE4ws33EiK7alIxuM3HgoBpFnh8WYnIH4BaogheXllAVTQG3QVPwCVJDYKGdTJAoidxAOQ6vvhbaMdaOxFQ/8vuXFnh2P454MfGemPBCCKkhheTlFYy+YDZqaIoAKEhvl/EDQ/tiTM6dn9eSsUtsiIiuyR75l28IWgUyqYrHQAtbYFAFVkEIfay+YDZqaIoAKEhvlPNDYInbsaGQFwUDtDhaBFYeBsAax64/8gd2P+uGZmSKgClIosPaC2aCpKQKoILFRPms7fsPq1fQ3w9LFab/RkhIA/xUyfh+NH478AID8Khn5/FNVLc+XmEQJgMoRmUodmVI1/mMyftZMKVifAlvMlCiAMxnsRSOv5w+skT+UesgJPKvnDmXsG4zDyO8FQdw7OwEMVFIKS+sri6aA2qCpAAYoKbFRzheDx5EdjOXLxq49tvxBEFvRMI5lVjXy7cAb92z/7EwRUEkpLK2v6OwFs0FTUwRQUmKj3HCXTFhdK3kzLK+VNHqICQD/FTJ+XklTjfwqGfn8Q1QdR5eYRAmAyhGZSh2Sphr/MRk/q6SJ16fAFiUNBbBCLFy777rjnmU7nro5SsRW7IWBZXuxDG3CCQZR8WA0H68iUPEyKq/kaU70gNmgoXgVAYqXbJRfOkkTgY57jMrPPtTYC2aDpqZIdTnriI2yWrZRtK81u1oTVddI3ozKaySNShsA/itk/KzSBoD8Khn5/MNUHU+XmEQJgMoRmUoN0gaA/5iMn1PaRO76FNiCtCEBfuniFqhoGZVX8OhOXPeoVVJf/nEDFC3ZKL90C3oRqGipZBvOXjAbNDVFAEVLNsoNr9ZE1dW4NyNRxj0I5rnXKmmq8V8h4+eVNNXIr5KRzz9E1XF0iUmUAKgckanUIWmq8R+T8bNKGrE+BbYoaSiAFWLbHXrR2HGsft92ZGyLQqsnIrVp13Fi244CzxtfOyvxCnQlXRTgTAG1QVPxqrpeesRG+eVTvaAaZVRasNPZC2aDpqYIoEbJRnnWZFPsa1P0G122qa7GvRmVV+MaPZUYgP8KGT+vxqlGfpWMfP6pqg6sS0yiBEDliEylDo1Tjf+YjJ9V40TrU2CLGocC+KULYKAdl1FpcW7RFFAbNBXAqguoR2yU8ynS60V9Tx1PG3i+5dvjWOqhgXxnu85g5Ilx6IizMkViUNEyLq3gae0FskFDUyQGFC3ZKOe95k6k1nEGlhDyF/ye17fi/mhgRb43Go9izx57Z2ZTbgwqWsbl+7t0B32DbNDUFAEULdkoN7yyF1fXad6MS8seQaOqF4D/Chm/j8YPR34AQH6VjHz+IaqWWktMogRA5YhMpQbVC8B/TMbPqXpjd30KbEH1kgArxOOhiOPRILTGvf7Q8pXP6quDSaI4toejIBDDcTG9zkC8AhUr49LK3aIpoDZoKl4BipVslF+6xCgGFStjH2svmA2amiKAYiUb5aIPSznuJhf04up6zZuxKLOBb75toA5pU43/Chk/r7SpRn6VjHz+YaqOp0tMogRA5YhMpQ5pU43/mIyfVdqI9SmwRWlDAZyl4qD7ps5I3AIVLeMAZwqoDZqKW4CiJRvl/KxOV/h9qX6s3kB4Mm13Y6s3dD0rDt3+KBT9gev3z8wUARUt49IKns5eMBs0NUUARUs2yk2v1lSXZ96Myw+hbFbSVOO/QsbPK2mqkV8lI59/iKrj6BKTKAFQOSJTqUPSVOM/JuNnlTTR+hTYoqShAH7p4hWoRhmXFuwWTQG1QVPxClCjZKP80qlexwYVKeXLsBaDWaGhSSL5VM8SPtI/nV6NuXB03rwpQLcqkiyRXY3p2G5bvvPUO1+9E+pdoN6FJqOUV+bieaMYQxWIGjxaZbdhKj7His+x4nOs+BwrPscmPsd0PvOhC8QHHL3yCzAVH/Xey9772XuRvQ+y93pS6icUVtlSc86qqSO4DN6ntLYiHOMY1aCxJbhKV3KFzsBHM4BjP4Bgv0rHLjDYyZ7M4KaooGtQ1BCzH9MZcGpqiWp9Bk3jdiiYi8bkAvYZ8zyldT3hGQehFs9TXZi8QmfA7HmqsV+lYxcY7Kv2PFTQtXiearMf0xnweh5vfQZN43komE9f0HDGPI9fSqjRIyskuMppdIXOgNnzVGO/SscuMNhX7XmooGvxPNVmP6Yz4PU8/voMmsbzUDCfkROPDa5HlDJqtAFVgqucR1foDJhdTzX2q3TsAoN91a6HCroW11Nt9mM6A17XI9Zn0DSuh4J56nrOZr4VlDIyr8bV4nqquyWu0Bkwu55q7Ffp2AUG+6pdDxV0La6n2uzHdAa8ridYn0HTuB4K5qnrKcoeZ8z1lDaxBA0vMld34VyhM2B2PdXYr9KxCwz2VbseKuhaXE+12Y/pDHhdT7g+g6ZxPRTMWcU1/++V9ok/+sq5V1535HdO/bX8d9on/sz0O2/f/fsbo7cl9VfGt2/dVR8Ht2/cvqM+6d35UV/9tdfd14Ufha/8tP3Krd5N9Q90r98cvd3aHf1t6+D2zd4t+a+9ff0n8geO237lnVvD0Z0b12+p1926LT/IX+vduP6jW2piqj/717fvXP+J/Ld6N+QrbozGd+Wv/83ozt3rg+w7A/my0R35vb+903urO/o7+Tt377wzkn+lLymO7mRY+7fv3r19M/9MfTNRLKb/YFtDwc7+e+Wn8s8Mr/d+dPuW+rcov50BJv3mnes/+mvir969/RblF+Vvjq/fyIiqj2qCyhe8ffuGHH41F4abxt9VE6N35+7iC6ZzQU2Gd272R3dev31HTrN8AqnPNm8P1b9yYXRrdEcaWb7urTu37+alZPWqG7cHPx7J6Tf99khhyZ8q+c3rt/5aurK7Cvz/D15LmKk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</si>
  <si>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</si>
  <si>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</si>
  <si>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</si>
  <si>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</si>
  <si>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</si>
  <si>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</si>
  <si>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</si>
  <si>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</si>
  <si>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</si>
  <si>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</si>
  <si>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</si>
  <si>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</si>
  <si>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</si>
  <si>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</si>
  <si>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</si>
  <si>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</si>
  <si>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</si>
  <si>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</si>
  <si>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</si>
  <si>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</si>
  <si>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</si>
  <si>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</si>
  <si>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12</t>
  </si>
  <si>
    <t>Дополнительные работы, неучтенные основным проектом</t>
  </si>
  <si>
    <t>1.1.1</t>
  </si>
  <si>
    <t>12.1</t>
  </si>
  <si>
    <t>Дополнительные работы, неучтенные основным проектом (невозмещаемые)</t>
  </si>
  <si>
    <t>1.1.1.1</t>
  </si>
  <si>
    <t>12.1.21</t>
  </si>
  <si>
    <t>Отделка МОП</t>
  </si>
  <si>
    <t>1.1.1.1.1</t>
  </si>
  <si>
    <t>12.1.21.1</t>
  </si>
  <si>
    <t>МОП 1-й этаж</t>
  </si>
  <si>
    <t>1.1.1.1.1.1</t>
  </si>
  <si>
    <t>12.1.21.1.1</t>
  </si>
  <si>
    <t>Полы</t>
  </si>
  <si>
    <t>1.1.1.1.1.1.1</t>
  </si>
  <si>
    <t>12.1.21.1.1.17.1</t>
  </si>
  <si>
    <t>Облицовка ступеней керамогранитной плиткой с затиркой швов, с предварительной огрунтовкой поверхности</t>
  </si>
  <si>
    <t>м2</t>
  </si>
  <si>
    <t>682deb64-d38a-4a31-a86c-8c49353cc251</t>
  </si>
  <si>
    <t>4ac49566-e9a9-4a4c-9d1f-0976e5086ad7</t>
  </si>
  <si>
    <t>43208d3c-f276-4d19-80eb-e1ae8df17cbf</t>
  </si>
  <si>
    <t>1.1.1.1.1.1.1.1</t>
  </si>
  <si>
    <t>Грунтовка универсальный ЛАСТИМИН_ / УНКОНТ ЛЮКС LP51 А</t>
  </si>
  <si>
    <t>кг</t>
  </si>
  <si>
    <t>413373312.1139608</t>
  </si>
  <si>
    <t>36662397.1139608</t>
  </si>
  <si>
    <t>bbceaf39-544c-478f-a605-41b8d1bad350</t>
  </si>
  <si>
    <t>1.1.1.1.1.1.1.2</t>
  </si>
  <si>
    <t>Затирка Цезерит СE33_/13 атрацит</t>
  </si>
  <si>
    <t>413373312.54635</t>
  </si>
  <si>
    <t>36662397.54635</t>
  </si>
  <si>
    <t>255e2be5-9cb1-4b52-84d2-49341281c898</t>
  </si>
  <si>
    <t>1.1.1.1.1.1.1.3</t>
  </si>
  <si>
    <t>Клей плиточный/Унифицированный по ПИК-СТАНДАРТ</t>
  </si>
  <si>
    <t>413373312.54629</t>
  </si>
  <si>
    <t>36662397.54629</t>
  </si>
  <si>
    <t>e9770899-65c8-423b-aa60-49fe884ae8df</t>
  </si>
  <si>
    <t>1.1.1.1.1.1.1.4</t>
  </si>
  <si>
    <t>Ступени с насечками из керамического гранита Про Стоун  / 300х600х11 мм / DD600300R</t>
  </si>
  <si>
    <t xml:space="preserve">Тип: КР-5 Керамогранитная плитка 300х600х9 мм, Kerama Marazzi Дайсен, светло серый SG211200R\GR.
</t>
  </si>
  <si>
    <t>шт</t>
  </si>
  <si>
    <t>413373312.1277545</t>
  </si>
  <si>
    <t>36662397.1277545</t>
  </si>
  <si>
    <t>a93fa47a-8782-4159-a657-77a449ab5d71</t>
  </si>
  <si>
    <t>1.1.1.1.1.2</t>
  </si>
  <si>
    <t>12.1.21.1.8</t>
  </si>
  <si>
    <t>Демонтажные работы</t>
  </si>
  <si>
    <t>1.1.1.1.1.2.1</t>
  </si>
  <si>
    <t>12.1.21.1.8.9.1</t>
  </si>
  <si>
    <t xml:space="preserve">Демонтаж ступеней из керамогранита </t>
  </si>
  <si>
    <t>dd27522b-5c94-499e-8a9a-7af1fae54c43</t>
  </si>
  <si>
    <t>7fa7692f-8dd6-44dd-9da9-cbe512c009eb</t>
  </si>
  <si>
    <t>1.1.1.1.2</t>
  </si>
  <si>
    <t>12.1.21.3</t>
  </si>
  <si>
    <t>МОП типовые этажи</t>
  </si>
  <si>
    <t>1.1.1.1.2.1</t>
  </si>
  <si>
    <t>12.1.21.3.1</t>
  </si>
  <si>
    <t>1.1.1.1.2.1.1</t>
  </si>
  <si>
    <t>12.1.21.3.1.23.1</t>
  </si>
  <si>
    <t>Устройство плинтуса из керамогранитной плитки с затиркой швов, с предварительной огрунтовкой поверхности</t>
  </si>
  <si>
    <t>Тип: ПЛ-1</t>
  </si>
  <si>
    <t>пог. м</t>
  </si>
  <si>
    <t>7c078883-0b0a-4435-9703-ce38f86f609d</t>
  </si>
  <si>
    <t>f0f6bca2-ba8d-49e1-8981-7463b4be94cd</t>
  </si>
  <si>
    <t>1.1.1.1.2.1.1.1</t>
  </si>
  <si>
    <t>413373319.54635</t>
  </si>
  <si>
    <t>36660162.54635</t>
  </si>
  <si>
    <t>1.1.1.1.2.1.1.2</t>
  </si>
  <si>
    <t>Грунтовка _ / универсальная водно-дисперсионная</t>
  </si>
  <si>
    <t>413373319.737422</t>
  </si>
  <si>
    <t>36660162.737422</t>
  </si>
  <si>
    <t>64d77ce3-b188-4652-a3eb-49ad1b6ad85c</t>
  </si>
  <si>
    <t>1.1.1.1.2.1.1.3</t>
  </si>
  <si>
    <t>Плинтус керамогранитный Дайсен SG211200R/3BT 600х95мм светло-серый</t>
  </si>
  <si>
    <t>413373319.1747282</t>
  </si>
  <si>
    <t>36660162.1747282</t>
  </si>
  <si>
    <t>d4275771-32c8-11ee-a102-d1661ac0bb93</t>
  </si>
  <si>
    <t>1.1.1.1.2.1.1.4</t>
  </si>
  <si>
    <t>Плиточный клей_ / Унифицированный по ПИК-СТАНДАРТ</t>
  </si>
  <si>
    <t>413373319.1570753</t>
  </si>
  <si>
    <t>36660162.1570753</t>
  </si>
  <si>
    <t>be76b7f0-d821-4213-a0b5-d4d9b08818f1</t>
  </si>
  <si>
    <t>1.1.1.1.2.1.2</t>
  </si>
  <si>
    <t>Тип: ПЛ-3</t>
  </si>
  <si>
    <t>1.1.1.1.2.1.2.1</t>
  </si>
  <si>
    <t>413373362.1570753</t>
  </si>
  <si>
    <t>36660716.1570753</t>
  </si>
  <si>
    <t>1.1.1.1.2.1.2.2</t>
  </si>
  <si>
    <t>Керамическая плитка Коллиано_ / Серый / SG913000N / 300*300*8мм</t>
  </si>
  <si>
    <t>413373362.758696</t>
  </si>
  <si>
    <t>36660716.758696</t>
  </si>
  <si>
    <t>dec587a8-6f4e-4afb-bdfb-9a67018ca72c</t>
  </si>
  <si>
    <t>1.1.1.1.2.1.2.3</t>
  </si>
  <si>
    <t>413373362.737422</t>
  </si>
  <si>
    <t>36660716.737422</t>
  </si>
  <si>
    <t>1.1.1.1.2.2</t>
  </si>
  <si>
    <t>12.1.21.3.8</t>
  </si>
  <si>
    <t>1.1.1.1.2.2.1</t>
  </si>
  <si>
    <t>12.1.21.3.8.7.1</t>
  </si>
  <si>
    <t xml:space="preserve">Демонтаж плинтуса из керамогранита </t>
  </si>
  <si>
    <t>420ac688-181d-40e8-841a-b00e07fee8d8</t>
  </si>
  <si>
    <t>c4f61571-ca0c-4654-a279-8ed2b8a54d1c</t>
  </si>
  <si>
    <t>1.1.1.1.3</t>
  </si>
  <si>
    <t>12.1.21.99</t>
  </si>
  <si>
    <t>Прочие работы</t>
  </si>
  <si>
    <t>1.1.1.1.3.1</t>
  </si>
  <si>
    <t>12.1.21.99.3.1</t>
  </si>
  <si>
    <t>Затарка материала вручную</t>
  </si>
  <si>
    <t>т</t>
  </si>
  <si>
    <t>fc254468-2bfb-4982-b318-56f555c7f8b7</t>
  </si>
  <si>
    <t>c6278cd4-70d2-4f9a-b595-73008d3098d3</t>
  </si>
  <si>
    <t>1.1.1.1.3.2</t>
  </si>
  <si>
    <t>12.1.21.99.8.1</t>
  </si>
  <si>
    <t>Уборка мусора от демонтажных работ с погрузкой в мешки и в контейнеры</t>
  </si>
  <si>
    <t>Применяется для объема мусора превышающего объем, учтенный в демонтажных работах расчета. Не применяется к объему мусора иных работ</t>
  </si>
  <si>
    <t>205f8f69-c91d-42b2-a60c-4b48bb0f6399</t>
  </si>
  <si>
    <t>5b07120c-0c6c-467e-80d4-ea652219ddeb</t>
  </si>
  <si>
    <t>1.1.1.2</t>
  </si>
  <si>
    <t>12.1.23</t>
  </si>
  <si>
    <t>Отделка СКБ</t>
  </si>
  <si>
    <t>1.1.1.2.1</t>
  </si>
  <si>
    <t>12.1.23.1</t>
  </si>
  <si>
    <t>1.1.1.2.1.1</t>
  </si>
  <si>
    <t>12.1.23.1.3.1</t>
  </si>
  <si>
    <t>Устройство покрытия пола из линолеума</t>
  </si>
  <si>
    <t>Тип: Л-1.1 Линолеум Tarkett. Tempo Plus 1003/89316, КМ2</t>
  </si>
  <si>
    <t>51b31787-2db2-4031-aade-329f900ef9b7</t>
  </si>
  <si>
    <t>5e7e46df-abb0-4806-b018-19be508cca77</t>
  </si>
  <si>
    <t>1.1.1.2.1.1.1</t>
  </si>
  <si>
    <t>Линолеум (для объектов СКБ)_ / 2,5 мм / Светло-серый / TempoPlus 1003/89316 / Tarkett / 34 / Линолеум ПВХ гомогенный для детского сада</t>
  </si>
  <si>
    <t>413373331.765845</t>
  </si>
  <si>
    <t>36659764.765845</t>
  </si>
  <si>
    <t>3ad291f0-880a-4d41-b76e-e62924259b82</t>
  </si>
  <si>
    <t>1.1.1.2.1.1.2</t>
  </si>
  <si>
    <t>Сварочный шнур для линолеума (для объектов СКБ)_ / Tarkett  / Сварочный шнур для линолеума ПВХ светло - серого для детского сада / 91811</t>
  </si>
  <si>
    <t>413373331.1757617</t>
  </si>
  <si>
    <t>36659764.1757617</t>
  </si>
  <si>
    <t>bb025d17-34e9-45a4-8c65-9092721a631f</t>
  </si>
  <si>
    <t>1.1.1.2.1.1.3</t>
  </si>
  <si>
    <t>413373331.737422</t>
  </si>
  <si>
    <t>36659764.737422</t>
  </si>
  <si>
    <t>1.1.1.2.1.1.4</t>
  </si>
  <si>
    <t>Клей для линолеума</t>
  </si>
  <si>
    <t>Клей Forbo Eurocol 599 Eurosafe Super - 5 мм, коэф.расхода = 0,45 кг, 780кв.м*0,45 = 351кг</t>
  </si>
  <si>
    <t>413373331.702694</t>
  </si>
  <si>
    <t>36659764.702694</t>
  </si>
  <si>
    <t>1a3e3255-5ba6-49e7-bbc8-279e1b1289a0</t>
  </si>
  <si>
    <t>1.1.1.2.1.2</t>
  </si>
  <si>
    <t>12.1.23.1.6.1</t>
  </si>
  <si>
    <t>Устройство покрытия пола с предварительной огрунтовкой поверхности / из керамогранитной плитки с затиркой швов</t>
  </si>
  <si>
    <t>ba238fec-d7fc-420d-944a-4b6d4b8cbc4b</t>
  </si>
  <si>
    <t>7cacd293-77f7-4a45-9f6e-286caebd5ddd</t>
  </si>
  <si>
    <t>1.1.1.2.1.2.1</t>
  </si>
  <si>
    <t>413373333.54635</t>
  </si>
  <si>
    <t>36659754.54635</t>
  </si>
  <si>
    <t>1.1.1.2.1.2.2</t>
  </si>
  <si>
    <t>Клей плиточный/ Унифицированный по ПИК-СТАНДАРТ</t>
  </si>
  <si>
    <t>413373333.54632</t>
  </si>
  <si>
    <t>36659754.54632</t>
  </si>
  <si>
    <t>29ab9003-5b43-49a7-8ba2-846628054d7e</t>
  </si>
  <si>
    <t>1.1.1.2.1.2.3</t>
  </si>
  <si>
    <t>413373333.737422</t>
  </si>
  <si>
    <t>36659754.737422</t>
  </si>
  <si>
    <t>1.1.1.2.1.2.4</t>
  </si>
  <si>
    <t>Керамический гранит Дайсен_/SG610300/светло-серый/600х600х11</t>
  </si>
  <si>
    <t>413373333.54666</t>
  </si>
  <si>
    <t>36659754.54666</t>
  </si>
  <si>
    <t>dbc2d116-b9c7-4a2f-9452-f183b936c28a</t>
  </si>
  <si>
    <t>1.1.1.2.1.3</t>
  </si>
  <si>
    <t>1.1.1.2.1.3.1</t>
  </si>
  <si>
    <t>413373363.737422</t>
  </si>
  <si>
    <t>36659755.737422</t>
  </si>
  <si>
    <t>1.1.1.2.1.3.2</t>
  </si>
  <si>
    <t>413373363.54632</t>
  </si>
  <si>
    <t>36659755.54632</t>
  </si>
  <si>
    <t>1.1.1.2.1.3.3</t>
  </si>
  <si>
    <t>413373363.758696</t>
  </si>
  <si>
    <t>36659755.758696</t>
  </si>
  <si>
    <t>1.1.1.2.1.3.4</t>
  </si>
  <si>
    <t>413373363.54635</t>
  </si>
  <si>
    <t>36659755.54635</t>
  </si>
  <si>
    <t>1.1.1.2.1.4</t>
  </si>
  <si>
    <t>12.1.23.1.10.1</t>
  </si>
  <si>
    <t>Установка полимерного самоклеющегося плинтуса (Не использовать с 01.07.2025г)</t>
  </si>
  <si>
    <t>6274df8b-4397-4e99-b528-8d030fab2b24</t>
  </si>
  <si>
    <t>426c3fab-6143-4423-b9ee-53c765b78c05</t>
  </si>
  <si>
    <t>1.1.1.2.1.4.1</t>
  </si>
  <si>
    <t>Плинтус для линолеума (для объектов СКБ) 100 мм WL 100 Dark Gray 0146 Dollken Плинтус для линолеума для детского сада и школ</t>
  </si>
  <si>
    <t>413373335.1747273</t>
  </si>
  <si>
    <t>36659747.1747273</t>
  </si>
  <si>
    <t>de126dff-32d0-11ee-a102-d1661ac0bb93</t>
  </si>
  <si>
    <t>1.1.1.2.1.5</t>
  </si>
  <si>
    <t>12.1.23.1.12.1</t>
  </si>
  <si>
    <t>Устройство наливных полов с огрунтовкой поверхности и проклейкой демпферной лентой / толщ. до 10 мм</t>
  </si>
  <si>
    <t>Вне зависимости от способа выполнения работ механизировано или вручную.</t>
  </si>
  <si>
    <t>b30e711e-fd2e-4402-9c1c-fd9dc1b88c63</t>
  </si>
  <si>
    <t>52781403-7734-4ba3-aa44-54230170e39b</t>
  </si>
  <si>
    <t>1.1.1.2.1.5.1</t>
  </si>
  <si>
    <t>413373337.1139608</t>
  </si>
  <si>
    <t>36659748.1139608</t>
  </si>
  <si>
    <t>1.1.1.2.1.5.2</t>
  </si>
  <si>
    <t>Лента кромочная демпферная_/8*100мм/20м</t>
  </si>
  <si>
    <t>413373337.55045</t>
  </si>
  <si>
    <t>36659748.55045</t>
  </si>
  <si>
    <t>41f707b9-71e7-4101-86f2-7af29d65f5fe</t>
  </si>
  <si>
    <t>1.1.1.2.1.5.3</t>
  </si>
  <si>
    <t>Наливной пол_ / Унифицированный по ПИК-СТАНДАРТ</t>
  </si>
  <si>
    <t>413373337.843695</t>
  </si>
  <si>
    <t>36659748.843695</t>
  </si>
  <si>
    <t>df4d871a-815e-4066-8cc1-e339f3f3c9fe</t>
  </si>
  <si>
    <t>1.1.1.2.2</t>
  </si>
  <si>
    <t>12.1.23.2</t>
  </si>
  <si>
    <t>Стены</t>
  </si>
  <si>
    <t>1.1.1.2.2.1</t>
  </si>
  <si>
    <t>12.1.23.2.2.1</t>
  </si>
  <si>
    <t>Облицовка поверхности стен с предварительной огрунтовкой и затиркой швов / керамической плиткой</t>
  </si>
  <si>
    <t>Тип: СТ-4.1 Керамическая плитка, Калейдоскоп 5009 200х200х6.9 мм Kerama marazzi, затирка Ceresit CE 33, 04 серебристо-серый, крестик 2 мм</t>
  </si>
  <si>
    <t>f7aae9ad-9ef7-46b1-ad33-1414658c2aa3</t>
  </si>
  <si>
    <t>1e367d8e-8797-41db-9193-b13187cae6d6</t>
  </si>
  <si>
    <t>1.1.1.2.2.1.1</t>
  </si>
  <si>
    <t>413373340.737422</t>
  </si>
  <si>
    <t>36664408.737422</t>
  </si>
  <si>
    <t>1.1.1.2.2.1.2</t>
  </si>
  <si>
    <t>Затирка Цезерит СE33_/04 серебристо-серый</t>
  </si>
  <si>
    <t>413373340.54637</t>
  </si>
  <si>
    <t>36664408.54637</t>
  </si>
  <si>
    <t>c293221b-d93c-4424-8200-e1b99b7167e3</t>
  </si>
  <si>
    <t>1.1.1.2.2.1.3</t>
  </si>
  <si>
    <t>Керамический гранит Kerama marazzi_ / Белый / 5009/ Калейдоскоп / 200х200</t>
  </si>
  <si>
    <t>413373340.758609</t>
  </si>
  <si>
    <t>36664408.758609</t>
  </si>
  <si>
    <t>70f2d54b-ab55-43b4-b130-a5f8f85e7098</t>
  </si>
  <si>
    <t>1.1.1.2.2.1.4</t>
  </si>
  <si>
    <t>413373340.1570753</t>
  </si>
  <si>
    <t>36664408.1570753</t>
  </si>
  <si>
    <t>1.1.1.2.2.2</t>
  </si>
  <si>
    <t>Тип: СТ-5.1 Керамическая плитка, 200х300х6,9 мм, Kerama Marazzi (Белое Солнце 8000), затирка Ceresit CE 33. 02 серебристо-серый, крестик 2 мм. Горизонтальная раскладка до перекрытия</t>
  </si>
  <si>
    <t>1.1.1.2.2.2.1</t>
  </si>
  <si>
    <t>Плитка керамическая Kerama Marazzi 800 300х200х6,9мм</t>
  </si>
  <si>
    <t>413373364.3323472</t>
  </si>
  <si>
    <t>36664409.3323472</t>
  </si>
  <si>
    <t>3d48fd1d-5889-4b92-be81-6cb5f36a02b4</t>
  </si>
  <si>
    <t>1.1.1.2.2.2.2</t>
  </si>
  <si>
    <t>413373364.1570753</t>
  </si>
  <si>
    <t>36664409.1570753</t>
  </si>
  <si>
    <t>1.1.1.2.2.2.3</t>
  </si>
  <si>
    <t>413373364.54637</t>
  </si>
  <si>
    <t>36664409.54637</t>
  </si>
  <si>
    <t>1.1.1.2.2.2.4</t>
  </si>
  <si>
    <t>413373364.737422</t>
  </si>
  <si>
    <t>36664409.737422</t>
  </si>
  <si>
    <t>1.1.1.2.2.3</t>
  </si>
  <si>
    <t>12.1.23.2.9.3</t>
  </si>
  <si>
    <t>Штукатурка стен сухими смесями с установкой маяков с предварительной огрунтовкой / толщ. от 16,5 мм до 21 мм</t>
  </si>
  <si>
    <t>c5aa8ee2-e574-43a3-844b-653c022bb54c</t>
  </si>
  <si>
    <t>b1b4cdaf-0fc6-4e61-b23e-3869ff11dc81</t>
  </si>
  <si>
    <t>1.1.1.2.2.3.1</t>
  </si>
  <si>
    <t>Профиль маячковый_/ПМ6</t>
  </si>
  <si>
    <t>413373342.55029</t>
  </si>
  <si>
    <t>36662405.55029</t>
  </si>
  <si>
    <t>b3ba1810-316e-4118-90eb-ce29d5c83076</t>
  </si>
  <si>
    <t>1.1.1.2.2.3.2</t>
  </si>
  <si>
    <t>Грунтовка БЕТОН-КОНТАКТ_/</t>
  </si>
  <si>
    <t>413373342.54633</t>
  </si>
  <si>
    <t>36662405.54633</t>
  </si>
  <si>
    <t>8682c7d7-b370-46ef-9c4b-39309f9aa3e8</t>
  </si>
  <si>
    <t>1.1.1.2.2.3.3</t>
  </si>
  <si>
    <t>Сетка стеклотканевая 200г/м2, ячейка 5х5мм</t>
  </si>
  <si>
    <t>413373342.17342</t>
  </si>
  <si>
    <t>36662405.17342</t>
  </si>
  <si>
    <t>1bf3e29a-aa18-11e8-80e4-005056881952</t>
  </si>
  <si>
    <t>1.1.1.2.2.3.4</t>
  </si>
  <si>
    <t>Штукатурка гипсовая_ / Унифицированная по ПИК-СТАНДАРТ, 30кг</t>
  </si>
  <si>
    <t>413373342.54616</t>
  </si>
  <si>
    <t>36662405.54616</t>
  </si>
  <si>
    <t>b059108e-66ce-4a56-9765-c924e4c0b8b7</t>
  </si>
  <si>
    <t>1.1.1.2.2.4</t>
  </si>
  <si>
    <t>12.1.23.2.10.1</t>
  </si>
  <si>
    <t>Лакокрасочные работы СКБ / окраска стен / в 2 слоя</t>
  </si>
  <si>
    <t>Тип: СТ-1.1 Краска матовая водно-дисперсионная, RAL 9003, КМ1, 1 кл. истриания. Tikkurila ТЕКС</t>
  </si>
  <si>
    <t>4c24ca93-b856-4913-a3fe-bc768660074c</t>
  </si>
  <si>
    <t>4c233987-7536-4054-bf5e-1cd26c31dab8</t>
  </si>
  <si>
    <t>1.1.1.2.2.4.1</t>
  </si>
  <si>
    <t>Краска водно-дисперсионная Tikkurila_ / RAL 9003 / PROF EURO 7</t>
  </si>
  <si>
    <t>413373344.758302</t>
  </si>
  <si>
    <t>36663239.758302</t>
  </si>
  <si>
    <t>838e3a4c-e4d0-4163-a2da-acf784a669a7</t>
  </si>
  <si>
    <t>1.1.1.2.2.4.2</t>
  </si>
  <si>
    <t>Грунтовка универсальный ЛАСТИМИН_ / LP-51 А</t>
  </si>
  <si>
    <t>413373344.54634</t>
  </si>
  <si>
    <t>36663239.54634</t>
  </si>
  <si>
    <t>6f806fd0-f20f-4c69-8d99-cee4063fa047</t>
  </si>
  <si>
    <t>1.1.1.2.2.5</t>
  </si>
  <si>
    <t>Тип: СТ-3.1 Краска огнестойкая, RAL 9003, КМ0,1кл. истирания, Радуга ЖС-132</t>
  </si>
  <si>
    <t>1.1.1.2.2.5.1</t>
  </si>
  <si>
    <t>Краска водно-дисперсионная /  КМ0 / "ПАЛИТРА РУСИ" ТУ 2310-049-51309101-2014,  S367</t>
  </si>
  <si>
    <t>413373365.1183295</t>
  </si>
  <si>
    <t>36663240.1183295</t>
  </si>
  <si>
    <t>520b22fa-013a-4d59-9376-03984a516c84</t>
  </si>
  <si>
    <t>1.1.1.2.2.5.2</t>
  </si>
  <si>
    <t>413373365.54634</t>
  </si>
  <si>
    <t>36663240.54634</t>
  </si>
  <si>
    <t>1.1.1.2.2.6</t>
  </si>
  <si>
    <t>12.1.23.2.10.2</t>
  </si>
  <si>
    <t>Лакокрасочные работы СКБ / окраска потолков / в 2 слоя</t>
  </si>
  <si>
    <t>Тип: ПТ-1 Матовая водно-дисперсионная, RAL 9003, КМ1, 1 кл. истриания. Tikkurila ТЕКС</t>
  </si>
  <si>
    <t>55dcd11a-c570-4894-be4e-3c3874402761</t>
  </si>
  <si>
    <t>5ba78913-6269-46e9-a6cf-0030514785d4</t>
  </si>
  <si>
    <t>1.1.1.2.2.6.1</t>
  </si>
  <si>
    <t>413373345.54634</t>
  </si>
  <si>
    <t>36665012.54634</t>
  </si>
  <si>
    <t>1.1.1.2.2.6.2</t>
  </si>
  <si>
    <t>413373345.758302</t>
  </si>
  <si>
    <t>36665012.758302</t>
  </si>
  <si>
    <t>1.1.1.2.2.7</t>
  </si>
  <si>
    <t>Тип: ПТ-5 Краска огнестойкая, RAL 9003, КМ0, 1 кл. истриания. Радуга ЖС-132</t>
  </si>
  <si>
    <t>1.1.1.2.2.7.1</t>
  </si>
  <si>
    <t>Краска водно-дисперсионная /  КМ0 / "ПАЛИТРА РУСИ" ТУ 2310-049-51309101-2014, RAL 9016</t>
  </si>
  <si>
    <t>413373366.1506604</t>
  </si>
  <si>
    <t>36665013.1506604</t>
  </si>
  <si>
    <t>02d38f11-bb01-4c87-a584-b1119008633f</t>
  </si>
  <si>
    <t>1.1.1.2.2.7.2</t>
  </si>
  <si>
    <t>413373366.54634</t>
  </si>
  <si>
    <t>36665013.54634</t>
  </si>
  <si>
    <t>1.1.1.2.2.8</t>
  </si>
  <si>
    <t>12.1.23.2.11.5</t>
  </si>
  <si>
    <t>Подготовка поверхности СКБ / стен / по штукатурке / 2мм</t>
  </si>
  <si>
    <t>Шпаклевка стен, базовый слой</t>
  </si>
  <si>
    <t>2d82ee91-3b80-41a0-9d47-bde670b317cb</t>
  </si>
  <si>
    <t>d94b048a-66f3-4055-bee2-652770e52a45</t>
  </si>
  <si>
    <t>1.1.1.2.2.8.1</t>
  </si>
  <si>
    <t>413373347.54634</t>
  </si>
  <si>
    <t>36662409.54634</t>
  </si>
  <si>
    <t>1.1.1.2.2.8.2</t>
  </si>
  <si>
    <t>Уголок малярный_ / L=3м /25х25 мм</t>
  </si>
  <si>
    <t>413373347.18405</t>
  </si>
  <si>
    <t>36662409.18405</t>
  </si>
  <si>
    <t>6aa8b3b9-7634-40f9-a5c9-a021ce35f715</t>
  </si>
  <si>
    <t>1.1.1.2.2.8.3</t>
  </si>
  <si>
    <t>Шпатлевка гипсовая_ / белая / Унифицированная по ПИК-СТАНДАРТ, 30кг</t>
  </si>
  <si>
    <t>413373347.54621</t>
  </si>
  <si>
    <t>36662409.54621</t>
  </si>
  <si>
    <t>b18a669c-55b9-4a3b-9bec-843efe930f3c</t>
  </si>
  <si>
    <t>1.1.1.2.2.9</t>
  </si>
  <si>
    <t>Шпаклевка стен, финишный слой</t>
  </si>
  <si>
    <t>1.1.1.2.2.9.1</t>
  </si>
  <si>
    <t>Шпатлевка полимерная суперфинишная ЭЛИСИЛК_/белая/ PP37W</t>
  </si>
  <si>
    <t>413373367.54623</t>
  </si>
  <si>
    <t>36662410.54623</t>
  </si>
  <si>
    <t>fd599ec7-fabd-4bec-b213-8990de665df5</t>
  </si>
  <si>
    <t>1.1.1.2.2.9.2</t>
  </si>
  <si>
    <t>413373367.54634</t>
  </si>
  <si>
    <t>36662410.54634</t>
  </si>
  <si>
    <t>1.1.1.2.2.10</t>
  </si>
  <si>
    <t>12.1.23.2.11.6</t>
  </si>
  <si>
    <t>Подготовка поверхности СКБ / потолка / по штукатурке / 2мм</t>
  </si>
  <si>
    <t>Шпаклевка потолка, базовый слой</t>
  </si>
  <si>
    <t>42d08cea-07ba-4dbe-a8b0-b5e7c8673109</t>
  </si>
  <si>
    <t>4fff5d95-e3c5-4292-b4fb-03685f11ad6b</t>
  </si>
  <si>
    <t>1.1.1.2.2.10.1</t>
  </si>
  <si>
    <t>413373348.1139608</t>
  </si>
  <si>
    <t>36665230.1139608</t>
  </si>
  <si>
    <t>1.1.1.2.2.10.2</t>
  </si>
  <si>
    <t>Шпатлевка гипсовая_ / белая / Унифицированная по ПИК-СТАНДАРТ, 30кг (BIM)</t>
  </si>
  <si>
    <t>413373348.1570750</t>
  </si>
  <si>
    <t>36665230.1570750</t>
  </si>
  <si>
    <t>3254b4be-ac53-4a29-ad23-972be75bc24b</t>
  </si>
  <si>
    <t>1.1.1.2.2.11</t>
  </si>
  <si>
    <t>Шпаклевка потолка, финишный слой</t>
  </si>
  <si>
    <t>1.1.1.2.2.11.1</t>
  </si>
  <si>
    <t>413373368.1570750</t>
  </si>
  <si>
    <t>36665231.1570750</t>
  </si>
  <si>
    <t>1.1.1.2.2.11.2</t>
  </si>
  <si>
    <t>413373368.1139608</t>
  </si>
  <si>
    <t>36665231.1139608</t>
  </si>
  <si>
    <t>1.1.1.2.3</t>
  </si>
  <si>
    <t>12.1.23.8</t>
  </si>
  <si>
    <t>1.1.1.2.3.1</t>
  </si>
  <si>
    <t>12.1.23.8.6.1</t>
  </si>
  <si>
    <t>Демонтаж напольной керамической плитки</t>
  </si>
  <si>
    <t>13c29875-be54-4fc4-81e5-320c0546ca8c</t>
  </si>
  <si>
    <t>7b920465-b8e7-47bc-bee5-b65a2eff7ac8</t>
  </si>
  <si>
    <t>1.1.1.2.3.2</t>
  </si>
  <si>
    <t>12.1.23.8.7.1</t>
  </si>
  <si>
    <t>Демонтаж напольных покрытий (линолеум/мармолеум с учетом плинтуса)</t>
  </si>
  <si>
    <t>dabc7818-1af7-4bcb-b014-9101a7531a29</t>
  </si>
  <si>
    <t>006666f2-536e-4f85-b52b-0ddb5e0d04b5</t>
  </si>
  <si>
    <t>1.1.1.2.3.3</t>
  </si>
  <si>
    <t>12.1.23.8.9.1</t>
  </si>
  <si>
    <t xml:space="preserve">Демонтаж наливного пола </t>
  </si>
  <si>
    <t>81846705-dfe3-4c49-91d3-fc490eb891a1</t>
  </si>
  <si>
    <t>fbe85557-6d15-4551-bf71-d0ec451e4dad</t>
  </si>
  <si>
    <t>1.1.1.2.3.4</t>
  </si>
  <si>
    <t>12.1.23.8.10.1</t>
  </si>
  <si>
    <t>Демонтаж плинтуса для линолеума</t>
  </si>
  <si>
    <t>ed354d22-1b83-4ee0-a4ad-f96c81ceb832</t>
  </si>
  <si>
    <t>23852d1c-3bc2-4888-b54c-d357c9ea5005</t>
  </si>
  <si>
    <t>1.1.1.2.3.5</t>
  </si>
  <si>
    <t>12.1.23.8.17.1</t>
  </si>
  <si>
    <t>Демонтаж керамической плитки/ стены</t>
  </si>
  <si>
    <t>1a31183a-e5eb-4889-abb0-1c2b6ef2c1da</t>
  </si>
  <si>
    <t>a87e9a0f-57ad-441c-bc1d-ab27c930400f</t>
  </si>
  <si>
    <t>1.1.1.2.3.6</t>
  </si>
  <si>
    <t>12.1.23.8.18.1</t>
  </si>
  <si>
    <t>Демонтаж шпатлевки и/или штукатурки на поверхности стен</t>
  </si>
  <si>
    <t>67ed843b-286e-4669-876d-802f76998bd5</t>
  </si>
  <si>
    <t>42483040-cb35-4211-a706-0e5b75fe6630</t>
  </si>
  <si>
    <t>Общая стоимость работ, руб.с НДС 22%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</si>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</sst>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7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2"/>
      <color rgb="FFFFFFFF"/>
      <name val="Times New Roman"/>
    </font>
    <font>
      <sz val="15"/>
      <color rgb="FFFFFFFF"/>
      <name val="Times New Roman"/>
    </font>
    <font>
      <sz val="12"/>
      <color rgb="FF0F2A2D"/>
      <name val="Times New Roman"/>
    </font>
    <font>
      <sz val="15"/>
      <color rgb="FF0F2A2D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000000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7E2EF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5F6B73"/>
        <bgColor rgb="FF000000"/>
      </patternFill>
    </fill>
    <fill>
      <patternFill patternType="solid">
        <fgColor rgb="FF7A878F"/>
        <bgColor rgb="FF000000"/>
      </patternFill>
    </fill>
    <fill>
      <patternFill patternType="solid">
        <fgColor rgb="FF2F6F73"/>
        <bgColor rgb="FF000000"/>
      </patternFill>
    </fill>
    <fill>
      <patternFill patternType="solid">
        <fgColor rgb="FF4F8F93"/>
        <bgColor rgb="FF000000"/>
      </patternFill>
    </fill>
    <fill>
      <patternFill patternType="solid">
        <fgColor rgb="FF7FB4B8"/>
        <bgColor rgb="FF000000"/>
      </patternFill>
    </fill>
    <fill>
      <patternFill patternType="solid">
        <fgColor rgb="FFD8E4B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0" fillId="2" borderId="0" xfId="0" applyFill="1" applyProtection="1"/>
    <xf numFmtId="0" fontId="4" fillId="0" borderId="0" xfId="0" applyFont="1" applyAlignment="1" applyProtection="1">
      <alignment horizontal="left" vertical="center"/>
    </xf>
    <xf numFmtId="4" fontId="7" fillId="0" borderId="4" xfId="0" applyNumberFormat="1" applyFont="1" applyBorder="1" applyAlignment="1" applyProtection="1">
      <alignment horizontal="center" vertical="center"/>
    </xf>
    <xf numFmtId="0" fontId="0" fillId="5" borderId="2" xfId="0" applyFill="1" applyBorder="1" applyProtection="1"/>
    <xf numFmtId="4" fontId="7" fillId="5" borderId="4" xfId="0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 applyProtection="1">
      <alignment horizontal="left" vertical="center"/>
    </xf>
    <xf numFmtId="10" fontId="7" fillId="0" borderId="4" xfId="0" applyNumberFormat="1" applyFont="1" applyBorder="1" applyAlignment="1" applyProtection="1">
      <alignment horizontal="center" vertical="center"/>
    </xf>
    <xf numFmtId="10" fontId="7" fillId="5" borderId="4" xfId="0" applyNumberFormat="1" applyFont="1" applyFill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left" vertical="center"/>
    </xf>
    <xf numFmtId="0" fontId="9" fillId="6" borderId="4" xfId="0" applyFont="1" applyFill="1" applyBorder="1" applyAlignment="1" applyProtection="1">
      <alignment horizontal="left" vertical="center"/>
    </xf>
    <xf numFmtId="0" fontId="9" fillId="7" borderId="4" xfId="0" applyFont="1" applyFill="1" applyBorder="1" applyAlignment="1" applyProtection="1">
      <alignment horizontal="left" vertical="center"/>
    </xf>
    <xf numFmtId="0" fontId="9" fillId="8" borderId="4" xfId="0" applyFont="1" applyFill="1" applyBorder="1" applyAlignment="1" applyProtection="1">
      <alignment horizontal="left" vertical="center"/>
    </xf>
    <xf numFmtId="0" fontId="9" fillId="9" borderId="4" xfId="0" applyFont="1" applyFill="1" applyBorder="1" applyAlignment="1" applyProtection="1">
      <alignment horizontal="left" vertical="center"/>
    </xf>
    <xf numFmtId="0" fontId="11" fillId="10" borderId="4" xfId="0" applyFont="1" applyFill="1" applyBorder="1" applyAlignment="1" applyProtection="1">
      <alignment horizontal="left" vertical="center"/>
    </xf>
    <xf numFmtId="0" fontId="13" fillId="0" borderId="4" xfId="0" applyFont="1" applyBorder="1" applyAlignment="1" applyProtection="1">
      <alignment horizontal="left" vertical="center" wrapText="1"/>
    </xf>
    <xf numFmtId="0" fontId="13" fillId="0" borderId="4" xfId="0" applyFont="1" applyBorder="1" applyAlignment="1" applyProtection="1">
      <alignment horizontal="center" vertical="center" wrapText="1"/>
    </xf>
    <xf numFmtId="164" fontId="13" fillId="0" borderId="4" xfId="0" applyNumberFormat="1" applyFont="1" applyBorder="1" applyAlignment="1" applyProtection="1">
      <alignment horizontal="center" vertical="center" wrapText="1"/>
    </xf>
    <xf numFmtId="4" fontId="13" fillId="0" borderId="4" xfId="0" applyNumberFormat="1" applyFont="1" applyBorder="1" applyAlignment="1" applyProtection="1">
      <alignment horizontal="center" vertical="center" wrapText="1"/>
    </xf>
    <xf numFmtId="4" fontId="13" fillId="3" borderId="4" xfId="0" applyNumberFormat="1" applyFont="1" applyFill="1" applyBorder="1" applyAlignment="1" applyProtection="1">
      <alignment horizontal="center" vertical="center" wrapText="1"/>
    </xf>
    <xf numFmtId="4" fontId="13" fillId="3" borderId="4" xfId="0" applyNumberFormat="1" applyFont="1" applyFill="1" applyBorder="1" applyAlignment="1" applyProtection="1">
      <alignment horizontal="center" vertical="center" wrapText="1"/>
      <protection locked="0"/>
    </xf>
    <xf numFmtId="10" fontId="13" fillId="0" borderId="4" xfId="0" applyNumberFormat="1" applyFont="1" applyBorder="1" applyAlignment="1" applyProtection="1">
      <alignment horizontal="center" vertical="center" wrapText="1"/>
    </xf>
    <xf numFmtId="0" fontId="14" fillId="0" borderId="4" xfId="0" applyFont="1" applyBorder="1" applyAlignment="1" applyProtection="1">
      <alignment horizontal="right" vertical="center" wrapText="1"/>
    </xf>
    <xf numFmtId="0" fontId="13" fillId="0" borderId="4" xfId="0" applyFont="1" applyBorder="1" applyAlignment="1" applyProtection="1">
      <alignment horizontal="center" vertical="center"/>
    </xf>
    <xf numFmtId="164" fontId="13" fillId="0" borderId="4" xfId="0" applyNumberFormat="1" applyFont="1" applyBorder="1" applyAlignment="1" applyProtection="1">
      <alignment horizontal="center" vertical="center"/>
    </xf>
    <xf numFmtId="4" fontId="13" fillId="3" borderId="4" xfId="0" applyNumberFormat="1" applyFont="1" applyFill="1" applyBorder="1" applyAlignment="1" applyProtection="1">
      <alignment horizontal="center" vertical="center"/>
    </xf>
    <xf numFmtId="4" fontId="13" fillId="0" borderId="4" xfId="0" applyNumberFormat="1" applyFont="1" applyBorder="1" applyAlignment="1" applyProtection="1">
      <alignment horizontal="center" vertical="center"/>
    </xf>
    <xf numFmtId="4" fontId="13" fillId="3" borderId="4" xfId="0" applyNumberFormat="1" applyFont="1" applyFill="1" applyBorder="1" applyAlignment="1" applyProtection="1">
      <alignment horizontal="center" vertical="center"/>
      <protection locked="0"/>
    </xf>
    <xf numFmtId="10" fontId="13" fillId="0" borderId="4" xfId="0" applyNumberFormat="1" applyFont="1" applyBorder="1" applyAlignment="1" applyProtection="1">
      <alignment horizontal="center" vertical="center"/>
    </xf>
    <xf numFmtId="0" fontId="14" fillId="11" borderId="4" xfId="0" applyFont="1" applyFill="1" applyBorder="1" applyAlignment="1" applyProtection="1">
      <alignment horizontal="right" vertical="center" wrapText="1"/>
    </xf>
    <xf numFmtId="164" fontId="15" fillId="0" borderId="4" xfId="0" applyNumberFormat="1" applyFont="1" applyBorder="1" applyAlignment="1" applyProtection="1">
      <alignment horizontal="center" vertical="center"/>
    </xf>
    <xf numFmtId="0" fontId="0" fillId="3" borderId="0" xfId="0" applyFill="1" applyProtection="1"/>
    <xf numFmtId="0" fontId="16" fillId="3" borderId="4" xfId="0" applyFont="1" applyFill="1" applyBorder="1" applyAlignment="1" applyProtection="1">
      <alignment horizontal="right" vertical="center"/>
    </xf>
    <xf numFmtId="4" fontId="16" fillId="3" borderId="4" xfId="0" applyNumberFormat="1" applyFont="1" applyFill="1" applyBorder="1" applyAlignment="1" applyProtection="1">
      <alignment horizontal="center" vertical="center"/>
    </xf>
    <xf numFmtId="10" fontId="16" fillId="3" borderId="4" xfId="0" applyNumberFormat="1" applyFont="1" applyFill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left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3" fillId="0" borderId="0" xfId="0" applyFont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</xf>
    <xf numFmtId="0" fontId="5" fillId="4" borderId="3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8" fillId="5" borderId="1" xfId="0" applyFont="1" applyFill="1" applyBorder="1" applyAlignment="1" applyProtection="1">
      <alignment horizontal="left" vertical="center"/>
    </xf>
    <xf numFmtId="0" fontId="8" fillId="5" borderId="2" xfId="0" applyFont="1" applyFill="1" applyBorder="1" applyAlignment="1" applyProtection="1">
      <alignment horizontal="left" vertical="center"/>
    </xf>
    <xf numFmtId="0" fontId="8" fillId="5" borderId="3" xfId="0" applyFont="1" applyFill="1" applyBorder="1" applyAlignment="1" applyProtection="1">
      <alignment horizontal="left" vertical="center"/>
    </xf>
    <xf numFmtId="0" fontId="10" fillId="6" borderId="1" xfId="0" applyFont="1" applyFill="1" applyBorder="1" applyAlignment="1" applyProtection="1">
      <alignment horizontal="left" vertical="center"/>
    </xf>
    <xf numFmtId="0" fontId="10" fillId="6" borderId="2" xfId="0" applyFont="1" applyFill="1" applyBorder="1" applyAlignment="1" applyProtection="1">
      <alignment horizontal="left" vertical="center"/>
    </xf>
    <xf numFmtId="0" fontId="10" fillId="6" borderId="3" xfId="0" applyFont="1" applyFill="1" applyBorder="1" applyAlignment="1" applyProtection="1">
      <alignment horizontal="left" vertical="center"/>
    </xf>
    <xf numFmtId="0" fontId="10" fillId="7" borderId="1" xfId="0" applyFont="1" applyFill="1" applyBorder="1" applyAlignment="1" applyProtection="1">
      <alignment horizontal="left" vertical="center"/>
    </xf>
    <xf numFmtId="0" fontId="10" fillId="7" borderId="2" xfId="0" applyFont="1" applyFill="1" applyBorder="1" applyAlignment="1" applyProtection="1">
      <alignment horizontal="left" vertical="center"/>
    </xf>
    <xf numFmtId="0" fontId="10" fillId="7" borderId="3" xfId="0" applyFont="1" applyFill="1" applyBorder="1" applyAlignment="1" applyProtection="1">
      <alignment horizontal="left" vertical="center"/>
    </xf>
    <xf numFmtId="0" fontId="10" fillId="8" borderId="1" xfId="0" applyFont="1" applyFill="1" applyBorder="1" applyAlignment="1" applyProtection="1">
      <alignment horizontal="left" vertical="center"/>
    </xf>
    <xf numFmtId="0" fontId="10" fillId="8" borderId="2" xfId="0" applyFont="1" applyFill="1" applyBorder="1" applyAlignment="1" applyProtection="1">
      <alignment horizontal="left" vertical="center"/>
    </xf>
    <xf numFmtId="0" fontId="10" fillId="8" borderId="3" xfId="0" applyFont="1" applyFill="1" applyBorder="1" applyAlignment="1" applyProtection="1">
      <alignment horizontal="left" vertical="center"/>
    </xf>
    <xf numFmtId="0" fontId="10" fillId="9" borderId="1" xfId="0" applyFont="1" applyFill="1" applyBorder="1" applyAlignment="1" applyProtection="1">
      <alignment horizontal="left" vertical="center"/>
    </xf>
    <xf numFmtId="0" fontId="10" fillId="9" borderId="2" xfId="0" applyFont="1" applyFill="1" applyBorder="1" applyAlignment="1" applyProtection="1">
      <alignment horizontal="left" vertical="center"/>
    </xf>
    <xf numFmtId="0" fontId="10" fillId="9" borderId="3" xfId="0" applyFont="1" applyFill="1" applyBorder="1" applyAlignment="1" applyProtection="1">
      <alignment horizontal="left" vertical="center"/>
    </xf>
    <xf numFmtId="0" fontId="12" fillId="10" borderId="1" xfId="0" applyFont="1" applyFill="1" applyBorder="1" applyAlignment="1" applyProtection="1">
      <alignment horizontal="left" vertical="center"/>
    </xf>
    <xf numFmtId="0" fontId="12" fillId="10" borderId="2" xfId="0" applyFont="1" applyFill="1" applyBorder="1" applyAlignment="1" applyProtection="1">
      <alignment horizontal="left" vertical="center"/>
    </xf>
    <xf numFmtId="0" fontId="12" fillId="10" borderId="3" xfId="0" applyFont="1" applyFill="1" applyBorder="1" applyAlignment="1" applyProtection="1">
      <alignment horizontal="left" vertical="center"/>
    </xf>
    <xf numFmtId="0" fontId="4" fillId="0" borderId="2" xfId="0" applyFont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P127"/>
  <sheetViews>
    <sheetView tabSelected="1" zoomScale="55" zoomScaleNormal="55" workbookViewId="0">
      <pane xSplit="9" ySplit="7" topLeftCell="AQ76" activePane="bottomRight" state="frozen"/>
      <selection pane="topRight"/>
      <selection pane="bottomLeft"/>
      <selection pane="bottomRight" activeCell="E82" sqref="E82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4" width="38" hidden="1" customWidth="1"/>
    <col min="5" max="5" width="38" customWidth="1"/>
    <col min="6" max="6" width="16.44140625" customWidth="1"/>
    <col min="7" max="7" width="16.44140625" hidden="1" customWidth="1"/>
    <col min="8" max="8" width="16" hidden="1" customWidth="1"/>
    <col min="9" max="9" width="16.77734375" customWidth="1"/>
    <col min="10" max="10" width="16" hidden="1" customWidth="1"/>
    <col min="11" max="11" width="17" hidden="1" customWidth="1"/>
    <col min="12" max="12" width="17.6640625" hidden="1" customWidth="1"/>
    <col min="13" max="13" width="18" hidden="1" customWidth="1"/>
    <col min="14" max="14" width="18.77734375" hidden="1" customWidth="1"/>
    <col min="15" max="15" width="23.6640625" hidden="1" customWidth="1"/>
    <col min="16" max="16" width="16" hidden="1" customWidth="1"/>
    <col min="17" max="17" width="17" hidden="1" customWidth="1"/>
    <col min="18" max="18" width="17.6640625" hidden="1" customWidth="1"/>
    <col min="19" max="19" width="18" hidden="1" customWidth="1"/>
    <col min="20" max="20" width="18.77734375" hidden="1" customWidth="1"/>
    <col min="21" max="21" width="23.6640625" hidden="1" customWidth="1"/>
    <col min="22" max="35" width="9.109375" hidden="1" customWidth="1"/>
    <col min="36" max="36" width="0" hidden="1" customWidth="1"/>
    <col min="37" max="38" width="17.21875" hidden="1" customWidth="1"/>
    <col min="39" max="39" width="22.88671875" hidden="1" customWidth="1"/>
    <col min="40" max="41" width="17.21875" hidden="1" customWidth="1"/>
    <col min="42" max="42" width="22.88671875" hidden="1" customWidth="1"/>
  </cols>
  <sheetData>
    <row r="1" spans="1:42" ht="15" customHeight="1" x14ac:dyDescent="0.3">
      <c r="A1" s="1" t="s">
        <v>0</v>
      </c>
      <c r="B1" s="4"/>
      <c r="C1" s="4"/>
      <c r="D1" s="2" t="s">
        <v>1</v>
      </c>
      <c r="E1" s="2" t="s">
        <v>3</v>
      </c>
      <c r="F1" s="2" t="s">
        <v>2</v>
      </c>
      <c r="G1" s="2" t="s">
        <v>16</v>
      </c>
      <c r="H1" s="2" t="s">
        <v>17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AC1" s="5" t="s">
        <v>18</v>
      </c>
      <c r="AD1" s="5" t="s">
        <v>19</v>
      </c>
      <c r="AE1" s="5" t="s">
        <v>20</v>
      </c>
      <c r="AF1" s="5" t="s">
        <v>21</v>
      </c>
      <c r="AG1" s="5" t="s">
        <v>22</v>
      </c>
      <c r="AH1" s="5" t="s">
        <v>23</v>
      </c>
      <c r="AI1" s="5" t="s">
        <v>24</v>
      </c>
    </row>
    <row r="2" spans="1:42" ht="30.75" customHeight="1" x14ac:dyDescent="0.3">
      <c r="A2" s="41" t="s">
        <v>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42" ht="15" customHeight="1" x14ac:dyDescent="0.3">
      <c r="A3" s="42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42" ht="15" customHeight="1" x14ac:dyDescent="0.3">
      <c r="A4" s="43" t="s">
        <v>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42" ht="40.799999999999997" customHeight="1" x14ac:dyDescent="0.3">
      <c r="A5" s="55" t="s">
        <v>25</v>
      </c>
      <c r="B5" s="55" t="s">
        <v>26</v>
      </c>
      <c r="C5" s="55" t="s">
        <v>27</v>
      </c>
      <c r="D5" s="55" t="s">
        <v>28</v>
      </c>
      <c r="E5" s="55" t="s">
        <v>29</v>
      </c>
      <c r="F5" s="55" t="s">
        <v>30</v>
      </c>
      <c r="G5" s="55" t="s">
        <v>31</v>
      </c>
      <c r="H5" s="55" t="s">
        <v>32</v>
      </c>
      <c r="I5" s="55" t="s">
        <v>33</v>
      </c>
      <c r="J5" s="44" t="s">
        <v>7</v>
      </c>
      <c r="K5" s="45"/>
      <c r="L5" s="45"/>
      <c r="M5" s="45"/>
      <c r="N5" s="45"/>
      <c r="O5" s="46"/>
      <c r="P5" s="47" t="s">
        <v>8</v>
      </c>
      <c r="Q5" s="48"/>
      <c r="R5" s="49"/>
      <c r="S5" s="47" t="s">
        <v>9</v>
      </c>
      <c r="T5" s="48"/>
      <c r="U5" s="49"/>
      <c r="AK5" s="50" t="s">
        <v>10</v>
      </c>
      <c r="AL5" s="51"/>
      <c r="AM5" s="51"/>
      <c r="AN5" s="51"/>
      <c r="AO5" s="51"/>
      <c r="AP5" s="52"/>
    </row>
    <row r="6" spans="1:42" ht="15.75" customHeight="1" x14ac:dyDescent="0.3">
      <c r="A6" s="57"/>
      <c r="B6" s="57"/>
      <c r="C6" s="57"/>
      <c r="D6" s="57"/>
      <c r="E6" s="57"/>
      <c r="F6" s="57"/>
      <c r="G6" s="57"/>
      <c r="H6" s="57"/>
      <c r="I6" s="57"/>
      <c r="J6" s="53" t="s">
        <v>34</v>
      </c>
      <c r="K6" s="54"/>
      <c r="L6" s="55" t="s">
        <v>34</v>
      </c>
      <c r="M6" s="53" t="s">
        <v>35</v>
      </c>
      <c r="N6" s="54"/>
      <c r="O6" s="55" t="s">
        <v>36</v>
      </c>
      <c r="P6" s="53" t="s">
        <v>34</v>
      </c>
      <c r="Q6" s="54"/>
      <c r="R6" s="55" t="s">
        <v>34</v>
      </c>
      <c r="S6" s="53" t="s">
        <v>35</v>
      </c>
      <c r="T6" s="54"/>
      <c r="U6" s="55" t="s">
        <v>36</v>
      </c>
      <c r="AK6" s="53" t="s">
        <v>11</v>
      </c>
      <c r="AL6" s="54"/>
      <c r="AM6" s="55" t="s">
        <v>14</v>
      </c>
      <c r="AN6" s="53" t="s">
        <v>15</v>
      </c>
      <c r="AO6" s="54"/>
      <c r="AP6" s="55" t="s">
        <v>14</v>
      </c>
    </row>
    <row r="7" spans="1:42" ht="31.2" customHeight="1" x14ac:dyDescent="0.3">
      <c r="A7" s="56"/>
      <c r="B7" s="56"/>
      <c r="C7" s="56"/>
      <c r="D7" s="56"/>
      <c r="E7" s="56"/>
      <c r="F7" s="56"/>
      <c r="G7" s="56"/>
      <c r="H7" s="56"/>
      <c r="I7" s="56"/>
      <c r="J7" s="3" t="s">
        <v>12</v>
      </c>
      <c r="K7" s="3" t="s">
        <v>13</v>
      </c>
      <c r="L7" s="56"/>
      <c r="M7" s="3" t="s">
        <v>12</v>
      </c>
      <c r="N7" s="3" t="s">
        <v>13</v>
      </c>
      <c r="O7" s="56"/>
      <c r="P7" s="3" t="s">
        <v>12</v>
      </c>
      <c r="Q7" s="3" t="s">
        <v>13</v>
      </c>
      <c r="R7" s="56"/>
      <c r="S7" s="3" t="s">
        <v>12</v>
      </c>
      <c r="T7" s="3" t="s">
        <v>13</v>
      </c>
      <c r="U7" s="56"/>
      <c r="AK7" s="3" t="s">
        <v>12</v>
      </c>
      <c r="AL7" s="3" t="s">
        <v>13</v>
      </c>
      <c r="AM7" s="56"/>
      <c r="AN7" s="3" t="s">
        <v>12</v>
      </c>
      <c r="AO7" s="3" t="s">
        <v>13</v>
      </c>
      <c r="AP7" s="56"/>
    </row>
    <row r="8" spans="1:42" ht="30" hidden="1" customHeight="1" x14ac:dyDescent="0.3">
      <c r="A8" s="58" t="s">
        <v>37</v>
      </c>
      <c r="B8" s="59"/>
      <c r="C8" s="59"/>
      <c r="D8" s="59"/>
      <c r="E8" s="59"/>
      <c r="F8" s="59"/>
      <c r="G8" s="59"/>
      <c r="H8" s="59"/>
      <c r="I8" s="60"/>
      <c r="J8" s="7"/>
      <c r="K8" s="7"/>
      <c r="L8" s="7"/>
      <c r="M8" s="8">
        <f t="shared" ref="M8:O9" si="0">SUM(M9)</f>
        <v>1042894.79</v>
      </c>
      <c r="N8" s="8">
        <f t="shared" si="0"/>
        <v>2976296.83</v>
      </c>
      <c r="O8" s="8">
        <f t="shared" si="0"/>
        <v>4019191.62</v>
      </c>
      <c r="P8" s="7"/>
      <c r="Q8" s="7"/>
      <c r="R8" s="7"/>
      <c r="S8" s="8">
        <f t="shared" ref="S8:U9" si="1">SUM(S9)</f>
        <v>1118971.7</v>
      </c>
      <c r="T8" s="8">
        <f t="shared" si="1"/>
        <v>6065444.2699999996</v>
      </c>
      <c r="U8" s="8">
        <f t="shared" si="1"/>
        <v>7184415.9699999988</v>
      </c>
      <c r="Y8" s="9">
        <f t="shared" ref="Y8:AA9" si="2">SUM(Y9)</f>
        <v>932476.46</v>
      </c>
      <c r="Z8" s="9">
        <f t="shared" si="2"/>
        <v>5054536.9000000004</v>
      </c>
      <c r="AA8" s="9">
        <f t="shared" si="2"/>
        <v>5987013.3599999994</v>
      </c>
      <c r="AC8" s="5" t="s">
        <v>38</v>
      </c>
      <c r="AK8" s="8">
        <f t="shared" ref="AK8:AM14" si="3">S8-M8</f>
        <v>76076.909999999916</v>
      </c>
      <c r="AL8" s="8">
        <f t="shared" si="3"/>
        <v>3089147.4399999995</v>
      </c>
      <c r="AM8" s="8">
        <f t="shared" si="3"/>
        <v>3165224.3499999987</v>
      </c>
      <c r="AN8" s="11">
        <f t="shared" ref="AN8:AP14" si="4">IFERROR(AK8/M8,0)</f>
        <v>7.2947828227236527E-2</v>
      </c>
      <c r="AO8" s="11">
        <f t="shared" si="4"/>
        <v>1.0379164500202083</v>
      </c>
      <c r="AP8" s="11">
        <f t="shared" si="4"/>
        <v>0.78752760486697038</v>
      </c>
    </row>
    <row r="9" spans="1:42" ht="16.95" customHeight="1" x14ac:dyDescent="0.3">
      <c r="A9" s="12" t="s">
        <v>39</v>
      </c>
      <c r="B9" s="13" t="s">
        <v>40</v>
      </c>
      <c r="C9" s="61" t="s">
        <v>41</v>
      </c>
      <c r="D9" s="62"/>
      <c r="E9" s="62"/>
      <c r="F9" s="62"/>
      <c r="G9" s="62"/>
      <c r="H9" s="62"/>
      <c r="I9" s="63"/>
      <c r="M9" s="6">
        <f t="shared" si="0"/>
        <v>1042894.79</v>
      </c>
      <c r="N9" s="6">
        <f t="shared" si="0"/>
        <v>2976296.83</v>
      </c>
      <c r="O9" s="6">
        <f t="shared" si="0"/>
        <v>4019191.62</v>
      </c>
      <c r="S9" s="6">
        <f t="shared" si="1"/>
        <v>1118971.7</v>
      </c>
      <c r="T9" s="6">
        <f t="shared" si="1"/>
        <v>6065444.2699999996</v>
      </c>
      <c r="U9" s="6">
        <f t="shared" si="1"/>
        <v>7184415.9699999988</v>
      </c>
      <c r="Y9" s="9">
        <f t="shared" si="2"/>
        <v>932476.46</v>
      </c>
      <c r="Z9" s="9">
        <f t="shared" si="2"/>
        <v>5054536.9000000004</v>
      </c>
      <c r="AA9" s="9">
        <f t="shared" si="2"/>
        <v>5987013.3599999994</v>
      </c>
      <c r="AD9" s="5">
        <v>413373306</v>
      </c>
      <c r="AE9" s="5">
        <v>21662432</v>
      </c>
      <c r="AK9" s="6">
        <f t="shared" si="3"/>
        <v>76076.909999999916</v>
      </c>
      <c r="AL9" s="6">
        <f t="shared" si="3"/>
        <v>3089147.4399999995</v>
      </c>
      <c r="AM9" s="6">
        <f t="shared" si="3"/>
        <v>3165224.3499999987</v>
      </c>
      <c r="AN9" s="10">
        <f t="shared" si="4"/>
        <v>7.2947828227236527E-2</v>
      </c>
      <c r="AO9" s="10">
        <f t="shared" si="4"/>
        <v>1.0379164500202083</v>
      </c>
      <c r="AP9" s="10">
        <f t="shared" si="4"/>
        <v>0.78752760486697038</v>
      </c>
    </row>
    <row r="10" spans="1:42" ht="16.95" customHeight="1" x14ac:dyDescent="0.3">
      <c r="A10" s="12" t="s">
        <v>42</v>
      </c>
      <c r="B10" s="14" t="s">
        <v>43</v>
      </c>
      <c r="C10" s="64" t="s">
        <v>44</v>
      </c>
      <c r="D10" s="65"/>
      <c r="E10" s="65"/>
      <c r="F10" s="65"/>
      <c r="G10" s="65"/>
      <c r="H10" s="65"/>
      <c r="I10" s="66"/>
      <c r="M10" s="6">
        <f>SUM(M11,M37)</f>
        <v>1042894.79</v>
      </c>
      <c r="N10" s="6">
        <f>SUM(N11,N37)</f>
        <v>2976296.83</v>
      </c>
      <c r="O10" s="6">
        <f>SUM(O11,O37)</f>
        <v>4019191.62</v>
      </c>
      <c r="S10" s="6">
        <f>SUM(S11,S37)</f>
        <v>1118971.7</v>
      </c>
      <c r="T10" s="6">
        <f>SUM(T11,T37)</f>
        <v>6065444.2699999996</v>
      </c>
      <c r="U10" s="6">
        <f>SUM(U11,U37)</f>
        <v>7184415.9699999988</v>
      </c>
      <c r="Y10" s="9">
        <f>SUM(Y11,Y37)</f>
        <v>932476.46</v>
      </c>
      <c r="Z10" s="9">
        <f>SUM(Z11,Z37)</f>
        <v>5054536.9000000004</v>
      </c>
      <c r="AA10" s="9">
        <f>SUM(AA11,AA37)</f>
        <v>5987013.3599999994</v>
      </c>
      <c r="AD10" s="5">
        <v>413373307</v>
      </c>
      <c r="AE10" s="5">
        <v>21662434</v>
      </c>
      <c r="AK10" s="6">
        <f t="shared" si="3"/>
        <v>76076.909999999916</v>
      </c>
      <c r="AL10" s="6">
        <f t="shared" si="3"/>
        <v>3089147.4399999995</v>
      </c>
      <c r="AM10" s="6">
        <f t="shared" si="3"/>
        <v>3165224.3499999987</v>
      </c>
      <c r="AN10" s="10">
        <f t="shared" si="4"/>
        <v>7.2947828227236527E-2</v>
      </c>
      <c r="AO10" s="10">
        <f t="shared" si="4"/>
        <v>1.0379164500202083</v>
      </c>
      <c r="AP10" s="10">
        <f t="shared" si="4"/>
        <v>0.78752760486697038</v>
      </c>
    </row>
    <row r="11" spans="1:42" ht="16.95" customHeight="1" x14ac:dyDescent="0.3">
      <c r="A11" s="12" t="s">
        <v>45</v>
      </c>
      <c r="B11" s="15" t="s">
        <v>46</v>
      </c>
      <c r="C11" s="67" t="s">
        <v>47</v>
      </c>
      <c r="D11" s="68"/>
      <c r="E11" s="68"/>
      <c r="F11" s="68"/>
      <c r="G11" s="68"/>
      <c r="H11" s="68"/>
      <c r="I11" s="69"/>
      <c r="M11" s="6">
        <f>SUM(M12,M21,M34)</f>
        <v>59627.39</v>
      </c>
      <c r="N11" s="6">
        <f>SUM(N12,N21,N34)</f>
        <v>123663.79000000001</v>
      </c>
      <c r="O11" s="6">
        <f>SUM(O12,O21,O34)</f>
        <v>183291.18</v>
      </c>
      <c r="S11" s="6">
        <f>SUM(S12,S21,S34)</f>
        <v>59627.39</v>
      </c>
      <c r="T11" s="6">
        <f>SUM(T12,T21,T34)</f>
        <v>247327.58000000002</v>
      </c>
      <c r="U11" s="6">
        <f>SUM(U12,U21,U34)</f>
        <v>306954.96999999997</v>
      </c>
      <c r="Y11" s="9">
        <f>SUM(Y12,Y21,Y34)</f>
        <v>49689.5</v>
      </c>
      <c r="Z11" s="9">
        <f>SUM(Z12,Z21,Z34)</f>
        <v>206106.31</v>
      </c>
      <c r="AA11" s="9">
        <f>SUM(AA12,AA21,AA34)</f>
        <v>255795.81</v>
      </c>
      <c r="AD11" s="5">
        <v>413373308</v>
      </c>
      <c r="AE11" s="5">
        <v>21662440</v>
      </c>
      <c r="AK11" s="6">
        <f t="shared" si="3"/>
        <v>0</v>
      </c>
      <c r="AL11" s="6">
        <f t="shared" si="3"/>
        <v>123663.79000000001</v>
      </c>
      <c r="AM11" s="6">
        <f t="shared" si="3"/>
        <v>123663.78999999998</v>
      </c>
      <c r="AN11" s="10">
        <f t="shared" si="4"/>
        <v>0</v>
      </c>
      <c r="AO11" s="10">
        <f t="shared" si="4"/>
        <v>1</v>
      </c>
      <c r="AP11" s="10">
        <f t="shared" si="4"/>
        <v>0.67468489209355287</v>
      </c>
    </row>
    <row r="12" spans="1:42" ht="16.95" customHeight="1" x14ac:dyDescent="0.3">
      <c r="A12" s="12" t="s">
        <v>48</v>
      </c>
      <c r="B12" s="16" t="s">
        <v>49</v>
      </c>
      <c r="C12" s="70" t="s">
        <v>50</v>
      </c>
      <c r="D12" s="71"/>
      <c r="E12" s="71"/>
      <c r="F12" s="71"/>
      <c r="G12" s="71"/>
      <c r="H12" s="71"/>
      <c r="I12" s="72"/>
      <c r="M12" s="6">
        <f>SUM(M13,M19)</f>
        <v>29687.47</v>
      </c>
      <c r="N12" s="6">
        <f>SUM(N13,N19)</f>
        <v>45927</v>
      </c>
      <c r="O12" s="6">
        <f>SUM(O13,O19)</f>
        <v>75614.47</v>
      </c>
      <c r="S12" s="6">
        <f>SUM(S13,S19)</f>
        <v>29687.47</v>
      </c>
      <c r="T12" s="6">
        <f>SUM(T13,T19)</f>
        <v>91854</v>
      </c>
      <c r="U12" s="6">
        <f>SUM(U13,U19)</f>
        <v>121541.47</v>
      </c>
      <c r="Y12" s="9">
        <f>SUM(Y13,Y19)</f>
        <v>24739.56</v>
      </c>
      <c r="Z12" s="9">
        <f>SUM(Z13,Z19)</f>
        <v>76545</v>
      </c>
      <c r="AA12" s="9">
        <f>SUM(AA13,AA19)</f>
        <v>101284.56</v>
      </c>
      <c r="AD12" s="5">
        <v>413373309</v>
      </c>
      <c r="AE12" s="5">
        <v>21662437</v>
      </c>
      <c r="AK12" s="6">
        <f t="shared" si="3"/>
        <v>0</v>
      </c>
      <c r="AL12" s="6">
        <f t="shared" si="3"/>
        <v>45927</v>
      </c>
      <c r="AM12" s="6">
        <f t="shared" si="3"/>
        <v>45927</v>
      </c>
      <c r="AN12" s="10">
        <f t="shared" si="4"/>
        <v>0</v>
      </c>
      <c r="AO12" s="10">
        <f t="shared" si="4"/>
        <v>1</v>
      </c>
      <c r="AP12" s="10">
        <f t="shared" si="4"/>
        <v>0.60738374546564966</v>
      </c>
    </row>
    <row r="13" spans="1:42" ht="16.95" customHeight="1" x14ac:dyDescent="0.3">
      <c r="A13" s="12" t="s">
        <v>51</v>
      </c>
      <c r="B13" s="17" t="s">
        <v>52</v>
      </c>
      <c r="C13" s="73" t="s">
        <v>53</v>
      </c>
      <c r="D13" s="74"/>
      <c r="E13" s="74"/>
      <c r="F13" s="74"/>
      <c r="G13" s="74"/>
      <c r="H13" s="74"/>
      <c r="I13" s="75"/>
      <c r="M13" s="6">
        <f>SUM(M14)</f>
        <v>29687.47</v>
      </c>
      <c r="N13" s="6">
        <f>SUM(N14)</f>
        <v>32545.8</v>
      </c>
      <c r="O13" s="6">
        <f>SUM(O14)</f>
        <v>62233.270000000004</v>
      </c>
      <c r="S13" s="6">
        <f>SUM(S14)</f>
        <v>29687.47</v>
      </c>
      <c r="T13" s="6">
        <f>SUM(T14)</f>
        <v>65091.6</v>
      </c>
      <c r="U13" s="6">
        <f>SUM(U14)</f>
        <v>94779.07</v>
      </c>
      <c r="Y13" s="9">
        <f>SUM(Y14)</f>
        <v>24739.56</v>
      </c>
      <c r="Z13" s="9">
        <f>SUM(Z14)</f>
        <v>54243</v>
      </c>
      <c r="AA13" s="9">
        <f>SUM(AA14)</f>
        <v>78982.559999999998</v>
      </c>
      <c r="AD13" s="5">
        <v>413373310</v>
      </c>
      <c r="AE13" s="5">
        <v>36662402</v>
      </c>
      <c r="AK13" s="6">
        <f t="shared" si="3"/>
        <v>0</v>
      </c>
      <c r="AL13" s="6">
        <f t="shared" si="3"/>
        <v>32545.8</v>
      </c>
      <c r="AM13" s="6">
        <f t="shared" si="3"/>
        <v>32545.800000000003</v>
      </c>
      <c r="AN13" s="10">
        <f t="shared" si="4"/>
        <v>0</v>
      </c>
      <c r="AO13" s="10">
        <f t="shared" si="4"/>
        <v>1</v>
      </c>
      <c r="AP13" s="10">
        <f t="shared" si="4"/>
        <v>0.52296464575941459</v>
      </c>
    </row>
    <row r="14" spans="1:42" ht="54" x14ac:dyDescent="0.3">
      <c r="A14" s="12" t="s">
        <v>54</v>
      </c>
      <c r="B14" s="12" t="s">
        <v>55</v>
      </c>
      <c r="C14" s="18" t="s">
        <v>56</v>
      </c>
      <c r="D14" s="19"/>
      <c r="E14" s="19"/>
      <c r="F14" s="19" t="s">
        <v>57</v>
      </c>
      <c r="G14" s="20">
        <v>1</v>
      </c>
      <c r="H14" s="20"/>
      <c r="I14" s="20">
        <v>16.2</v>
      </c>
      <c r="J14" s="21">
        <f>IFERROR(ROUND(SUM(M15,M16,M17,M18)/I14, 2),0)</f>
        <v>1832.56</v>
      </c>
      <c r="K14" s="22">
        <v>2009</v>
      </c>
      <c r="L14" s="21">
        <f>J14+ROUND(K14, 2)</f>
        <v>3841.56</v>
      </c>
      <c r="M14" s="21">
        <f>ROUND(J14*I14, 2)</f>
        <v>29687.47</v>
      </c>
      <c r="N14" s="21">
        <f>ROUND(I14*ROUND(K14, 2), 2)</f>
        <v>32545.8</v>
      </c>
      <c r="O14" s="21">
        <f>M14+N14</f>
        <v>62233.270000000004</v>
      </c>
      <c r="P14" s="21">
        <f>IFERROR(ROUND(SUM(S15,S16,S17,S18)/I14, 2),0)</f>
        <v>1832.56</v>
      </c>
      <c r="Q14" s="23">
        <v>4018</v>
      </c>
      <c r="R14" s="21">
        <f>P14+ROUND(Q14, 2)</f>
        <v>5850.5599999999995</v>
      </c>
      <c r="S14" s="21">
        <f>ROUND(P14*I14, 2)</f>
        <v>29687.47</v>
      </c>
      <c r="T14" s="21">
        <f>ROUND(I14*ROUND(Q14, 2), 2)</f>
        <v>65091.6</v>
      </c>
      <c r="U14" s="21">
        <f>S14+T14</f>
        <v>94779.07</v>
      </c>
      <c r="V14" s="9">
        <f>ROUND(P14 / 1.2, 2)</f>
        <v>1527.13</v>
      </c>
      <c r="W14" s="9">
        <f>ROUND(Q14 / 1.2, 2)</f>
        <v>3348.33</v>
      </c>
      <c r="X14" s="9">
        <f>ROUND(R14 / 1.2, 2)</f>
        <v>4875.47</v>
      </c>
      <c r="Y14" s="9">
        <f>ROUND(S14 / 1.2, 2)</f>
        <v>24739.56</v>
      </c>
      <c r="Z14" s="9">
        <f>ROUND(T14 / 1.2, 2)</f>
        <v>54243</v>
      </c>
      <c r="AA14" s="9">
        <f>Y14+Z14</f>
        <v>78982.559999999998</v>
      </c>
      <c r="AD14" s="5">
        <v>413373312</v>
      </c>
      <c r="AE14" s="5">
        <v>36662397</v>
      </c>
      <c r="AG14" s="5" t="s">
        <v>58</v>
      </c>
      <c r="AH14" s="5" t="s">
        <v>59</v>
      </c>
      <c r="AI14" s="5" t="s">
        <v>60</v>
      </c>
      <c r="AK14" s="21">
        <f t="shared" si="3"/>
        <v>0</v>
      </c>
      <c r="AL14" s="21">
        <f t="shared" si="3"/>
        <v>32545.8</v>
      </c>
      <c r="AM14" s="21">
        <f t="shared" si="3"/>
        <v>32545.800000000003</v>
      </c>
      <c r="AN14" s="24">
        <f t="shared" si="4"/>
        <v>0</v>
      </c>
      <c r="AO14" s="24">
        <f t="shared" si="4"/>
        <v>1</v>
      </c>
      <c r="AP14" s="24">
        <f t="shared" si="4"/>
        <v>0.52296464575941459</v>
      </c>
    </row>
    <row r="15" spans="1:42" ht="36" hidden="1" x14ac:dyDescent="0.3">
      <c r="A15" s="12" t="s">
        <v>61</v>
      </c>
      <c r="B15" s="12"/>
      <c r="C15" s="25" t="s">
        <v>62</v>
      </c>
      <c r="D15" s="19"/>
      <c r="E15" s="19"/>
      <c r="F15" s="26" t="s">
        <v>63</v>
      </c>
      <c r="G15" s="27">
        <v>0.15</v>
      </c>
      <c r="H15" s="27"/>
      <c r="I15" s="27">
        <v>2.4300000000000002</v>
      </c>
      <c r="J15" s="28">
        <v>90.28</v>
      </c>
      <c r="M15" s="29">
        <f>ROUND(ROUND(J15, 2)*I15, 2)</f>
        <v>219.38</v>
      </c>
      <c r="P15" s="30">
        <v>90.28</v>
      </c>
      <c r="S15" s="29">
        <f>ROUND(ROUND(P15, 2)*I15, 2)</f>
        <v>219.38</v>
      </c>
      <c r="V15" s="9">
        <f>ROUND(ROUND(P15, 2)/1.2, 2)</f>
        <v>75.23</v>
      </c>
      <c r="Y15" s="9">
        <f>ROUND(S15 / 1.2, 2)</f>
        <v>182.82</v>
      </c>
      <c r="AD15" s="5" t="s">
        <v>64</v>
      </c>
      <c r="AE15" s="5" t="s">
        <v>65</v>
      </c>
      <c r="AF15" s="5" t="s">
        <v>66</v>
      </c>
      <c r="AK15" s="29">
        <f t="shared" ref="AK15:AK46" si="5">S15-M15</f>
        <v>0</v>
      </c>
      <c r="AL15" s="29"/>
      <c r="AM15" s="29"/>
      <c r="AN15" s="31">
        <f t="shared" ref="AN15:AN46" si="6">IFERROR(AK15/M15,0)</f>
        <v>0</v>
      </c>
      <c r="AO15" s="29"/>
      <c r="AP15" s="29"/>
    </row>
    <row r="16" spans="1:42" ht="18" hidden="1" x14ac:dyDescent="0.3">
      <c r="A16" s="12" t="s">
        <v>67</v>
      </c>
      <c r="B16" s="12"/>
      <c r="C16" s="25" t="s">
        <v>68</v>
      </c>
      <c r="D16" s="19"/>
      <c r="E16" s="19"/>
      <c r="F16" s="26" t="s">
        <v>63</v>
      </c>
      <c r="G16" s="27">
        <v>0.25</v>
      </c>
      <c r="H16" s="27"/>
      <c r="I16" s="27">
        <v>4.05</v>
      </c>
      <c r="J16" s="28">
        <v>48.23</v>
      </c>
      <c r="M16" s="29">
        <f>ROUND(ROUND(J16, 2)*I16, 2)</f>
        <v>195.33</v>
      </c>
      <c r="P16" s="30">
        <v>48.23</v>
      </c>
      <c r="S16" s="29">
        <f>ROUND(ROUND(P16, 2)*I16, 2)</f>
        <v>195.33</v>
      </c>
      <c r="V16" s="9">
        <f>ROUND(ROUND(P16, 2)/1.2, 2)</f>
        <v>40.19</v>
      </c>
      <c r="Y16" s="9">
        <f>ROUND(S16 / 1.2, 2)</f>
        <v>162.78</v>
      </c>
      <c r="AD16" s="5" t="s">
        <v>69</v>
      </c>
      <c r="AE16" s="5" t="s">
        <v>70</v>
      </c>
      <c r="AF16" s="5" t="s">
        <v>71</v>
      </c>
      <c r="AK16" s="29">
        <f t="shared" si="5"/>
        <v>0</v>
      </c>
      <c r="AL16" s="29"/>
      <c r="AM16" s="29"/>
      <c r="AN16" s="31">
        <f t="shared" si="6"/>
        <v>0</v>
      </c>
      <c r="AO16" s="29"/>
      <c r="AP16" s="29"/>
    </row>
    <row r="17" spans="1:42" ht="36" hidden="1" x14ac:dyDescent="0.3">
      <c r="A17" s="12" t="s">
        <v>72</v>
      </c>
      <c r="B17" s="12"/>
      <c r="C17" s="32" t="s">
        <v>73</v>
      </c>
      <c r="D17" s="19"/>
      <c r="E17" s="19"/>
      <c r="F17" s="26" t="s">
        <v>63</v>
      </c>
      <c r="G17" s="27">
        <v>1.2</v>
      </c>
      <c r="H17" s="33"/>
      <c r="I17" s="33">
        <v>194.4</v>
      </c>
      <c r="J17" s="28">
        <v>16.38</v>
      </c>
      <c r="M17" s="29">
        <f>ROUND(ROUND(J17, 2)*I17, 2)</f>
        <v>3184.27</v>
      </c>
      <c r="P17" s="30">
        <v>16.38</v>
      </c>
      <c r="S17" s="29">
        <f>ROUND(ROUND(P17, 2)*I17, 2)</f>
        <v>3184.27</v>
      </c>
      <c r="V17" s="9">
        <f>ROUND(ROUND(P17, 2)/1.2, 2)</f>
        <v>13.65</v>
      </c>
      <c r="Y17" s="9">
        <f>ROUND(S17 / 1.2, 2)</f>
        <v>2653.56</v>
      </c>
      <c r="AD17" s="5" t="s">
        <v>74</v>
      </c>
      <c r="AE17" s="5" t="s">
        <v>75</v>
      </c>
      <c r="AF17" s="5" t="s">
        <v>76</v>
      </c>
      <c r="AK17" s="29">
        <f t="shared" si="5"/>
        <v>0</v>
      </c>
      <c r="AL17" s="29"/>
      <c r="AM17" s="29"/>
      <c r="AN17" s="31">
        <f t="shared" si="6"/>
        <v>0</v>
      </c>
      <c r="AO17" s="29"/>
      <c r="AP17" s="29"/>
    </row>
    <row r="18" spans="1:42" ht="90" hidden="1" x14ac:dyDescent="0.3">
      <c r="A18" s="12" t="s">
        <v>77</v>
      </c>
      <c r="B18" s="12"/>
      <c r="C18" s="32" t="s">
        <v>78</v>
      </c>
      <c r="D18" s="19"/>
      <c r="E18" s="19" t="s">
        <v>79</v>
      </c>
      <c r="F18" s="26" t="s">
        <v>80</v>
      </c>
      <c r="G18" s="27">
        <v>4</v>
      </c>
      <c r="H18" s="27"/>
      <c r="I18" s="27">
        <v>64.8</v>
      </c>
      <c r="J18" s="28">
        <v>402.6</v>
      </c>
      <c r="M18" s="29">
        <f>ROUND(ROUND(J18, 2)*I18, 2)</f>
        <v>26088.48</v>
      </c>
      <c r="P18" s="30">
        <v>402.6</v>
      </c>
      <c r="S18" s="29">
        <f>ROUND(ROUND(P18, 2)*I18, 2)</f>
        <v>26088.48</v>
      </c>
      <c r="V18" s="9">
        <f>ROUND(ROUND(P18, 2)/1.2, 2)</f>
        <v>335.5</v>
      </c>
      <c r="Y18" s="9">
        <f>ROUND(S18 / 1.2, 2)</f>
        <v>21740.400000000001</v>
      </c>
      <c r="AD18" s="5" t="s">
        <v>81</v>
      </c>
      <c r="AE18" s="5" t="s">
        <v>82</v>
      </c>
      <c r="AF18" s="5" t="s">
        <v>83</v>
      </c>
      <c r="AK18" s="29">
        <f t="shared" si="5"/>
        <v>0</v>
      </c>
      <c r="AL18" s="29"/>
      <c r="AM18" s="29"/>
      <c r="AN18" s="31">
        <f t="shared" si="6"/>
        <v>0</v>
      </c>
      <c r="AO18" s="29"/>
      <c r="AP18" s="29"/>
    </row>
    <row r="19" spans="1:42" ht="16.95" customHeight="1" x14ac:dyDescent="0.3">
      <c r="A19" s="12" t="s">
        <v>84</v>
      </c>
      <c r="B19" s="17" t="s">
        <v>85</v>
      </c>
      <c r="C19" s="73" t="s">
        <v>86</v>
      </c>
      <c r="D19" s="74"/>
      <c r="E19" s="74"/>
      <c r="F19" s="74"/>
      <c r="G19" s="74"/>
      <c r="H19" s="74"/>
      <c r="I19" s="75"/>
      <c r="M19" s="6">
        <f>SUM(M20)</f>
        <v>0</v>
      </c>
      <c r="N19" s="6">
        <f>SUM(N20)</f>
        <v>13381.2</v>
      </c>
      <c r="O19" s="6">
        <f>SUM(O20)</f>
        <v>13381.2</v>
      </c>
      <c r="S19" s="6">
        <f>SUM(S20)</f>
        <v>0</v>
      </c>
      <c r="T19" s="6">
        <f>SUM(T20)</f>
        <v>26762.400000000001</v>
      </c>
      <c r="U19" s="6">
        <f>SUM(U20)</f>
        <v>26762.400000000001</v>
      </c>
      <c r="Y19" s="9">
        <f>SUM(Y20)</f>
        <v>0</v>
      </c>
      <c r="Z19" s="9">
        <f>SUM(Z20)</f>
        <v>22302</v>
      </c>
      <c r="AA19" s="9">
        <f>SUM(AA20)</f>
        <v>22302</v>
      </c>
      <c r="AD19" s="5">
        <v>413373313</v>
      </c>
      <c r="AE19" s="5">
        <v>21662438</v>
      </c>
      <c r="AK19" s="6">
        <f t="shared" si="5"/>
        <v>0</v>
      </c>
      <c r="AL19" s="6">
        <f t="shared" ref="AL19:AM23" si="7">T19-N19</f>
        <v>13381.2</v>
      </c>
      <c r="AM19" s="6">
        <f t="shared" si="7"/>
        <v>13381.2</v>
      </c>
      <c r="AN19" s="10">
        <f t="shared" si="6"/>
        <v>0</v>
      </c>
      <c r="AO19" s="10">
        <f t="shared" ref="AO19:AP23" si="8">IFERROR(AL19/N19,0)</f>
        <v>1</v>
      </c>
      <c r="AP19" s="10">
        <f t="shared" si="8"/>
        <v>1</v>
      </c>
    </row>
    <row r="20" spans="1:42" ht="18" x14ac:dyDescent="0.3">
      <c r="A20" s="12" t="s">
        <v>87</v>
      </c>
      <c r="B20" s="12" t="s">
        <v>88</v>
      </c>
      <c r="C20" s="18" t="s">
        <v>89</v>
      </c>
      <c r="D20" s="19"/>
      <c r="E20" s="19"/>
      <c r="F20" s="19" t="s">
        <v>57</v>
      </c>
      <c r="G20" s="20">
        <v>1</v>
      </c>
      <c r="H20" s="20"/>
      <c r="I20" s="20">
        <v>16.2</v>
      </c>
      <c r="J20" s="21">
        <v>0</v>
      </c>
      <c r="K20" s="22">
        <v>826</v>
      </c>
      <c r="L20" s="21">
        <f>J20+ROUND(K20, 2)</f>
        <v>826</v>
      </c>
      <c r="M20" s="21">
        <v>0</v>
      </c>
      <c r="N20" s="21">
        <f>ROUND(I20*ROUND(K20, 2), 2)</f>
        <v>13381.2</v>
      </c>
      <c r="O20" s="21">
        <f>M20+N20</f>
        <v>13381.2</v>
      </c>
      <c r="P20" s="21">
        <v>0</v>
      </c>
      <c r="Q20" s="23">
        <v>1652</v>
      </c>
      <c r="R20" s="21">
        <f>P20+ROUND(Q20, 2)</f>
        <v>1652</v>
      </c>
      <c r="S20" s="21">
        <v>0</v>
      </c>
      <c r="T20" s="21">
        <f>ROUND(I20*ROUND(Q20, 2), 2)</f>
        <v>26762.400000000001</v>
      </c>
      <c r="U20" s="21">
        <f>S20+T20</f>
        <v>26762.400000000001</v>
      </c>
      <c r="V20" s="9"/>
      <c r="W20" s="9">
        <f>ROUND(Q20 / 1.2, 2)</f>
        <v>1376.67</v>
      </c>
      <c r="X20" s="9">
        <f>ROUND(R20 / 1.2, 2)</f>
        <v>1376.67</v>
      </c>
      <c r="Y20" s="9"/>
      <c r="Z20" s="9">
        <f>ROUND(T20 / 1.2, 2)</f>
        <v>22302</v>
      </c>
      <c r="AA20" s="9">
        <f>Y20+Z20</f>
        <v>22302</v>
      </c>
      <c r="AD20" s="5">
        <v>413373315</v>
      </c>
      <c r="AE20" s="5">
        <v>36662401</v>
      </c>
      <c r="AG20" s="5" t="s">
        <v>90</v>
      </c>
      <c r="AH20" s="5" t="s">
        <v>91</v>
      </c>
      <c r="AI20" s="5" t="s">
        <v>60</v>
      </c>
      <c r="AK20" s="21">
        <f t="shared" si="5"/>
        <v>0</v>
      </c>
      <c r="AL20" s="21">
        <f t="shared" si="7"/>
        <v>13381.2</v>
      </c>
      <c r="AM20" s="21">
        <f t="shared" si="7"/>
        <v>13381.2</v>
      </c>
      <c r="AN20" s="24">
        <f t="shared" si="6"/>
        <v>0</v>
      </c>
      <c r="AO20" s="24">
        <f t="shared" si="8"/>
        <v>1</v>
      </c>
      <c r="AP20" s="24">
        <f t="shared" si="8"/>
        <v>1</v>
      </c>
    </row>
    <row r="21" spans="1:42" ht="16.95" customHeight="1" x14ac:dyDescent="0.3">
      <c r="A21" s="12" t="s">
        <v>92</v>
      </c>
      <c r="B21" s="16" t="s">
        <v>93</v>
      </c>
      <c r="C21" s="70" t="s">
        <v>94</v>
      </c>
      <c r="D21" s="71"/>
      <c r="E21" s="71"/>
      <c r="F21" s="71"/>
      <c r="G21" s="71"/>
      <c r="H21" s="71"/>
      <c r="I21" s="72"/>
      <c r="M21" s="6">
        <f>SUM(M22,M32)</f>
        <v>29939.919999999998</v>
      </c>
      <c r="N21" s="6">
        <f>SUM(N22,N32)</f>
        <v>52680.880000000005</v>
      </c>
      <c r="O21" s="6">
        <f>SUM(O22,O32)</f>
        <v>82620.799999999988</v>
      </c>
      <c r="S21" s="6">
        <f>SUM(S22,S32)</f>
        <v>29939.919999999998</v>
      </c>
      <c r="T21" s="6">
        <f>SUM(T22,T32)</f>
        <v>105361.76000000001</v>
      </c>
      <c r="U21" s="6">
        <f>SUM(U22,U32)</f>
        <v>135301.68</v>
      </c>
      <c r="Y21" s="9">
        <f>SUM(Y22,Y32)</f>
        <v>24949.94</v>
      </c>
      <c r="Z21" s="9">
        <f>SUM(Z22,Z32)</f>
        <v>87801.459999999992</v>
      </c>
      <c r="AA21" s="9">
        <f>SUM(AA22,AA32)</f>
        <v>112751.4</v>
      </c>
      <c r="AD21" s="5">
        <v>413373316</v>
      </c>
      <c r="AE21" s="5">
        <v>36660150</v>
      </c>
      <c r="AK21" s="6">
        <f t="shared" si="5"/>
        <v>0</v>
      </c>
      <c r="AL21" s="6">
        <f t="shared" si="7"/>
        <v>52680.880000000005</v>
      </c>
      <c r="AM21" s="6">
        <f t="shared" si="7"/>
        <v>52680.880000000005</v>
      </c>
      <c r="AN21" s="10">
        <f t="shared" si="6"/>
        <v>0</v>
      </c>
      <c r="AO21" s="10">
        <f t="shared" si="8"/>
        <v>1</v>
      </c>
      <c r="AP21" s="10">
        <f t="shared" si="8"/>
        <v>0.63762248731554294</v>
      </c>
    </row>
    <row r="22" spans="1:42" ht="16.95" customHeight="1" x14ac:dyDescent="0.3">
      <c r="A22" s="12" t="s">
        <v>95</v>
      </c>
      <c r="B22" s="17" t="s">
        <v>96</v>
      </c>
      <c r="C22" s="73" t="s">
        <v>53</v>
      </c>
      <c r="D22" s="74"/>
      <c r="E22" s="74"/>
      <c r="F22" s="74"/>
      <c r="G22" s="74"/>
      <c r="H22" s="74"/>
      <c r="I22" s="75"/>
      <c r="M22" s="6">
        <f>SUM(M23,M28)</f>
        <v>29939.919999999998</v>
      </c>
      <c r="N22" s="6">
        <f>SUM(N23,N28)</f>
        <v>36086.68</v>
      </c>
      <c r="O22" s="6">
        <f>SUM(O23,O28)</f>
        <v>66026.599999999991</v>
      </c>
      <c r="S22" s="6">
        <f>SUM(S23,S28)</f>
        <v>29939.919999999998</v>
      </c>
      <c r="T22" s="6">
        <f>SUM(T23,T28)</f>
        <v>72173.36</v>
      </c>
      <c r="U22" s="6">
        <f>SUM(U23,U28)</f>
        <v>102113.28</v>
      </c>
      <c r="Y22" s="9">
        <f>SUM(Y23,Y28)</f>
        <v>24949.94</v>
      </c>
      <c r="Z22" s="9">
        <f>SUM(Z23,Z28)</f>
        <v>60144.46</v>
      </c>
      <c r="AA22" s="9">
        <f>SUM(AA23,AA28)</f>
        <v>85094.399999999994</v>
      </c>
      <c r="AD22" s="5">
        <v>413373317</v>
      </c>
      <c r="AE22" s="5">
        <v>36660160</v>
      </c>
      <c r="AK22" s="6">
        <f t="shared" si="5"/>
        <v>0</v>
      </c>
      <c r="AL22" s="6">
        <f t="shared" si="7"/>
        <v>36086.68</v>
      </c>
      <c r="AM22" s="6">
        <f t="shared" si="7"/>
        <v>36086.680000000008</v>
      </c>
      <c r="AN22" s="10">
        <f t="shared" si="6"/>
        <v>0</v>
      </c>
      <c r="AO22" s="10">
        <f t="shared" si="8"/>
        <v>1</v>
      </c>
      <c r="AP22" s="10">
        <f t="shared" si="8"/>
        <v>0.54654760354160314</v>
      </c>
    </row>
    <row r="23" spans="1:42" ht="54" x14ac:dyDescent="0.3">
      <c r="A23" s="12" t="s">
        <v>97</v>
      </c>
      <c r="B23" s="12" t="s">
        <v>98</v>
      </c>
      <c r="C23" s="18" t="s">
        <v>99</v>
      </c>
      <c r="D23" s="19"/>
      <c r="E23" s="19" t="s">
        <v>100</v>
      </c>
      <c r="F23" s="19" t="s">
        <v>101</v>
      </c>
      <c r="G23" s="20">
        <v>1</v>
      </c>
      <c r="H23" s="20"/>
      <c r="I23" s="20">
        <v>76.8</v>
      </c>
      <c r="J23" s="21">
        <f>IFERROR(ROUND(SUM(M24,M25,M26,M27)/I23, 2),0)</f>
        <v>381.08</v>
      </c>
      <c r="K23" s="22">
        <v>411.01</v>
      </c>
      <c r="L23" s="21">
        <f>J23+ROUND(K23, 2)</f>
        <v>792.08999999999992</v>
      </c>
      <c r="M23" s="21">
        <f>ROUND(J23*I23, 2)</f>
        <v>29266.94</v>
      </c>
      <c r="N23" s="21">
        <f>ROUND(I23*ROUND(K23, 2), 2)</f>
        <v>31565.57</v>
      </c>
      <c r="O23" s="21">
        <f>M23+N23</f>
        <v>60832.509999999995</v>
      </c>
      <c r="P23" s="21">
        <f>IFERROR(ROUND(SUM(S24,S25,S26,S27)/I23, 2),0)</f>
        <v>381.08</v>
      </c>
      <c r="Q23" s="23">
        <v>822.02</v>
      </c>
      <c r="R23" s="21">
        <f>P23+ROUND(Q23, 2)</f>
        <v>1203.0999999999999</v>
      </c>
      <c r="S23" s="21">
        <f>ROUND(P23*I23, 2)</f>
        <v>29266.94</v>
      </c>
      <c r="T23" s="21">
        <f>ROUND(I23*ROUND(Q23, 2), 2)</f>
        <v>63131.14</v>
      </c>
      <c r="U23" s="21">
        <f>S23+T23</f>
        <v>92398.080000000002</v>
      </c>
      <c r="V23" s="9">
        <f>ROUND(P23 / 1.2, 2)</f>
        <v>317.57</v>
      </c>
      <c r="W23" s="9">
        <f>ROUND(Q23 / 1.2, 2)</f>
        <v>685.02</v>
      </c>
      <c r="X23" s="9">
        <f>ROUND(R23 / 1.2, 2)</f>
        <v>1002.58</v>
      </c>
      <c r="Y23" s="9">
        <f>ROUND(S23 / 1.2, 2)</f>
        <v>24389.119999999999</v>
      </c>
      <c r="Z23" s="9">
        <f>ROUND(T23 / 1.2, 2)</f>
        <v>52609.279999999999</v>
      </c>
      <c r="AA23" s="9">
        <f>Y23+Z23</f>
        <v>76998.399999999994</v>
      </c>
      <c r="AD23" s="5">
        <v>413373319</v>
      </c>
      <c r="AE23" s="5">
        <v>36660162</v>
      </c>
      <c r="AG23" s="5" t="s">
        <v>102</v>
      </c>
      <c r="AH23" s="5" t="s">
        <v>103</v>
      </c>
      <c r="AI23" s="5" t="s">
        <v>60</v>
      </c>
      <c r="AK23" s="21">
        <f t="shared" si="5"/>
        <v>0</v>
      </c>
      <c r="AL23" s="21">
        <f t="shared" si="7"/>
        <v>31565.57</v>
      </c>
      <c r="AM23" s="21">
        <f t="shared" si="7"/>
        <v>31565.570000000007</v>
      </c>
      <c r="AN23" s="24">
        <f t="shared" si="6"/>
        <v>0</v>
      </c>
      <c r="AO23" s="24">
        <f t="shared" si="8"/>
        <v>1</v>
      </c>
      <c r="AP23" s="24">
        <f t="shared" si="8"/>
        <v>0.51889310501901054</v>
      </c>
    </row>
    <row r="24" spans="1:42" ht="18" hidden="1" x14ac:dyDescent="0.3">
      <c r="A24" s="12" t="s">
        <v>104</v>
      </c>
      <c r="B24" s="12"/>
      <c r="C24" s="25" t="s">
        <v>68</v>
      </c>
      <c r="D24" s="19"/>
      <c r="E24" s="19"/>
      <c r="F24" s="26" t="s">
        <v>63</v>
      </c>
      <c r="G24" s="27">
        <v>0.04</v>
      </c>
      <c r="H24" s="27"/>
      <c r="I24" s="27">
        <v>3.0720000000000001</v>
      </c>
      <c r="J24" s="28">
        <v>48.23</v>
      </c>
      <c r="M24" s="29">
        <f>ROUND(ROUND(J24, 2)*I24, 2)</f>
        <v>148.16</v>
      </c>
      <c r="P24" s="30">
        <v>48.23</v>
      </c>
      <c r="S24" s="29">
        <f>ROUND(ROUND(P24, 2)*I24, 2)</f>
        <v>148.16</v>
      </c>
      <c r="V24" s="9">
        <f>ROUND(ROUND(P24, 2)/1.2, 2)</f>
        <v>40.19</v>
      </c>
      <c r="Y24" s="9">
        <f t="shared" ref="Y24:Y31" si="9">ROUND(S24 / 1.2, 2)</f>
        <v>123.47</v>
      </c>
      <c r="AD24" s="5" t="s">
        <v>105</v>
      </c>
      <c r="AE24" s="5" t="s">
        <v>106</v>
      </c>
      <c r="AF24" s="5" t="s">
        <v>71</v>
      </c>
      <c r="AK24" s="29">
        <f t="shared" si="5"/>
        <v>0</v>
      </c>
      <c r="AL24" s="29"/>
      <c r="AM24" s="29"/>
      <c r="AN24" s="31">
        <f t="shared" si="6"/>
        <v>0</v>
      </c>
      <c r="AO24" s="29"/>
      <c r="AP24" s="29"/>
    </row>
    <row r="25" spans="1:42" ht="36" hidden="1" x14ac:dyDescent="0.3">
      <c r="A25" s="12" t="s">
        <v>107</v>
      </c>
      <c r="B25" s="12"/>
      <c r="C25" s="25" t="s">
        <v>108</v>
      </c>
      <c r="D25" s="19"/>
      <c r="E25" s="19"/>
      <c r="F25" s="26" t="s">
        <v>63</v>
      </c>
      <c r="G25" s="27">
        <v>1.4999999999999999E-2</v>
      </c>
      <c r="H25" s="27"/>
      <c r="I25" s="27">
        <v>1.1519999999999999</v>
      </c>
      <c r="J25" s="28">
        <v>69.540000000000006</v>
      </c>
      <c r="M25" s="29">
        <f>ROUND(ROUND(J25, 2)*I25, 2)</f>
        <v>80.11</v>
      </c>
      <c r="P25" s="30">
        <v>69.540000000000006</v>
      </c>
      <c r="S25" s="29">
        <f>ROUND(ROUND(P25, 2)*I25, 2)</f>
        <v>80.11</v>
      </c>
      <c r="V25" s="9">
        <f>ROUND(ROUND(P25, 2)/1.2, 2)</f>
        <v>57.95</v>
      </c>
      <c r="Y25" s="9">
        <f t="shared" si="9"/>
        <v>66.760000000000005</v>
      </c>
      <c r="AD25" s="5" t="s">
        <v>109</v>
      </c>
      <c r="AE25" s="5" t="s">
        <v>110</v>
      </c>
      <c r="AF25" s="5" t="s">
        <v>111</v>
      </c>
      <c r="AK25" s="29">
        <f t="shared" si="5"/>
        <v>0</v>
      </c>
      <c r="AL25" s="29"/>
      <c r="AM25" s="29"/>
      <c r="AN25" s="31">
        <f t="shared" si="6"/>
        <v>0</v>
      </c>
      <c r="AO25" s="29"/>
      <c r="AP25" s="29"/>
    </row>
    <row r="26" spans="1:42" ht="36" hidden="1" x14ac:dyDescent="0.3">
      <c r="A26" s="12" t="s">
        <v>112</v>
      </c>
      <c r="B26" s="12"/>
      <c r="C26" s="25" t="s">
        <v>113</v>
      </c>
      <c r="D26" s="19"/>
      <c r="E26" s="19"/>
      <c r="F26" s="26" t="s">
        <v>80</v>
      </c>
      <c r="G26" s="27">
        <v>1.84</v>
      </c>
      <c r="H26" s="27"/>
      <c r="I26" s="27">
        <v>141.31200000000001</v>
      </c>
      <c r="J26" s="28">
        <v>199.26</v>
      </c>
      <c r="M26" s="29">
        <f>ROUND(ROUND(J26, 2)*I26, 2)</f>
        <v>28157.83</v>
      </c>
      <c r="P26" s="30">
        <v>199.26</v>
      </c>
      <c r="S26" s="29">
        <f>ROUND(ROUND(P26, 2)*I26, 2)</f>
        <v>28157.83</v>
      </c>
      <c r="V26" s="9">
        <f>ROUND(ROUND(P26, 2)/1.2, 2)</f>
        <v>166.05</v>
      </c>
      <c r="Y26" s="9">
        <f t="shared" si="9"/>
        <v>23464.86</v>
      </c>
      <c r="AD26" s="5" t="s">
        <v>114</v>
      </c>
      <c r="AE26" s="5" t="s">
        <v>115</v>
      </c>
      <c r="AF26" s="5" t="s">
        <v>116</v>
      </c>
      <c r="AK26" s="29">
        <f t="shared" si="5"/>
        <v>0</v>
      </c>
      <c r="AL26" s="29"/>
      <c r="AM26" s="29"/>
      <c r="AN26" s="31">
        <f t="shared" si="6"/>
        <v>0</v>
      </c>
      <c r="AO26" s="29"/>
      <c r="AP26" s="29"/>
    </row>
    <row r="27" spans="1:42" ht="36" hidden="1" x14ac:dyDescent="0.3">
      <c r="A27" s="12" t="s">
        <v>117</v>
      </c>
      <c r="B27" s="12"/>
      <c r="C27" s="32" t="s">
        <v>118</v>
      </c>
      <c r="D27" s="19"/>
      <c r="E27" s="19"/>
      <c r="F27" s="26" t="s">
        <v>63</v>
      </c>
      <c r="G27" s="27">
        <v>0.7</v>
      </c>
      <c r="H27" s="33"/>
      <c r="I27" s="33">
        <v>53.76</v>
      </c>
      <c r="J27" s="28">
        <v>16.38</v>
      </c>
      <c r="M27" s="29">
        <f>ROUND(ROUND(J27, 2)*I27, 2)</f>
        <v>880.59</v>
      </c>
      <c r="P27" s="30">
        <v>16.38</v>
      </c>
      <c r="S27" s="29">
        <f>ROUND(ROUND(P27, 2)*I27, 2)</f>
        <v>880.59</v>
      </c>
      <c r="V27" s="9">
        <f>ROUND(ROUND(P27, 2)/1.2, 2)</f>
        <v>13.65</v>
      </c>
      <c r="Y27" s="9">
        <f t="shared" si="9"/>
        <v>733.83</v>
      </c>
      <c r="AD27" s="5" t="s">
        <v>119</v>
      </c>
      <c r="AE27" s="5" t="s">
        <v>120</v>
      </c>
      <c r="AF27" s="5" t="s">
        <v>121</v>
      </c>
      <c r="AK27" s="29">
        <f t="shared" si="5"/>
        <v>0</v>
      </c>
      <c r="AL27" s="29"/>
      <c r="AM27" s="29"/>
      <c r="AN27" s="31">
        <f t="shared" si="6"/>
        <v>0</v>
      </c>
      <c r="AO27" s="29"/>
      <c r="AP27" s="29"/>
    </row>
    <row r="28" spans="1:42" ht="54" x14ac:dyDescent="0.3">
      <c r="A28" s="12" t="s">
        <v>122</v>
      </c>
      <c r="B28" s="12" t="s">
        <v>98</v>
      </c>
      <c r="C28" s="18" t="s">
        <v>99</v>
      </c>
      <c r="D28" s="19"/>
      <c r="E28" s="19" t="s">
        <v>123</v>
      </c>
      <c r="F28" s="19" t="s">
        <v>101</v>
      </c>
      <c r="G28" s="20">
        <v>1</v>
      </c>
      <c r="H28" s="20"/>
      <c r="I28" s="20">
        <v>11</v>
      </c>
      <c r="J28" s="21">
        <f>IFERROR(ROUND(SUM(M29,M30,M31)/I28, 2),0)</f>
        <v>61.18</v>
      </c>
      <c r="K28" s="22">
        <v>411.01</v>
      </c>
      <c r="L28" s="21">
        <f>J28+ROUND(K28, 2)</f>
        <v>472.19</v>
      </c>
      <c r="M28" s="21">
        <f>ROUND(J28*I28, 2)</f>
        <v>672.98</v>
      </c>
      <c r="N28" s="21">
        <f>ROUND(I28*ROUND(K28, 2), 2)</f>
        <v>4521.1099999999997</v>
      </c>
      <c r="O28" s="21">
        <f>M28+N28</f>
        <v>5194.09</v>
      </c>
      <c r="P28" s="21">
        <f>IFERROR(ROUND(SUM(S29,S30,S31)/I28, 2),0)</f>
        <v>61.18</v>
      </c>
      <c r="Q28" s="23">
        <v>822.02</v>
      </c>
      <c r="R28" s="21">
        <f>P28+ROUND(Q28, 2)</f>
        <v>883.19999999999993</v>
      </c>
      <c r="S28" s="21">
        <f>ROUND(P28*I28, 2)</f>
        <v>672.98</v>
      </c>
      <c r="T28" s="21">
        <f>ROUND(I28*ROUND(Q28, 2), 2)</f>
        <v>9042.2199999999993</v>
      </c>
      <c r="U28" s="21">
        <f>S28+T28</f>
        <v>9715.1999999999989</v>
      </c>
      <c r="V28" s="9">
        <f>ROUND(P28 / 1.2, 2)</f>
        <v>50.98</v>
      </c>
      <c r="W28" s="9">
        <f>ROUND(Q28 / 1.2, 2)</f>
        <v>685.02</v>
      </c>
      <c r="X28" s="9">
        <f>ROUND(R28 / 1.2, 2)</f>
        <v>736</v>
      </c>
      <c r="Y28" s="9">
        <f t="shared" si="9"/>
        <v>560.82000000000005</v>
      </c>
      <c r="Z28" s="9">
        <f>ROUND(T28 / 1.2, 2)</f>
        <v>7535.18</v>
      </c>
      <c r="AA28" s="9">
        <f>Y28+Z28</f>
        <v>8096</v>
      </c>
      <c r="AD28" s="5">
        <v>413373362</v>
      </c>
      <c r="AE28" s="5">
        <v>36660716</v>
      </c>
      <c r="AG28" s="5" t="s">
        <v>102</v>
      </c>
      <c r="AH28" s="5" t="s">
        <v>103</v>
      </c>
      <c r="AI28" s="5" t="s">
        <v>60</v>
      </c>
      <c r="AK28" s="21">
        <f t="shared" si="5"/>
        <v>0</v>
      </c>
      <c r="AL28" s="21">
        <f>T28-N28</f>
        <v>4521.1099999999997</v>
      </c>
      <c r="AM28" s="21">
        <f>U28-O28</f>
        <v>4521.1099999999988</v>
      </c>
      <c r="AN28" s="24">
        <f t="shared" si="6"/>
        <v>0</v>
      </c>
      <c r="AO28" s="24">
        <f>IFERROR(AL28/N28,0)</f>
        <v>1</v>
      </c>
      <c r="AP28" s="24">
        <f>IFERROR(AM28/O28,0)</f>
        <v>0.87043351193375518</v>
      </c>
    </row>
    <row r="29" spans="1:42" ht="36" hidden="1" x14ac:dyDescent="0.3">
      <c r="A29" s="12" t="s">
        <v>124</v>
      </c>
      <c r="B29" s="12"/>
      <c r="C29" s="32" t="s">
        <v>118</v>
      </c>
      <c r="D29" s="19"/>
      <c r="E29" s="19"/>
      <c r="F29" s="26" t="s">
        <v>63</v>
      </c>
      <c r="G29" s="27">
        <v>0.7</v>
      </c>
      <c r="H29" s="33"/>
      <c r="I29" s="33">
        <v>7.7</v>
      </c>
      <c r="J29" s="28">
        <v>16.38</v>
      </c>
      <c r="M29" s="29">
        <f>ROUND(ROUND(J29, 2)*I29, 2)</f>
        <v>126.13</v>
      </c>
      <c r="P29" s="30">
        <v>16.38</v>
      </c>
      <c r="S29" s="29">
        <f>ROUND(ROUND(P29, 2)*I29, 2)</f>
        <v>126.13</v>
      </c>
      <c r="V29" s="9">
        <f>ROUND(ROUND(P29, 2)/1.2, 2)</f>
        <v>13.65</v>
      </c>
      <c r="Y29" s="9">
        <f t="shared" si="9"/>
        <v>105.11</v>
      </c>
      <c r="AD29" s="5" t="s">
        <v>125</v>
      </c>
      <c r="AE29" s="5" t="s">
        <v>126</v>
      </c>
      <c r="AF29" s="5" t="s">
        <v>121</v>
      </c>
      <c r="AK29" s="29">
        <f t="shared" si="5"/>
        <v>0</v>
      </c>
      <c r="AL29" s="29"/>
      <c r="AM29" s="29"/>
      <c r="AN29" s="31">
        <f t="shared" si="6"/>
        <v>0</v>
      </c>
      <c r="AO29" s="29"/>
      <c r="AP29" s="29"/>
    </row>
    <row r="30" spans="1:42" ht="36" hidden="1" x14ac:dyDescent="0.3">
      <c r="A30" s="12" t="s">
        <v>127</v>
      </c>
      <c r="B30" s="12"/>
      <c r="C30" s="32" t="s">
        <v>128</v>
      </c>
      <c r="D30" s="19"/>
      <c r="E30" s="19"/>
      <c r="F30" s="26" t="s">
        <v>57</v>
      </c>
      <c r="G30" s="27">
        <v>0.107</v>
      </c>
      <c r="H30" s="27"/>
      <c r="I30" s="27">
        <v>1.177</v>
      </c>
      <c r="J30" s="28">
        <v>454.86</v>
      </c>
      <c r="M30" s="29">
        <f>ROUND(ROUND(J30, 2)*I30, 2)</f>
        <v>535.37</v>
      </c>
      <c r="P30" s="30">
        <v>454.86</v>
      </c>
      <c r="S30" s="29">
        <f>ROUND(ROUND(P30, 2)*I30, 2)</f>
        <v>535.37</v>
      </c>
      <c r="V30" s="9">
        <f>ROUND(ROUND(P30, 2)/1.2, 2)</f>
        <v>379.05</v>
      </c>
      <c r="Y30" s="9">
        <f t="shared" si="9"/>
        <v>446.14</v>
      </c>
      <c r="AD30" s="5" t="s">
        <v>129</v>
      </c>
      <c r="AE30" s="5" t="s">
        <v>130</v>
      </c>
      <c r="AF30" s="5" t="s">
        <v>131</v>
      </c>
      <c r="AK30" s="29">
        <f t="shared" si="5"/>
        <v>0</v>
      </c>
      <c r="AL30" s="29"/>
      <c r="AM30" s="29"/>
      <c r="AN30" s="31">
        <f t="shared" si="6"/>
        <v>0</v>
      </c>
      <c r="AO30" s="29"/>
      <c r="AP30" s="29"/>
    </row>
    <row r="31" spans="1:42" ht="36" hidden="1" x14ac:dyDescent="0.3">
      <c r="A31" s="12" t="s">
        <v>132</v>
      </c>
      <c r="B31" s="12"/>
      <c r="C31" s="25" t="s">
        <v>108</v>
      </c>
      <c r="D31" s="19"/>
      <c r="E31" s="19"/>
      <c r="F31" s="26" t="s">
        <v>63</v>
      </c>
      <c r="G31" s="27">
        <v>1.4999999999999999E-2</v>
      </c>
      <c r="H31" s="27"/>
      <c r="I31" s="27">
        <v>0.16500000000000001</v>
      </c>
      <c r="J31" s="28">
        <v>69.540000000000006</v>
      </c>
      <c r="M31" s="29">
        <f>ROUND(ROUND(J31, 2)*I31, 2)</f>
        <v>11.47</v>
      </c>
      <c r="P31" s="30">
        <v>69.540000000000006</v>
      </c>
      <c r="S31" s="29">
        <f>ROUND(ROUND(P31, 2)*I31, 2)</f>
        <v>11.47</v>
      </c>
      <c r="V31" s="9">
        <f>ROUND(ROUND(P31, 2)/1.2, 2)</f>
        <v>57.95</v>
      </c>
      <c r="Y31" s="9">
        <f t="shared" si="9"/>
        <v>9.56</v>
      </c>
      <c r="AD31" s="5" t="s">
        <v>133</v>
      </c>
      <c r="AE31" s="5" t="s">
        <v>134</v>
      </c>
      <c r="AF31" s="5" t="s">
        <v>111</v>
      </c>
      <c r="AK31" s="29">
        <f t="shared" si="5"/>
        <v>0</v>
      </c>
      <c r="AL31" s="29"/>
      <c r="AM31" s="29"/>
      <c r="AN31" s="31">
        <f t="shared" si="6"/>
        <v>0</v>
      </c>
      <c r="AO31" s="29"/>
      <c r="AP31" s="29"/>
    </row>
    <row r="32" spans="1:42" ht="16.95" customHeight="1" x14ac:dyDescent="0.3">
      <c r="A32" s="12" t="s">
        <v>135</v>
      </c>
      <c r="B32" s="17" t="s">
        <v>136</v>
      </c>
      <c r="C32" s="73" t="s">
        <v>86</v>
      </c>
      <c r="D32" s="74"/>
      <c r="E32" s="74"/>
      <c r="F32" s="74"/>
      <c r="G32" s="74"/>
      <c r="H32" s="74"/>
      <c r="I32" s="75"/>
      <c r="M32" s="6">
        <f>SUM(M33)</f>
        <v>0</v>
      </c>
      <c r="N32" s="6">
        <f>SUM(N33)</f>
        <v>16594.2</v>
      </c>
      <c r="O32" s="6">
        <f>SUM(O33)</f>
        <v>16594.2</v>
      </c>
      <c r="S32" s="6">
        <f>SUM(S33)</f>
        <v>0</v>
      </c>
      <c r="T32" s="6">
        <f>SUM(T33)</f>
        <v>33188.400000000001</v>
      </c>
      <c r="U32" s="6">
        <f>SUM(U33)</f>
        <v>33188.400000000001</v>
      </c>
      <c r="Y32" s="9">
        <f>SUM(Y33)</f>
        <v>0</v>
      </c>
      <c r="Z32" s="9">
        <f>SUM(Z33)</f>
        <v>27657</v>
      </c>
      <c r="AA32" s="9">
        <f>SUM(AA33)</f>
        <v>27657</v>
      </c>
      <c r="AD32" s="5">
        <v>413373320</v>
      </c>
      <c r="AE32" s="5">
        <v>36660149</v>
      </c>
      <c r="AK32" s="6">
        <f t="shared" si="5"/>
        <v>0</v>
      </c>
      <c r="AL32" s="6">
        <f t="shared" ref="AL32:AM39" si="10">T32-N32</f>
        <v>16594.2</v>
      </c>
      <c r="AM32" s="6">
        <f t="shared" si="10"/>
        <v>16594.2</v>
      </c>
      <c r="AN32" s="10">
        <f t="shared" si="6"/>
        <v>0</v>
      </c>
      <c r="AO32" s="10">
        <f t="shared" ref="AO32:AP39" si="11">IFERROR(AL32/N32,0)</f>
        <v>1</v>
      </c>
      <c r="AP32" s="10">
        <f t="shared" si="11"/>
        <v>1</v>
      </c>
    </row>
    <row r="33" spans="1:42" ht="18" x14ac:dyDescent="0.3">
      <c r="A33" s="12" t="s">
        <v>137</v>
      </c>
      <c r="B33" s="12" t="s">
        <v>138</v>
      </c>
      <c r="C33" s="18" t="s">
        <v>139</v>
      </c>
      <c r="D33" s="19"/>
      <c r="E33" s="19"/>
      <c r="F33" s="19" t="s">
        <v>101</v>
      </c>
      <c r="G33" s="20">
        <v>1</v>
      </c>
      <c r="H33" s="20"/>
      <c r="I33" s="20">
        <v>87.8</v>
      </c>
      <c r="J33" s="21">
        <v>0</v>
      </c>
      <c r="K33" s="22">
        <v>189</v>
      </c>
      <c r="L33" s="21">
        <f>J33+ROUND(K33, 2)</f>
        <v>189</v>
      </c>
      <c r="M33" s="21">
        <v>0</v>
      </c>
      <c r="N33" s="21">
        <f>ROUND(I33*ROUND(K33, 2), 2)</f>
        <v>16594.2</v>
      </c>
      <c r="O33" s="21">
        <f>M33+N33</f>
        <v>16594.2</v>
      </c>
      <c r="P33" s="21">
        <v>0</v>
      </c>
      <c r="Q33" s="23">
        <v>378</v>
      </c>
      <c r="R33" s="21">
        <f>P33+ROUND(Q33, 2)</f>
        <v>378</v>
      </c>
      <c r="S33" s="21">
        <v>0</v>
      </c>
      <c r="T33" s="21">
        <f>ROUND(I33*ROUND(Q33, 2), 2)</f>
        <v>33188.400000000001</v>
      </c>
      <c r="U33" s="21">
        <f>S33+T33</f>
        <v>33188.400000000001</v>
      </c>
      <c r="V33" s="9"/>
      <c r="W33" s="9">
        <f>ROUND(Q33 / 1.2, 2)</f>
        <v>315</v>
      </c>
      <c r="X33" s="9">
        <f>ROUND(R33 / 1.2, 2)</f>
        <v>315</v>
      </c>
      <c r="Y33" s="9"/>
      <c r="Z33" s="9">
        <f>ROUND(T33 / 1.2, 2)</f>
        <v>27657</v>
      </c>
      <c r="AA33" s="9">
        <f>Y33+Z33</f>
        <v>27657</v>
      </c>
      <c r="AD33" s="5">
        <v>413373322</v>
      </c>
      <c r="AE33" s="5">
        <v>36660158</v>
      </c>
      <c r="AG33" s="5" t="s">
        <v>140</v>
      </c>
      <c r="AH33" s="5" t="s">
        <v>141</v>
      </c>
      <c r="AI33" s="5" t="s">
        <v>60</v>
      </c>
      <c r="AK33" s="21">
        <f t="shared" si="5"/>
        <v>0</v>
      </c>
      <c r="AL33" s="21">
        <f t="shared" si="10"/>
        <v>16594.2</v>
      </c>
      <c r="AM33" s="21">
        <f t="shared" si="10"/>
        <v>16594.2</v>
      </c>
      <c r="AN33" s="24">
        <f t="shared" si="6"/>
        <v>0</v>
      </c>
      <c r="AO33" s="24">
        <f t="shared" si="11"/>
        <v>1</v>
      </c>
      <c r="AP33" s="24">
        <f t="shared" si="11"/>
        <v>1</v>
      </c>
    </row>
    <row r="34" spans="1:42" ht="16.95" customHeight="1" x14ac:dyDescent="0.3">
      <c r="A34" s="12" t="s">
        <v>142</v>
      </c>
      <c r="B34" s="16" t="s">
        <v>143</v>
      </c>
      <c r="C34" s="70" t="s">
        <v>144</v>
      </c>
      <c r="D34" s="71"/>
      <c r="E34" s="71"/>
      <c r="F34" s="71"/>
      <c r="G34" s="71"/>
      <c r="H34" s="71"/>
      <c r="I34" s="72"/>
      <c r="M34" s="6">
        <f>SUM(M35,M36)</f>
        <v>0</v>
      </c>
      <c r="N34" s="6">
        <f>SUM(N35,N36)</f>
        <v>25055.91</v>
      </c>
      <c r="O34" s="6">
        <f>SUM(O35,O36)</f>
        <v>25055.91</v>
      </c>
      <c r="S34" s="6">
        <f>SUM(S35,S36)</f>
        <v>0</v>
      </c>
      <c r="T34" s="6">
        <f>SUM(T35,T36)</f>
        <v>50111.82</v>
      </c>
      <c r="U34" s="6">
        <f>SUM(U35,U36)</f>
        <v>50111.82</v>
      </c>
      <c r="Y34" s="9">
        <f>SUM(Y35,Y36)</f>
        <v>0</v>
      </c>
      <c r="Z34" s="9">
        <f>SUM(Z35,Z36)</f>
        <v>41759.85</v>
      </c>
      <c r="AA34" s="9">
        <f>SUM(AA35,AA36)</f>
        <v>41759.85</v>
      </c>
      <c r="AD34" s="5">
        <v>413373323</v>
      </c>
      <c r="AE34" s="5">
        <v>21662442</v>
      </c>
      <c r="AK34" s="6">
        <f t="shared" si="5"/>
        <v>0</v>
      </c>
      <c r="AL34" s="6">
        <f t="shared" si="10"/>
        <v>25055.91</v>
      </c>
      <c r="AM34" s="6">
        <f t="shared" si="10"/>
        <v>25055.91</v>
      </c>
      <c r="AN34" s="10">
        <f t="shared" si="6"/>
        <v>0</v>
      </c>
      <c r="AO34" s="10">
        <f t="shared" si="11"/>
        <v>1</v>
      </c>
      <c r="AP34" s="10">
        <f t="shared" si="11"/>
        <v>1</v>
      </c>
    </row>
    <row r="35" spans="1:42" ht="18" x14ac:dyDescent="0.3">
      <c r="A35" s="12" t="s">
        <v>145</v>
      </c>
      <c r="B35" s="12" t="s">
        <v>146</v>
      </c>
      <c r="C35" s="18" t="s">
        <v>147</v>
      </c>
      <c r="D35" s="19"/>
      <c r="E35" s="19"/>
      <c r="F35" s="19" t="s">
        <v>148</v>
      </c>
      <c r="G35" s="20">
        <v>1</v>
      </c>
      <c r="H35" s="20"/>
      <c r="I35" s="20">
        <v>9</v>
      </c>
      <c r="J35" s="21">
        <v>0</v>
      </c>
      <c r="K35" s="22">
        <v>1883</v>
      </c>
      <c r="L35" s="21">
        <f>J35+ROUND(K35, 2)</f>
        <v>1883</v>
      </c>
      <c r="M35" s="21">
        <v>0</v>
      </c>
      <c r="N35" s="21">
        <f>ROUND(I35*ROUND(K35, 2), 2)</f>
        <v>16947</v>
      </c>
      <c r="O35" s="21">
        <f>M35+N35</f>
        <v>16947</v>
      </c>
      <c r="P35" s="21">
        <v>0</v>
      </c>
      <c r="Q35" s="23">
        <v>3766</v>
      </c>
      <c r="R35" s="21">
        <f>P35+ROUND(Q35, 2)</f>
        <v>3766</v>
      </c>
      <c r="S35" s="21">
        <v>0</v>
      </c>
      <c r="T35" s="21">
        <f>ROUND(I35*ROUND(Q35, 2), 2)</f>
        <v>33894</v>
      </c>
      <c r="U35" s="21">
        <f>S35+T35</f>
        <v>33894</v>
      </c>
      <c r="V35" s="9"/>
      <c r="W35" s="9">
        <f>ROUND(Q35 / 1.2, 2)</f>
        <v>3138.33</v>
      </c>
      <c r="X35" s="9">
        <f>ROUND(R35 / 1.2, 2)</f>
        <v>3138.33</v>
      </c>
      <c r="Y35" s="9"/>
      <c r="Z35" s="9">
        <f>ROUND(T35 / 1.2, 2)</f>
        <v>28245</v>
      </c>
      <c r="AA35" s="9">
        <f>Y35+Z35</f>
        <v>28245</v>
      </c>
      <c r="AD35" s="5">
        <v>413373325</v>
      </c>
      <c r="AE35" s="5">
        <v>21662439</v>
      </c>
      <c r="AG35" s="5" t="s">
        <v>149</v>
      </c>
      <c r="AH35" s="5" t="s">
        <v>150</v>
      </c>
      <c r="AI35" s="5" t="s">
        <v>60</v>
      </c>
      <c r="AK35" s="21">
        <f t="shared" si="5"/>
        <v>0</v>
      </c>
      <c r="AL35" s="21">
        <f t="shared" si="10"/>
        <v>16947</v>
      </c>
      <c r="AM35" s="21">
        <f t="shared" si="10"/>
        <v>16947</v>
      </c>
      <c r="AN35" s="24">
        <f t="shared" si="6"/>
        <v>0</v>
      </c>
      <c r="AO35" s="24">
        <f t="shared" si="11"/>
        <v>1</v>
      </c>
      <c r="AP35" s="24">
        <f t="shared" si="11"/>
        <v>1</v>
      </c>
    </row>
    <row r="36" spans="1:42" ht="90" x14ac:dyDescent="0.3">
      <c r="A36" s="12" t="s">
        <v>151</v>
      </c>
      <c r="B36" s="12" t="s">
        <v>152</v>
      </c>
      <c r="C36" s="18" t="s">
        <v>153</v>
      </c>
      <c r="D36" s="19" t="s">
        <v>154</v>
      </c>
      <c r="E36" s="19"/>
      <c r="F36" s="19" t="s">
        <v>148</v>
      </c>
      <c r="G36" s="20">
        <v>1</v>
      </c>
      <c r="H36" s="20"/>
      <c r="I36" s="20">
        <v>9</v>
      </c>
      <c r="J36" s="21">
        <v>0</v>
      </c>
      <c r="K36" s="22">
        <v>900.99</v>
      </c>
      <c r="L36" s="21">
        <f>J36+ROUND(K36, 2)</f>
        <v>900.99</v>
      </c>
      <c r="M36" s="21">
        <v>0</v>
      </c>
      <c r="N36" s="21">
        <f>ROUND(I36*ROUND(K36, 2), 2)</f>
        <v>8108.91</v>
      </c>
      <c r="O36" s="21">
        <f>M36+N36</f>
        <v>8108.91</v>
      </c>
      <c r="P36" s="21">
        <v>0</v>
      </c>
      <c r="Q36" s="23">
        <v>1801.98</v>
      </c>
      <c r="R36" s="21">
        <f>P36+ROUND(Q36, 2)</f>
        <v>1801.98</v>
      </c>
      <c r="S36" s="21">
        <v>0</v>
      </c>
      <c r="T36" s="21">
        <f>ROUND(I36*ROUND(Q36, 2), 2)</f>
        <v>16217.82</v>
      </c>
      <c r="U36" s="21">
        <f>S36+T36</f>
        <v>16217.82</v>
      </c>
      <c r="V36" s="9"/>
      <c r="W36" s="9">
        <f>ROUND(Q36 / 1.2, 2)</f>
        <v>1501.65</v>
      </c>
      <c r="X36" s="9">
        <f>ROUND(R36 / 1.2, 2)</f>
        <v>1501.65</v>
      </c>
      <c r="Y36" s="9"/>
      <c r="Z36" s="9">
        <f>ROUND(T36 / 1.2, 2)</f>
        <v>13514.85</v>
      </c>
      <c r="AA36" s="9">
        <f>Y36+Z36</f>
        <v>13514.85</v>
      </c>
      <c r="AD36" s="5">
        <v>413373327</v>
      </c>
      <c r="AE36" s="5">
        <v>21662433</v>
      </c>
      <c r="AG36" s="5" t="s">
        <v>155</v>
      </c>
      <c r="AH36" s="5" t="s">
        <v>156</v>
      </c>
      <c r="AI36" s="5" t="s">
        <v>60</v>
      </c>
      <c r="AK36" s="21">
        <f t="shared" si="5"/>
        <v>0</v>
      </c>
      <c r="AL36" s="21">
        <f t="shared" si="10"/>
        <v>8108.91</v>
      </c>
      <c r="AM36" s="21">
        <f t="shared" si="10"/>
        <v>8108.91</v>
      </c>
      <c r="AN36" s="24">
        <f t="shared" si="6"/>
        <v>0</v>
      </c>
      <c r="AO36" s="24">
        <f t="shared" si="11"/>
        <v>1</v>
      </c>
      <c r="AP36" s="24">
        <f t="shared" si="11"/>
        <v>1</v>
      </c>
    </row>
    <row r="37" spans="1:42" ht="16.95" customHeight="1" x14ac:dyDescent="0.3">
      <c r="A37" s="12" t="s">
        <v>157</v>
      </c>
      <c r="B37" s="15" t="s">
        <v>158</v>
      </c>
      <c r="C37" s="67" t="s">
        <v>159</v>
      </c>
      <c r="D37" s="68"/>
      <c r="E37" s="68"/>
      <c r="F37" s="68"/>
      <c r="G37" s="68"/>
      <c r="H37" s="68"/>
      <c r="I37" s="69"/>
      <c r="M37" s="6">
        <f>SUM(M38,M60,M101)</f>
        <v>983267.4</v>
      </c>
      <c r="N37" s="6">
        <f>SUM(N38,N60,N101)</f>
        <v>2852633.04</v>
      </c>
      <c r="O37" s="6">
        <f>SUM(O38,O60,O101)</f>
        <v>3835900.44</v>
      </c>
      <c r="S37" s="6">
        <f>SUM(S38,S60,S101)</f>
        <v>1059344.31</v>
      </c>
      <c r="T37" s="6">
        <f>SUM(T38,T60,T101)</f>
        <v>5818116.6899999995</v>
      </c>
      <c r="U37" s="6">
        <f>SUM(U38,U60,U101)</f>
        <v>6877460.9999999991</v>
      </c>
      <c r="Y37" s="9">
        <f>SUM(Y38,Y60,Y101)</f>
        <v>882786.96</v>
      </c>
      <c r="Z37" s="9">
        <f>SUM(Z38,Z60,Z101)</f>
        <v>4848430.5900000008</v>
      </c>
      <c r="AA37" s="9">
        <f>SUM(AA38,AA60,AA101)</f>
        <v>5731217.5499999998</v>
      </c>
      <c r="AD37" s="5">
        <v>413373328</v>
      </c>
      <c r="AE37" s="5">
        <v>36659757</v>
      </c>
      <c r="AK37" s="6">
        <f t="shared" si="5"/>
        <v>76076.910000000033</v>
      </c>
      <c r="AL37" s="6">
        <f t="shared" si="10"/>
        <v>2965483.6499999994</v>
      </c>
      <c r="AM37" s="6">
        <f t="shared" si="10"/>
        <v>3041560.5599999991</v>
      </c>
      <c r="AN37" s="10">
        <f t="shared" si="6"/>
        <v>7.7371536979665992E-2</v>
      </c>
      <c r="AO37" s="10">
        <f t="shared" si="11"/>
        <v>1.039560156675462</v>
      </c>
      <c r="AP37" s="10">
        <f t="shared" si="11"/>
        <v>0.79291957848624428</v>
      </c>
    </row>
    <row r="38" spans="1:42" ht="16.95" customHeight="1" x14ac:dyDescent="0.3">
      <c r="A38" s="12" t="s">
        <v>160</v>
      </c>
      <c r="B38" s="16" t="s">
        <v>161</v>
      </c>
      <c r="C38" s="70" t="s">
        <v>53</v>
      </c>
      <c r="D38" s="71"/>
      <c r="E38" s="71"/>
      <c r="F38" s="71"/>
      <c r="G38" s="71"/>
      <c r="H38" s="71"/>
      <c r="I38" s="72"/>
      <c r="M38" s="6">
        <f>SUM(M39,M44,M49,M54,M56)</f>
        <v>425063.57000000007</v>
      </c>
      <c r="N38" s="6">
        <f>SUM(N39,N44,N49,N54,N56)</f>
        <v>346430.43</v>
      </c>
      <c r="O38" s="6">
        <f>SUM(O39,O44,O49,O54,O56)</f>
        <v>771494</v>
      </c>
      <c r="S38" s="6">
        <f>SUM(S39,S44,S49,S54,S56)</f>
        <v>444508.16000000003</v>
      </c>
      <c r="T38" s="6">
        <f>SUM(T39,T44,T49,T54,T56)</f>
        <v>805711.46</v>
      </c>
      <c r="U38" s="6">
        <f>SUM(U39,U44,U49,U54,U56)</f>
        <v>1250219.6200000001</v>
      </c>
      <c r="Y38" s="9">
        <f>SUM(Y39,Y44,Y49,Y54,Y56)</f>
        <v>370423.48</v>
      </c>
      <c r="Z38" s="9">
        <f>SUM(Z39,Z44,Z49,Z54,Z56)</f>
        <v>671426.2300000001</v>
      </c>
      <c r="AA38" s="9">
        <f>SUM(AA39,AA44,AA49,AA54,AA56)</f>
        <v>1041849.71</v>
      </c>
      <c r="AD38" s="5">
        <v>413373329</v>
      </c>
      <c r="AE38" s="5">
        <v>36659762</v>
      </c>
      <c r="AK38" s="6">
        <f t="shared" si="5"/>
        <v>19444.589999999967</v>
      </c>
      <c r="AL38" s="6">
        <f t="shared" si="10"/>
        <v>459281.02999999997</v>
      </c>
      <c r="AM38" s="6">
        <f t="shared" si="10"/>
        <v>478725.62000000011</v>
      </c>
      <c r="AN38" s="10">
        <f t="shared" si="6"/>
        <v>4.5745134074886645E-2</v>
      </c>
      <c r="AO38" s="10">
        <f t="shared" si="11"/>
        <v>1.3257525616326487</v>
      </c>
      <c r="AP38" s="10">
        <f t="shared" si="11"/>
        <v>0.62051761906119829</v>
      </c>
    </row>
    <row r="39" spans="1:42" ht="36" x14ac:dyDescent="0.3">
      <c r="A39" s="12" t="s">
        <v>162</v>
      </c>
      <c r="B39" s="12" t="s">
        <v>163</v>
      </c>
      <c r="C39" s="18" t="s">
        <v>164</v>
      </c>
      <c r="D39" s="19"/>
      <c r="E39" s="19" t="s">
        <v>165</v>
      </c>
      <c r="F39" s="19" t="s">
        <v>57</v>
      </c>
      <c r="G39" s="20">
        <v>1</v>
      </c>
      <c r="H39" s="20"/>
      <c r="I39" s="20">
        <v>169.57</v>
      </c>
      <c r="J39" s="21">
        <f>IFERROR(ROUND(SUM(M40,M41,M42,M43)/I39, 2),0)</f>
        <v>1272.1099999999999</v>
      </c>
      <c r="K39" s="22">
        <v>556</v>
      </c>
      <c r="L39" s="21">
        <f>J39+ROUND(K39, 2)</f>
        <v>1828.11</v>
      </c>
      <c r="M39" s="21">
        <f>ROUND(J39*I39, 2)</f>
        <v>215711.69</v>
      </c>
      <c r="N39" s="21">
        <f>ROUND(I39*ROUND(K39, 2), 2)</f>
        <v>94280.92</v>
      </c>
      <c r="O39" s="21">
        <f>M39+N39</f>
        <v>309992.61</v>
      </c>
      <c r="P39" s="21">
        <f>IFERROR(ROUND(SUM(S40,S41,S42,S43)/I39, 2),0)</f>
        <v>1386.78</v>
      </c>
      <c r="Q39" s="23">
        <v>1112</v>
      </c>
      <c r="R39" s="21">
        <f>P39+ROUND(Q39, 2)</f>
        <v>2498.7799999999997</v>
      </c>
      <c r="S39" s="21">
        <f>ROUND(P39*I39, 2)</f>
        <v>235156.28</v>
      </c>
      <c r="T39" s="21">
        <f>ROUND(I39*ROUND(Q39, 2), 2)</f>
        <v>188561.84</v>
      </c>
      <c r="U39" s="21">
        <f>S39+T39</f>
        <v>423718.12</v>
      </c>
      <c r="V39" s="9">
        <f>ROUND(P39 / 1.2, 2)</f>
        <v>1155.6500000000001</v>
      </c>
      <c r="W39" s="9">
        <f>ROUND(Q39 / 1.2, 2)</f>
        <v>926.67</v>
      </c>
      <c r="X39" s="9">
        <f>ROUND(R39 / 1.2, 2)</f>
        <v>2082.3200000000002</v>
      </c>
      <c r="Y39" s="9">
        <f>ROUND(S39 / 1.2, 2)</f>
        <v>195963.57</v>
      </c>
      <c r="Z39" s="9">
        <f>ROUND(T39 / 1.2, 2)</f>
        <v>157134.87</v>
      </c>
      <c r="AA39" s="9">
        <f>Y39+Z39</f>
        <v>353098.44</v>
      </c>
      <c r="AD39" s="5">
        <v>413373331</v>
      </c>
      <c r="AE39" s="5">
        <v>36659764</v>
      </c>
      <c r="AG39" s="5" t="s">
        <v>166</v>
      </c>
      <c r="AH39" s="5" t="s">
        <v>167</v>
      </c>
      <c r="AI39" s="5" t="s">
        <v>60</v>
      </c>
      <c r="AK39" s="21">
        <f t="shared" si="5"/>
        <v>19444.589999999997</v>
      </c>
      <c r="AL39" s="21">
        <f t="shared" si="10"/>
        <v>94280.92</v>
      </c>
      <c r="AM39" s="21">
        <f t="shared" si="10"/>
        <v>113725.51000000001</v>
      </c>
      <c r="AN39" s="24">
        <f t="shared" si="6"/>
        <v>9.0141568127346264E-2</v>
      </c>
      <c r="AO39" s="24">
        <f t="shared" si="11"/>
        <v>1</v>
      </c>
      <c r="AP39" s="24">
        <f t="shared" si="11"/>
        <v>0.36686522946466371</v>
      </c>
    </row>
    <row r="40" spans="1:42" ht="72" hidden="1" x14ac:dyDescent="0.3">
      <c r="A40" s="12" t="s">
        <v>168</v>
      </c>
      <c r="B40" s="12"/>
      <c r="C40" s="32" t="s">
        <v>169</v>
      </c>
      <c r="D40" s="19"/>
      <c r="E40" s="19"/>
      <c r="F40" s="26" t="s">
        <v>57</v>
      </c>
      <c r="G40" s="27">
        <v>1.1000000000000001</v>
      </c>
      <c r="H40" s="33"/>
      <c r="I40" s="33">
        <v>186.52699999999999</v>
      </c>
      <c r="J40" s="28">
        <v>1062.4100000000001</v>
      </c>
      <c r="M40" s="29">
        <f>ROUND(ROUND(J40, 2)*I40, 2)</f>
        <v>198168.15</v>
      </c>
      <c r="P40" s="30">
        <v>1062.4100000000001</v>
      </c>
      <c r="S40" s="29">
        <f>ROUND(ROUND(P40, 2)*I40, 2)</f>
        <v>198168.15</v>
      </c>
      <c r="V40" s="9">
        <f>ROUND(ROUND(P40, 2)/1.2, 2)</f>
        <v>885.34</v>
      </c>
      <c r="Y40" s="9">
        <f t="shared" ref="Y40:Y59" si="12">ROUND(S40 / 1.2, 2)</f>
        <v>165140.13</v>
      </c>
      <c r="AD40" s="5" t="s">
        <v>170</v>
      </c>
      <c r="AE40" s="5" t="s">
        <v>171</v>
      </c>
      <c r="AF40" s="5" t="s">
        <v>172</v>
      </c>
      <c r="AK40" s="29">
        <f t="shared" si="5"/>
        <v>0</v>
      </c>
      <c r="AL40" s="29"/>
      <c r="AM40" s="29"/>
      <c r="AN40" s="31">
        <f t="shared" si="6"/>
        <v>0</v>
      </c>
      <c r="AO40" s="29"/>
      <c r="AP40" s="29"/>
    </row>
    <row r="41" spans="1:42" ht="72" hidden="1" x14ac:dyDescent="0.3">
      <c r="A41" s="12" t="s">
        <v>173</v>
      </c>
      <c r="B41" s="12"/>
      <c r="C41" s="32" t="s">
        <v>174</v>
      </c>
      <c r="D41" s="19"/>
      <c r="E41" s="19"/>
      <c r="F41" s="26" t="s">
        <v>101</v>
      </c>
      <c r="G41" s="27">
        <v>1</v>
      </c>
      <c r="H41" s="33"/>
      <c r="I41" s="33">
        <v>84.784999999999997</v>
      </c>
      <c r="J41" s="28">
        <v>51.85</v>
      </c>
      <c r="M41" s="29">
        <f>ROUND(ROUND(J41, 2)*I41, 2)</f>
        <v>4396.1000000000004</v>
      </c>
      <c r="P41" s="30">
        <v>51.85</v>
      </c>
      <c r="S41" s="29">
        <f>ROUND(ROUND(P41, 2)*I41, 2)</f>
        <v>4396.1000000000004</v>
      </c>
      <c r="V41" s="9">
        <f>ROUND(ROUND(P41, 2)/1.2, 2)</f>
        <v>43.21</v>
      </c>
      <c r="Y41" s="9">
        <f t="shared" si="12"/>
        <v>3663.42</v>
      </c>
      <c r="AD41" s="5" t="s">
        <v>175</v>
      </c>
      <c r="AE41" s="5" t="s">
        <v>176</v>
      </c>
      <c r="AF41" s="5" t="s">
        <v>177</v>
      </c>
      <c r="AK41" s="29">
        <f t="shared" si="5"/>
        <v>0</v>
      </c>
      <c r="AL41" s="29"/>
      <c r="AM41" s="29"/>
      <c r="AN41" s="31">
        <f t="shared" si="6"/>
        <v>0</v>
      </c>
      <c r="AO41" s="29"/>
      <c r="AP41" s="29"/>
    </row>
    <row r="42" spans="1:42" ht="36" hidden="1" x14ac:dyDescent="0.3">
      <c r="A42" s="12" t="s">
        <v>178</v>
      </c>
      <c r="B42" s="12"/>
      <c r="C42" s="25" t="s">
        <v>108</v>
      </c>
      <c r="D42" s="19"/>
      <c r="E42" s="19"/>
      <c r="F42" s="26" t="s">
        <v>63</v>
      </c>
      <c r="G42" s="27">
        <v>0.15</v>
      </c>
      <c r="H42" s="27"/>
      <c r="I42" s="27">
        <v>25.436</v>
      </c>
      <c r="J42" s="28">
        <v>69.540000000000006</v>
      </c>
      <c r="M42" s="29">
        <f>ROUND(ROUND(J42, 2)*I42, 2)</f>
        <v>1768.82</v>
      </c>
      <c r="P42" s="30">
        <v>69.540000000000006</v>
      </c>
      <c r="S42" s="29">
        <f>ROUND(ROUND(P42, 2)*I42, 2)</f>
        <v>1768.82</v>
      </c>
      <c r="V42" s="9">
        <f>ROUND(ROUND(P42, 2)/1.2, 2)</f>
        <v>57.95</v>
      </c>
      <c r="Y42" s="9">
        <f t="shared" si="12"/>
        <v>1474.02</v>
      </c>
      <c r="AD42" s="5" t="s">
        <v>179</v>
      </c>
      <c r="AE42" s="5" t="s">
        <v>180</v>
      </c>
      <c r="AF42" s="5" t="s">
        <v>111</v>
      </c>
      <c r="AK42" s="29">
        <f t="shared" si="5"/>
        <v>0</v>
      </c>
      <c r="AL42" s="29"/>
      <c r="AM42" s="29"/>
      <c r="AN42" s="31">
        <f t="shared" si="6"/>
        <v>0</v>
      </c>
      <c r="AO42" s="29"/>
      <c r="AP42" s="29"/>
    </row>
    <row r="43" spans="1:42" ht="54" hidden="1" x14ac:dyDescent="0.3">
      <c r="A43" s="12" t="s">
        <v>181</v>
      </c>
      <c r="B43" s="12"/>
      <c r="C43" s="25" t="s">
        <v>182</v>
      </c>
      <c r="D43" s="19"/>
      <c r="E43" s="19" t="s">
        <v>183</v>
      </c>
      <c r="F43" s="26" t="s">
        <v>63</v>
      </c>
      <c r="G43" s="27">
        <v>0.3</v>
      </c>
      <c r="H43" s="27"/>
      <c r="I43" s="27">
        <v>50.871000000000002</v>
      </c>
      <c r="J43" s="28">
        <v>223.66</v>
      </c>
      <c r="M43" s="29">
        <f>ROUND(ROUND(J43, 2)*I43, 2)</f>
        <v>11377.81</v>
      </c>
      <c r="P43" s="30">
        <v>605.9</v>
      </c>
      <c r="S43" s="29">
        <f>ROUND(ROUND(P43, 2)*I43, 2)</f>
        <v>30822.74</v>
      </c>
      <c r="V43" s="9">
        <f>ROUND(ROUND(P43, 2)/1.2, 2)</f>
        <v>504.92</v>
      </c>
      <c r="Y43" s="9">
        <f t="shared" si="12"/>
        <v>25685.62</v>
      </c>
      <c r="AD43" s="5" t="s">
        <v>184</v>
      </c>
      <c r="AE43" s="5" t="s">
        <v>185</v>
      </c>
      <c r="AF43" s="5" t="s">
        <v>186</v>
      </c>
      <c r="AK43" s="29">
        <f t="shared" si="5"/>
        <v>19444.93</v>
      </c>
      <c r="AL43" s="29"/>
      <c r="AM43" s="29"/>
      <c r="AN43" s="31">
        <f t="shared" si="6"/>
        <v>1.7090222107769422</v>
      </c>
      <c r="AO43" s="29"/>
      <c r="AP43" s="29"/>
    </row>
    <row r="44" spans="1:42" ht="54" x14ac:dyDescent="0.3">
      <c r="A44" s="12" t="s">
        <v>187</v>
      </c>
      <c r="B44" s="12" t="s">
        <v>188</v>
      </c>
      <c r="C44" s="18" t="s">
        <v>189</v>
      </c>
      <c r="D44" s="19"/>
      <c r="E44" s="19"/>
      <c r="F44" s="19" t="s">
        <v>57</v>
      </c>
      <c r="G44" s="20">
        <v>1</v>
      </c>
      <c r="H44" s="20"/>
      <c r="I44" s="20">
        <v>55.17</v>
      </c>
      <c r="J44" s="21">
        <f>IFERROR(ROUND(SUM(M45,M46,M47,M48)/I44, 2),0)</f>
        <v>1483.45</v>
      </c>
      <c r="K44" s="22">
        <v>1439</v>
      </c>
      <c r="L44" s="21">
        <f>J44+ROUND(K44, 2)</f>
        <v>2922.45</v>
      </c>
      <c r="M44" s="21">
        <f>ROUND(J44*I44, 2)</f>
        <v>81841.94</v>
      </c>
      <c r="N44" s="21">
        <f>ROUND(I44*ROUND(K44, 2), 2)</f>
        <v>79389.63</v>
      </c>
      <c r="O44" s="21">
        <f>M44+N44</f>
        <v>161231.57</v>
      </c>
      <c r="P44" s="21">
        <f>IFERROR(ROUND(SUM(S45,S46,S47,S48)/I44, 2),0)</f>
        <v>1483.45</v>
      </c>
      <c r="Q44" s="23">
        <v>2878</v>
      </c>
      <c r="R44" s="21">
        <f>P44+ROUND(Q44, 2)</f>
        <v>4361.45</v>
      </c>
      <c r="S44" s="21">
        <f>ROUND(P44*I44, 2)</f>
        <v>81841.94</v>
      </c>
      <c r="T44" s="21">
        <f>ROUND(I44*ROUND(Q44, 2), 2)</f>
        <v>158779.26</v>
      </c>
      <c r="U44" s="21">
        <f>S44+T44</f>
        <v>240621.2</v>
      </c>
      <c r="V44" s="9">
        <f>ROUND(P44 / 1.2, 2)</f>
        <v>1236.21</v>
      </c>
      <c r="W44" s="9">
        <f>ROUND(Q44 / 1.2, 2)</f>
        <v>2398.33</v>
      </c>
      <c r="X44" s="9">
        <f>ROUND(R44 / 1.2, 2)</f>
        <v>3634.54</v>
      </c>
      <c r="Y44" s="9">
        <f t="shared" si="12"/>
        <v>68201.62</v>
      </c>
      <c r="Z44" s="9">
        <f>ROUND(T44 / 1.2, 2)</f>
        <v>132316.04999999999</v>
      </c>
      <c r="AA44" s="9">
        <f>Y44+Z44</f>
        <v>200517.66999999998</v>
      </c>
      <c r="AD44" s="5">
        <v>413373333</v>
      </c>
      <c r="AE44" s="5">
        <v>36659754</v>
      </c>
      <c r="AG44" s="5" t="s">
        <v>190</v>
      </c>
      <c r="AH44" s="5" t="s">
        <v>191</v>
      </c>
      <c r="AI44" s="5" t="s">
        <v>60</v>
      </c>
      <c r="AK44" s="21">
        <f t="shared" si="5"/>
        <v>0</v>
      </c>
      <c r="AL44" s="21">
        <f>T44-N44</f>
        <v>79389.63</v>
      </c>
      <c r="AM44" s="21">
        <f>U44-O44</f>
        <v>79389.63</v>
      </c>
      <c r="AN44" s="24">
        <f t="shared" si="6"/>
        <v>0</v>
      </c>
      <c r="AO44" s="24">
        <f>IFERROR(AL44/N44,0)</f>
        <v>1</v>
      </c>
      <c r="AP44" s="24">
        <f>IFERROR(AM44/O44,0)</f>
        <v>0.49239506878212502</v>
      </c>
    </row>
    <row r="45" spans="1:42" ht="18" hidden="1" x14ac:dyDescent="0.3">
      <c r="A45" s="12" t="s">
        <v>192</v>
      </c>
      <c r="B45" s="12"/>
      <c r="C45" s="25" t="s">
        <v>68</v>
      </c>
      <c r="D45" s="19"/>
      <c r="E45" s="19"/>
      <c r="F45" s="26" t="s">
        <v>63</v>
      </c>
      <c r="G45" s="27">
        <v>0.25</v>
      </c>
      <c r="H45" s="33"/>
      <c r="I45" s="33">
        <v>13.792999999999999</v>
      </c>
      <c r="J45" s="28">
        <v>48.23</v>
      </c>
      <c r="M45" s="29">
        <f>ROUND(ROUND(J45, 2)*I45, 2)</f>
        <v>665.24</v>
      </c>
      <c r="P45" s="30">
        <v>48.23</v>
      </c>
      <c r="S45" s="29">
        <f>ROUND(ROUND(P45, 2)*I45, 2)</f>
        <v>665.24</v>
      </c>
      <c r="V45" s="9">
        <f>ROUND(ROUND(P45, 2)/1.2, 2)</f>
        <v>40.19</v>
      </c>
      <c r="Y45" s="9">
        <f t="shared" si="12"/>
        <v>554.37</v>
      </c>
      <c r="AD45" s="5" t="s">
        <v>193</v>
      </c>
      <c r="AE45" s="5" t="s">
        <v>194</v>
      </c>
      <c r="AF45" s="5" t="s">
        <v>71</v>
      </c>
      <c r="AK45" s="29">
        <f t="shared" si="5"/>
        <v>0</v>
      </c>
      <c r="AL45" s="29"/>
      <c r="AM45" s="29"/>
      <c r="AN45" s="31">
        <f t="shared" si="6"/>
        <v>0</v>
      </c>
      <c r="AO45" s="29"/>
      <c r="AP45" s="29"/>
    </row>
    <row r="46" spans="1:42" ht="36" hidden="1" x14ac:dyDescent="0.3">
      <c r="A46" s="12" t="s">
        <v>195</v>
      </c>
      <c r="B46" s="12"/>
      <c r="C46" s="32" t="s">
        <v>196</v>
      </c>
      <c r="D46" s="19"/>
      <c r="E46" s="19"/>
      <c r="F46" s="26" t="s">
        <v>63</v>
      </c>
      <c r="G46" s="27">
        <v>1.2</v>
      </c>
      <c r="H46" s="33"/>
      <c r="I46" s="33">
        <v>331.02</v>
      </c>
      <c r="J46" s="28">
        <v>16.38</v>
      </c>
      <c r="M46" s="29">
        <f>ROUND(ROUND(J46, 2)*I46, 2)</f>
        <v>5422.11</v>
      </c>
      <c r="P46" s="30">
        <v>16.38</v>
      </c>
      <c r="S46" s="29">
        <f>ROUND(ROUND(P46, 2)*I46, 2)</f>
        <v>5422.11</v>
      </c>
      <c r="V46" s="9">
        <f>ROUND(ROUND(P46, 2)/1.2, 2)</f>
        <v>13.65</v>
      </c>
      <c r="Y46" s="9">
        <f t="shared" si="12"/>
        <v>4518.43</v>
      </c>
      <c r="AD46" s="5" t="s">
        <v>197</v>
      </c>
      <c r="AE46" s="5" t="s">
        <v>198</v>
      </c>
      <c r="AF46" s="5" t="s">
        <v>199</v>
      </c>
      <c r="AK46" s="29">
        <f t="shared" si="5"/>
        <v>0</v>
      </c>
      <c r="AL46" s="29"/>
      <c r="AM46" s="29"/>
      <c r="AN46" s="31">
        <f t="shared" si="6"/>
        <v>0</v>
      </c>
      <c r="AO46" s="29"/>
      <c r="AP46" s="29"/>
    </row>
    <row r="47" spans="1:42" ht="36" hidden="1" x14ac:dyDescent="0.3">
      <c r="A47" s="12" t="s">
        <v>200</v>
      </c>
      <c r="B47" s="12"/>
      <c r="C47" s="25" t="s">
        <v>108</v>
      </c>
      <c r="D47" s="19"/>
      <c r="E47" s="19"/>
      <c r="F47" s="26" t="s">
        <v>63</v>
      </c>
      <c r="G47" s="27">
        <v>0.15</v>
      </c>
      <c r="H47" s="27"/>
      <c r="I47" s="27">
        <v>8.2759999999999998</v>
      </c>
      <c r="J47" s="28">
        <v>69.540000000000006</v>
      </c>
      <c r="M47" s="29">
        <f>ROUND(ROUND(J47, 2)*I47, 2)</f>
        <v>575.51</v>
      </c>
      <c r="P47" s="30">
        <v>69.540000000000006</v>
      </c>
      <c r="S47" s="29">
        <f>ROUND(ROUND(P47, 2)*I47, 2)</f>
        <v>575.51</v>
      </c>
      <c r="V47" s="9">
        <f>ROUND(ROUND(P47, 2)/1.2, 2)</f>
        <v>57.95</v>
      </c>
      <c r="Y47" s="9">
        <f t="shared" si="12"/>
        <v>479.59</v>
      </c>
      <c r="AD47" s="5" t="s">
        <v>201</v>
      </c>
      <c r="AE47" s="5" t="s">
        <v>202</v>
      </c>
      <c r="AF47" s="5" t="s">
        <v>111</v>
      </c>
      <c r="AK47" s="29">
        <f t="shared" ref="AK47:AK78" si="13">S47-M47</f>
        <v>0</v>
      </c>
      <c r="AL47" s="29"/>
      <c r="AM47" s="29"/>
      <c r="AN47" s="31">
        <f t="shared" ref="AN47:AN78" si="14">IFERROR(AK47/M47,0)</f>
        <v>0</v>
      </c>
      <c r="AO47" s="29"/>
      <c r="AP47" s="29"/>
    </row>
    <row r="48" spans="1:42" ht="36" hidden="1" x14ac:dyDescent="0.3">
      <c r="A48" s="12" t="s">
        <v>203</v>
      </c>
      <c r="B48" s="12"/>
      <c r="C48" s="25" t="s">
        <v>204</v>
      </c>
      <c r="D48" s="19"/>
      <c r="E48" s="19"/>
      <c r="F48" s="26" t="s">
        <v>57</v>
      </c>
      <c r="G48" s="27">
        <v>1.07</v>
      </c>
      <c r="H48" s="33"/>
      <c r="I48" s="33">
        <v>59.031999999999996</v>
      </c>
      <c r="J48" s="28">
        <v>1273.53</v>
      </c>
      <c r="M48" s="29">
        <f>ROUND(ROUND(J48, 2)*I48, 2)</f>
        <v>75179.02</v>
      </c>
      <c r="P48" s="30">
        <v>1273.53</v>
      </c>
      <c r="S48" s="29">
        <f>ROUND(ROUND(P48, 2)*I48, 2)</f>
        <v>75179.02</v>
      </c>
      <c r="V48" s="9">
        <f>ROUND(ROUND(P48, 2)/1.2, 2)</f>
        <v>1061.28</v>
      </c>
      <c r="Y48" s="9">
        <f t="shared" si="12"/>
        <v>62649.18</v>
      </c>
      <c r="AD48" s="5" t="s">
        <v>205</v>
      </c>
      <c r="AE48" s="5" t="s">
        <v>206</v>
      </c>
      <c r="AF48" s="5" t="s">
        <v>207</v>
      </c>
      <c r="AK48" s="29">
        <f t="shared" si="13"/>
        <v>0</v>
      </c>
      <c r="AL48" s="29"/>
      <c r="AM48" s="29"/>
      <c r="AN48" s="31">
        <f t="shared" si="14"/>
        <v>0</v>
      </c>
      <c r="AO48" s="29"/>
      <c r="AP48" s="29"/>
    </row>
    <row r="49" spans="1:42" ht="54" x14ac:dyDescent="0.3">
      <c r="A49" s="12" t="s">
        <v>208</v>
      </c>
      <c r="B49" s="12" t="s">
        <v>188</v>
      </c>
      <c r="C49" s="18" t="s">
        <v>189</v>
      </c>
      <c r="D49" s="19"/>
      <c r="E49" s="19"/>
      <c r="F49" s="19" t="s">
        <v>57</v>
      </c>
      <c r="G49" s="20">
        <v>1</v>
      </c>
      <c r="H49" s="20"/>
      <c r="I49" s="20">
        <v>72.92</v>
      </c>
      <c r="J49" s="21">
        <f>IFERROR(ROUND(SUM(M50,M51,M52,M53)/I49, 2),0)</f>
        <v>607.47</v>
      </c>
      <c r="K49" s="22">
        <v>1439</v>
      </c>
      <c r="L49" s="21">
        <f>J49+ROUND(K49, 2)</f>
        <v>2046.47</v>
      </c>
      <c r="M49" s="21">
        <f>ROUND(J49*I49, 2)</f>
        <v>44296.71</v>
      </c>
      <c r="N49" s="21">
        <f>ROUND(I49*ROUND(K49, 2), 2)</f>
        <v>104931.88</v>
      </c>
      <c r="O49" s="21">
        <f>M49+N49</f>
        <v>149228.59</v>
      </c>
      <c r="P49" s="21">
        <f>IFERROR(ROUND(SUM(S50,S51,S52,S53)/I49, 2),0)</f>
        <v>607.47</v>
      </c>
      <c r="Q49" s="23">
        <v>2878</v>
      </c>
      <c r="R49" s="21">
        <f>P49+ROUND(Q49, 2)</f>
        <v>3485.4700000000003</v>
      </c>
      <c r="S49" s="21">
        <f>ROUND(P49*I49, 2)</f>
        <v>44296.71</v>
      </c>
      <c r="T49" s="21">
        <f>ROUND(I49*ROUND(Q49, 2), 2)</f>
        <v>209863.76</v>
      </c>
      <c r="U49" s="21">
        <f>S49+T49</f>
        <v>254160.47</v>
      </c>
      <c r="V49" s="9">
        <f>ROUND(P49 / 1.2, 2)</f>
        <v>506.23</v>
      </c>
      <c r="W49" s="9">
        <f>ROUND(Q49 / 1.2, 2)</f>
        <v>2398.33</v>
      </c>
      <c r="X49" s="9">
        <f>ROUND(R49 / 1.2, 2)</f>
        <v>2904.56</v>
      </c>
      <c r="Y49" s="9">
        <f t="shared" si="12"/>
        <v>36913.93</v>
      </c>
      <c r="Z49" s="9">
        <f>ROUND(T49 / 1.2, 2)</f>
        <v>174886.47</v>
      </c>
      <c r="AA49" s="9">
        <f>Y49+Z49</f>
        <v>211800.4</v>
      </c>
      <c r="AD49" s="5">
        <v>413373363</v>
      </c>
      <c r="AE49" s="5">
        <v>36659755</v>
      </c>
      <c r="AG49" s="5" t="s">
        <v>190</v>
      </c>
      <c r="AH49" s="5" t="s">
        <v>191</v>
      </c>
      <c r="AI49" s="5" t="s">
        <v>60</v>
      </c>
      <c r="AK49" s="21">
        <f t="shared" si="13"/>
        <v>0</v>
      </c>
      <c r="AL49" s="21">
        <f>T49-N49</f>
        <v>104931.88</v>
      </c>
      <c r="AM49" s="21">
        <f>U49-O49</f>
        <v>104931.88</v>
      </c>
      <c r="AN49" s="24">
        <f t="shared" si="14"/>
        <v>0</v>
      </c>
      <c r="AO49" s="24">
        <f>IFERROR(AL49/N49,0)</f>
        <v>1</v>
      </c>
      <c r="AP49" s="24">
        <f>IFERROR(AM49/O49,0)</f>
        <v>0.70316204153641071</v>
      </c>
    </row>
    <row r="50" spans="1:42" ht="36" hidden="1" x14ac:dyDescent="0.3">
      <c r="A50" s="12" t="s">
        <v>209</v>
      </c>
      <c r="B50" s="12"/>
      <c r="C50" s="25" t="s">
        <v>108</v>
      </c>
      <c r="D50" s="19"/>
      <c r="E50" s="19"/>
      <c r="F50" s="26" t="s">
        <v>63</v>
      </c>
      <c r="G50" s="27">
        <v>0.15</v>
      </c>
      <c r="H50" s="27"/>
      <c r="I50" s="27">
        <v>10.938000000000001</v>
      </c>
      <c r="J50" s="28">
        <v>69.540000000000006</v>
      </c>
      <c r="M50" s="29">
        <f>ROUND(ROUND(J50, 2)*I50, 2)</f>
        <v>760.63</v>
      </c>
      <c r="P50" s="30">
        <v>69.540000000000006</v>
      </c>
      <c r="S50" s="29">
        <f>ROUND(ROUND(P50, 2)*I50, 2)</f>
        <v>760.63</v>
      </c>
      <c r="V50" s="9">
        <f>ROUND(ROUND(P50, 2)/1.2, 2)</f>
        <v>57.95</v>
      </c>
      <c r="Y50" s="9">
        <f t="shared" si="12"/>
        <v>633.86</v>
      </c>
      <c r="AD50" s="5" t="s">
        <v>210</v>
      </c>
      <c r="AE50" s="5" t="s">
        <v>211</v>
      </c>
      <c r="AF50" s="5" t="s">
        <v>111</v>
      </c>
      <c r="AK50" s="29">
        <f t="shared" si="13"/>
        <v>0</v>
      </c>
      <c r="AL50" s="29"/>
      <c r="AM50" s="29"/>
      <c r="AN50" s="31">
        <f t="shared" si="14"/>
        <v>0</v>
      </c>
      <c r="AO50" s="29"/>
      <c r="AP50" s="29"/>
    </row>
    <row r="51" spans="1:42" ht="36" hidden="1" x14ac:dyDescent="0.3">
      <c r="A51" s="12" t="s">
        <v>212</v>
      </c>
      <c r="B51" s="12"/>
      <c r="C51" s="32" t="s">
        <v>196</v>
      </c>
      <c r="D51" s="19"/>
      <c r="E51" s="19"/>
      <c r="F51" s="26" t="s">
        <v>63</v>
      </c>
      <c r="G51" s="27">
        <v>1.2</v>
      </c>
      <c r="H51" s="33"/>
      <c r="I51" s="33">
        <v>437.52</v>
      </c>
      <c r="J51" s="28">
        <v>16.38</v>
      </c>
      <c r="M51" s="29">
        <f>ROUND(ROUND(J51, 2)*I51, 2)</f>
        <v>7166.58</v>
      </c>
      <c r="P51" s="30">
        <v>16.38</v>
      </c>
      <c r="S51" s="29">
        <f>ROUND(ROUND(P51, 2)*I51, 2)</f>
        <v>7166.58</v>
      </c>
      <c r="V51" s="9">
        <f>ROUND(ROUND(P51, 2)/1.2, 2)</f>
        <v>13.65</v>
      </c>
      <c r="Y51" s="9">
        <f t="shared" si="12"/>
        <v>5972.15</v>
      </c>
      <c r="AD51" s="5" t="s">
        <v>213</v>
      </c>
      <c r="AE51" s="5" t="s">
        <v>214</v>
      </c>
      <c r="AF51" s="5" t="s">
        <v>199</v>
      </c>
      <c r="AK51" s="29">
        <f t="shared" si="13"/>
        <v>0</v>
      </c>
      <c r="AL51" s="29"/>
      <c r="AM51" s="29"/>
      <c r="AN51" s="31">
        <f t="shared" si="14"/>
        <v>0</v>
      </c>
      <c r="AO51" s="29"/>
      <c r="AP51" s="29"/>
    </row>
    <row r="52" spans="1:42" ht="36" hidden="1" x14ac:dyDescent="0.3">
      <c r="A52" s="12" t="s">
        <v>215</v>
      </c>
      <c r="B52" s="12"/>
      <c r="C52" s="32" t="s">
        <v>128</v>
      </c>
      <c r="D52" s="19"/>
      <c r="E52" s="19"/>
      <c r="F52" s="26" t="s">
        <v>57</v>
      </c>
      <c r="G52" s="27">
        <v>1.07</v>
      </c>
      <c r="H52" s="33"/>
      <c r="I52" s="33">
        <v>78.024000000000001</v>
      </c>
      <c r="J52" s="28">
        <v>454.86</v>
      </c>
      <c r="M52" s="29">
        <f>ROUND(ROUND(J52, 2)*I52, 2)</f>
        <v>35490</v>
      </c>
      <c r="P52" s="30">
        <v>454.86</v>
      </c>
      <c r="S52" s="29">
        <f>ROUND(ROUND(P52, 2)*I52, 2)</f>
        <v>35490</v>
      </c>
      <c r="V52" s="9">
        <f>ROUND(ROUND(P52, 2)/1.2, 2)</f>
        <v>379.05</v>
      </c>
      <c r="Y52" s="9">
        <f t="shared" si="12"/>
        <v>29575</v>
      </c>
      <c r="AD52" s="5" t="s">
        <v>216</v>
      </c>
      <c r="AE52" s="5" t="s">
        <v>217</v>
      </c>
      <c r="AF52" s="5" t="s">
        <v>131</v>
      </c>
      <c r="AK52" s="29">
        <f t="shared" si="13"/>
        <v>0</v>
      </c>
      <c r="AL52" s="29"/>
      <c r="AM52" s="29"/>
      <c r="AN52" s="31">
        <f t="shared" si="14"/>
        <v>0</v>
      </c>
      <c r="AO52" s="29"/>
      <c r="AP52" s="29"/>
    </row>
    <row r="53" spans="1:42" ht="18" hidden="1" x14ac:dyDescent="0.3">
      <c r="A53" s="12" t="s">
        <v>218</v>
      </c>
      <c r="B53" s="12"/>
      <c r="C53" s="25" t="s">
        <v>68</v>
      </c>
      <c r="D53" s="19"/>
      <c r="E53" s="19"/>
      <c r="F53" s="26" t="s">
        <v>63</v>
      </c>
      <c r="G53" s="27">
        <v>0.25</v>
      </c>
      <c r="H53" s="33"/>
      <c r="I53" s="33">
        <v>18.23</v>
      </c>
      <c r="J53" s="28">
        <v>48.23</v>
      </c>
      <c r="M53" s="29">
        <f>ROUND(ROUND(J53, 2)*I53, 2)</f>
        <v>879.23</v>
      </c>
      <c r="P53" s="30">
        <v>48.23</v>
      </c>
      <c r="S53" s="29">
        <f>ROUND(ROUND(P53, 2)*I53, 2)</f>
        <v>879.23</v>
      </c>
      <c r="V53" s="9">
        <f>ROUND(ROUND(P53, 2)/1.2, 2)</f>
        <v>40.19</v>
      </c>
      <c r="Y53" s="9">
        <f t="shared" si="12"/>
        <v>732.69</v>
      </c>
      <c r="AD53" s="5" t="s">
        <v>219</v>
      </c>
      <c r="AE53" s="5" t="s">
        <v>220</v>
      </c>
      <c r="AF53" s="5" t="s">
        <v>71</v>
      </c>
      <c r="AK53" s="29">
        <f t="shared" si="13"/>
        <v>0</v>
      </c>
      <c r="AL53" s="29"/>
      <c r="AM53" s="29"/>
      <c r="AN53" s="31">
        <f t="shared" si="14"/>
        <v>0</v>
      </c>
      <c r="AO53" s="29"/>
      <c r="AP53" s="29"/>
    </row>
    <row r="54" spans="1:42" ht="36" x14ac:dyDescent="0.3">
      <c r="A54" s="12" t="s">
        <v>221</v>
      </c>
      <c r="B54" s="12" t="s">
        <v>222</v>
      </c>
      <c r="C54" s="18" t="s">
        <v>223</v>
      </c>
      <c r="D54" s="19"/>
      <c r="E54" s="19"/>
      <c r="F54" s="19" t="s">
        <v>101</v>
      </c>
      <c r="G54" s="20">
        <v>1</v>
      </c>
      <c r="H54" s="20"/>
      <c r="I54" s="20">
        <v>194.57</v>
      </c>
      <c r="J54" s="21">
        <f>IFERROR(ROUND(SUM(M55)/I54, 2),0)</f>
        <v>385.54</v>
      </c>
      <c r="K54" s="22">
        <v>0</v>
      </c>
      <c r="L54" s="21">
        <f>J54+ROUND(K54, 2)</f>
        <v>385.54</v>
      </c>
      <c r="M54" s="21">
        <f>ROUND(J54*I54, 2)</f>
        <v>75014.52</v>
      </c>
      <c r="N54" s="21">
        <f>ROUND(I54*ROUND(K54, 2), 2)</f>
        <v>0</v>
      </c>
      <c r="O54" s="21">
        <f>M54+N54</f>
        <v>75014.52</v>
      </c>
      <c r="P54" s="21">
        <f>IFERROR(ROUND(SUM(S55)/I54, 2),0)</f>
        <v>385.54</v>
      </c>
      <c r="Q54" s="23">
        <v>580</v>
      </c>
      <c r="R54" s="21">
        <f>P54+ROUND(Q54, 2)</f>
        <v>965.54</v>
      </c>
      <c r="S54" s="21">
        <f>ROUND(P54*I54, 2)</f>
        <v>75014.52</v>
      </c>
      <c r="T54" s="21">
        <f>ROUND(I54*ROUND(Q54, 2), 2)</f>
        <v>112850.6</v>
      </c>
      <c r="U54" s="21">
        <f>S54+T54</f>
        <v>187865.12</v>
      </c>
      <c r="V54" s="9">
        <f>ROUND(P54 / 1.2, 2)</f>
        <v>321.27999999999997</v>
      </c>
      <c r="W54" s="9">
        <f>ROUND(Q54 / 1.2, 2)</f>
        <v>483.33</v>
      </c>
      <c r="X54" s="9">
        <f>ROUND(R54 / 1.2, 2)</f>
        <v>804.62</v>
      </c>
      <c r="Y54" s="9">
        <f t="shared" si="12"/>
        <v>62512.1</v>
      </c>
      <c r="Z54" s="9">
        <f>ROUND(T54 / 1.2, 2)</f>
        <v>94042.17</v>
      </c>
      <c r="AA54" s="9">
        <f>Y54+Z54</f>
        <v>156554.26999999999</v>
      </c>
      <c r="AD54" s="5">
        <v>413373335</v>
      </c>
      <c r="AE54" s="5">
        <v>36659747</v>
      </c>
      <c r="AG54" s="5" t="s">
        <v>224</v>
      </c>
      <c r="AH54" s="5" t="s">
        <v>225</v>
      </c>
      <c r="AI54" s="5" t="s">
        <v>60</v>
      </c>
      <c r="AK54" s="21">
        <f t="shared" si="13"/>
        <v>0</v>
      </c>
      <c r="AL54" s="21">
        <f>T54-N54</f>
        <v>112850.6</v>
      </c>
      <c r="AM54" s="21">
        <f>U54-O54</f>
        <v>112850.59999999999</v>
      </c>
      <c r="AN54" s="24">
        <f t="shared" si="14"/>
        <v>0</v>
      </c>
      <c r="AO54" s="24">
        <f>IFERROR(AL54/N54,0)</f>
        <v>0</v>
      </c>
      <c r="AP54" s="24">
        <f>IFERROR(AM54/O54,0)</f>
        <v>1.5043834180369344</v>
      </c>
    </row>
    <row r="55" spans="1:42" ht="72" hidden="1" x14ac:dyDescent="0.3">
      <c r="A55" s="12" t="s">
        <v>226</v>
      </c>
      <c r="B55" s="12"/>
      <c r="C55" s="25" t="s">
        <v>227</v>
      </c>
      <c r="D55" s="19"/>
      <c r="E55" s="19"/>
      <c r="F55" s="26" t="s">
        <v>101</v>
      </c>
      <c r="G55" s="27">
        <v>1.1000000000000001</v>
      </c>
      <c r="H55" s="33"/>
      <c r="I55" s="33">
        <v>214.02699999999999</v>
      </c>
      <c r="J55" s="28">
        <v>350.49</v>
      </c>
      <c r="M55" s="29">
        <f>ROUND(ROUND(J55, 2)*I55, 2)</f>
        <v>75014.320000000007</v>
      </c>
      <c r="P55" s="30">
        <v>350.49</v>
      </c>
      <c r="S55" s="29">
        <f>ROUND(ROUND(P55, 2)*I55, 2)</f>
        <v>75014.320000000007</v>
      </c>
      <c r="V55" s="9">
        <f>ROUND(ROUND(P55, 2)/1.2, 2)</f>
        <v>292.08</v>
      </c>
      <c r="Y55" s="9">
        <f t="shared" si="12"/>
        <v>62511.93</v>
      </c>
      <c r="AD55" s="5" t="s">
        <v>228</v>
      </c>
      <c r="AE55" s="5" t="s">
        <v>229</v>
      </c>
      <c r="AF55" s="5" t="s">
        <v>230</v>
      </c>
      <c r="AK55" s="29">
        <f t="shared" si="13"/>
        <v>0</v>
      </c>
      <c r="AL55" s="29"/>
      <c r="AM55" s="29"/>
      <c r="AN55" s="31">
        <f t="shared" si="14"/>
        <v>0</v>
      </c>
      <c r="AO55" s="29"/>
      <c r="AP55" s="29"/>
    </row>
    <row r="56" spans="1:42" ht="54" x14ac:dyDescent="0.3">
      <c r="A56" s="12" t="s">
        <v>231</v>
      </c>
      <c r="B56" s="12" t="s">
        <v>232</v>
      </c>
      <c r="C56" s="18" t="s">
        <v>233</v>
      </c>
      <c r="D56" s="19" t="s">
        <v>234</v>
      </c>
      <c r="E56" s="19"/>
      <c r="F56" s="19" t="s">
        <v>57</v>
      </c>
      <c r="G56" s="20">
        <v>1</v>
      </c>
      <c r="H56" s="20"/>
      <c r="I56" s="20">
        <v>169.57</v>
      </c>
      <c r="J56" s="21">
        <f>IFERROR(ROUND(SUM(M57,M58,M59)/I56, 2),0)</f>
        <v>48.35</v>
      </c>
      <c r="K56" s="22">
        <v>400</v>
      </c>
      <c r="L56" s="21">
        <f>J56+ROUND(K56, 2)</f>
        <v>448.35</v>
      </c>
      <c r="M56" s="21">
        <f>ROUND(J56*I56, 2)</f>
        <v>8198.7099999999991</v>
      </c>
      <c r="N56" s="21">
        <f>ROUND(I56*ROUND(K56, 2), 2)</f>
        <v>67828</v>
      </c>
      <c r="O56" s="21">
        <f>M56+N56</f>
        <v>76026.709999999992</v>
      </c>
      <c r="P56" s="21">
        <f>IFERROR(ROUND(SUM(S57,S58,S59)/I56, 2),0)</f>
        <v>48.35</v>
      </c>
      <c r="Q56" s="23">
        <v>800</v>
      </c>
      <c r="R56" s="21">
        <f>P56+ROUND(Q56, 2)</f>
        <v>848.35</v>
      </c>
      <c r="S56" s="21">
        <f>ROUND(P56*I56, 2)</f>
        <v>8198.7099999999991</v>
      </c>
      <c r="T56" s="21">
        <f>ROUND(I56*ROUND(Q56, 2), 2)</f>
        <v>135656</v>
      </c>
      <c r="U56" s="21">
        <f>S56+T56</f>
        <v>143854.71</v>
      </c>
      <c r="V56" s="9">
        <f>ROUND(P56 / 1.2, 2)</f>
        <v>40.29</v>
      </c>
      <c r="W56" s="9">
        <f>ROUND(Q56 / 1.2, 2)</f>
        <v>666.67</v>
      </c>
      <c r="X56" s="9">
        <f>ROUND(R56 / 1.2, 2)</f>
        <v>706.96</v>
      </c>
      <c r="Y56" s="9">
        <f t="shared" si="12"/>
        <v>6832.26</v>
      </c>
      <c r="Z56" s="9">
        <f>ROUND(T56 / 1.2, 2)</f>
        <v>113046.67</v>
      </c>
      <c r="AA56" s="9">
        <f>Y56+Z56</f>
        <v>119878.93</v>
      </c>
      <c r="AD56" s="5">
        <v>413373337</v>
      </c>
      <c r="AE56" s="5">
        <v>36659748</v>
      </c>
      <c r="AG56" s="5" t="s">
        <v>235</v>
      </c>
      <c r="AH56" s="5" t="s">
        <v>236</v>
      </c>
      <c r="AI56" s="5" t="s">
        <v>60</v>
      </c>
      <c r="AK56" s="21">
        <f t="shared" si="13"/>
        <v>0</v>
      </c>
      <c r="AL56" s="21">
        <f>T56-N56</f>
        <v>67828</v>
      </c>
      <c r="AM56" s="21">
        <f>U56-O56</f>
        <v>67828</v>
      </c>
      <c r="AN56" s="24">
        <f t="shared" si="14"/>
        <v>0</v>
      </c>
      <c r="AO56" s="24">
        <f>IFERROR(AL56/N56,0)</f>
        <v>1</v>
      </c>
      <c r="AP56" s="24">
        <f>IFERROR(AM56/O56,0)</f>
        <v>0.89216013687821039</v>
      </c>
    </row>
    <row r="57" spans="1:42" ht="36" hidden="1" x14ac:dyDescent="0.3">
      <c r="A57" s="12" t="s">
        <v>237</v>
      </c>
      <c r="B57" s="12"/>
      <c r="C57" s="25" t="s">
        <v>62</v>
      </c>
      <c r="D57" s="19"/>
      <c r="E57" s="19"/>
      <c r="F57" s="26" t="s">
        <v>63</v>
      </c>
      <c r="G57" s="27">
        <v>0.255</v>
      </c>
      <c r="H57" s="33"/>
      <c r="I57" s="33">
        <v>43.24</v>
      </c>
      <c r="J57" s="28">
        <v>90.28</v>
      </c>
      <c r="M57" s="29">
        <f>ROUND(ROUND(J57, 2)*I57, 2)</f>
        <v>3903.71</v>
      </c>
      <c r="P57" s="30">
        <v>90.28</v>
      </c>
      <c r="S57" s="29">
        <f>ROUND(ROUND(P57, 2)*I57, 2)</f>
        <v>3903.71</v>
      </c>
      <c r="V57" s="9">
        <f>ROUND(ROUND(P57, 2)/1.2, 2)</f>
        <v>75.23</v>
      </c>
      <c r="Y57" s="9">
        <f t="shared" si="12"/>
        <v>3253.09</v>
      </c>
      <c r="AD57" s="5" t="s">
        <v>238</v>
      </c>
      <c r="AE57" s="5" t="s">
        <v>239</v>
      </c>
      <c r="AF57" s="5" t="s">
        <v>66</v>
      </c>
      <c r="AK57" s="29">
        <f t="shared" si="13"/>
        <v>0</v>
      </c>
      <c r="AL57" s="29"/>
      <c r="AM57" s="29"/>
      <c r="AN57" s="31">
        <f t="shared" si="14"/>
        <v>0</v>
      </c>
      <c r="AO57" s="29"/>
      <c r="AP57" s="29"/>
    </row>
    <row r="58" spans="1:42" ht="18" hidden="1" x14ac:dyDescent="0.3">
      <c r="A58" s="12" t="s">
        <v>240</v>
      </c>
      <c r="B58" s="12"/>
      <c r="C58" s="25" t="s">
        <v>241</v>
      </c>
      <c r="D58" s="19"/>
      <c r="E58" s="19"/>
      <c r="F58" s="26" t="s">
        <v>101</v>
      </c>
      <c r="G58" s="27">
        <v>1</v>
      </c>
      <c r="H58" s="33"/>
      <c r="I58" s="33">
        <v>169.57</v>
      </c>
      <c r="J58" s="28">
        <v>10.58</v>
      </c>
      <c r="M58" s="29">
        <f>ROUND(ROUND(J58, 2)*I58, 2)</f>
        <v>1794.05</v>
      </c>
      <c r="P58" s="30">
        <v>10.58</v>
      </c>
      <c r="S58" s="29">
        <f>ROUND(ROUND(P58, 2)*I58, 2)</f>
        <v>1794.05</v>
      </c>
      <c r="V58" s="9">
        <f>ROUND(ROUND(P58, 2)/1.2, 2)</f>
        <v>8.82</v>
      </c>
      <c r="Y58" s="9">
        <f t="shared" si="12"/>
        <v>1495.04</v>
      </c>
      <c r="AD58" s="5" t="s">
        <v>242</v>
      </c>
      <c r="AE58" s="5" t="s">
        <v>243</v>
      </c>
      <c r="AF58" s="5" t="s">
        <v>244</v>
      </c>
      <c r="AK58" s="29">
        <f t="shared" si="13"/>
        <v>0</v>
      </c>
      <c r="AL58" s="29"/>
      <c r="AM58" s="29"/>
      <c r="AN58" s="31">
        <f t="shared" si="14"/>
        <v>0</v>
      </c>
      <c r="AO58" s="29"/>
      <c r="AP58" s="29"/>
    </row>
    <row r="59" spans="1:42" ht="36" hidden="1" x14ac:dyDescent="0.3">
      <c r="A59" s="12" t="s">
        <v>245</v>
      </c>
      <c r="B59" s="12"/>
      <c r="C59" s="32" t="s">
        <v>246</v>
      </c>
      <c r="D59" s="19"/>
      <c r="E59" s="19"/>
      <c r="F59" s="26" t="s">
        <v>63</v>
      </c>
      <c r="G59" s="27">
        <v>1.6</v>
      </c>
      <c r="H59" s="33"/>
      <c r="I59" s="33">
        <v>271.31200000000001</v>
      </c>
      <c r="J59" s="28">
        <v>9.2200000000000006</v>
      </c>
      <c r="M59" s="29">
        <f>ROUND(ROUND(J59, 2)*I59, 2)</f>
        <v>2501.5</v>
      </c>
      <c r="P59" s="30">
        <v>9.2200000000000006</v>
      </c>
      <c r="S59" s="29">
        <f>ROUND(ROUND(P59, 2)*I59, 2)</f>
        <v>2501.5</v>
      </c>
      <c r="V59" s="9">
        <f>ROUND(ROUND(P59, 2)/1.2, 2)</f>
        <v>7.68</v>
      </c>
      <c r="Y59" s="9">
        <f t="shared" si="12"/>
        <v>2084.58</v>
      </c>
      <c r="AD59" s="5" t="s">
        <v>247</v>
      </c>
      <c r="AE59" s="5" t="s">
        <v>248</v>
      </c>
      <c r="AF59" s="5" t="s">
        <v>249</v>
      </c>
      <c r="AK59" s="29">
        <f t="shared" si="13"/>
        <v>0</v>
      </c>
      <c r="AL59" s="29"/>
      <c r="AM59" s="29"/>
      <c r="AN59" s="31">
        <f t="shared" si="14"/>
        <v>0</v>
      </c>
      <c r="AO59" s="29"/>
      <c r="AP59" s="29"/>
    </row>
    <row r="60" spans="1:42" ht="16.95" customHeight="1" x14ac:dyDescent="0.3">
      <c r="A60" s="12" t="s">
        <v>250</v>
      </c>
      <c r="B60" s="16" t="s">
        <v>251</v>
      </c>
      <c r="C60" s="70" t="s">
        <v>252</v>
      </c>
      <c r="D60" s="71"/>
      <c r="E60" s="71"/>
      <c r="F60" s="71"/>
      <c r="G60" s="71"/>
      <c r="H60" s="71"/>
      <c r="I60" s="72"/>
      <c r="M60" s="6">
        <f>SUM(M61,M66,M71,M76,M79,M82,M85,M88,M92,M95,M98)</f>
        <v>558203.82999999996</v>
      </c>
      <c r="N60" s="6">
        <f>SUM(N61,N66,N71,N76,N79,N82,N85,N88,N92,N95,N98)</f>
        <v>2095573.32</v>
      </c>
      <c r="O60" s="6">
        <f>SUM(O61,O66,O71,O76,O79,O82,O85,O88,O92,O95,O98)</f>
        <v>2653777.15</v>
      </c>
      <c r="S60" s="6">
        <f>SUM(S61,S66,S71,S76,S79,S82,S85,S88,S92,S95,S98)</f>
        <v>614836.15</v>
      </c>
      <c r="T60" s="6">
        <f>SUM(T61,T66,T71,T76,T79,T82,T85,T88,T92,T95,T98)</f>
        <v>4191146.64</v>
      </c>
      <c r="U60" s="6">
        <f>SUM(U61,U66,U71,U76,U79,U82,U85,U88,U92,U95,U98)</f>
        <v>4805982.7899999991</v>
      </c>
      <c r="Y60" s="9">
        <f>SUM(Y61,Y66,Y71,Y76,Y79,Y82,Y85,Y88,Y92,Y95,Y98)</f>
        <v>512363.48</v>
      </c>
      <c r="Z60" s="9">
        <f>SUM(Z61,Z66,Z71,Z76,Z79,Z82,Z85,Z88,Z92,Z95,Z98)</f>
        <v>3492622.1900000004</v>
      </c>
      <c r="AA60" s="9">
        <f>SUM(AA61,AA66,AA71,AA76,AA79,AA82,AA85,AA88,AA92,AA95,AA98)</f>
        <v>4004985.67</v>
      </c>
      <c r="AD60" s="5">
        <v>413373338</v>
      </c>
      <c r="AE60" s="5">
        <v>36662394</v>
      </c>
      <c r="AK60" s="6">
        <f t="shared" si="13"/>
        <v>56632.320000000065</v>
      </c>
      <c r="AL60" s="6">
        <f>T60-N60</f>
        <v>2095573.32</v>
      </c>
      <c r="AM60" s="6">
        <f>U60-O60</f>
        <v>2152205.6399999992</v>
      </c>
      <c r="AN60" s="10">
        <f t="shared" si="14"/>
        <v>0.10145455290050602</v>
      </c>
      <c r="AO60" s="10">
        <f>IFERROR(AL60/N60,0)</f>
        <v>1</v>
      </c>
      <c r="AP60" s="10">
        <f>IFERROR(AM60/O60,0)</f>
        <v>0.81099712536148683</v>
      </c>
    </row>
    <row r="61" spans="1:42" ht="90" x14ac:dyDescent="0.3">
      <c r="A61" s="12" t="s">
        <v>253</v>
      </c>
      <c r="B61" s="12" t="s">
        <v>254</v>
      </c>
      <c r="C61" s="18" t="s">
        <v>255</v>
      </c>
      <c r="D61" s="19"/>
      <c r="E61" s="19" t="s">
        <v>256</v>
      </c>
      <c r="F61" s="19" t="s">
        <v>57</v>
      </c>
      <c r="G61" s="20">
        <v>1</v>
      </c>
      <c r="H61" s="20"/>
      <c r="I61" s="20">
        <v>86.74</v>
      </c>
      <c r="J61" s="21">
        <f>IFERROR(ROUND(SUM(M62,M63,M64,M65)/I61, 2),0)</f>
        <v>1146.95</v>
      </c>
      <c r="K61" s="22">
        <v>2056.0100000000002</v>
      </c>
      <c r="L61" s="21">
        <f>J61+ROUND(K61, 2)</f>
        <v>3202.96</v>
      </c>
      <c r="M61" s="21">
        <f>ROUND(J61*I61, 2)</f>
        <v>99486.44</v>
      </c>
      <c r="N61" s="21">
        <f>ROUND(I61*ROUND(K61, 2), 2)</f>
        <v>178338.31</v>
      </c>
      <c r="O61" s="21">
        <f>M61+N61</f>
        <v>277824.75</v>
      </c>
      <c r="P61" s="21">
        <f>IFERROR(ROUND(SUM(S62,S63,S64,S65)/I61, 2),0)</f>
        <v>1146.95</v>
      </c>
      <c r="Q61" s="23">
        <v>4112.0200000000004</v>
      </c>
      <c r="R61" s="21">
        <f>P61+ROUND(Q61, 2)</f>
        <v>5258.97</v>
      </c>
      <c r="S61" s="21">
        <f>ROUND(P61*I61, 2)</f>
        <v>99486.44</v>
      </c>
      <c r="T61" s="21">
        <f>ROUND(I61*ROUND(Q61, 2), 2)</f>
        <v>356676.61</v>
      </c>
      <c r="U61" s="21">
        <f>S61+T61</f>
        <v>456163.05</v>
      </c>
      <c r="V61" s="9">
        <f>ROUND(P61 / 1.2, 2)</f>
        <v>955.79</v>
      </c>
      <c r="W61" s="9">
        <f>ROUND(Q61 / 1.2, 2)</f>
        <v>3426.68</v>
      </c>
      <c r="X61" s="9">
        <f>ROUND(R61 / 1.2, 2)</f>
        <v>4382.4799999999996</v>
      </c>
      <c r="Y61" s="9">
        <f>ROUND(S61 / 1.2, 2)</f>
        <v>82905.37</v>
      </c>
      <c r="Z61" s="9">
        <f>ROUND(T61 / 1.2, 2)</f>
        <v>297230.51</v>
      </c>
      <c r="AA61" s="9">
        <f>Y61+Z61</f>
        <v>380135.88</v>
      </c>
      <c r="AD61" s="5">
        <v>413373340</v>
      </c>
      <c r="AE61" s="5">
        <v>36664408</v>
      </c>
      <c r="AG61" s="5" t="s">
        <v>257</v>
      </c>
      <c r="AH61" s="5" t="s">
        <v>258</v>
      </c>
      <c r="AI61" s="5" t="s">
        <v>60</v>
      </c>
      <c r="AK61" s="21">
        <f t="shared" si="13"/>
        <v>0</v>
      </c>
      <c r="AL61" s="21">
        <f>T61-N61</f>
        <v>178338.3</v>
      </c>
      <c r="AM61" s="21">
        <f>U61-O61</f>
        <v>178338.3</v>
      </c>
      <c r="AN61" s="24">
        <f t="shared" si="14"/>
        <v>0</v>
      </c>
      <c r="AO61" s="24">
        <f>IFERROR(AL61/N61,0)</f>
        <v>0.99999994392679836</v>
      </c>
      <c r="AP61" s="24">
        <f>IFERROR(AM61/O61,0)</f>
        <v>0.64190933313176735</v>
      </c>
    </row>
    <row r="62" spans="1:42" ht="36" hidden="1" x14ac:dyDescent="0.3">
      <c r="A62" s="12" t="s">
        <v>259</v>
      </c>
      <c r="B62" s="12"/>
      <c r="C62" s="25" t="s">
        <v>108</v>
      </c>
      <c r="D62" s="19"/>
      <c r="E62" s="19"/>
      <c r="F62" s="26" t="s">
        <v>63</v>
      </c>
      <c r="G62" s="27">
        <v>0.15</v>
      </c>
      <c r="H62" s="27"/>
      <c r="I62" s="27">
        <v>13.010999999999999</v>
      </c>
      <c r="J62" s="28">
        <v>69.540000000000006</v>
      </c>
      <c r="M62" s="29">
        <f>ROUND(ROUND(J62, 2)*I62, 2)</f>
        <v>904.78</v>
      </c>
      <c r="P62" s="30">
        <v>69.540000000000006</v>
      </c>
      <c r="S62" s="29">
        <f>ROUND(ROUND(P62, 2)*I62, 2)</f>
        <v>904.78</v>
      </c>
      <c r="V62" s="9">
        <f>ROUND(ROUND(P62, 2)/1.2, 2)</f>
        <v>57.95</v>
      </c>
      <c r="Y62" s="9">
        <f t="shared" ref="Y62:Y100" si="15">ROUND(S62 / 1.2, 2)</f>
        <v>753.98</v>
      </c>
      <c r="AD62" s="5" t="s">
        <v>260</v>
      </c>
      <c r="AE62" s="5" t="s">
        <v>261</v>
      </c>
      <c r="AF62" s="5" t="s">
        <v>111</v>
      </c>
      <c r="AK62" s="29">
        <f t="shared" si="13"/>
        <v>0</v>
      </c>
      <c r="AL62" s="29"/>
      <c r="AM62" s="29"/>
      <c r="AN62" s="31">
        <f t="shared" si="14"/>
        <v>0</v>
      </c>
      <c r="AO62" s="29"/>
      <c r="AP62" s="29"/>
    </row>
    <row r="63" spans="1:42" ht="18" hidden="1" x14ac:dyDescent="0.3">
      <c r="A63" s="12" t="s">
        <v>262</v>
      </c>
      <c r="B63" s="12"/>
      <c r="C63" s="25" t="s">
        <v>263</v>
      </c>
      <c r="D63" s="19"/>
      <c r="E63" s="19"/>
      <c r="F63" s="26" t="s">
        <v>63</v>
      </c>
      <c r="G63" s="27">
        <v>0.25</v>
      </c>
      <c r="H63" s="33"/>
      <c r="I63" s="33">
        <v>21.684999999999999</v>
      </c>
      <c r="J63" s="28">
        <v>40.94</v>
      </c>
      <c r="M63" s="29">
        <f>ROUND(ROUND(J63, 2)*I63, 2)</f>
        <v>887.78</v>
      </c>
      <c r="P63" s="30">
        <v>40.94</v>
      </c>
      <c r="S63" s="29">
        <f>ROUND(ROUND(P63, 2)*I63, 2)</f>
        <v>887.78</v>
      </c>
      <c r="V63" s="9">
        <f>ROUND(ROUND(P63, 2)/1.2, 2)</f>
        <v>34.119999999999997</v>
      </c>
      <c r="Y63" s="9">
        <f t="shared" si="15"/>
        <v>739.82</v>
      </c>
      <c r="AD63" s="5" t="s">
        <v>264</v>
      </c>
      <c r="AE63" s="5" t="s">
        <v>265</v>
      </c>
      <c r="AF63" s="5" t="s">
        <v>266</v>
      </c>
      <c r="AK63" s="29">
        <f t="shared" si="13"/>
        <v>0</v>
      </c>
      <c r="AL63" s="29"/>
      <c r="AM63" s="29"/>
      <c r="AN63" s="31">
        <f t="shared" si="14"/>
        <v>0</v>
      </c>
      <c r="AO63" s="29"/>
      <c r="AP63" s="29"/>
    </row>
    <row r="64" spans="1:42" ht="36" hidden="1" x14ac:dyDescent="0.3">
      <c r="A64" s="12" t="s">
        <v>267</v>
      </c>
      <c r="B64" s="12"/>
      <c r="C64" s="32" t="s">
        <v>268</v>
      </c>
      <c r="D64" s="19"/>
      <c r="E64" s="19"/>
      <c r="F64" s="26" t="s">
        <v>57</v>
      </c>
      <c r="G64" s="27">
        <v>1.07</v>
      </c>
      <c r="H64" s="33"/>
      <c r="I64" s="33">
        <v>92.811999999999998</v>
      </c>
      <c r="J64" s="28">
        <v>960.75</v>
      </c>
      <c r="M64" s="29">
        <f>ROUND(ROUND(J64, 2)*I64, 2)</f>
        <v>89169.13</v>
      </c>
      <c r="P64" s="30">
        <v>960.75</v>
      </c>
      <c r="S64" s="29">
        <f>ROUND(ROUND(P64, 2)*I64, 2)</f>
        <v>89169.13</v>
      </c>
      <c r="V64" s="9">
        <f>ROUND(ROUND(P64, 2)/1.2, 2)</f>
        <v>800.63</v>
      </c>
      <c r="Y64" s="9">
        <f t="shared" si="15"/>
        <v>74307.61</v>
      </c>
      <c r="AD64" s="5" t="s">
        <v>269</v>
      </c>
      <c r="AE64" s="5" t="s">
        <v>270</v>
      </c>
      <c r="AF64" s="5" t="s">
        <v>271</v>
      </c>
      <c r="AK64" s="29">
        <f t="shared" si="13"/>
        <v>0</v>
      </c>
      <c r="AL64" s="29"/>
      <c r="AM64" s="29"/>
      <c r="AN64" s="31">
        <f t="shared" si="14"/>
        <v>0</v>
      </c>
      <c r="AO64" s="29"/>
      <c r="AP64" s="29"/>
    </row>
    <row r="65" spans="1:42" ht="36" hidden="1" x14ac:dyDescent="0.3">
      <c r="A65" s="12" t="s">
        <v>272</v>
      </c>
      <c r="B65" s="12"/>
      <c r="C65" s="32" t="s">
        <v>118</v>
      </c>
      <c r="D65" s="19"/>
      <c r="E65" s="19"/>
      <c r="F65" s="26" t="s">
        <v>63</v>
      </c>
      <c r="G65" s="27">
        <v>1.2</v>
      </c>
      <c r="H65" s="33"/>
      <c r="I65" s="33">
        <v>520.44000000000005</v>
      </c>
      <c r="J65" s="28">
        <v>16.38</v>
      </c>
      <c r="M65" s="29">
        <f>ROUND(ROUND(J65, 2)*I65, 2)</f>
        <v>8524.81</v>
      </c>
      <c r="P65" s="30">
        <v>16.38</v>
      </c>
      <c r="S65" s="29">
        <f>ROUND(ROUND(P65, 2)*I65, 2)</f>
        <v>8524.81</v>
      </c>
      <c r="V65" s="9">
        <f>ROUND(ROUND(P65, 2)/1.2, 2)</f>
        <v>13.65</v>
      </c>
      <c r="Y65" s="9">
        <f t="shared" si="15"/>
        <v>7104.01</v>
      </c>
      <c r="AD65" s="5" t="s">
        <v>273</v>
      </c>
      <c r="AE65" s="5" t="s">
        <v>274</v>
      </c>
      <c r="AF65" s="5" t="s">
        <v>121</v>
      </c>
      <c r="AK65" s="29">
        <f t="shared" si="13"/>
        <v>0</v>
      </c>
      <c r="AL65" s="29"/>
      <c r="AM65" s="29"/>
      <c r="AN65" s="31">
        <f t="shared" si="14"/>
        <v>0</v>
      </c>
      <c r="AO65" s="29"/>
      <c r="AP65" s="29"/>
    </row>
    <row r="66" spans="1:42" ht="126" x14ac:dyDescent="0.3">
      <c r="A66" s="12" t="s">
        <v>275</v>
      </c>
      <c r="B66" s="12" t="s">
        <v>254</v>
      </c>
      <c r="C66" s="18" t="s">
        <v>255</v>
      </c>
      <c r="D66" s="19"/>
      <c r="E66" s="19" t="s">
        <v>276</v>
      </c>
      <c r="F66" s="19" t="s">
        <v>57</v>
      </c>
      <c r="G66" s="20">
        <v>1</v>
      </c>
      <c r="H66" s="20"/>
      <c r="I66" s="20">
        <v>171.32</v>
      </c>
      <c r="J66" s="21">
        <f>IFERROR(ROUND(SUM(M67,M68,M69,M70)/I66, 2),0)</f>
        <v>826.17</v>
      </c>
      <c r="K66" s="22">
        <v>2056.0100000000002</v>
      </c>
      <c r="L66" s="21">
        <f>J66+ROUND(K66, 2)</f>
        <v>2882.1800000000003</v>
      </c>
      <c r="M66" s="21">
        <f>ROUND(J66*I66, 2)</f>
        <v>141539.44</v>
      </c>
      <c r="N66" s="21">
        <f>ROUND(I66*ROUND(K66, 2), 2)</f>
        <v>352235.63</v>
      </c>
      <c r="O66" s="21">
        <f>M66+N66</f>
        <v>493775.07</v>
      </c>
      <c r="P66" s="21">
        <f>IFERROR(ROUND(SUM(S67,S68,S69,S70)/I66, 2),0)</f>
        <v>826.17</v>
      </c>
      <c r="Q66" s="23">
        <v>4112.0200000000004</v>
      </c>
      <c r="R66" s="21">
        <f>P66+ROUND(Q66, 2)</f>
        <v>4938.1900000000005</v>
      </c>
      <c r="S66" s="21">
        <f>ROUND(P66*I66, 2)</f>
        <v>141539.44</v>
      </c>
      <c r="T66" s="21">
        <f>ROUND(I66*ROUND(Q66, 2), 2)</f>
        <v>704471.27</v>
      </c>
      <c r="U66" s="21">
        <f>S66+T66</f>
        <v>846010.71</v>
      </c>
      <c r="V66" s="9">
        <f>ROUND(P66 / 1.2, 2)</f>
        <v>688.48</v>
      </c>
      <c r="W66" s="9">
        <f>ROUND(Q66 / 1.2, 2)</f>
        <v>3426.68</v>
      </c>
      <c r="X66" s="9">
        <f>ROUND(R66 / 1.2, 2)</f>
        <v>4115.16</v>
      </c>
      <c r="Y66" s="9">
        <f t="shared" si="15"/>
        <v>117949.53</v>
      </c>
      <c r="Z66" s="9">
        <f>ROUND(T66 / 1.2, 2)</f>
        <v>587059.39</v>
      </c>
      <c r="AA66" s="9">
        <f>Y66+Z66</f>
        <v>705008.92</v>
      </c>
      <c r="AD66" s="5">
        <v>413373364</v>
      </c>
      <c r="AE66" s="5">
        <v>36664409</v>
      </c>
      <c r="AG66" s="5" t="s">
        <v>257</v>
      </c>
      <c r="AH66" s="5" t="s">
        <v>258</v>
      </c>
      <c r="AI66" s="5" t="s">
        <v>60</v>
      </c>
      <c r="AK66" s="21">
        <f t="shared" si="13"/>
        <v>0</v>
      </c>
      <c r="AL66" s="21">
        <f>T66-N66</f>
        <v>352235.64</v>
      </c>
      <c r="AM66" s="21">
        <f>U66-O66</f>
        <v>352235.63999999996</v>
      </c>
      <c r="AN66" s="24">
        <f t="shared" si="14"/>
        <v>0</v>
      </c>
      <c r="AO66" s="24">
        <f>IFERROR(AL66/N66,0)</f>
        <v>1.0000000283900865</v>
      </c>
      <c r="AP66" s="24">
        <f>IFERROR(AM66/O66,0)</f>
        <v>0.71335241773141755</v>
      </c>
    </row>
    <row r="67" spans="1:42" ht="36" hidden="1" x14ac:dyDescent="0.3">
      <c r="A67" s="12" t="s">
        <v>277</v>
      </c>
      <c r="B67" s="12"/>
      <c r="C67" s="32" t="s">
        <v>278</v>
      </c>
      <c r="D67" s="19"/>
      <c r="E67" s="19"/>
      <c r="F67" s="26" t="s">
        <v>57</v>
      </c>
      <c r="G67" s="27">
        <v>1.03</v>
      </c>
      <c r="H67" s="33"/>
      <c r="I67" s="33">
        <v>176.46</v>
      </c>
      <c r="J67" s="28">
        <v>686.62</v>
      </c>
      <c r="M67" s="29">
        <f>ROUND(ROUND(J67, 2)*I67, 2)</f>
        <v>121160.97</v>
      </c>
      <c r="P67" s="30">
        <v>686.62</v>
      </c>
      <c r="S67" s="29">
        <f>ROUND(ROUND(P67, 2)*I67, 2)</f>
        <v>121160.97</v>
      </c>
      <c r="V67" s="9">
        <f>ROUND(ROUND(P67, 2)/1.2, 2)</f>
        <v>572.17999999999995</v>
      </c>
      <c r="Y67" s="9">
        <f t="shared" si="15"/>
        <v>100967.48</v>
      </c>
      <c r="AD67" s="5" t="s">
        <v>279</v>
      </c>
      <c r="AE67" s="5" t="s">
        <v>280</v>
      </c>
      <c r="AF67" s="5" t="s">
        <v>281</v>
      </c>
      <c r="AK67" s="29">
        <f t="shared" si="13"/>
        <v>0</v>
      </c>
      <c r="AL67" s="29"/>
      <c r="AM67" s="29"/>
      <c r="AN67" s="31">
        <f t="shared" si="14"/>
        <v>0</v>
      </c>
      <c r="AO67" s="29"/>
      <c r="AP67" s="29"/>
    </row>
    <row r="68" spans="1:42" ht="36" hidden="1" x14ac:dyDescent="0.3">
      <c r="A68" s="12" t="s">
        <v>282</v>
      </c>
      <c r="B68" s="12"/>
      <c r="C68" s="32" t="s">
        <v>118</v>
      </c>
      <c r="D68" s="19"/>
      <c r="E68" s="19"/>
      <c r="F68" s="26" t="s">
        <v>63</v>
      </c>
      <c r="G68" s="27">
        <v>1.2</v>
      </c>
      <c r="H68" s="33"/>
      <c r="I68" s="33">
        <v>1027.92</v>
      </c>
      <c r="J68" s="28">
        <v>16.38</v>
      </c>
      <c r="M68" s="29">
        <f>ROUND(ROUND(J68, 2)*I68, 2)</f>
        <v>16837.330000000002</v>
      </c>
      <c r="P68" s="30">
        <v>16.38</v>
      </c>
      <c r="S68" s="29">
        <f>ROUND(ROUND(P68, 2)*I68, 2)</f>
        <v>16837.330000000002</v>
      </c>
      <c r="V68" s="9">
        <f>ROUND(ROUND(P68, 2)/1.2, 2)</f>
        <v>13.65</v>
      </c>
      <c r="Y68" s="9">
        <f t="shared" si="15"/>
        <v>14031.11</v>
      </c>
      <c r="AD68" s="5" t="s">
        <v>283</v>
      </c>
      <c r="AE68" s="5" t="s">
        <v>284</v>
      </c>
      <c r="AF68" s="5" t="s">
        <v>121</v>
      </c>
      <c r="AK68" s="29">
        <f t="shared" si="13"/>
        <v>0</v>
      </c>
      <c r="AL68" s="29"/>
      <c r="AM68" s="29"/>
      <c r="AN68" s="31">
        <f t="shared" si="14"/>
        <v>0</v>
      </c>
      <c r="AO68" s="29"/>
      <c r="AP68" s="29"/>
    </row>
    <row r="69" spans="1:42" ht="18" hidden="1" x14ac:dyDescent="0.3">
      <c r="A69" s="12" t="s">
        <v>285</v>
      </c>
      <c r="B69" s="12"/>
      <c r="C69" s="25" t="s">
        <v>263</v>
      </c>
      <c r="D69" s="19"/>
      <c r="E69" s="19"/>
      <c r="F69" s="26" t="s">
        <v>63</v>
      </c>
      <c r="G69" s="27">
        <v>0.25</v>
      </c>
      <c r="H69" s="33"/>
      <c r="I69" s="33">
        <v>42.83</v>
      </c>
      <c r="J69" s="28">
        <v>40.94</v>
      </c>
      <c r="M69" s="29">
        <f>ROUND(ROUND(J69, 2)*I69, 2)</f>
        <v>1753.46</v>
      </c>
      <c r="P69" s="30">
        <v>40.94</v>
      </c>
      <c r="S69" s="29">
        <f>ROUND(ROUND(P69, 2)*I69, 2)</f>
        <v>1753.46</v>
      </c>
      <c r="V69" s="9">
        <f>ROUND(ROUND(P69, 2)/1.2, 2)</f>
        <v>34.119999999999997</v>
      </c>
      <c r="Y69" s="9">
        <f t="shared" si="15"/>
        <v>1461.22</v>
      </c>
      <c r="AD69" s="5" t="s">
        <v>286</v>
      </c>
      <c r="AE69" s="5" t="s">
        <v>287</v>
      </c>
      <c r="AF69" s="5" t="s">
        <v>266</v>
      </c>
      <c r="AK69" s="29">
        <f t="shared" si="13"/>
        <v>0</v>
      </c>
      <c r="AL69" s="29"/>
      <c r="AM69" s="29"/>
      <c r="AN69" s="31">
        <f t="shared" si="14"/>
        <v>0</v>
      </c>
      <c r="AO69" s="29"/>
      <c r="AP69" s="29"/>
    </row>
    <row r="70" spans="1:42" ht="36" hidden="1" x14ac:dyDescent="0.3">
      <c r="A70" s="12" t="s">
        <v>288</v>
      </c>
      <c r="B70" s="12"/>
      <c r="C70" s="25" t="s">
        <v>108</v>
      </c>
      <c r="D70" s="19"/>
      <c r="E70" s="19"/>
      <c r="F70" s="26" t="s">
        <v>63</v>
      </c>
      <c r="G70" s="27">
        <v>0.15</v>
      </c>
      <c r="H70" s="27"/>
      <c r="I70" s="27">
        <v>25.698</v>
      </c>
      <c r="J70" s="28">
        <v>69.540000000000006</v>
      </c>
      <c r="M70" s="29">
        <f>ROUND(ROUND(J70, 2)*I70, 2)</f>
        <v>1787.04</v>
      </c>
      <c r="P70" s="30">
        <v>69.540000000000006</v>
      </c>
      <c r="S70" s="29">
        <f>ROUND(ROUND(P70, 2)*I70, 2)</f>
        <v>1787.04</v>
      </c>
      <c r="V70" s="9">
        <f>ROUND(ROUND(P70, 2)/1.2, 2)</f>
        <v>57.95</v>
      </c>
      <c r="Y70" s="9">
        <f t="shared" si="15"/>
        <v>1489.2</v>
      </c>
      <c r="AD70" s="5" t="s">
        <v>289</v>
      </c>
      <c r="AE70" s="5" t="s">
        <v>290</v>
      </c>
      <c r="AF70" s="5" t="s">
        <v>111</v>
      </c>
      <c r="AK70" s="29">
        <f t="shared" si="13"/>
        <v>0</v>
      </c>
      <c r="AL70" s="29"/>
      <c r="AM70" s="29"/>
      <c r="AN70" s="31">
        <f t="shared" si="14"/>
        <v>0</v>
      </c>
      <c r="AO70" s="29"/>
      <c r="AP70" s="29"/>
    </row>
    <row r="71" spans="1:42" ht="54" x14ac:dyDescent="0.3">
      <c r="A71" s="12" t="s">
        <v>291</v>
      </c>
      <c r="B71" s="12" t="s">
        <v>292</v>
      </c>
      <c r="C71" s="18" t="s">
        <v>293</v>
      </c>
      <c r="D71" s="19"/>
      <c r="E71" s="19"/>
      <c r="F71" s="19" t="s">
        <v>57</v>
      </c>
      <c r="G71" s="20">
        <v>1</v>
      </c>
      <c r="H71" s="20"/>
      <c r="I71" s="20">
        <v>197.63</v>
      </c>
      <c r="J71" s="21">
        <f>IFERROR(ROUND(SUM(M72,M73,M74,M75)/I71, 2),0)</f>
        <v>312.02</v>
      </c>
      <c r="K71" s="22">
        <v>826</v>
      </c>
      <c r="L71" s="21">
        <f>J71+ROUND(K71, 2)</f>
        <v>1138.02</v>
      </c>
      <c r="M71" s="21">
        <f>ROUND(J71*I71, 2)</f>
        <v>61664.51</v>
      </c>
      <c r="N71" s="21">
        <f>ROUND(I71*ROUND(K71, 2), 2)</f>
        <v>163242.38</v>
      </c>
      <c r="O71" s="21">
        <f>M71+N71</f>
        <v>224906.89</v>
      </c>
      <c r="P71" s="21">
        <f>IFERROR(ROUND(SUM(S72,S73,S74,S75)/I71, 2),0)</f>
        <v>312.02</v>
      </c>
      <c r="Q71" s="23">
        <v>1652</v>
      </c>
      <c r="R71" s="21">
        <f>P71+ROUND(Q71, 2)</f>
        <v>1964.02</v>
      </c>
      <c r="S71" s="21">
        <f>ROUND(P71*I71, 2)</f>
        <v>61664.51</v>
      </c>
      <c r="T71" s="21">
        <f>ROUND(I71*ROUND(Q71, 2), 2)</f>
        <v>326484.76</v>
      </c>
      <c r="U71" s="21">
        <f>S71+T71</f>
        <v>388149.27</v>
      </c>
      <c r="V71" s="9">
        <f>ROUND(P71 / 1.2, 2)</f>
        <v>260.02</v>
      </c>
      <c r="W71" s="9">
        <f>ROUND(Q71 / 1.2, 2)</f>
        <v>1376.67</v>
      </c>
      <c r="X71" s="9">
        <f>ROUND(R71 / 1.2, 2)</f>
        <v>1636.68</v>
      </c>
      <c r="Y71" s="9">
        <f t="shared" si="15"/>
        <v>51387.09</v>
      </c>
      <c r="Z71" s="9">
        <f>ROUND(T71 / 1.2, 2)</f>
        <v>272070.63</v>
      </c>
      <c r="AA71" s="9">
        <f>Y71+Z71</f>
        <v>323457.71999999997</v>
      </c>
      <c r="AD71" s="5">
        <v>413373342</v>
      </c>
      <c r="AE71" s="5">
        <v>36662405</v>
      </c>
      <c r="AG71" s="5" t="s">
        <v>294</v>
      </c>
      <c r="AH71" s="5" t="s">
        <v>295</v>
      </c>
      <c r="AI71" s="5" t="s">
        <v>60</v>
      </c>
      <c r="AK71" s="21">
        <f t="shared" si="13"/>
        <v>0</v>
      </c>
      <c r="AL71" s="21">
        <f>T71-N71</f>
        <v>163242.38</v>
      </c>
      <c r="AM71" s="21">
        <f>U71-O71</f>
        <v>163242.38</v>
      </c>
      <c r="AN71" s="24">
        <f t="shared" si="14"/>
        <v>0</v>
      </c>
      <c r="AO71" s="24">
        <f>IFERROR(AL71/N71,0)</f>
        <v>1</v>
      </c>
      <c r="AP71" s="24">
        <f>IFERROR(AM71/O71,0)</f>
        <v>0.72582205018263335</v>
      </c>
    </row>
    <row r="72" spans="1:42" ht="18" hidden="1" x14ac:dyDescent="0.3">
      <c r="A72" s="12" t="s">
        <v>296</v>
      </c>
      <c r="B72" s="12"/>
      <c r="C72" s="25" t="s">
        <v>297</v>
      </c>
      <c r="D72" s="19"/>
      <c r="E72" s="19"/>
      <c r="F72" s="26" t="s">
        <v>101</v>
      </c>
      <c r="G72" s="27">
        <v>1.05</v>
      </c>
      <c r="H72" s="33"/>
      <c r="I72" s="33">
        <v>207.512</v>
      </c>
      <c r="J72" s="28">
        <v>16.02</v>
      </c>
      <c r="M72" s="29">
        <f>ROUND(ROUND(J72, 2)*I72, 2)</f>
        <v>3324.34</v>
      </c>
      <c r="P72" s="30">
        <v>16.02</v>
      </c>
      <c r="S72" s="29">
        <f>ROUND(ROUND(P72, 2)*I72, 2)</f>
        <v>3324.34</v>
      </c>
      <c r="V72" s="9">
        <f>ROUND(ROUND(P72, 2)/1.2, 2)</f>
        <v>13.35</v>
      </c>
      <c r="Y72" s="9">
        <f t="shared" si="15"/>
        <v>2770.28</v>
      </c>
      <c r="AD72" s="5" t="s">
        <v>298</v>
      </c>
      <c r="AE72" s="5" t="s">
        <v>299</v>
      </c>
      <c r="AF72" s="5" t="s">
        <v>300</v>
      </c>
      <c r="AK72" s="29">
        <f t="shared" si="13"/>
        <v>0</v>
      </c>
      <c r="AL72" s="29"/>
      <c r="AM72" s="29"/>
      <c r="AN72" s="31">
        <f t="shared" si="14"/>
        <v>0</v>
      </c>
      <c r="AO72" s="29"/>
      <c r="AP72" s="29"/>
    </row>
    <row r="73" spans="1:42" ht="18" hidden="1" x14ac:dyDescent="0.3">
      <c r="A73" s="12" t="s">
        <v>301</v>
      </c>
      <c r="B73" s="12"/>
      <c r="C73" s="25" t="s">
        <v>302</v>
      </c>
      <c r="D73" s="19"/>
      <c r="E73" s="19"/>
      <c r="F73" s="26" t="s">
        <v>63</v>
      </c>
      <c r="G73" s="27">
        <v>0.25</v>
      </c>
      <c r="H73" s="27"/>
      <c r="I73" s="27">
        <v>49.408000000000001</v>
      </c>
      <c r="J73" s="28">
        <v>101.66</v>
      </c>
      <c r="M73" s="29">
        <f>ROUND(ROUND(J73, 2)*I73, 2)</f>
        <v>5022.82</v>
      </c>
      <c r="P73" s="30">
        <v>101.66</v>
      </c>
      <c r="S73" s="29">
        <f>ROUND(ROUND(P73, 2)*I73, 2)</f>
        <v>5022.82</v>
      </c>
      <c r="V73" s="9">
        <f>ROUND(ROUND(P73, 2)/1.2, 2)</f>
        <v>84.72</v>
      </c>
      <c r="Y73" s="9">
        <f t="shared" si="15"/>
        <v>4185.68</v>
      </c>
      <c r="AD73" s="5" t="s">
        <v>303</v>
      </c>
      <c r="AE73" s="5" t="s">
        <v>304</v>
      </c>
      <c r="AF73" s="5" t="s">
        <v>305</v>
      </c>
      <c r="AK73" s="29">
        <f t="shared" si="13"/>
        <v>0</v>
      </c>
      <c r="AL73" s="29"/>
      <c r="AM73" s="29"/>
      <c r="AN73" s="31">
        <f t="shared" si="14"/>
        <v>0</v>
      </c>
      <c r="AO73" s="29"/>
      <c r="AP73" s="29"/>
    </row>
    <row r="74" spans="1:42" ht="18" hidden="1" x14ac:dyDescent="0.3">
      <c r="A74" s="12" t="s">
        <v>306</v>
      </c>
      <c r="B74" s="12"/>
      <c r="C74" s="25" t="s">
        <v>307</v>
      </c>
      <c r="D74" s="19"/>
      <c r="E74" s="19"/>
      <c r="F74" s="26" t="s">
        <v>57</v>
      </c>
      <c r="G74" s="27">
        <v>1.1000000000000001</v>
      </c>
      <c r="H74" s="27"/>
      <c r="I74" s="27">
        <v>217.393</v>
      </c>
      <c r="J74" s="28">
        <v>101.26</v>
      </c>
      <c r="M74" s="29">
        <f>ROUND(ROUND(J74, 2)*I74, 2)</f>
        <v>22013.22</v>
      </c>
      <c r="P74" s="30">
        <v>101.26</v>
      </c>
      <c r="S74" s="29">
        <f>ROUND(ROUND(P74, 2)*I74, 2)</f>
        <v>22013.22</v>
      </c>
      <c r="V74" s="9">
        <f>ROUND(ROUND(P74, 2)/1.2, 2)</f>
        <v>84.38</v>
      </c>
      <c r="Y74" s="9">
        <f t="shared" si="15"/>
        <v>18344.349999999999</v>
      </c>
      <c r="AD74" s="5" t="s">
        <v>308</v>
      </c>
      <c r="AE74" s="5" t="s">
        <v>309</v>
      </c>
      <c r="AF74" s="5" t="s">
        <v>310</v>
      </c>
      <c r="AK74" s="29">
        <f t="shared" si="13"/>
        <v>0</v>
      </c>
      <c r="AL74" s="29"/>
      <c r="AM74" s="29"/>
      <c r="AN74" s="31">
        <f t="shared" si="14"/>
        <v>0</v>
      </c>
      <c r="AO74" s="29"/>
      <c r="AP74" s="29"/>
    </row>
    <row r="75" spans="1:42" ht="36" hidden="1" x14ac:dyDescent="0.3">
      <c r="A75" s="12" t="s">
        <v>311</v>
      </c>
      <c r="B75" s="12"/>
      <c r="C75" s="32" t="s">
        <v>312</v>
      </c>
      <c r="D75" s="19"/>
      <c r="E75" s="19"/>
      <c r="F75" s="26" t="s">
        <v>63</v>
      </c>
      <c r="G75" s="27">
        <v>1</v>
      </c>
      <c r="H75" s="33"/>
      <c r="I75" s="33">
        <v>3952.6</v>
      </c>
      <c r="J75" s="28">
        <v>7.92</v>
      </c>
      <c r="M75" s="29">
        <f>ROUND(ROUND(J75, 2)*I75, 2)</f>
        <v>31304.59</v>
      </c>
      <c r="P75" s="30">
        <v>7.92</v>
      </c>
      <c r="S75" s="29">
        <f>ROUND(ROUND(P75, 2)*I75, 2)</f>
        <v>31304.59</v>
      </c>
      <c r="V75" s="9">
        <f>ROUND(ROUND(P75, 2)/1.2, 2)</f>
        <v>6.6</v>
      </c>
      <c r="Y75" s="9">
        <f t="shared" si="15"/>
        <v>26087.16</v>
      </c>
      <c r="AD75" s="5" t="s">
        <v>313</v>
      </c>
      <c r="AE75" s="5" t="s">
        <v>314</v>
      </c>
      <c r="AF75" s="5" t="s">
        <v>315</v>
      </c>
      <c r="AK75" s="29">
        <f t="shared" si="13"/>
        <v>0</v>
      </c>
      <c r="AL75" s="29"/>
      <c r="AM75" s="29"/>
      <c r="AN75" s="31">
        <f t="shared" si="14"/>
        <v>0</v>
      </c>
      <c r="AO75" s="29"/>
      <c r="AP75" s="29"/>
    </row>
    <row r="76" spans="1:42" ht="72" x14ac:dyDescent="0.3">
      <c r="A76" s="12" t="s">
        <v>316</v>
      </c>
      <c r="B76" s="12" t="s">
        <v>317</v>
      </c>
      <c r="C76" s="18" t="s">
        <v>318</v>
      </c>
      <c r="D76" s="19"/>
      <c r="E76" s="19" t="s">
        <v>319</v>
      </c>
      <c r="F76" s="19" t="s">
        <v>57</v>
      </c>
      <c r="G76" s="20">
        <v>1</v>
      </c>
      <c r="H76" s="20"/>
      <c r="I76" s="20">
        <v>339.43</v>
      </c>
      <c r="J76" s="21">
        <f>IFERROR(ROUND(SUM(M77,M78)/I76, 2),0)</f>
        <v>299.87</v>
      </c>
      <c r="K76" s="22">
        <v>428</v>
      </c>
      <c r="L76" s="21">
        <f>J76+ROUND(K76, 2)</f>
        <v>727.87</v>
      </c>
      <c r="M76" s="21">
        <f>ROUND(J76*I76, 2)</f>
        <v>101784.87</v>
      </c>
      <c r="N76" s="21">
        <f>ROUND(I76*ROUND(K76, 2), 2)</f>
        <v>145276.04</v>
      </c>
      <c r="O76" s="21">
        <f>M76+N76</f>
        <v>247060.91</v>
      </c>
      <c r="P76" s="21">
        <f>IFERROR(ROUND(SUM(S77,S78)/I76, 2),0)</f>
        <v>299.87</v>
      </c>
      <c r="Q76" s="23">
        <v>856</v>
      </c>
      <c r="R76" s="21">
        <f>P76+ROUND(Q76, 2)</f>
        <v>1155.8699999999999</v>
      </c>
      <c r="S76" s="21">
        <f>ROUND(P76*I76, 2)</f>
        <v>101784.87</v>
      </c>
      <c r="T76" s="21">
        <f>ROUND(I76*ROUND(Q76, 2), 2)</f>
        <v>290552.08</v>
      </c>
      <c r="U76" s="21">
        <f>S76+T76</f>
        <v>392336.95</v>
      </c>
      <c r="V76" s="9">
        <f>ROUND(P76 / 1.2, 2)</f>
        <v>249.89</v>
      </c>
      <c r="W76" s="9">
        <f>ROUND(Q76 / 1.2, 2)</f>
        <v>713.33</v>
      </c>
      <c r="X76" s="9">
        <f>ROUND(R76 / 1.2, 2)</f>
        <v>963.23</v>
      </c>
      <c r="Y76" s="9">
        <f t="shared" si="15"/>
        <v>84820.73</v>
      </c>
      <c r="Z76" s="9">
        <f>ROUND(T76 / 1.2, 2)</f>
        <v>242126.73</v>
      </c>
      <c r="AA76" s="9">
        <f>Y76+Z76</f>
        <v>326947.46000000002</v>
      </c>
      <c r="AD76" s="5">
        <v>413373344</v>
      </c>
      <c r="AE76" s="5">
        <v>36663239</v>
      </c>
      <c r="AG76" s="5" t="s">
        <v>320</v>
      </c>
      <c r="AH76" s="5" t="s">
        <v>321</v>
      </c>
      <c r="AI76" s="5" t="s">
        <v>60</v>
      </c>
      <c r="AK76" s="21">
        <f t="shared" si="13"/>
        <v>0</v>
      </c>
      <c r="AL76" s="21">
        <f>T76-N76</f>
        <v>145276.04</v>
      </c>
      <c r="AM76" s="21">
        <f>U76-O76</f>
        <v>145276.04</v>
      </c>
      <c r="AN76" s="24">
        <f t="shared" si="14"/>
        <v>0</v>
      </c>
      <c r="AO76" s="24">
        <f>IFERROR(AL76/N76,0)</f>
        <v>1</v>
      </c>
      <c r="AP76" s="24">
        <f>IFERROR(AM76/O76,0)</f>
        <v>0.588017100722247</v>
      </c>
    </row>
    <row r="77" spans="1:42" ht="36" hidden="1" x14ac:dyDescent="0.3">
      <c r="A77" s="12" t="s">
        <v>322</v>
      </c>
      <c r="B77" s="12"/>
      <c r="C77" s="25" t="s">
        <v>323</v>
      </c>
      <c r="D77" s="19"/>
      <c r="E77" s="19"/>
      <c r="F77" s="26" t="s">
        <v>63</v>
      </c>
      <c r="G77" s="27">
        <v>0.3</v>
      </c>
      <c r="H77" s="27"/>
      <c r="I77" s="27">
        <v>101.82899999999999</v>
      </c>
      <c r="J77" s="28">
        <v>954.43</v>
      </c>
      <c r="M77" s="29">
        <f>ROUND(ROUND(J77, 2)*I77, 2)</f>
        <v>97188.65</v>
      </c>
      <c r="P77" s="30">
        <v>954.43</v>
      </c>
      <c r="S77" s="29">
        <f>ROUND(ROUND(P77, 2)*I77, 2)</f>
        <v>97188.65</v>
      </c>
      <c r="V77" s="9">
        <f>ROUND(ROUND(P77, 2)/1.2, 2)</f>
        <v>795.36</v>
      </c>
      <c r="Y77" s="9">
        <f t="shared" si="15"/>
        <v>80990.539999999994</v>
      </c>
      <c r="AD77" s="5" t="s">
        <v>324</v>
      </c>
      <c r="AE77" s="5" t="s">
        <v>325</v>
      </c>
      <c r="AF77" s="5" t="s">
        <v>326</v>
      </c>
      <c r="AK77" s="29">
        <f t="shared" si="13"/>
        <v>0</v>
      </c>
      <c r="AL77" s="29"/>
      <c r="AM77" s="29"/>
      <c r="AN77" s="31">
        <f t="shared" si="14"/>
        <v>0</v>
      </c>
      <c r="AO77" s="29"/>
      <c r="AP77" s="29"/>
    </row>
    <row r="78" spans="1:42" ht="36" hidden="1" x14ac:dyDescent="0.3">
      <c r="A78" s="12" t="s">
        <v>327</v>
      </c>
      <c r="B78" s="12"/>
      <c r="C78" s="25" t="s">
        <v>328</v>
      </c>
      <c r="D78" s="19"/>
      <c r="E78" s="19"/>
      <c r="F78" s="26" t="s">
        <v>63</v>
      </c>
      <c r="G78" s="27">
        <v>0.15</v>
      </c>
      <c r="H78" s="27"/>
      <c r="I78" s="27">
        <v>50.914999999999999</v>
      </c>
      <c r="J78" s="28">
        <v>90.28</v>
      </c>
      <c r="M78" s="29">
        <f>ROUND(ROUND(J78, 2)*I78, 2)</f>
        <v>4596.6099999999997</v>
      </c>
      <c r="P78" s="30">
        <v>90.28</v>
      </c>
      <c r="S78" s="29">
        <f>ROUND(ROUND(P78, 2)*I78, 2)</f>
        <v>4596.6099999999997</v>
      </c>
      <c r="V78" s="9">
        <f>ROUND(ROUND(P78, 2)/1.2, 2)</f>
        <v>75.23</v>
      </c>
      <c r="Y78" s="9">
        <f t="shared" si="15"/>
        <v>3830.51</v>
      </c>
      <c r="AD78" s="5" t="s">
        <v>329</v>
      </c>
      <c r="AE78" s="5" t="s">
        <v>330</v>
      </c>
      <c r="AF78" s="5" t="s">
        <v>331</v>
      </c>
      <c r="AK78" s="29">
        <f t="shared" si="13"/>
        <v>0</v>
      </c>
      <c r="AL78" s="29"/>
      <c r="AM78" s="29"/>
      <c r="AN78" s="31">
        <f t="shared" si="14"/>
        <v>0</v>
      </c>
      <c r="AO78" s="29"/>
      <c r="AP78" s="29"/>
    </row>
    <row r="79" spans="1:42" ht="54" x14ac:dyDescent="0.3">
      <c r="A79" s="12" t="s">
        <v>332</v>
      </c>
      <c r="B79" s="12" t="s">
        <v>317</v>
      </c>
      <c r="C79" s="18" t="s">
        <v>318</v>
      </c>
      <c r="D79" s="19"/>
      <c r="E79" s="19" t="s">
        <v>333</v>
      </c>
      <c r="F79" s="19" t="s">
        <v>57</v>
      </c>
      <c r="G79" s="20">
        <v>1</v>
      </c>
      <c r="H79" s="20"/>
      <c r="I79" s="20">
        <v>293.14</v>
      </c>
      <c r="J79" s="21">
        <f>IFERROR(ROUND(SUM(M80,M81)/I79, 2),0)</f>
        <v>13.54</v>
      </c>
      <c r="K79" s="22">
        <v>428</v>
      </c>
      <c r="L79" s="21">
        <f>J79+ROUND(K79, 2)</f>
        <v>441.54</v>
      </c>
      <c r="M79" s="21">
        <f>ROUND(J79*I79, 2)</f>
        <v>3969.12</v>
      </c>
      <c r="N79" s="21">
        <f>ROUND(I79*ROUND(K79, 2), 2)</f>
        <v>125463.92</v>
      </c>
      <c r="O79" s="21">
        <f>M79+N79</f>
        <v>129433.04</v>
      </c>
      <c r="P79" s="21">
        <f>IFERROR(ROUND(SUM(S80,S81)/I79, 2),0)</f>
        <v>124.15</v>
      </c>
      <c r="Q79" s="23">
        <v>856</v>
      </c>
      <c r="R79" s="21">
        <f>P79+ROUND(Q79, 2)</f>
        <v>980.15</v>
      </c>
      <c r="S79" s="21">
        <f>ROUND(P79*I79, 2)</f>
        <v>36393.33</v>
      </c>
      <c r="T79" s="21">
        <f>ROUND(I79*ROUND(Q79, 2), 2)</f>
        <v>250927.84</v>
      </c>
      <c r="U79" s="21">
        <f>S79+T79</f>
        <v>287321.17</v>
      </c>
      <c r="V79" s="9">
        <f>ROUND(P79 / 1.2, 2)</f>
        <v>103.46</v>
      </c>
      <c r="W79" s="9">
        <f>ROUND(Q79 / 1.2, 2)</f>
        <v>713.33</v>
      </c>
      <c r="X79" s="9">
        <f>ROUND(R79 / 1.2, 2)</f>
        <v>816.79</v>
      </c>
      <c r="Y79" s="9">
        <f t="shared" si="15"/>
        <v>30327.78</v>
      </c>
      <c r="Z79" s="9">
        <f>ROUND(T79 / 1.2, 2)</f>
        <v>209106.53</v>
      </c>
      <c r="AA79" s="9">
        <f>Y79+Z79</f>
        <v>239434.31</v>
      </c>
      <c r="AD79" s="5">
        <v>413373365</v>
      </c>
      <c r="AE79" s="5">
        <v>36663240</v>
      </c>
      <c r="AG79" s="5" t="s">
        <v>320</v>
      </c>
      <c r="AH79" s="5" t="s">
        <v>321</v>
      </c>
      <c r="AI79" s="5" t="s">
        <v>60</v>
      </c>
      <c r="AK79" s="21">
        <f t="shared" ref="AK79:AK108" si="16">S79-M79</f>
        <v>32424.210000000003</v>
      </c>
      <c r="AL79" s="21">
        <f>T79-N79</f>
        <v>125463.92</v>
      </c>
      <c r="AM79" s="21">
        <f>U79-O79</f>
        <v>157888.13</v>
      </c>
      <c r="AN79" s="24">
        <f t="shared" ref="AN79:AN108" si="17">IFERROR(AK79/M79,0)</f>
        <v>8.1691180916676753</v>
      </c>
      <c r="AO79" s="24">
        <f>IFERROR(AL79/N79,0)</f>
        <v>1</v>
      </c>
      <c r="AP79" s="24">
        <f>IFERROR(AM79/O79,0)</f>
        <v>1.2198440985392911</v>
      </c>
    </row>
    <row r="80" spans="1:42" ht="54" hidden="1" x14ac:dyDescent="0.3">
      <c r="A80" s="12" t="s">
        <v>334</v>
      </c>
      <c r="B80" s="12"/>
      <c r="C80" s="25" t="s">
        <v>335</v>
      </c>
      <c r="D80" s="19"/>
      <c r="E80" s="19"/>
      <c r="F80" s="26" t="s">
        <v>63</v>
      </c>
      <c r="G80" s="27">
        <v>0.3</v>
      </c>
      <c r="H80" s="27"/>
      <c r="I80" s="27">
        <v>87.941999999999993</v>
      </c>
      <c r="J80" s="28">
        <v>0</v>
      </c>
      <c r="M80" s="29">
        <f>ROUND(ROUND(J80, 2)*I80, 2)</f>
        <v>0</v>
      </c>
      <c r="P80" s="30">
        <v>368.7</v>
      </c>
      <c r="S80" s="29">
        <f>ROUND(ROUND(P80, 2)*I80, 2)</f>
        <v>32424.22</v>
      </c>
      <c r="V80" s="9">
        <f>ROUND(ROUND(P80, 2)/1.2, 2)</f>
        <v>307.25</v>
      </c>
      <c r="Y80" s="9">
        <f t="shared" si="15"/>
        <v>27020.18</v>
      </c>
      <c r="AD80" s="5" t="s">
        <v>336</v>
      </c>
      <c r="AE80" s="5" t="s">
        <v>337</v>
      </c>
      <c r="AF80" s="5" t="s">
        <v>338</v>
      </c>
      <c r="AK80" s="29">
        <f t="shared" si="16"/>
        <v>32424.22</v>
      </c>
      <c r="AL80" s="29"/>
      <c r="AM80" s="29"/>
      <c r="AN80" s="31">
        <f t="shared" si="17"/>
        <v>0</v>
      </c>
      <c r="AO80" s="29"/>
      <c r="AP80" s="29"/>
    </row>
    <row r="81" spans="1:42" ht="36" hidden="1" x14ac:dyDescent="0.3">
      <c r="A81" s="12" t="s">
        <v>339</v>
      </c>
      <c r="B81" s="12"/>
      <c r="C81" s="25" t="s">
        <v>328</v>
      </c>
      <c r="D81" s="19"/>
      <c r="E81" s="19"/>
      <c r="F81" s="26" t="s">
        <v>63</v>
      </c>
      <c r="G81" s="27">
        <v>0.15</v>
      </c>
      <c r="H81" s="27"/>
      <c r="I81" s="27">
        <v>43.970999999999997</v>
      </c>
      <c r="J81" s="28">
        <v>90.28</v>
      </c>
      <c r="M81" s="29">
        <f>ROUND(ROUND(J81, 2)*I81, 2)</f>
        <v>3969.7</v>
      </c>
      <c r="P81" s="30">
        <v>90.28</v>
      </c>
      <c r="S81" s="29">
        <f>ROUND(ROUND(P81, 2)*I81, 2)</f>
        <v>3969.7</v>
      </c>
      <c r="V81" s="9">
        <f>ROUND(ROUND(P81, 2)/1.2, 2)</f>
        <v>75.23</v>
      </c>
      <c r="Y81" s="9">
        <f t="shared" si="15"/>
        <v>3308.08</v>
      </c>
      <c r="AD81" s="5" t="s">
        <v>340</v>
      </c>
      <c r="AE81" s="5" t="s">
        <v>341</v>
      </c>
      <c r="AF81" s="5" t="s">
        <v>331</v>
      </c>
      <c r="AK81" s="29">
        <f t="shared" si="16"/>
        <v>0</v>
      </c>
      <c r="AL81" s="29"/>
      <c r="AM81" s="29"/>
      <c r="AN81" s="31">
        <f t="shared" si="17"/>
        <v>0</v>
      </c>
      <c r="AO81" s="29"/>
      <c r="AP81" s="29"/>
    </row>
    <row r="82" spans="1:42" ht="54" x14ac:dyDescent="0.3">
      <c r="A82" s="12" t="s">
        <v>342</v>
      </c>
      <c r="B82" s="12" t="s">
        <v>343</v>
      </c>
      <c r="C82" s="18" t="s">
        <v>344</v>
      </c>
      <c r="D82" s="19"/>
      <c r="E82" s="19" t="s">
        <v>345</v>
      </c>
      <c r="F82" s="19" t="s">
        <v>57</v>
      </c>
      <c r="G82" s="20">
        <v>1</v>
      </c>
      <c r="H82" s="20"/>
      <c r="I82" s="20">
        <v>201.14</v>
      </c>
      <c r="J82" s="21">
        <f>IFERROR(ROUND(SUM(M83,M84)/I82, 2),0)</f>
        <v>299.87</v>
      </c>
      <c r="K82" s="22">
        <v>464</v>
      </c>
      <c r="L82" s="21">
        <f>J82+ROUND(K82, 2)</f>
        <v>763.87</v>
      </c>
      <c r="M82" s="21">
        <f>ROUND(J82*I82, 2)</f>
        <v>60315.85</v>
      </c>
      <c r="N82" s="21">
        <f>ROUND(I82*ROUND(K82, 2), 2)</f>
        <v>93328.960000000006</v>
      </c>
      <c r="O82" s="21">
        <f>M82+N82</f>
        <v>153644.81</v>
      </c>
      <c r="P82" s="21">
        <f>IFERROR(ROUND(SUM(S83,S84)/I82, 2),0)</f>
        <v>299.87</v>
      </c>
      <c r="Q82" s="23">
        <v>928</v>
      </c>
      <c r="R82" s="21">
        <f>P82+ROUND(Q82, 2)</f>
        <v>1227.8699999999999</v>
      </c>
      <c r="S82" s="21">
        <f>ROUND(P82*I82, 2)</f>
        <v>60315.85</v>
      </c>
      <c r="T82" s="21">
        <f>ROUND(I82*ROUND(Q82, 2), 2)</f>
        <v>186657.92000000001</v>
      </c>
      <c r="U82" s="21">
        <f>S82+T82</f>
        <v>246973.77000000002</v>
      </c>
      <c r="V82" s="9">
        <f>ROUND(P82 / 1.2, 2)</f>
        <v>249.89</v>
      </c>
      <c r="W82" s="9">
        <f>ROUND(Q82 / 1.2, 2)</f>
        <v>773.33</v>
      </c>
      <c r="X82" s="9">
        <f>ROUND(R82 / 1.2, 2)</f>
        <v>1023.23</v>
      </c>
      <c r="Y82" s="9">
        <f t="shared" si="15"/>
        <v>50263.21</v>
      </c>
      <c r="Z82" s="9">
        <f>ROUND(T82 / 1.2, 2)</f>
        <v>155548.26999999999</v>
      </c>
      <c r="AA82" s="9">
        <f>Y82+Z82</f>
        <v>205811.47999999998</v>
      </c>
      <c r="AD82" s="5">
        <v>413373345</v>
      </c>
      <c r="AE82" s="5">
        <v>36665012</v>
      </c>
      <c r="AG82" s="5" t="s">
        <v>346</v>
      </c>
      <c r="AH82" s="5" t="s">
        <v>347</v>
      </c>
      <c r="AI82" s="5" t="s">
        <v>60</v>
      </c>
      <c r="AK82" s="21">
        <f t="shared" si="16"/>
        <v>0</v>
      </c>
      <c r="AL82" s="21">
        <f>T82-N82</f>
        <v>93328.960000000006</v>
      </c>
      <c r="AM82" s="21">
        <f>U82-O82</f>
        <v>93328.960000000021</v>
      </c>
      <c r="AN82" s="24">
        <f t="shared" si="17"/>
        <v>0</v>
      </c>
      <c r="AO82" s="24">
        <f>IFERROR(AL82/N82,0)</f>
        <v>1</v>
      </c>
      <c r="AP82" s="24">
        <f>IFERROR(AM82/O82,0)</f>
        <v>0.60743320910091281</v>
      </c>
    </row>
    <row r="83" spans="1:42" ht="36" hidden="1" x14ac:dyDescent="0.3">
      <c r="A83" s="12" t="s">
        <v>348</v>
      </c>
      <c r="B83" s="12"/>
      <c r="C83" s="25" t="s">
        <v>328</v>
      </c>
      <c r="D83" s="19"/>
      <c r="E83" s="19"/>
      <c r="F83" s="26" t="s">
        <v>63</v>
      </c>
      <c r="G83" s="27">
        <v>0.15</v>
      </c>
      <c r="H83" s="27"/>
      <c r="I83" s="27">
        <v>30.170999999999999</v>
      </c>
      <c r="J83" s="28">
        <v>90.28</v>
      </c>
      <c r="M83" s="29">
        <f>ROUND(ROUND(J83, 2)*I83, 2)</f>
        <v>2723.84</v>
      </c>
      <c r="P83" s="30">
        <v>90.28</v>
      </c>
      <c r="S83" s="29">
        <f>ROUND(ROUND(P83, 2)*I83, 2)</f>
        <v>2723.84</v>
      </c>
      <c r="V83" s="9">
        <f>ROUND(ROUND(P83, 2)/1.2, 2)</f>
        <v>75.23</v>
      </c>
      <c r="Y83" s="9">
        <f t="shared" si="15"/>
        <v>2269.87</v>
      </c>
      <c r="AD83" s="5" t="s">
        <v>349</v>
      </c>
      <c r="AE83" s="5" t="s">
        <v>350</v>
      </c>
      <c r="AF83" s="5" t="s">
        <v>331</v>
      </c>
      <c r="AK83" s="29">
        <f t="shared" si="16"/>
        <v>0</v>
      </c>
      <c r="AL83" s="29"/>
      <c r="AM83" s="29"/>
      <c r="AN83" s="31">
        <f t="shared" si="17"/>
        <v>0</v>
      </c>
      <c r="AO83" s="29"/>
      <c r="AP83" s="29"/>
    </row>
    <row r="84" spans="1:42" ht="36" hidden="1" x14ac:dyDescent="0.3">
      <c r="A84" s="12" t="s">
        <v>351</v>
      </c>
      <c r="B84" s="12"/>
      <c r="C84" s="25" t="s">
        <v>323</v>
      </c>
      <c r="D84" s="19"/>
      <c r="E84" s="19"/>
      <c r="F84" s="26" t="s">
        <v>63</v>
      </c>
      <c r="G84" s="27">
        <v>0.3</v>
      </c>
      <c r="H84" s="27"/>
      <c r="I84" s="27">
        <v>60.341999999999999</v>
      </c>
      <c r="J84" s="28">
        <v>954.43</v>
      </c>
      <c r="M84" s="29">
        <f>ROUND(ROUND(J84, 2)*I84, 2)</f>
        <v>57592.22</v>
      </c>
      <c r="P84" s="30">
        <v>954.43</v>
      </c>
      <c r="S84" s="29">
        <f>ROUND(ROUND(P84, 2)*I84, 2)</f>
        <v>57592.22</v>
      </c>
      <c r="V84" s="9">
        <f>ROUND(ROUND(P84, 2)/1.2, 2)</f>
        <v>795.36</v>
      </c>
      <c r="Y84" s="9">
        <f t="shared" si="15"/>
        <v>47993.52</v>
      </c>
      <c r="AD84" s="5" t="s">
        <v>352</v>
      </c>
      <c r="AE84" s="5" t="s">
        <v>353</v>
      </c>
      <c r="AF84" s="5" t="s">
        <v>326</v>
      </c>
      <c r="AK84" s="29">
        <f t="shared" si="16"/>
        <v>0</v>
      </c>
      <c r="AL84" s="29"/>
      <c r="AM84" s="29"/>
      <c r="AN84" s="31">
        <f t="shared" si="17"/>
        <v>0</v>
      </c>
      <c r="AO84" s="29"/>
      <c r="AP84" s="29"/>
    </row>
    <row r="85" spans="1:42" ht="54" x14ac:dyDescent="0.3">
      <c r="A85" s="12" t="s">
        <v>354</v>
      </c>
      <c r="B85" s="12" t="s">
        <v>343</v>
      </c>
      <c r="C85" s="18" t="s">
        <v>344</v>
      </c>
      <c r="D85" s="19"/>
      <c r="E85" s="19" t="s">
        <v>355</v>
      </c>
      <c r="F85" s="19" t="s">
        <v>57</v>
      </c>
      <c r="G85" s="20">
        <v>1</v>
      </c>
      <c r="H85" s="20"/>
      <c r="I85" s="20">
        <v>218.86</v>
      </c>
      <c r="J85" s="21">
        <f>IFERROR(ROUND(SUM(M86,M87)/I85, 2),0)</f>
        <v>13.54</v>
      </c>
      <c r="K85" s="22">
        <v>464</v>
      </c>
      <c r="L85" s="21">
        <f>J85+ROUND(K85, 2)</f>
        <v>477.54</v>
      </c>
      <c r="M85" s="21">
        <f>ROUND(J85*I85, 2)</f>
        <v>2963.36</v>
      </c>
      <c r="N85" s="21">
        <f>ROUND(I85*ROUND(K85, 2), 2)</f>
        <v>101551.03999999999</v>
      </c>
      <c r="O85" s="21">
        <f>M85+N85</f>
        <v>104514.4</v>
      </c>
      <c r="P85" s="21">
        <f>IFERROR(ROUND(SUM(S86,S87)/I85, 2),0)</f>
        <v>124.15</v>
      </c>
      <c r="Q85" s="23">
        <v>928</v>
      </c>
      <c r="R85" s="21">
        <f>P85+ROUND(Q85, 2)</f>
        <v>1052.1500000000001</v>
      </c>
      <c r="S85" s="21">
        <f>ROUND(P85*I85, 2)</f>
        <v>27171.47</v>
      </c>
      <c r="T85" s="21">
        <f>ROUND(I85*ROUND(Q85, 2), 2)</f>
        <v>203102.07999999999</v>
      </c>
      <c r="U85" s="21">
        <f>S85+T85</f>
        <v>230273.55</v>
      </c>
      <c r="V85" s="9">
        <f>ROUND(P85 / 1.2, 2)</f>
        <v>103.46</v>
      </c>
      <c r="W85" s="9">
        <f>ROUND(Q85 / 1.2, 2)</f>
        <v>773.33</v>
      </c>
      <c r="X85" s="9">
        <f>ROUND(R85 / 1.2, 2)</f>
        <v>876.79</v>
      </c>
      <c r="Y85" s="9">
        <f t="shared" si="15"/>
        <v>22642.89</v>
      </c>
      <c r="Z85" s="9">
        <f>ROUND(T85 / 1.2, 2)</f>
        <v>169251.73</v>
      </c>
      <c r="AA85" s="9">
        <f>Y85+Z85</f>
        <v>191894.62</v>
      </c>
      <c r="AD85" s="5">
        <v>413373366</v>
      </c>
      <c r="AE85" s="5">
        <v>36665013</v>
      </c>
      <c r="AG85" s="5" t="s">
        <v>346</v>
      </c>
      <c r="AH85" s="5" t="s">
        <v>347</v>
      </c>
      <c r="AI85" s="5" t="s">
        <v>60</v>
      </c>
      <c r="AK85" s="21">
        <f t="shared" si="16"/>
        <v>24208.11</v>
      </c>
      <c r="AL85" s="21">
        <f>T85-N85</f>
        <v>101551.03999999999</v>
      </c>
      <c r="AM85" s="21">
        <f>U85-O85</f>
        <v>125759.15</v>
      </c>
      <c r="AN85" s="24">
        <f t="shared" si="17"/>
        <v>8.1691424599103719</v>
      </c>
      <c r="AO85" s="24">
        <f>IFERROR(AL85/N85,0)</f>
        <v>1</v>
      </c>
      <c r="AP85" s="24">
        <f>IFERROR(AM85/O85,0)</f>
        <v>1.203271032508439</v>
      </c>
    </row>
    <row r="86" spans="1:42" ht="54" hidden="1" x14ac:dyDescent="0.3">
      <c r="A86" s="12" t="s">
        <v>356</v>
      </c>
      <c r="B86" s="12"/>
      <c r="C86" s="25" t="s">
        <v>357</v>
      </c>
      <c r="D86" s="19"/>
      <c r="E86" s="19"/>
      <c r="F86" s="26" t="s">
        <v>63</v>
      </c>
      <c r="G86" s="27">
        <v>0.3</v>
      </c>
      <c r="H86" s="27"/>
      <c r="I86" s="27">
        <v>65.658000000000001</v>
      </c>
      <c r="J86" s="28">
        <v>0</v>
      </c>
      <c r="M86" s="29">
        <f>ROUND(ROUND(J86, 2)*I86, 2)</f>
        <v>0</v>
      </c>
      <c r="P86" s="30">
        <v>368.7</v>
      </c>
      <c r="S86" s="29">
        <f>ROUND(ROUND(P86, 2)*I86, 2)</f>
        <v>24208.1</v>
      </c>
      <c r="V86" s="9">
        <f>ROUND(ROUND(P86, 2)/1.2, 2)</f>
        <v>307.25</v>
      </c>
      <c r="Y86" s="9">
        <f t="shared" si="15"/>
        <v>20173.419999999998</v>
      </c>
      <c r="AD86" s="5" t="s">
        <v>358</v>
      </c>
      <c r="AE86" s="5" t="s">
        <v>359</v>
      </c>
      <c r="AF86" s="5" t="s">
        <v>360</v>
      </c>
      <c r="AK86" s="29">
        <f t="shared" si="16"/>
        <v>24208.1</v>
      </c>
      <c r="AL86" s="29"/>
      <c r="AM86" s="29"/>
      <c r="AN86" s="31">
        <f t="shared" si="17"/>
        <v>0</v>
      </c>
      <c r="AO86" s="29"/>
      <c r="AP86" s="29"/>
    </row>
    <row r="87" spans="1:42" ht="36" hidden="1" x14ac:dyDescent="0.3">
      <c r="A87" s="12" t="s">
        <v>361</v>
      </c>
      <c r="B87" s="12"/>
      <c r="C87" s="25" t="s">
        <v>328</v>
      </c>
      <c r="D87" s="19"/>
      <c r="E87" s="19"/>
      <c r="F87" s="26" t="s">
        <v>63</v>
      </c>
      <c r="G87" s="27">
        <v>0.15</v>
      </c>
      <c r="H87" s="27"/>
      <c r="I87" s="27">
        <v>32.829000000000001</v>
      </c>
      <c r="J87" s="28">
        <v>90.28</v>
      </c>
      <c r="M87" s="29">
        <f>ROUND(ROUND(J87, 2)*I87, 2)</f>
        <v>2963.8</v>
      </c>
      <c r="P87" s="30">
        <v>90.28</v>
      </c>
      <c r="S87" s="29">
        <f>ROUND(ROUND(P87, 2)*I87, 2)</f>
        <v>2963.8</v>
      </c>
      <c r="V87" s="9">
        <f>ROUND(ROUND(P87, 2)/1.2, 2)</f>
        <v>75.23</v>
      </c>
      <c r="Y87" s="9">
        <f t="shared" si="15"/>
        <v>2469.83</v>
      </c>
      <c r="AD87" s="5" t="s">
        <v>362</v>
      </c>
      <c r="AE87" s="5" t="s">
        <v>363</v>
      </c>
      <c r="AF87" s="5" t="s">
        <v>331</v>
      </c>
      <c r="AK87" s="29">
        <f t="shared" si="16"/>
        <v>0</v>
      </c>
      <c r="AL87" s="29"/>
      <c r="AM87" s="29"/>
      <c r="AN87" s="31">
        <f t="shared" si="17"/>
        <v>0</v>
      </c>
      <c r="AO87" s="29"/>
      <c r="AP87" s="29"/>
    </row>
    <row r="88" spans="1:42" ht="36" x14ac:dyDescent="0.3">
      <c r="A88" s="12" t="s">
        <v>364</v>
      </c>
      <c r="B88" s="12" t="s">
        <v>365</v>
      </c>
      <c r="C88" s="18" t="s">
        <v>366</v>
      </c>
      <c r="D88" s="19"/>
      <c r="E88" s="19" t="s">
        <v>367</v>
      </c>
      <c r="F88" s="19" t="s">
        <v>57</v>
      </c>
      <c r="G88" s="20">
        <v>1</v>
      </c>
      <c r="H88" s="20"/>
      <c r="I88" s="20">
        <v>537.69000000000005</v>
      </c>
      <c r="J88" s="21">
        <f>IFERROR(ROUND(SUM(M89,M90,M91)/I88, 2),0)</f>
        <v>57.91</v>
      </c>
      <c r="K88" s="22">
        <v>508</v>
      </c>
      <c r="L88" s="21">
        <f>J88+ROUND(K88, 2)</f>
        <v>565.91</v>
      </c>
      <c r="M88" s="21">
        <f>ROUND(J88*I88, 2)</f>
        <v>31137.63</v>
      </c>
      <c r="N88" s="21">
        <f>ROUND(I88*ROUND(K88, 2), 2)</f>
        <v>273146.52</v>
      </c>
      <c r="O88" s="21">
        <f>M88+N88</f>
        <v>304284.15000000002</v>
      </c>
      <c r="P88" s="21">
        <f>IFERROR(ROUND(SUM(S89,S90,S91)/I88, 2),0)</f>
        <v>57.91</v>
      </c>
      <c r="Q88" s="23">
        <v>1016</v>
      </c>
      <c r="R88" s="21">
        <f>P88+ROUND(Q88, 2)</f>
        <v>1073.9100000000001</v>
      </c>
      <c r="S88" s="21">
        <f>ROUND(P88*I88, 2)</f>
        <v>31137.63</v>
      </c>
      <c r="T88" s="21">
        <f>ROUND(I88*ROUND(Q88, 2), 2)</f>
        <v>546293.04</v>
      </c>
      <c r="U88" s="21">
        <f>S88+T88</f>
        <v>577430.67000000004</v>
      </c>
      <c r="V88" s="9">
        <f>ROUND(P88 / 1.2, 2)</f>
        <v>48.26</v>
      </c>
      <c r="W88" s="9">
        <f>ROUND(Q88 / 1.2, 2)</f>
        <v>846.67</v>
      </c>
      <c r="X88" s="9">
        <f>ROUND(R88 / 1.2, 2)</f>
        <v>894.93</v>
      </c>
      <c r="Y88" s="9">
        <f t="shared" si="15"/>
        <v>25948.03</v>
      </c>
      <c r="Z88" s="9">
        <f>ROUND(T88 / 1.2, 2)</f>
        <v>455244.2</v>
      </c>
      <c r="AA88" s="9">
        <f>Y88+Z88</f>
        <v>481192.23</v>
      </c>
      <c r="AD88" s="5">
        <v>413373347</v>
      </c>
      <c r="AE88" s="5">
        <v>36662409</v>
      </c>
      <c r="AG88" s="5" t="s">
        <v>368</v>
      </c>
      <c r="AH88" s="5" t="s">
        <v>369</v>
      </c>
      <c r="AI88" s="5" t="s">
        <v>60</v>
      </c>
      <c r="AK88" s="21">
        <f t="shared" si="16"/>
        <v>0</v>
      </c>
      <c r="AL88" s="21">
        <f>T88-N88</f>
        <v>273146.52</v>
      </c>
      <c r="AM88" s="21">
        <f>U88-O88</f>
        <v>273146.52</v>
      </c>
      <c r="AN88" s="24">
        <f t="shared" si="17"/>
        <v>0</v>
      </c>
      <c r="AO88" s="24">
        <f>IFERROR(AL88/N88,0)</f>
        <v>1</v>
      </c>
      <c r="AP88" s="24">
        <f>IFERROR(AM88/O88,0)</f>
        <v>0.89766923449676883</v>
      </c>
    </row>
    <row r="89" spans="1:42" ht="36" hidden="1" x14ac:dyDescent="0.3">
      <c r="A89" s="12" t="s">
        <v>370</v>
      </c>
      <c r="B89" s="12"/>
      <c r="C89" s="25" t="s">
        <v>328</v>
      </c>
      <c r="D89" s="19"/>
      <c r="E89" s="19"/>
      <c r="F89" s="26" t="s">
        <v>63</v>
      </c>
      <c r="G89" s="27">
        <v>0.15</v>
      </c>
      <c r="H89" s="27"/>
      <c r="I89" s="27">
        <v>80.653999999999996</v>
      </c>
      <c r="J89" s="28">
        <v>90.28</v>
      </c>
      <c r="M89" s="29">
        <f>ROUND(ROUND(J89, 2)*I89, 2)</f>
        <v>7281.44</v>
      </c>
      <c r="P89" s="30">
        <v>90.28</v>
      </c>
      <c r="S89" s="29">
        <f>ROUND(ROUND(P89, 2)*I89, 2)</f>
        <v>7281.44</v>
      </c>
      <c r="V89" s="9">
        <f>ROUND(ROUND(P89, 2)/1.2, 2)</f>
        <v>75.23</v>
      </c>
      <c r="Y89" s="9">
        <f t="shared" si="15"/>
        <v>6067.87</v>
      </c>
      <c r="AD89" s="5" t="s">
        <v>371</v>
      </c>
      <c r="AE89" s="5" t="s">
        <v>372</v>
      </c>
      <c r="AF89" s="5" t="s">
        <v>331</v>
      </c>
      <c r="AK89" s="29">
        <f t="shared" si="16"/>
        <v>0</v>
      </c>
      <c r="AL89" s="29"/>
      <c r="AM89" s="29"/>
      <c r="AN89" s="31">
        <f t="shared" si="17"/>
        <v>0</v>
      </c>
      <c r="AO89" s="29"/>
      <c r="AP89" s="29"/>
    </row>
    <row r="90" spans="1:42" ht="18" hidden="1" x14ac:dyDescent="0.3">
      <c r="A90" s="12" t="s">
        <v>373</v>
      </c>
      <c r="B90" s="12"/>
      <c r="C90" s="25" t="s">
        <v>374</v>
      </c>
      <c r="D90" s="19"/>
      <c r="E90" s="19"/>
      <c r="F90" s="26" t="s">
        <v>80</v>
      </c>
      <c r="G90" s="27">
        <v>0.3</v>
      </c>
      <c r="H90" s="27"/>
      <c r="I90" s="27">
        <v>161.30699999999999</v>
      </c>
      <c r="J90" s="28">
        <v>74.319999999999993</v>
      </c>
      <c r="M90" s="29">
        <f>ROUND(ROUND(J90, 2)*I90, 2)</f>
        <v>11988.34</v>
      </c>
      <c r="P90" s="30">
        <v>74.319999999999993</v>
      </c>
      <c r="S90" s="29">
        <f>ROUND(ROUND(P90, 2)*I90, 2)</f>
        <v>11988.34</v>
      </c>
      <c r="V90" s="9">
        <f>ROUND(ROUND(P90, 2)/1.2, 2)</f>
        <v>61.93</v>
      </c>
      <c r="Y90" s="9">
        <f t="shared" si="15"/>
        <v>9990.2800000000007</v>
      </c>
      <c r="AD90" s="5" t="s">
        <v>375</v>
      </c>
      <c r="AE90" s="5" t="s">
        <v>376</v>
      </c>
      <c r="AF90" s="5" t="s">
        <v>377</v>
      </c>
      <c r="AK90" s="29">
        <f t="shared" si="16"/>
        <v>0</v>
      </c>
      <c r="AL90" s="29"/>
      <c r="AM90" s="29"/>
      <c r="AN90" s="31">
        <f t="shared" si="17"/>
        <v>0</v>
      </c>
      <c r="AO90" s="29"/>
      <c r="AP90" s="29"/>
    </row>
    <row r="91" spans="1:42" ht="36" hidden="1" x14ac:dyDescent="0.3">
      <c r="A91" s="12" t="s">
        <v>378</v>
      </c>
      <c r="B91" s="12"/>
      <c r="C91" s="32" t="s">
        <v>379</v>
      </c>
      <c r="D91" s="19"/>
      <c r="E91" s="19"/>
      <c r="F91" s="26" t="s">
        <v>63</v>
      </c>
      <c r="G91" s="27">
        <v>1.8</v>
      </c>
      <c r="H91" s="27"/>
      <c r="I91" s="27">
        <v>967.84199999999998</v>
      </c>
      <c r="J91" s="28">
        <v>12.26</v>
      </c>
      <c r="M91" s="29">
        <f>ROUND(ROUND(J91, 2)*I91, 2)</f>
        <v>11865.74</v>
      </c>
      <c r="P91" s="30">
        <v>12.26</v>
      </c>
      <c r="S91" s="29">
        <f>ROUND(ROUND(P91, 2)*I91, 2)</f>
        <v>11865.74</v>
      </c>
      <c r="V91" s="9">
        <f>ROUND(ROUND(P91, 2)/1.2, 2)</f>
        <v>10.220000000000001</v>
      </c>
      <c r="Y91" s="9">
        <f t="shared" si="15"/>
        <v>9888.1200000000008</v>
      </c>
      <c r="AD91" s="5" t="s">
        <v>380</v>
      </c>
      <c r="AE91" s="5" t="s">
        <v>381</v>
      </c>
      <c r="AF91" s="5" t="s">
        <v>382</v>
      </c>
      <c r="AK91" s="29">
        <f t="shared" si="16"/>
        <v>0</v>
      </c>
      <c r="AL91" s="29"/>
      <c r="AM91" s="29"/>
      <c r="AN91" s="31">
        <f t="shared" si="17"/>
        <v>0</v>
      </c>
      <c r="AO91" s="29"/>
      <c r="AP91" s="29"/>
    </row>
    <row r="92" spans="1:42" ht="36" x14ac:dyDescent="0.3">
      <c r="A92" s="12" t="s">
        <v>383</v>
      </c>
      <c r="B92" s="12" t="s">
        <v>365</v>
      </c>
      <c r="C92" s="18" t="s">
        <v>366</v>
      </c>
      <c r="D92" s="19"/>
      <c r="E92" s="19" t="s">
        <v>384</v>
      </c>
      <c r="F92" s="19" t="s">
        <v>57</v>
      </c>
      <c r="G92" s="20">
        <v>1</v>
      </c>
      <c r="H92" s="20"/>
      <c r="I92" s="20">
        <v>537.69000000000005</v>
      </c>
      <c r="J92" s="21">
        <f>IFERROR(ROUND(SUM(M93,M94)/I92, 2),0)</f>
        <v>55.64</v>
      </c>
      <c r="K92" s="22">
        <v>508</v>
      </c>
      <c r="L92" s="21">
        <f>J92+ROUND(K92, 2)</f>
        <v>563.64</v>
      </c>
      <c r="M92" s="21">
        <f>ROUND(J92*I92, 2)</f>
        <v>29917.07</v>
      </c>
      <c r="N92" s="21">
        <f>ROUND(I92*ROUND(K92, 2), 2)</f>
        <v>273146.52</v>
      </c>
      <c r="O92" s="21">
        <f>M92+N92</f>
        <v>303063.59000000003</v>
      </c>
      <c r="P92" s="21">
        <f>IFERROR(ROUND(SUM(S93,S94)/I92, 2),0)</f>
        <v>55.64</v>
      </c>
      <c r="Q92" s="23">
        <v>1016</v>
      </c>
      <c r="R92" s="21">
        <f>P92+ROUND(Q92, 2)</f>
        <v>1071.6400000000001</v>
      </c>
      <c r="S92" s="21">
        <f>ROUND(P92*I92, 2)</f>
        <v>29917.07</v>
      </c>
      <c r="T92" s="21">
        <f>ROUND(I92*ROUND(Q92, 2), 2)</f>
        <v>546293.04</v>
      </c>
      <c r="U92" s="21">
        <f>S92+T92</f>
        <v>576210.11</v>
      </c>
      <c r="V92" s="9">
        <f>ROUND(P92 / 1.2, 2)</f>
        <v>46.37</v>
      </c>
      <c r="W92" s="9">
        <f>ROUND(Q92 / 1.2, 2)</f>
        <v>846.67</v>
      </c>
      <c r="X92" s="9">
        <f>ROUND(R92 / 1.2, 2)</f>
        <v>893.03</v>
      </c>
      <c r="Y92" s="9">
        <f t="shared" si="15"/>
        <v>24930.89</v>
      </c>
      <c r="Z92" s="9">
        <f>ROUND(T92 / 1.2, 2)</f>
        <v>455244.2</v>
      </c>
      <c r="AA92" s="9">
        <f>Y92+Z92</f>
        <v>480175.09</v>
      </c>
      <c r="AD92" s="5">
        <v>413373367</v>
      </c>
      <c r="AE92" s="5">
        <v>36662410</v>
      </c>
      <c r="AG92" s="5" t="s">
        <v>368</v>
      </c>
      <c r="AH92" s="5" t="s">
        <v>369</v>
      </c>
      <c r="AI92" s="5" t="s">
        <v>60</v>
      </c>
      <c r="AK92" s="21">
        <f t="shared" si="16"/>
        <v>0</v>
      </c>
      <c r="AL92" s="21">
        <f>T92-N92</f>
        <v>273146.52</v>
      </c>
      <c r="AM92" s="21">
        <f>U92-O92</f>
        <v>273146.51999999996</v>
      </c>
      <c r="AN92" s="24">
        <f t="shared" si="17"/>
        <v>0</v>
      </c>
      <c r="AO92" s="24">
        <f>IFERROR(AL92/N92,0)</f>
        <v>1</v>
      </c>
      <c r="AP92" s="24">
        <f>IFERROR(AM92/O92,0)</f>
        <v>0.90128451260014419</v>
      </c>
    </row>
    <row r="93" spans="1:42" ht="36" hidden="1" x14ac:dyDescent="0.3">
      <c r="A93" s="12" t="s">
        <v>385</v>
      </c>
      <c r="B93" s="12"/>
      <c r="C93" s="25" t="s">
        <v>386</v>
      </c>
      <c r="D93" s="19"/>
      <c r="E93" s="19"/>
      <c r="F93" s="26" t="s">
        <v>63</v>
      </c>
      <c r="G93" s="27">
        <v>1.8</v>
      </c>
      <c r="H93" s="27"/>
      <c r="I93" s="27">
        <v>967.84199999999998</v>
      </c>
      <c r="J93" s="28">
        <v>23.39</v>
      </c>
      <c r="M93" s="29">
        <f>ROUND(ROUND(J93, 2)*I93, 2)</f>
        <v>22637.82</v>
      </c>
      <c r="P93" s="30">
        <v>23.39</v>
      </c>
      <c r="S93" s="29">
        <f>ROUND(ROUND(P93, 2)*I93, 2)</f>
        <v>22637.82</v>
      </c>
      <c r="V93" s="9">
        <f>ROUND(ROUND(P93, 2)/1.2, 2)</f>
        <v>19.489999999999998</v>
      </c>
      <c r="Y93" s="9">
        <f t="shared" si="15"/>
        <v>18864.849999999999</v>
      </c>
      <c r="AD93" s="5" t="s">
        <v>387</v>
      </c>
      <c r="AE93" s="5" t="s">
        <v>388</v>
      </c>
      <c r="AF93" s="5" t="s">
        <v>389</v>
      </c>
      <c r="AK93" s="29">
        <f t="shared" si="16"/>
        <v>0</v>
      </c>
      <c r="AL93" s="29"/>
      <c r="AM93" s="29"/>
      <c r="AN93" s="31">
        <f t="shared" si="17"/>
        <v>0</v>
      </c>
      <c r="AO93" s="29"/>
      <c r="AP93" s="29"/>
    </row>
    <row r="94" spans="1:42" ht="36" hidden="1" x14ac:dyDescent="0.3">
      <c r="A94" s="12" t="s">
        <v>390</v>
      </c>
      <c r="B94" s="12"/>
      <c r="C94" s="25" t="s">
        <v>328</v>
      </c>
      <c r="D94" s="19"/>
      <c r="E94" s="19"/>
      <c r="F94" s="26" t="s">
        <v>63</v>
      </c>
      <c r="G94" s="27">
        <v>0.15</v>
      </c>
      <c r="H94" s="27"/>
      <c r="I94" s="27">
        <v>80.653999999999996</v>
      </c>
      <c r="J94" s="28">
        <v>90.28</v>
      </c>
      <c r="M94" s="29">
        <f>ROUND(ROUND(J94, 2)*I94, 2)</f>
        <v>7281.44</v>
      </c>
      <c r="P94" s="30">
        <v>90.28</v>
      </c>
      <c r="S94" s="29">
        <f>ROUND(ROUND(P94, 2)*I94, 2)</f>
        <v>7281.44</v>
      </c>
      <c r="V94" s="9">
        <f>ROUND(ROUND(P94, 2)/1.2, 2)</f>
        <v>75.23</v>
      </c>
      <c r="Y94" s="9">
        <f t="shared" si="15"/>
        <v>6067.87</v>
      </c>
      <c r="AD94" s="5" t="s">
        <v>391</v>
      </c>
      <c r="AE94" s="5" t="s">
        <v>392</v>
      </c>
      <c r="AF94" s="5" t="s">
        <v>331</v>
      </c>
      <c r="AK94" s="29">
        <f t="shared" si="16"/>
        <v>0</v>
      </c>
      <c r="AL94" s="29"/>
      <c r="AM94" s="29"/>
      <c r="AN94" s="31">
        <f t="shared" si="17"/>
        <v>0</v>
      </c>
      <c r="AO94" s="29"/>
      <c r="AP94" s="29"/>
    </row>
    <row r="95" spans="1:42" ht="36" x14ac:dyDescent="0.3">
      <c r="A95" s="12" t="s">
        <v>393</v>
      </c>
      <c r="B95" s="12" t="s">
        <v>394</v>
      </c>
      <c r="C95" s="18" t="s">
        <v>395</v>
      </c>
      <c r="D95" s="19"/>
      <c r="E95" s="19" t="s">
        <v>396</v>
      </c>
      <c r="F95" s="19" t="s">
        <v>57</v>
      </c>
      <c r="G95" s="20">
        <v>1</v>
      </c>
      <c r="H95" s="20"/>
      <c r="I95" s="20">
        <v>357</v>
      </c>
      <c r="J95" s="21">
        <f>IFERROR(ROUND(SUM(M96,M97)/I95, 2),0)</f>
        <v>35.61</v>
      </c>
      <c r="K95" s="22">
        <v>546</v>
      </c>
      <c r="L95" s="21">
        <f>J95+ROUND(K95, 2)</f>
        <v>581.61</v>
      </c>
      <c r="M95" s="21">
        <f>ROUND(J95*I95, 2)</f>
        <v>12712.77</v>
      </c>
      <c r="N95" s="21">
        <f>ROUND(I95*ROUND(K95, 2), 2)</f>
        <v>194922</v>
      </c>
      <c r="O95" s="21">
        <f>M95+N95</f>
        <v>207634.77</v>
      </c>
      <c r="P95" s="21">
        <f>IFERROR(ROUND(SUM(S96,S97)/I95, 2),0)</f>
        <v>35.61</v>
      </c>
      <c r="Q95" s="23">
        <v>1092</v>
      </c>
      <c r="R95" s="21">
        <f>P95+ROUND(Q95, 2)</f>
        <v>1127.6099999999999</v>
      </c>
      <c r="S95" s="21">
        <f>ROUND(P95*I95, 2)</f>
        <v>12712.77</v>
      </c>
      <c r="T95" s="21">
        <f>ROUND(I95*ROUND(Q95, 2), 2)</f>
        <v>389844</v>
      </c>
      <c r="U95" s="21">
        <f>S95+T95</f>
        <v>402556.77</v>
      </c>
      <c r="V95" s="9">
        <f>ROUND(P95 / 1.2, 2)</f>
        <v>29.68</v>
      </c>
      <c r="W95" s="9">
        <f>ROUND(Q95 / 1.2, 2)</f>
        <v>910</v>
      </c>
      <c r="X95" s="9">
        <f>ROUND(R95 / 1.2, 2)</f>
        <v>939.68</v>
      </c>
      <c r="Y95" s="9">
        <f t="shared" si="15"/>
        <v>10593.98</v>
      </c>
      <c r="Z95" s="9">
        <f>ROUND(T95 / 1.2, 2)</f>
        <v>324870</v>
      </c>
      <c r="AA95" s="9">
        <f>Y95+Z95</f>
        <v>335463.98</v>
      </c>
      <c r="AD95" s="5">
        <v>413373348</v>
      </c>
      <c r="AE95" s="5">
        <v>36665230</v>
      </c>
      <c r="AG95" s="5" t="s">
        <v>397</v>
      </c>
      <c r="AH95" s="5" t="s">
        <v>398</v>
      </c>
      <c r="AI95" s="5" t="s">
        <v>60</v>
      </c>
      <c r="AK95" s="21">
        <f t="shared" si="16"/>
        <v>0</v>
      </c>
      <c r="AL95" s="21">
        <f>T95-N95</f>
        <v>194922</v>
      </c>
      <c r="AM95" s="21">
        <f>U95-O95</f>
        <v>194922.00000000003</v>
      </c>
      <c r="AN95" s="24">
        <f t="shared" si="17"/>
        <v>0</v>
      </c>
      <c r="AO95" s="24">
        <f>IFERROR(AL95/N95,0)</f>
        <v>1</v>
      </c>
      <c r="AP95" s="24">
        <f>IFERROR(AM95/O95,0)</f>
        <v>0.93877340485892624</v>
      </c>
    </row>
    <row r="96" spans="1:42" ht="36" hidden="1" x14ac:dyDescent="0.3">
      <c r="A96" s="12" t="s">
        <v>399</v>
      </c>
      <c r="B96" s="12"/>
      <c r="C96" s="25" t="s">
        <v>62</v>
      </c>
      <c r="D96" s="19"/>
      <c r="E96" s="19"/>
      <c r="F96" s="26" t="s">
        <v>63</v>
      </c>
      <c r="G96" s="27">
        <v>0.15</v>
      </c>
      <c r="H96" s="27"/>
      <c r="I96" s="27">
        <v>53.55</v>
      </c>
      <c r="J96" s="28">
        <v>90.28</v>
      </c>
      <c r="M96" s="29">
        <f>ROUND(ROUND(J96, 2)*I96, 2)</f>
        <v>4834.49</v>
      </c>
      <c r="P96" s="30">
        <v>90.28</v>
      </c>
      <c r="S96" s="29">
        <f>ROUND(ROUND(P96, 2)*I96, 2)</f>
        <v>4834.49</v>
      </c>
      <c r="V96" s="9">
        <f>ROUND(ROUND(P96, 2)/1.2, 2)</f>
        <v>75.23</v>
      </c>
      <c r="Y96" s="9">
        <f t="shared" si="15"/>
        <v>4028.74</v>
      </c>
      <c r="AD96" s="5" t="s">
        <v>400</v>
      </c>
      <c r="AE96" s="5" t="s">
        <v>401</v>
      </c>
      <c r="AF96" s="5" t="s">
        <v>66</v>
      </c>
      <c r="AK96" s="29">
        <f t="shared" si="16"/>
        <v>0</v>
      </c>
      <c r="AL96" s="29"/>
      <c r="AM96" s="29"/>
      <c r="AN96" s="31">
        <f t="shared" si="17"/>
        <v>0</v>
      </c>
      <c r="AO96" s="29"/>
      <c r="AP96" s="29"/>
    </row>
    <row r="97" spans="1:42" ht="54" hidden="1" x14ac:dyDescent="0.3">
      <c r="A97" s="12" t="s">
        <v>402</v>
      </c>
      <c r="B97" s="12"/>
      <c r="C97" s="32" t="s">
        <v>403</v>
      </c>
      <c r="D97" s="19"/>
      <c r="E97" s="19"/>
      <c r="F97" s="26" t="s">
        <v>63</v>
      </c>
      <c r="G97" s="27">
        <v>1.8</v>
      </c>
      <c r="H97" s="27"/>
      <c r="I97" s="27">
        <v>642.6</v>
      </c>
      <c r="J97" s="28">
        <v>12.26</v>
      </c>
      <c r="M97" s="29">
        <f>ROUND(ROUND(J97, 2)*I97, 2)</f>
        <v>7878.28</v>
      </c>
      <c r="P97" s="30">
        <v>12.26</v>
      </c>
      <c r="S97" s="29">
        <f>ROUND(ROUND(P97, 2)*I97, 2)</f>
        <v>7878.28</v>
      </c>
      <c r="V97" s="9">
        <f>ROUND(ROUND(P97, 2)/1.2, 2)</f>
        <v>10.220000000000001</v>
      </c>
      <c r="Y97" s="9">
        <f t="shared" si="15"/>
        <v>6565.23</v>
      </c>
      <c r="AD97" s="5" t="s">
        <v>404</v>
      </c>
      <c r="AE97" s="5" t="s">
        <v>405</v>
      </c>
      <c r="AF97" s="5" t="s">
        <v>406</v>
      </c>
      <c r="AK97" s="29">
        <f t="shared" si="16"/>
        <v>0</v>
      </c>
      <c r="AL97" s="29"/>
      <c r="AM97" s="29"/>
      <c r="AN97" s="31">
        <f t="shared" si="17"/>
        <v>0</v>
      </c>
      <c r="AO97" s="29"/>
      <c r="AP97" s="29"/>
    </row>
    <row r="98" spans="1:42" ht="36" x14ac:dyDescent="0.3">
      <c r="A98" s="12" t="s">
        <v>407</v>
      </c>
      <c r="B98" s="12" t="s">
        <v>394</v>
      </c>
      <c r="C98" s="18" t="s">
        <v>395</v>
      </c>
      <c r="D98" s="19"/>
      <c r="E98" s="19" t="s">
        <v>408</v>
      </c>
      <c r="F98" s="19" t="s">
        <v>57</v>
      </c>
      <c r="G98" s="20">
        <v>1</v>
      </c>
      <c r="H98" s="20"/>
      <c r="I98" s="20">
        <v>357</v>
      </c>
      <c r="J98" s="21">
        <f>IFERROR(ROUND(SUM(M99,M100)/I98, 2),0)</f>
        <v>35.61</v>
      </c>
      <c r="K98" s="22">
        <v>546</v>
      </c>
      <c r="L98" s="21">
        <f>J98+ROUND(K98, 2)</f>
        <v>581.61</v>
      </c>
      <c r="M98" s="21">
        <f>ROUND(J98*I98, 2)</f>
        <v>12712.77</v>
      </c>
      <c r="N98" s="21">
        <f>ROUND(I98*ROUND(K98, 2), 2)</f>
        <v>194922</v>
      </c>
      <c r="O98" s="21">
        <f>M98+N98</f>
        <v>207634.77</v>
      </c>
      <c r="P98" s="21">
        <f>IFERROR(ROUND(SUM(S99,S100)/I98, 2),0)</f>
        <v>35.61</v>
      </c>
      <c r="Q98" s="23">
        <v>1092</v>
      </c>
      <c r="R98" s="21">
        <f>P98+ROUND(Q98, 2)</f>
        <v>1127.6099999999999</v>
      </c>
      <c r="S98" s="21">
        <f>ROUND(P98*I98, 2)</f>
        <v>12712.77</v>
      </c>
      <c r="T98" s="21">
        <f>ROUND(I98*ROUND(Q98, 2), 2)</f>
        <v>389844</v>
      </c>
      <c r="U98" s="21">
        <f>S98+T98</f>
        <v>402556.77</v>
      </c>
      <c r="V98" s="9">
        <f>ROUND(P98 / 1.2, 2)</f>
        <v>29.68</v>
      </c>
      <c r="W98" s="9">
        <f>ROUND(Q98 / 1.2, 2)</f>
        <v>910</v>
      </c>
      <c r="X98" s="9">
        <f>ROUND(R98 / 1.2, 2)</f>
        <v>939.68</v>
      </c>
      <c r="Y98" s="9">
        <f t="shared" si="15"/>
        <v>10593.98</v>
      </c>
      <c r="Z98" s="9">
        <f>ROUND(T98 / 1.2, 2)</f>
        <v>324870</v>
      </c>
      <c r="AA98" s="9">
        <f>Y98+Z98</f>
        <v>335463.98</v>
      </c>
      <c r="AD98" s="5">
        <v>413373368</v>
      </c>
      <c r="AE98" s="5">
        <v>36665231</v>
      </c>
      <c r="AG98" s="5" t="s">
        <v>397</v>
      </c>
      <c r="AH98" s="5" t="s">
        <v>398</v>
      </c>
      <c r="AI98" s="5" t="s">
        <v>60</v>
      </c>
      <c r="AK98" s="21">
        <f t="shared" si="16"/>
        <v>0</v>
      </c>
      <c r="AL98" s="21">
        <f>T98-N98</f>
        <v>194922</v>
      </c>
      <c r="AM98" s="21">
        <f>U98-O98</f>
        <v>194922.00000000003</v>
      </c>
      <c r="AN98" s="24">
        <f t="shared" si="17"/>
        <v>0</v>
      </c>
      <c r="AO98" s="24">
        <f>IFERROR(AL98/N98,0)</f>
        <v>1</v>
      </c>
      <c r="AP98" s="24">
        <f>IFERROR(AM98/O98,0)</f>
        <v>0.93877340485892624</v>
      </c>
    </row>
    <row r="99" spans="1:42" ht="54" hidden="1" x14ac:dyDescent="0.3">
      <c r="A99" s="12" t="s">
        <v>409</v>
      </c>
      <c r="B99" s="12"/>
      <c r="C99" s="32" t="s">
        <v>403</v>
      </c>
      <c r="D99" s="19"/>
      <c r="E99" s="19"/>
      <c r="F99" s="26" t="s">
        <v>63</v>
      </c>
      <c r="G99" s="27">
        <v>1.8</v>
      </c>
      <c r="H99" s="27"/>
      <c r="I99" s="27">
        <v>642.6</v>
      </c>
      <c r="J99" s="28">
        <v>12.26</v>
      </c>
      <c r="M99" s="29">
        <f>ROUND(ROUND(J99, 2)*I99, 2)</f>
        <v>7878.28</v>
      </c>
      <c r="P99" s="30">
        <v>12.26</v>
      </c>
      <c r="S99" s="29">
        <f>ROUND(ROUND(P99, 2)*I99, 2)</f>
        <v>7878.28</v>
      </c>
      <c r="V99" s="9">
        <f>ROUND(ROUND(P99, 2)/1.2, 2)</f>
        <v>10.220000000000001</v>
      </c>
      <c r="Y99" s="9">
        <f t="shared" si="15"/>
        <v>6565.23</v>
      </c>
      <c r="AD99" s="5" t="s">
        <v>410</v>
      </c>
      <c r="AE99" s="5" t="s">
        <v>411</v>
      </c>
      <c r="AF99" s="5" t="s">
        <v>406</v>
      </c>
      <c r="AK99" s="29">
        <f t="shared" si="16"/>
        <v>0</v>
      </c>
      <c r="AL99" s="29"/>
      <c r="AM99" s="29"/>
      <c r="AN99" s="31">
        <f t="shared" si="17"/>
        <v>0</v>
      </c>
      <c r="AO99" s="29"/>
      <c r="AP99" s="29"/>
    </row>
    <row r="100" spans="1:42" ht="36" hidden="1" x14ac:dyDescent="0.3">
      <c r="A100" s="12" t="s">
        <v>412</v>
      </c>
      <c r="B100" s="12"/>
      <c r="C100" s="25" t="s">
        <v>62</v>
      </c>
      <c r="D100" s="19"/>
      <c r="E100" s="19"/>
      <c r="F100" s="26" t="s">
        <v>63</v>
      </c>
      <c r="G100" s="27">
        <v>0.15</v>
      </c>
      <c r="H100" s="27"/>
      <c r="I100" s="27">
        <v>53.55</v>
      </c>
      <c r="J100" s="28">
        <v>90.28</v>
      </c>
      <c r="M100" s="29">
        <f>ROUND(ROUND(J100, 2)*I100, 2)</f>
        <v>4834.49</v>
      </c>
      <c r="P100" s="30">
        <v>90.28</v>
      </c>
      <c r="S100" s="29">
        <f>ROUND(ROUND(P100, 2)*I100, 2)</f>
        <v>4834.49</v>
      </c>
      <c r="V100" s="9">
        <f>ROUND(ROUND(P100, 2)/1.2, 2)</f>
        <v>75.23</v>
      </c>
      <c r="Y100" s="9">
        <f t="shared" si="15"/>
        <v>4028.74</v>
      </c>
      <c r="AD100" s="5" t="s">
        <v>413</v>
      </c>
      <c r="AE100" s="5" t="s">
        <v>414</v>
      </c>
      <c r="AF100" s="5" t="s">
        <v>66</v>
      </c>
      <c r="AK100" s="29">
        <f t="shared" si="16"/>
        <v>0</v>
      </c>
      <c r="AL100" s="29"/>
      <c r="AM100" s="29"/>
      <c r="AN100" s="31">
        <f t="shared" si="17"/>
        <v>0</v>
      </c>
      <c r="AO100" s="29"/>
      <c r="AP100" s="29"/>
    </row>
    <row r="101" spans="1:42" ht="16.95" customHeight="1" x14ac:dyDescent="0.3">
      <c r="A101" s="12" t="s">
        <v>415</v>
      </c>
      <c r="B101" s="16" t="s">
        <v>416</v>
      </c>
      <c r="C101" s="70" t="s">
        <v>86</v>
      </c>
      <c r="D101" s="71"/>
      <c r="E101" s="71"/>
      <c r="F101" s="71"/>
      <c r="G101" s="71"/>
      <c r="H101" s="71"/>
      <c r="I101" s="72"/>
      <c r="M101" s="6">
        <f>SUM(M102,M103,M104,M105,M106,M107)</f>
        <v>0</v>
      </c>
      <c r="N101" s="6">
        <f>SUM(N102,N103,N104,N105,N106,N107)</f>
        <v>410629.29</v>
      </c>
      <c r="O101" s="6">
        <f>SUM(O102,O103,O104,O105,O106,O107)</f>
        <v>410629.29</v>
      </c>
      <c r="S101" s="6">
        <f>SUM(S102,S103,S104,S105,S106,S107)</f>
        <v>0</v>
      </c>
      <c r="T101" s="6">
        <f>SUM(T102,T103,T104,T105,T106,T107)</f>
        <v>821258.59</v>
      </c>
      <c r="U101" s="6">
        <f>SUM(U102,U103,U104,U105,U106,U107)</f>
        <v>821258.59</v>
      </c>
      <c r="Y101" s="9">
        <f>SUM(Y102,Y103,Y104,Y105,Y106,Y107)</f>
        <v>0</v>
      </c>
      <c r="Z101" s="9">
        <f>SUM(Z102,Z103,Z104,Z105,Z106,Z107)</f>
        <v>684382.17</v>
      </c>
      <c r="AA101" s="9">
        <f>SUM(AA102,AA103,AA104,AA105,AA106,AA107)</f>
        <v>684382.17</v>
      </c>
      <c r="AD101" s="5">
        <v>413373349</v>
      </c>
      <c r="AE101" s="5">
        <v>36659743</v>
      </c>
      <c r="AK101" s="6">
        <f t="shared" si="16"/>
        <v>0</v>
      </c>
      <c r="AL101" s="6">
        <f t="shared" ref="AL101:AM108" si="18">T101-N101</f>
        <v>410629.3</v>
      </c>
      <c r="AM101" s="6">
        <f t="shared" si="18"/>
        <v>410629.3</v>
      </c>
      <c r="AN101" s="10">
        <f t="shared" si="17"/>
        <v>0</v>
      </c>
      <c r="AO101" s="10">
        <f t="shared" ref="AO101:AP108" si="19">IFERROR(AL101/N101,0)</f>
        <v>1.0000000243528659</v>
      </c>
      <c r="AP101" s="10">
        <f t="shared" si="19"/>
        <v>1.0000000243528659</v>
      </c>
    </row>
    <row r="102" spans="1:42" ht="18" x14ac:dyDescent="0.3">
      <c r="A102" s="12" t="s">
        <v>417</v>
      </c>
      <c r="B102" s="12" t="s">
        <v>418</v>
      </c>
      <c r="C102" s="18" t="s">
        <v>419</v>
      </c>
      <c r="D102" s="19"/>
      <c r="E102" s="19"/>
      <c r="F102" s="19" t="s">
        <v>57</v>
      </c>
      <c r="G102" s="20">
        <v>1</v>
      </c>
      <c r="H102" s="20"/>
      <c r="I102" s="20">
        <v>128.08000000000001</v>
      </c>
      <c r="J102" s="21">
        <v>0</v>
      </c>
      <c r="K102" s="22">
        <v>629</v>
      </c>
      <c r="L102" s="21">
        <f t="shared" ref="L102:L107" si="20">J102+ROUND(K102, 2)</f>
        <v>629</v>
      </c>
      <c r="M102" s="21">
        <v>0</v>
      </c>
      <c r="N102" s="21">
        <f t="shared" ref="N102:N107" si="21">ROUND(I102*ROUND(K102, 2), 2)</f>
        <v>80562.320000000007</v>
      </c>
      <c r="O102" s="21">
        <f t="shared" ref="O102:O108" si="22">M102+N102</f>
        <v>80562.320000000007</v>
      </c>
      <c r="P102" s="21">
        <v>0</v>
      </c>
      <c r="Q102" s="23">
        <v>1258</v>
      </c>
      <c r="R102" s="21">
        <f t="shared" ref="R102:R107" si="23">P102+ROUND(Q102, 2)</f>
        <v>1258</v>
      </c>
      <c r="S102" s="21">
        <v>0</v>
      </c>
      <c r="T102" s="21">
        <f t="shared" ref="T102:T107" si="24">ROUND(I102*ROUND(Q102, 2), 2)</f>
        <v>161124.64000000001</v>
      </c>
      <c r="U102" s="21">
        <f t="shared" ref="U102:U108" si="25">S102+T102</f>
        <v>161124.64000000001</v>
      </c>
      <c r="V102" s="9"/>
      <c r="W102" s="9">
        <f t="shared" ref="W102:X107" si="26">ROUND(Q102 / 1.2, 2)</f>
        <v>1048.33</v>
      </c>
      <c r="X102" s="9">
        <f t="shared" si="26"/>
        <v>1048.33</v>
      </c>
      <c r="Y102" s="9"/>
      <c r="Z102" s="9">
        <f t="shared" ref="Z102:Z107" si="27">ROUND(T102 / 1.2, 2)</f>
        <v>134270.53</v>
      </c>
      <c r="AA102" s="9">
        <f t="shared" ref="AA102:AA108" si="28">Y102+Z102</f>
        <v>134270.53</v>
      </c>
      <c r="AD102" s="5">
        <v>413373351</v>
      </c>
      <c r="AE102" s="5">
        <v>36659753</v>
      </c>
      <c r="AG102" s="5" t="s">
        <v>420</v>
      </c>
      <c r="AH102" s="5" t="s">
        <v>421</v>
      </c>
      <c r="AI102" s="5" t="s">
        <v>60</v>
      </c>
      <c r="AK102" s="21">
        <f t="shared" si="16"/>
        <v>0</v>
      </c>
      <c r="AL102" s="21">
        <f t="shared" si="18"/>
        <v>80562.320000000007</v>
      </c>
      <c r="AM102" s="21">
        <f t="shared" si="18"/>
        <v>80562.320000000007</v>
      </c>
      <c r="AN102" s="24">
        <f t="shared" si="17"/>
        <v>0</v>
      </c>
      <c r="AO102" s="24">
        <f t="shared" si="19"/>
        <v>1</v>
      </c>
      <c r="AP102" s="24">
        <f t="shared" si="19"/>
        <v>1</v>
      </c>
    </row>
    <row r="103" spans="1:42" ht="36" x14ac:dyDescent="0.3">
      <c r="A103" s="12" t="s">
        <v>422</v>
      </c>
      <c r="B103" s="12" t="s">
        <v>423</v>
      </c>
      <c r="C103" s="18" t="s">
        <v>424</v>
      </c>
      <c r="D103" s="19"/>
      <c r="E103" s="19"/>
      <c r="F103" s="19" t="s">
        <v>57</v>
      </c>
      <c r="G103" s="20">
        <v>1</v>
      </c>
      <c r="H103" s="20"/>
      <c r="I103" s="20">
        <v>169.57</v>
      </c>
      <c r="J103" s="21">
        <v>0</v>
      </c>
      <c r="K103" s="22">
        <v>153</v>
      </c>
      <c r="L103" s="21">
        <f t="shared" si="20"/>
        <v>153</v>
      </c>
      <c r="M103" s="21">
        <v>0</v>
      </c>
      <c r="N103" s="21">
        <f t="shared" si="21"/>
        <v>25944.21</v>
      </c>
      <c r="O103" s="21">
        <f t="shared" si="22"/>
        <v>25944.21</v>
      </c>
      <c r="P103" s="21">
        <v>0</v>
      </c>
      <c r="Q103" s="23">
        <v>306</v>
      </c>
      <c r="R103" s="21">
        <f t="shared" si="23"/>
        <v>306</v>
      </c>
      <c r="S103" s="21">
        <v>0</v>
      </c>
      <c r="T103" s="21">
        <f t="shared" si="24"/>
        <v>51888.42</v>
      </c>
      <c r="U103" s="21">
        <f t="shared" si="25"/>
        <v>51888.42</v>
      </c>
      <c r="V103" s="9"/>
      <c r="W103" s="9">
        <f t="shared" si="26"/>
        <v>255</v>
      </c>
      <c r="X103" s="9">
        <f t="shared" si="26"/>
        <v>255</v>
      </c>
      <c r="Y103" s="9"/>
      <c r="Z103" s="9">
        <f t="shared" si="27"/>
        <v>43240.35</v>
      </c>
      <c r="AA103" s="9">
        <f t="shared" si="28"/>
        <v>43240.35</v>
      </c>
      <c r="AD103" s="5">
        <v>413373353</v>
      </c>
      <c r="AE103" s="5">
        <v>36663229</v>
      </c>
      <c r="AG103" s="5" t="s">
        <v>425</v>
      </c>
      <c r="AH103" s="5" t="s">
        <v>426</v>
      </c>
      <c r="AI103" s="5" t="s">
        <v>60</v>
      </c>
      <c r="AK103" s="21">
        <f t="shared" si="16"/>
        <v>0</v>
      </c>
      <c r="AL103" s="21">
        <f t="shared" si="18"/>
        <v>25944.21</v>
      </c>
      <c r="AM103" s="21">
        <f t="shared" si="18"/>
        <v>25944.21</v>
      </c>
      <c r="AN103" s="24">
        <f t="shared" si="17"/>
        <v>0</v>
      </c>
      <c r="AO103" s="24">
        <f t="shared" si="19"/>
        <v>1</v>
      </c>
      <c r="AP103" s="24">
        <f t="shared" si="19"/>
        <v>1</v>
      </c>
    </row>
    <row r="104" spans="1:42" ht="18" x14ac:dyDescent="0.3">
      <c r="A104" s="12" t="s">
        <v>427</v>
      </c>
      <c r="B104" s="12" t="s">
        <v>428</v>
      </c>
      <c r="C104" s="18" t="s">
        <v>429</v>
      </c>
      <c r="D104" s="19"/>
      <c r="E104" s="19"/>
      <c r="F104" s="19" t="s">
        <v>57</v>
      </c>
      <c r="G104" s="20">
        <v>1</v>
      </c>
      <c r="H104" s="20"/>
      <c r="I104" s="20">
        <v>169.57</v>
      </c>
      <c r="J104" s="21">
        <v>0</v>
      </c>
      <c r="K104" s="22">
        <v>198.01</v>
      </c>
      <c r="L104" s="21">
        <f t="shared" si="20"/>
        <v>198.01</v>
      </c>
      <c r="M104" s="21">
        <v>0</v>
      </c>
      <c r="N104" s="21">
        <f t="shared" si="21"/>
        <v>33576.559999999998</v>
      </c>
      <c r="O104" s="21">
        <f t="shared" si="22"/>
        <v>33576.559999999998</v>
      </c>
      <c r="P104" s="21">
        <v>0</v>
      </c>
      <c r="Q104" s="23">
        <v>396.02</v>
      </c>
      <c r="R104" s="21">
        <f t="shared" si="23"/>
        <v>396.02</v>
      </c>
      <c r="S104" s="21">
        <v>0</v>
      </c>
      <c r="T104" s="21">
        <f t="shared" si="24"/>
        <v>67153.11</v>
      </c>
      <c r="U104" s="21">
        <f t="shared" si="25"/>
        <v>67153.11</v>
      </c>
      <c r="V104" s="9"/>
      <c r="W104" s="9">
        <f t="shared" si="26"/>
        <v>330.02</v>
      </c>
      <c r="X104" s="9">
        <f t="shared" si="26"/>
        <v>330.02</v>
      </c>
      <c r="Y104" s="9"/>
      <c r="Z104" s="9">
        <f t="shared" si="27"/>
        <v>55960.93</v>
      </c>
      <c r="AA104" s="9">
        <f t="shared" si="28"/>
        <v>55960.93</v>
      </c>
      <c r="AD104" s="5">
        <v>413373355</v>
      </c>
      <c r="AE104" s="5">
        <v>36659763</v>
      </c>
      <c r="AG104" s="5" t="s">
        <v>430</v>
      </c>
      <c r="AH104" s="5" t="s">
        <v>431</v>
      </c>
      <c r="AI104" s="5" t="s">
        <v>60</v>
      </c>
      <c r="AK104" s="21">
        <f t="shared" si="16"/>
        <v>0</v>
      </c>
      <c r="AL104" s="21">
        <f t="shared" si="18"/>
        <v>33576.550000000003</v>
      </c>
      <c r="AM104" s="21">
        <f t="shared" si="18"/>
        <v>33576.550000000003</v>
      </c>
      <c r="AN104" s="24">
        <f t="shared" si="17"/>
        <v>0</v>
      </c>
      <c r="AO104" s="24">
        <f t="shared" si="19"/>
        <v>0.9999997021731829</v>
      </c>
      <c r="AP104" s="24">
        <f t="shared" si="19"/>
        <v>0.9999997021731829</v>
      </c>
    </row>
    <row r="105" spans="1:42" ht="18" x14ac:dyDescent="0.3">
      <c r="A105" s="12" t="s">
        <v>432</v>
      </c>
      <c r="B105" s="12" t="s">
        <v>433</v>
      </c>
      <c r="C105" s="18" t="s">
        <v>434</v>
      </c>
      <c r="D105" s="19"/>
      <c r="E105" s="19"/>
      <c r="F105" s="19" t="s">
        <v>101</v>
      </c>
      <c r="G105" s="20">
        <v>1</v>
      </c>
      <c r="H105" s="20"/>
      <c r="I105" s="20">
        <v>194.57</v>
      </c>
      <c r="J105" s="21">
        <v>0</v>
      </c>
      <c r="K105" s="22">
        <v>106.99</v>
      </c>
      <c r="L105" s="21">
        <f t="shared" si="20"/>
        <v>106.99</v>
      </c>
      <c r="M105" s="21">
        <v>0</v>
      </c>
      <c r="N105" s="21">
        <f t="shared" si="21"/>
        <v>20817.04</v>
      </c>
      <c r="O105" s="21">
        <f t="shared" si="22"/>
        <v>20817.04</v>
      </c>
      <c r="P105" s="21">
        <v>0</v>
      </c>
      <c r="Q105" s="23">
        <v>213.98</v>
      </c>
      <c r="R105" s="21">
        <f t="shared" si="23"/>
        <v>213.98</v>
      </c>
      <c r="S105" s="21">
        <v>0</v>
      </c>
      <c r="T105" s="21">
        <f t="shared" si="24"/>
        <v>41634.089999999997</v>
      </c>
      <c r="U105" s="21">
        <f t="shared" si="25"/>
        <v>41634.089999999997</v>
      </c>
      <c r="V105" s="9"/>
      <c r="W105" s="9">
        <f t="shared" si="26"/>
        <v>178.32</v>
      </c>
      <c r="X105" s="9">
        <f t="shared" si="26"/>
        <v>178.32</v>
      </c>
      <c r="Y105" s="9"/>
      <c r="Z105" s="9">
        <f t="shared" si="27"/>
        <v>34695.08</v>
      </c>
      <c r="AA105" s="9">
        <f t="shared" si="28"/>
        <v>34695.08</v>
      </c>
      <c r="AD105" s="5">
        <v>413373357</v>
      </c>
      <c r="AE105" s="5">
        <v>36659742</v>
      </c>
      <c r="AG105" s="5" t="s">
        <v>435</v>
      </c>
      <c r="AH105" s="5" t="s">
        <v>436</v>
      </c>
      <c r="AI105" s="5" t="s">
        <v>60</v>
      </c>
      <c r="AK105" s="21">
        <f t="shared" si="16"/>
        <v>0</v>
      </c>
      <c r="AL105" s="21">
        <f t="shared" si="18"/>
        <v>20817.049999999996</v>
      </c>
      <c r="AM105" s="21">
        <f t="shared" si="18"/>
        <v>20817.049999999996</v>
      </c>
      <c r="AN105" s="24">
        <f t="shared" si="17"/>
        <v>0</v>
      </c>
      <c r="AO105" s="24">
        <f t="shared" si="19"/>
        <v>1.0000004803756919</v>
      </c>
      <c r="AP105" s="24">
        <f t="shared" si="19"/>
        <v>1.0000004803756919</v>
      </c>
    </row>
    <row r="106" spans="1:42" ht="18" x14ac:dyDescent="0.3">
      <c r="A106" s="12" t="s">
        <v>437</v>
      </c>
      <c r="B106" s="12" t="s">
        <v>438</v>
      </c>
      <c r="C106" s="18" t="s">
        <v>439</v>
      </c>
      <c r="D106" s="19"/>
      <c r="E106" s="19"/>
      <c r="F106" s="19" t="s">
        <v>57</v>
      </c>
      <c r="G106" s="20">
        <v>1</v>
      </c>
      <c r="H106" s="20"/>
      <c r="I106" s="20">
        <v>238.05</v>
      </c>
      <c r="J106" s="21">
        <v>0</v>
      </c>
      <c r="K106" s="22">
        <v>737</v>
      </c>
      <c r="L106" s="21">
        <f t="shared" si="20"/>
        <v>737</v>
      </c>
      <c r="M106" s="21">
        <v>0</v>
      </c>
      <c r="N106" s="21">
        <f t="shared" si="21"/>
        <v>175442.85</v>
      </c>
      <c r="O106" s="21">
        <f t="shared" si="22"/>
        <v>175442.85</v>
      </c>
      <c r="P106" s="21">
        <v>0</v>
      </c>
      <c r="Q106" s="23">
        <v>1474</v>
      </c>
      <c r="R106" s="21">
        <f t="shared" si="23"/>
        <v>1474</v>
      </c>
      <c r="S106" s="21">
        <v>0</v>
      </c>
      <c r="T106" s="21">
        <f t="shared" si="24"/>
        <v>350885.7</v>
      </c>
      <c r="U106" s="21">
        <f t="shared" si="25"/>
        <v>350885.7</v>
      </c>
      <c r="V106" s="9"/>
      <c r="W106" s="9">
        <f t="shared" si="26"/>
        <v>1228.33</v>
      </c>
      <c r="X106" s="9">
        <f t="shared" si="26"/>
        <v>1228.33</v>
      </c>
      <c r="Y106" s="9"/>
      <c r="Z106" s="9">
        <f t="shared" si="27"/>
        <v>292404.75</v>
      </c>
      <c r="AA106" s="9">
        <f t="shared" si="28"/>
        <v>292404.75</v>
      </c>
      <c r="AD106" s="5">
        <v>413373359</v>
      </c>
      <c r="AE106" s="5">
        <v>36660156</v>
      </c>
      <c r="AG106" s="5" t="s">
        <v>440</v>
      </c>
      <c r="AH106" s="5" t="s">
        <v>441</v>
      </c>
      <c r="AI106" s="5" t="s">
        <v>60</v>
      </c>
      <c r="AK106" s="21">
        <f t="shared" si="16"/>
        <v>0</v>
      </c>
      <c r="AL106" s="21">
        <f t="shared" si="18"/>
        <v>175442.85</v>
      </c>
      <c r="AM106" s="21">
        <f t="shared" si="18"/>
        <v>175442.85</v>
      </c>
      <c r="AN106" s="24">
        <f t="shared" si="17"/>
        <v>0</v>
      </c>
      <c r="AO106" s="24">
        <f t="shared" si="19"/>
        <v>1</v>
      </c>
      <c r="AP106" s="24">
        <f t="shared" si="19"/>
        <v>1</v>
      </c>
    </row>
    <row r="107" spans="1:42" ht="36" x14ac:dyDescent="0.3">
      <c r="A107" s="12" t="s">
        <v>442</v>
      </c>
      <c r="B107" s="12" t="s">
        <v>443</v>
      </c>
      <c r="C107" s="18" t="s">
        <v>444</v>
      </c>
      <c r="D107" s="19"/>
      <c r="E107" s="19"/>
      <c r="F107" s="19" t="s">
        <v>57</v>
      </c>
      <c r="G107" s="20">
        <v>1</v>
      </c>
      <c r="H107" s="20"/>
      <c r="I107" s="20">
        <v>439.59</v>
      </c>
      <c r="J107" s="21">
        <v>0</v>
      </c>
      <c r="K107" s="22">
        <v>168.99</v>
      </c>
      <c r="L107" s="21">
        <f t="shared" si="20"/>
        <v>168.99</v>
      </c>
      <c r="M107" s="21">
        <v>0</v>
      </c>
      <c r="N107" s="21">
        <f t="shared" si="21"/>
        <v>74286.31</v>
      </c>
      <c r="O107" s="21">
        <f t="shared" si="22"/>
        <v>74286.31</v>
      </c>
      <c r="P107" s="21">
        <v>0</v>
      </c>
      <c r="Q107" s="23">
        <v>337.98</v>
      </c>
      <c r="R107" s="21">
        <f t="shared" si="23"/>
        <v>337.98</v>
      </c>
      <c r="S107" s="21">
        <v>0</v>
      </c>
      <c r="T107" s="21">
        <f t="shared" si="24"/>
        <v>148572.63</v>
      </c>
      <c r="U107" s="21">
        <f t="shared" si="25"/>
        <v>148572.63</v>
      </c>
      <c r="V107" s="9"/>
      <c r="W107" s="9">
        <f t="shared" si="26"/>
        <v>281.64999999999998</v>
      </c>
      <c r="X107" s="9">
        <f t="shared" si="26"/>
        <v>281.64999999999998</v>
      </c>
      <c r="Y107" s="9"/>
      <c r="Z107" s="9">
        <f t="shared" si="27"/>
        <v>123810.53</v>
      </c>
      <c r="AA107" s="9">
        <f t="shared" si="28"/>
        <v>123810.53</v>
      </c>
      <c r="AD107" s="5">
        <v>413373361</v>
      </c>
      <c r="AE107" s="5">
        <v>36663235</v>
      </c>
      <c r="AG107" s="5" t="s">
        <v>445</v>
      </c>
      <c r="AH107" s="5" t="s">
        <v>446</v>
      </c>
      <c r="AI107" s="5" t="s">
        <v>60</v>
      </c>
      <c r="AK107" s="21">
        <f t="shared" si="16"/>
        <v>0</v>
      </c>
      <c r="AL107" s="21">
        <f t="shared" si="18"/>
        <v>74286.320000000007</v>
      </c>
      <c r="AM107" s="21">
        <f t="shared" si="18"/>
        <v>74286.320000000007</v>
      </c>
      <c r="AN107" s="24">
        <f t="shared" si="17"/>
        <v>0</v>
      </c>
      <c r="AO107" s="24">
        <f t="shared" si="19"/>
        <v>1.0000001346143053</v>
      </c>
      <c r="AP107" s="24">
        <f t="shared" si="19"/>
        <v>1.0000001346143053</v>
      </c>
    </row>
    <row r="108" spans="1:42" ht="24" hidden="1" customHeight="1" x14ac:dyDescent="0.3">
      <c r="A108" s="34"/>
      <c r="B108" s="34"/>
      <c r="C108" s="34"/>
      <c r="D108" s="35" t="s">
        <v>447</v>
      </c>
      <c r="E108" s="34"/>
      <c r="F108" s="34"/>
      <c r="G108" s="34"/>
      <c r="H108" s="34"/>
      <c r="I108" s="34"/>
      <c r="J108" s="34"/>
      <c r="K108" s="34"/>
      <c r="L108" s="34"/>
      <c r="M108" s="36">
        <f>SUM(M8)</f>
        <v>1042894.79</v>
      </c>
      <c r="N108" s="36">
        <f>SUM(N8)</f>
        <v>2976296.83</v>
      </c>
      <c r="O108" s="36">
        <f t="shared" si="22"/>
        <v>4019191.62</v>
      </c>
      <c r="P108" s="34"/>
      <c r="Q108" s="34"/>
      <c r="R108" s="34"/>
      <c r="S108" s="36">
        <f>SUM(S8)</f>
        <v>1118971.7</v>
      </c>
      <c r="T108" s="36">
        <f>SUM(T8)</f>
        <v>6065444.2699999996</v>
      </c>
      <c r="U108" s="36">
        <f t="shared" si="25"/>
        <v>7184415.9699999997</v>
      </c>
      <c r="Y108" s="9">
        <f>SUM(Y8)</f>
        <v>932476.46</v>
      </c>
      <c r="Z108" s="9">
        <f>SUM(Z8)</f>
        <v>5054536.9000000004</v>
      </c>
      <c r="AA108" s="9">
        <f t="shared" si="28"/>
        <v>5987013.3600000003</v>
      </c>
      <c r="AK108" s="36">
        <f t="shared" si="16"/>
        <v>76076.909999999916</v>
      </c>
      <c r="AL108" s="36">
        <f t="shared" si="18"/>
        <v>3089147.4399999995</v>
      </c>
      <c r="AM108" s="36">
        <f t="shared" si="18"/>
        <v>3165224.3499999996</v>
      </c>
      <c r="AN108" s="37">
        <f t="shared" si="17"/>
        <v>7.2947828227236527E-2</v>
      </c>
      <c r="AO108" s="37">
        <f t="shared" si="19"/>
        <v>1.0379164500202083</v>
      </c>
      <c r="AP108" s="37">
        <f t="shared" si="19"/>
        <v>0.7875276048669706</v>
      </c>
    </row>
    <row r="109" spans="1:42" ht="22.8" hidden="1" x14ac:dyDescent="0.3">
      <c r="A109" s="58" t="s">
        <v>448</v>
      </c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60"/>
    </row>
    <row r="110" spans="1:42" ht="15.6" x14ac:dyDescent="0.3">
      <c r="A110" s="39"/>
      <c r="B110" s="3" t="s">
        <v>449</v>
      </c>
      <c r="C110" s="38" t="s">
        <v>450</v>
      </c>
      <c r="D110" s="38" t="s">
        <v>451</v>
      </c>
      <c r="E110" s="40"/>
      <c r="F110" s="40"/>
      <c r="G110" s="40"/>
      <c r="H110" s="53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54"/>
    </row>
    <row r="111" spans="1:42" ht="15.6" x14ac:dyDescent="0.3">
      <c r="A111" s="39"/>
      <c r="B111" s="3" t="s">
        <v>452</v>
      </c>
      <c r="C111" s="38" t="s">
        <v>453</v>
      </c>
      <c r="D111" s="38" t="s">
        <v>454</v>
      </c>
      <c r="E111" s="40"/>
      <c r="F111" s="40"/>
      <c r="G111" s="40"/>
      <c r="H111" s="53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54"/>
    </row>
    <row r="112" spans="1:42" ht="31.2" x14ac:dyDescent="0.3">
      <c r="A112" s="39"/>
      <c r="B112" s="3" t="s">
        <v>455</v>
      </c>
      <c r="C112" s="38" t="s">
        <v>456</v>
      </c>
      <c r="D112" s="38" t="s">
        <v>457</v>
      </c>
      <c r="E112" s="40"/>
      <c r="F112" s="40"/>
      <c r="G112" s="40"/>
      <c r="H112" s="53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54"/>
    </row>
    <row r="113" spans="1:21" ht="15.6" x14ac:dyDescent="0.3">
      <c r="A113" s="39"/>
      <c r="B113" s="3" t="s">
        <v>458</v>
      </c>
      <c r="C113" s="38" t="s">
        <v>459</v>
      </c>
      <c r="D113" s="38" t="s">
        <v>460</v>
      </c>
      <c r="E113" s="40"/>
      <c r="F113" s="40"/>
      <c r="G113" s="40"/>
      <c r="H113" s="53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54"/>
    </row>
    <row r="114" spans="1:21" ht="15.6" x14ac:dyDescent="0.3">
      <c r="A114" s="39"/>
      <c r="B114" s="3" t="s">
        <v>461</v>
      </c>
      <c r="C114" s="38" t="s">
        <v>462</v>
      </c>
      <c r="D114" s="38" t="s">
        <v>454</v>
      </c>
      <c r="E114" s="40"/>
      <c r="F114" s="40"/>
      <c r="G114" s="40"/>
      <c r="H114" s="53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54"/>
    </row>
    <row r="115" spans="1:21" ht="31.2" x14ac:dyDescent="0.3">
      <c r="A115" s="39"/>
      <c r="B115" s="3" t="s">
        <v>463</v>
      </c>
      <c r="C115" s="38" t="s">
        <v>464</v>
      </c>
      <c r="D115" s="38" t="s">
        <v>465</v>
      </c>
      <c r="E115" s="40"/>
      <c r="F115" s="40"/>
      <c r="G115" s="40"/>
      <c r="H115" s="53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54"/>
    </row>
    <row r="116" spans="1:21" ht="31.2" x14ac:dyDescent="0.3">
      <c r="A116" s="39"/>
      <c r="B116" s="3" t="s">
        <v>466</v>
      </c>
      <c r="C116" s="38" t="s">
        <v>467</v>
      </c>
      <c r="D116" s="38" t="s">
        <v>468</v>
      </c>
      <c r="E116" s="40"/>
      <c r="F116" s="40"/>
      <c r="G116" s="40"/>
      <c r="H116" s="53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54"/>
    </row>
    <row r="117" spans="1:21" ht="15.6" x14ac:dyDescent="0.3">
      <c r="A117" s="39"/>
      <c r="B117" s="3" t="s">
        <v>469</v>
      </c>
      <c r="C117" s="38" t="s">
        <v>470</v>
      </c>
      <c r="D117" s="38" t="s">
        <v>471</v>
      </c>
      <c r="E117" s="40"/>
      <c r="F117" s="40"/>
      <c r="G117" s="40"/>
      <c r="H117" s="53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54"/>
    </row>
    <row r="118" spans="1:21" ht="15.6" x14ac:dyDescent="0.3">
      <c r="A118" s="39"/>
      <c r="B118" s="3" t="s">
        <v>472</v>
      </c>
      <c r="C118" s="38" t="s">
        <v>473</v>
      </c>
      <c r="D118" s="38" t="s">
        <v>474</v>
      </c>
      <c r="E118" s="40"/>
      <c r="F118" s="40"/>
      <c r="G118" s="40"/>
      <c r="H118" s="53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54"/>
    </row>
    <row r="119" spans="1:21" ht="31.2" x14ac:dyDescent="0.3">
      <c r="A119" s="39"/>
      <c r="B119" s="3" t="s">
        <v>475</v>
      </c>
      <c r="C119" s="38" t="s">
        <v>476</v>
      </c>
      <c r="D119" s="38" t="s">
        <v>477</v>
      </c>
      <c r="E119" s="40"/>
      <c r="F119" s="40"/>
      <c r="G119" s="40"/>
      <c r="H119" s="53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54"/>
    </row>
    <row r="120" spans="1:21" ht="46.8" x14ac:dyDescent="0.3">
      <c r="A120" s="39"/>
      <c r="B120" s="3" t="s">
        <v>478</v>
      </c>
      <c r="C120" s="38" t="s">
        <v>479</v>
      </c>
      <c r="D120" s="38" t="s">
        <v>480</v>
      </c>
      <c r="E120" s="40"/>
      <c r="F120" s="40"/>
      <c r="G120" s="40"/>
      <c r="H120" s="53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54"/>
    </row>
    <row r="121" spans="1:21" ht="31.2" x14ac:dyDescent="0.3">
      <c r="A121" s="39"/>
      <c r="B121" s="3" t="s">
        <v>481</v>
      </c>
      <c r="C121" s="38" t="s">
        <v>482</v>
      </c>
      <c r="D121" s="38" t="s">
        <v>483</v>
      </c>
      <c r="E121" s="40"/>
      <c r="F121" s="40"/>
      <c r="G121" s="40"/>
      <c r="H121" s="53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54"/>
    </row>
    <row r="122" spans="1:21" ht="15.6" x14ac:dyDescent="0.3">
      <c r="A122" s="39"/>
      <c r="B122" s="3" t="s">
        <v>484</v>
      </c>
      <c r="C122" s="38" t="s">
        <v>485</v>
      </c>
      <c r="D122" s="38" t="s">
        <v>486</v>
      </c>
      <c r="E122" s="40"/>
      <c r="F122" s="40"/>
      <c r="G122" s="40"/>
      <c r="H122" s="53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54"/>
    </row>
    <row r="123" spans="1:21" ht="48" customHeight="1" x14ac:dyDescent="0.3">
      <c r="A123" s="39"/>
      <c r="B123" s="3" t="s">
        <v>487</v>
      </c>
      <c r="C123" s="38" t="s">
        <v>488</v>
      </c>
      <c r="D123" s="38" t="s">
        <v>489</v>
      </c>
      <c r="E123" s="40"/>
      <c r="F123" s="40"/>
      <c r="G123" s="40"/>
      <c r="H123" s="53" t="s">
        <v>490</v>
      </c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54"/>
    </row>
    <row r="124" spans="1:21" ht="15.6" x14ac:dyDescent="0.3">
      <c r="A124" s="39"/>
      <c r="B124" s="3" t="s">
        <v>491</v>
      </c>
      <c r="C124" s="38" t="s">
        <v>492</v>
      </c>
      <c r="D124" s="38" t="s">
        <v>493</v>
      </c>
      <c r="E124" s="40"/>
      <c r="F124" s="40"/>
      <c r="G124" s="40"/>
      <c r="H124" s="53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54"/>
    </row>
    <row r="125" spans="1:21" ht="15.6" x14ac:dyDescent="0.3">
      <c r="A125" s="39"/>
      <c r="B125" s="3" t="s">
        <v>494</v>
      </c>
      <c r="C125" s="38" t="s">
        <v>495</v>
      </c>
      <c r="D125" s="40"/>
      <c r="E125" s="40"/>
      <c r="F125" s="40"/>
      <c r="G125" s="40"/>
      <c r="H125" s="53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54"/>
    </row>
    <row r="126" spans="1:21" ht="15.6" x14ac:dyDescent="0.3">
      <c r="A126" s="39"/>
      <c r="B126" s="3" t="s">
        <v>496</v>
      </c>
      <c r="C126" s="38" t="s">
        <v>497</v>
      </c>
      <c r="D126" s="40"/>
      <c r="E126" s="40"/>
      <c r="F126" s="40"/>
      <c r="G126" s="40"/>
      <c r="H126" s="53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54"/>
    </row>
    <row r="127" spans="1:21" ht="15.6" x14ac:dyDescent="0.3">
      <c r="A127" s="39"/>
      <c r="B127" s="3" t="s">
        <v>498</v>
      </c>
      <c r="C127" s="38" t="s">
        <v>499</v>
      </c>
      <c r="D127" s="40"/>
      <c r="E127" s="40"/>
      <c r="F127" s="40"/>
      <c r="G127" s="40"/>
      <c r="H127" s="53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54"/>
    </row>
  </sheetData>
  <sheetProtection password="C644" sheet="1" formatColumns="0" autoFilter="0"/>
  <autoFilter ref="A7:U127">
    <filterColumn colId="1">
      <customFilters>
        <customFilter operator="notEqual" val=" "/>
      </customFilters>
    </filterColumn>
  </autoFilter>
  <mergeCells count="62">
    <mergeCell ref="H127:U127"/>
    <mergeCell ref="H122:U122"/>
    <mergeCell ref="H123:U123"/>
    <mergeCell ref="H124:U124"/>
    <mergeCell ref="H125:U125"/>
    <mergeCell ref="H126:U126"/>
    <mergeCell ref="H117:U117"/>
    <mergeCell ref="H118:U118"/>
    <mergeCell ref="H119:U119"/>
    <mergeCell ref="H120:U120"/>
    <mergeCell ref="H121:U121"/>
    <mergeCell ref="H112:U112"/>
    <mergeCell ref="H113:U113"/>
    <mergeCell ref="H114:U114"/>
    <mergeCell ref="H115:U115"/>
    <mergeCell ref="H116:U116"/>
    <mergeCell ref="C60:I60"/>
    <mergeCell ref="C101:I101"/>
    <mergeCell ref="A109:U109"/>
    <mergeCell ref="H110:U110"/>
    <mergeCell ref="H111:U111"/>
    <mergeCell ref="C22:I22"/>
    <mergeCell ref="C32:I32"/>
    <mergeCell ref="C34:I34"/>
    <mergeCell ref="C37:I37"/>
    <mergeCell ref="C38:I38"/>
    <mergeCell ref="C11:I11"/>
    <mergeCell ref="C12:I12"/>
    <mergeCell ref="C13:I13"/>
    <mergeCell ref="C19:I19"/>
    <mergeCell ref="C21:I21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K5:AP5"/>
    <mergeCell ref="AK6:AL6"/>
    <mergeCell ref="AM6:AM7"/>
    <mergeCell ref="AN6:AO6"/>
    <mergeCell ref="AP6:AP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ТКП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2026-08-19T10:23:10Z</dcterms:created>
  <dcterms:modified xsi:type="dcterms:W3CDTF">2026-08-19T11:38:27Z</dcterms:modified>
  <cp:category/>
</cp:coreProperties>
</file>